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devanshbhandari/Desktop/united /reliance po/Reliancepo/"/>
    </mc:Choice>
  </mc:AlternateContent>
  <xr:revisionPtr revIDLastSave="0" documentId="13_ncr:1_{335D5138-5297-5A40-82DA-FFDBD6C71C74}" xr6:coauthVersionLast="47" xr6:coauthVersionMax="47" xr10:uidLastSave="{00000000-0000-0000-0000-000000000000}"/>
  <bookViews>
    <workbookView xWindow="0" yWindow="660" windowWidth="29400" windowHeight="16800" xr2:uid="{00000000-000D-0000-FFFF-FFFF00000000}"/>
  </bookViews>
  <sheets>
    <sheet name="Purchase Orders" sheetId="1" r:id="rId1"/>
    <sheet name="Sheet1" sheetId="2" r:id="rId2"/>
  </sheets>
  <definedNames>
    <definedName name="_xlnm._FilterDatabase" localSheetId="0" hidden="1">'Purchase Orders'!$A$1:$AF$1074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2" i="1"/>
  <c r="AE2" i="1" a="1"/>
  <c r="AE2" i="1" s="1"/>
  <c r="AD7" i="1"/>
  <c r="AE3" i="1" a="1"/>
  <c r="AE3" i="1" s="1"/>
  <c r="AE4" i="1" a="1"/>
  <c r="AE4" i="1"/>
  <c r="AE5" i="1" a="1"/>
  <c r="AE5" i="1" s="1"/>
  <c r="AE6" i="1" a="1"/>
  <c r="AE6" i="1" s="1"/>
  <c r="AE7" i="1" a="1"/>
  <c r="AE7" i="1" s="1"/>
  <c r="AE8" i="1" a="1"/>
  <c r="AE8" i="1" s="1"/>
  <c r="AE9" i="1" a="1"/>
  <c r="AE9" i="1" s="1"/>
  <c r="AE10" i="1" a="1"/>
  <c r="AE10" i="1"/>
  <c r="AE11" i="1" a="1"/>
  <c r="AE11" i="1" s="1"/>
  <c r="AE12" i="1" a="1"/>
  <c r="AE12" i="1"/>
  <c r="AE13" i="1" a="1"/>
  <c r="AE13" i="1" s="1"/>
  <c r="AE14" i="1" a="1"/>
  <c r="AE14" i="1"/>
  <c r="AE15" i="1" a="1"/>
  <c r="AE15" i="1" s="1"/>
  <c r="AE16" i="1" a="1"/>
  <c r="AE16" i="1"/>
  <c r="AE17" i="1" a="1"/>
  <c r="AE17" i="1" s="1"/>
  <c r="AE18" i="1" a="1"/>
  <c r="AE18" i="1" s="1"/>
  <c r="AE19" i="1" a="1"/>
  <c r="AE19" i="1" s="1"/>
  <c r="AE20" i="1" a="1"/>
  <c r="AE20" i="1" s="1"/>
  <c r="AE21" i="1" a="1"/>
  <c r="AE21" i="1" s="1"/>
  <c r="AE22" i="1" a="1"/>
  <c r="AE22" i="1" s="1"/>
  <c r="AE23" i="1" a="1"/>
  <c r="AE23" i="1" s="1"/>
  <c r="AE24" i="1" a="1"/>
  <c r="AE24" i="1" s="1"/>
  <c r="AE25" i="1" a="1"/>
  <c r="AE25" i="1" s="1"/>
  <c r="AE26" i="1" a="1"/>
  <c r="AE26" i="1"/>
  <c r="AE27" i="1" a="1"/>
  <c r="AE27" i="1" s="1"/>
  <c r="AE28" i="1" a="1"/>
  <c r="AE28" i="1"/>
  <c r="AE29" i="1" a="1"/>
  <c r="AE29" i="1" s="1"/>
  <c r="AE30" i="1" a="1"/>
  <c r="AE30" i="1"/>
  <c r="AE31" i="1" a="1"/>
  <c r="AE31" i="1" s="1"/>
  <c r="AE32" i="1" a="1"/>
  <c r="AE32" i="1"/>
  <c r="AE33" i="1" a="1"/>
  <c r="AE33" i="1" s="1"/>
  <c r="AE34" i="1" a="1"/>
  <c r="AE34" i="1" s="1"/>
  <c r="AE35" i="1" a="1"/>
  <c r="AE35" i="1" s="1"/>
  <c r="AE36" i="1" a="1"/>
  <c r="AE36" i="1" s="1"/>
  <c r="AE37" i="1" a="1"/>
  <c r="AE37" i="1" s="1"/>
  <c r="AE38" i="1" a="1"/>
  <c r="AE38" i="1" s="1"/>
  <c r="AE39" i="1" a="1"/>
  <c r="AE39" i="1" s="1"/>
  <c r="AE40" i="1" a="1"/>
  <c r="AE40" i="1" s="1"/>
  <c r="AE41" i="1" a="1"/>
  <c r="AE41" i="1" s="1"/>
  <c r="AE42" i="1" a="1"/>
  <c r="AE42" i="1"/>
  <c r="AE43" i="1" a="1"/>
  <c r="AE43" i="1" s="1"/>
  <c r="AE44" i="1" a="1"/>
  <c r="AE44" i="1"/>
  <c r="AE45" i="1" a="1"/>
  <c r="AE45" i="1" s="1"/>
  <c r="AE46" i="1" a="1"/>
  <c r="AE46" i="1"/>
  <c r="AE47" i="1" a="1"/>
  <c r="AE47" i="1" s="1"/>
  <c r="AE48" i="1" a="1"/>
  <c r="AE48" i="1"/>
  <c r="AE49" i="1" a="1"/>
  <c r="AE49" i="1" s="1"/>
  <c r="AE50" i="1" a="1"/>
  <c r="AE50" i="1" s="1"/>
  <c r="AE51" i="1" a="1"/>
  <c r="AE51" i="1" s="1"/>
  <c r="AE52" i="1" a="1"/>
  <c r="AE52" i="1" s="1"/>
  <c r="AE53" i="1" a="1"/>
  <c r="AE53" i="1" s="1"/>
  <c r="AE54" i="1" a="1"/>
  <c r="AE54" i="1" s="1"/>
  <c r="AE55" i="1" a="1"/>
  <c r="AE55" i="1" s="1"/>
  <c r="AE56" i="1" a="1"/>
  <c r="AE56" i="1" s="1"/>
  <c r="AE57" i="1" a="1"/>
  <c r="AE57" i="1" s="1"/>
  <c r="AE58" i="1" a="1"/>
  <c r="AE58" i="1"/>
  <c r="AE59" i="1" a="1"/>
  <c r="AE59" i="1" s="1"/>
  <c r="AE60" i="1" a="1"/>
  <c r="AE60" i="1"/>
  <c r="AE61" i="1" a="1"/>
  <c r="AE61" i="1" s="1"/>
  <c r="AE62" i="1" a="1"/>
  <c r="AE62" i="1"/>
  <c r="AE63" i="1" a="1"/>
  <c r="AE63" i="1" s="1"/>
  <c r="AE64" i="1" a="1"/>
  <c r="AE64" i="1" s="1"/>
  <c r="AE65" i="1" a="1"/>
  <c r="AE65" i="1" s="1"/>
  <c r="AE66" i="1" a="1"/>
  <c r="AE66" i="1" s="1"/>
  <c r="AE67" i="1" a="1"/>
  <c r="AE67" i="1" s="1"/>
  <c r="AE68" i="1" a="1"/>
  <c r="AE68" i="1" s="1"/>
  <c r="AE69" i="1" a="1"/>
  <c r="AE69" i="1" s="1"/>
  <c r="AE70" i="1" a="1"/>
  <c r="AE70" i="1" s="1"/>
  <c r="AE71" i="1" a="1"/>
  <c r="AE71" i="1" s="1"/>
  <c r="AE72" i="1" a="1"/>
  <c r="AE72" i="1" s="1"/>
  <c r="AE73" i="1" a="1"/>
  <c r="AE73" i="1" s="1"/>
  <c r="AE74" i="1" a="1"/>
  <c r="AE74" i="1"/>
  <c r="AE75" i="1" a="1"/>
  <c r="AE75" i="1" s="1"/>
  <c r="AE76" i="1" a="1"/>
  <c r="AE76" i="1"/>
  <c r="AE77" i="1" a="1"/>
  <c r="AE77" i="1" s="1"/>
  <c r="AE78" i="1" a="1"/>
  <c r="AE78" i="1"/>
  <c r="AE79" i="1" a="1"/>
  <c r="AE79" i="1" s="1"/>
  <c r="AE80" i="1" a="1"/>
  <c r="AE80" i="1"/>
  <c r="AE81" i="1" a="1"/>
  <c r="AE81" i="1" s="1"/>
  <c r="AE82" i="1" a="1"/>
  <c r="AE82" i="1" s="1"/>
  <c r="AE83" i="1" a="1"/>
  <c r="AE83" i="1" s="1"/>
  <c r="AE84" i="1" a="1"/>
  <c r="AE84" i="1" s="1"/>
  <c r="AE85" i="1" a="1"/>
  <c r="AE85" i="1" s="1"/>
  <c r="AE86" i="1" a="1"/>
  <c r="AE86" i="1" s="1"/>
  <c r="AE87" i="1" a="1"/>
  <c r="AE87" i="1" s="1"/>
  <c r="AE88" i="1" a="1"/>
  <c r="AE88" i="1" s="1"/>
  <c r="AE89" i="1" a="1"/>
  <c r="AE89" i="1" s="1"/>
  <c r="AE90" i="1" a="1"/>
  <c r="AE90" i="1"/>
  <c r="AE91" i="1" a="1"/>
  <c r="AE91" i="1" s="1"/>
  <c r="AE92" i="1" a="1"/>
  <c r="AE92" i="1"/>
  <c r="AE93" i="1" a="1"/>
  <c r="AE93" i="1" s="1"/>
  <c r="AE94" i="1" a="1"/>
  <c r="AE94" i="1"/>
  <c r="AE95" i="1" a="1"/>
  <c r="AE95" i="1" s="1"/>
  <c r="AE96" i="1" a="1"/>
  <c r="AE96" i="1"/>
  <c r="AE97" i="1" a="1"/>
  <c r="AE97" i="1" s="1"/>
  <c r="AE98" i="1" a="1"/>
  <c r="AE98" i="1" s="1"/>
  <c r="AE99" i="1" a="1"/>
  <c r="AE99" i="1" s="1"/>
  <c r="AE100" i="1" a="1"/>
  <c r="AE100" i="1" s="1"/>
  <c r="AE101" i="1" a="1"/>
  <c r="AE101" i="1" s="1"/>
  <c r="AE102" i="1" a="1"/>
  <c r="AE102" i="1" s="1"/>
  <c r="AE103" i="1" a="1"/>
  <c r="AE103" i="1" s="1"/>
  <c r="AE104" i="1" a="1"/>
  <c r="AE104" i="1" s="1"/>
  <c r="AE105" i="1" a="1"/>
  <c r="AE105" i="1" s="1"/>
  <c r="AE106" i="1" a="1"/>
  <c r="AE106" i="1"/>
  <c r="AE107" i="1" a="1"/>
  <c r="AE107" i="1" s="1"/>
  <c r="AE108" i="1" a="1"/>
  <c r="AE108" i="1"/>
  <c r="AE109" i="1" a="1"/>
  <c r="AE109" i="1" s="1"/>
  <c r="AE110" i="1" a="1"/>
  <c r="AE110" i="1"/>
  <c r="AE111" i="1" a="1"/>
  <c r="AE111" i="1" s="1"/>
  <c r="AE112" i="1" a="1"/>
  <c r="AE112" i="1"/>
  <c r="AE113" i="1" a="1"/>
  <c r="AE113" i="1" s="1"/>
  <c r="AE114" i="1" a="1"/>
  <c r="AE114" i="1" s="1"/>
  <c r="AE115" i="1" a="1"/>
  <c r="AE115" i="1" s="1"/>
  <c r="AE116" i="1" a="1"/>
  <c r="AE116" i="1" s="1"/>
  <c r="AE117" i="1" a="1"/>
  <c r="AE117" i="1" s="1"/>
  <c r="AE118" i="1" a="1"/>
  <c r="AE118" i="1" s="1"/>
  <c r="AE119" i="1" a="1"/>
  <c r="AE119" i="1" s="1"/>
  <c r="AE120" i="1" a="1"/>
  <c r="AE120" i="1" s="1"/>
  <c r="AE121" i="1" a="1"/>
  <c r="AE121" i="1" s="1"/>
  <c r="AE122" i="1" a="1"/>
  <c r="AE122" i="1"/>
  <c r="AE123" i="1" a="1"/>
  <c r="AE123" i="1" s="1"/>
  <c r="AE124" i="1" a="1"/>
  <c r="AE124" i="1"/>
  <c r="AE125" i="1" a="1"/>
  <c r="AE125" i="1" s="1"/>
  <c r="AE126" i="1" a="1"/>
  <c r="AE126" i="1" s="1"/>
  <c r="AE127" i="1" a="1"/>
  <c r="AE127" i="1" s="1"/>
  <c r="AE128" i="1" a="1"/>
  <c r="AE128" i="1"/>
  <c r="AE129" i="1" a="1"/>
  <c r="AE129" i="1" s="1"/>
  <c r="AE130" i="1" a="1"/>
  <c r="AE130" i="1" s="1"/>
  <c r="AE131" i="1" a="1"/>
  <c r="AE131" i="1" s="1"/>
  <c r="AE132" i="1" a="1"/>
  <c r="AE132" i="1" s="1"/>
  <c r="AE133" i="1" a="1"/>
  <c r="AE133" i="1" s="1"/>
  <c r="AE134" i="1" a="1"/>
  <c r="AE134" i="1" s="1"/>
  <c r="AE135" i="1" a="1"/>
  <c r="AE135" i="1" s="1"/>
  <c r="AE136" i="1" a="1"/>
  <c r="AE136" i="1" s="1"/>
  <c r="AE137" i="1" a="1"/>
  <c r="AE137" i="1" s="1"/>
  <c r="AE138" i="1" a="1"/>
  <c r="AE138" i="1"/>
  <c r="AE139" i="1" a="1"/>
  <c r="AE139" i="1" s="1"/>
  <c r="AE140" i="1" a="1"/>
  <c r="AE140" i="1"/>
  <c r="AE141" i="1" a="1"/>
  <c r="AE141" i="1" s="1"/>
  <c r="AE142" i="1" a="1"/>
  <c r="AE142" i="1" s="1"/>
  <c r="AE143" i="1" a="1"/>
  <c r="AE143" i="1" s="1"/>
  <c r="AE144" i="1" a="1"/>
  <c r="AE144" i="1" s="1"/>
  <c r="AE145" i="1" a="1"/>
  <c r="AE145" i="1" s="1"/>
  <c r="AE146" i="1" a="1"/>
  <c r="AE146" i="1" s="1"/>
  <c r="AE147" i="1" a="1"/>
  <c r="AE147" i="1" s="1"/>
  <c r="AE148" i="1" a="1"/>
  <c r="AE148" i="1" s="1"/>
  <c r="AE149" i="1" a="1"/>
  <c r="AE149" i="1" s="1"/>
  <c r="AE150" i="1" a="1"/>
  <c r="AE150" i="1" s="1"/>
  <c r="AE151" i="1" a="1"/>
  <c r="AE151" i="1" s="1"/>
  <c r="AE152" i="1" a="1"/>
  <c r="AE152" i="1" s="1"/>
  <c r="AE153" i="1" a="1"/>
  <c r="AE153" i="1" s="1"/>
  <c r="AE154" i="1" a="1"/>
  <c r="AE154" i="1"/>
  <c r="AE155" i="1" a="1"/>
  <c r="AE155" i="1" s="1"/>
  <c r="AE156" i="1" a="1"/>
  <c r="AE156" i="1"/>
  <c r="AE157" i="1" a="1"/>
  <c r="AE157" i="1" s="1"/>
  <c r="AE158" i="1" a="1"/>
  <c r="AE158" i="1"/>
  <c r="AE159" i="1" a="1"/>
  <c r="AE159" i="1" s="1"/>
  <c r="AE160" i="1" a="1"/>
  <c r="AE160" i="1"/>
  <c r="AE161" i="1" a="1"/>
  <c r="AE161" i="1" s="1"/>
  <c r="AE162" i="1" a="1"/>
  <c r="AE162" i="1" s="1"/>
  <c r="AE163" i="1" a="1"/>
  <c r="AE163" i="1" s="1"/>
  <c r="AE164" i="1" a="1"/>
  <c r="AE164" i="1" s="1"/>
  <c r="AE165" i="1" a="1"/>
  <c r="AE165" i="1" s="1"/>
  <c r="AE166" i="1" a="1"/>
  <c r="AE166" i="1" s="1"/>
  <c r="AE167" i="1" a="1"/>
  <c r="AE167" i="1" s="1"/>
  <c r="AE168" i="1" a="1"/>
  <c r="AE168" i="1" s="1"/>
  <c r="AE169" i="1" a="1"/>
  <c r="AE169" i="1" s="1"/>
  <c r="AE170" i="1" a="1"/>
  <c r="AE170" i="1"/>
  <c r="AE171" i="1" a="1"/>
  <c r="AE171" i="1" s="1"/>
  <c r="AE172" i="1" a="1"/>
  <c r="AE172" i="1"/>
  <c r="AE173" i="1" a="1"/>
  <c r="AE173" i="1" s="1"/>
  <c r="AE174" i="1" a="1"/>
  <c r="AE174" i="1" s="1"/>
  <c r="AE175" i="1" a="1"/>
  <c r="AE175" i="1" s="1"/>
  <c r="AE176" i="1" a="1"/>
  <c r="AE176" i="1" s="1"/>
  <c r="AE177" i="1" a="1"/>
  <c r="AE177" i="1" s="1"/>
  <c r="AE178" i="1" a="1"/>
  <c r="AE178" i="1" s="1"/>
  <c r="AE179" i="1" a="1"/>
  <c r="AE179" i="1" s="1"/>
  <c r="AE180" i="1" a="1"/>
  <c r="AE180" i="1"/>
  <c r="AE181" i="1" a="1"/>
  <c r="AE181" i="1" s="1"/>
  <c r="AE182" i="1" a="1"/>
  <c r="AE182" i="1" s="1"/>
  <c r="AE183" i="1" a="1"/>
  <c r="AE183" i="1" s="1"/>
  <c r="AE184" i="1" a="1"/>
  <c r="AE184" i="1" s="1"/>
  <c r="AE185" i="1" a="1"/>
  <c r="AE185" i="1" s="1"/>
  <c r="AE186" i="1" a="1"/>
  <c r="AE186" i="1"/>
  <c r="AE187" i="1" a="1"/>
  <c r="AE187" i="1" s="1"/>
  <c r="AE188" i="1" a="1"/>
  <c r="AE188" i="1" s="1"/>
  <c r="AE189" i="1" a="1"/>
  <c r="AE189" i="1"/>
  <c r="AE190" i="1" a="1"/>
  <c r="AE190" i="1" s="1"/>
  <c r="AE191" i="1" a="1"/>
  <c r="AE191" i="1" s="1"/>
  <c r="AE192" i="1" a="1"/>
  <c r="AE192" i="1" s="1"/>
  <c r="AE193" i="1" a="1"/>
  <c r="AE193" i="1" s="1"/>
  <c r="AE194" i="1" a="1"/>
  <c r="AE194" i="1" s="1"/>
  <c r="AE195" i="1" a="1"/>
  <c r="AE195" i="1" s="1"/>
  <c r="AE196" i="1" a="1"/>
  <c r="AE196" i="1" s="1"/>
  <c r="AE197" i="1" a="1"/>
  <c r="AE197" i="1" s="1"/>
  <c r="AE198" i="1" a="1"/>
  <c r="AE198" i="1"/>
  <c r="AE199" i="1" a="1"/>
  <c r="AE199" i="1" s="1"/>
  <c r="AE200" i="1" a="1"/>
  <c r="AE200" i="1" s="1"/>
  <c r="AE201" i="1" a="1"/>
  <c r="AE201" i="1" s="1"/>
  <c r="AE202" i="1" a="1"/>
  <c r="AE202" i="1" s="1"/>
  <c r="AE203" i="1" a="1"/>
  <c r="AE203" i="1" s="1"/>
  <c r="AE204" i="1" a="1"/>
  <c r="AE204" i="1"/>
  <c r="AE205" i="1" a="1"/>
  <c r="AE205" i="1" s="1"/>
  <c r="AE206" i="1" a="1"/>
  <c r="AE206" i="1" s="1"/>
  <c r="AE207" i="1" a="1"/>
  <c r="AE207" i="1" s="1"/>
  <c r="AE208" i="1" a="1"/>
  <c r="AE208" i="1"/>
  <c r="AE209" i="1" a="1"/>
  <c r="AE209" i="1" s="1"/>
  <c r="AE210" i="1" a="1"/>
  <c r="AE210" i="1" s="1"/>
  <c r="AE211" i="1" a="1"/>
  <c r="AE211" i="1" s="1"/>
  <c r="AE212" i="1" a="1"/>
  <c r="AE212" i="1"/>
  <c r="AE213" i="1" a="1"/>
  <c r="AE213" i="1"/>
  <c r="AE214" i="1" a="1"/>
  <c r="AE214" i="1" s="1"/>
  <c r="AE215" i="1" a="1"/>
  <c r="AE215" i="1" s="1"/>
  <c r="AE216" i="1" a="1"/>
  <c r="AE216" i="1" s="1"/>
  <c r="AE217" i="1" a="1"/>
  <c r="AE217" i="1" s="1"/>
  <c r="AE218" i="1" a="1"/>
  <c r="AE218" i="1"/>
  <c r="AE219" i="1" a="1"/>
  <c r="AE219" i="1" s="1"/>
  <c r="AE220" i="1" a="1"/>
  <c r="AE220" i="1" s="1"/>
  <c r="AE221" i="1" a="1"/>
  <c r="AE221" i="1"/>
  <c r="AE222" i="1" a="1"/>
  <c r="AE222" i="1" s="1"/>
  <c r="AE223" i="1" a="1"/>
  <c r="AE223" i="1" s="1"/>
  <c r="AE224" i="1" a="1"/>
  <c r="AE224" i="1" s="1"/>
  <c r="AE225" i="1" a="1"/>
  <c r="AE225" i="1" s="1"/>
  <c r="AE226" i="1" a="1"/>
  <c r="AE226" i="1" s="1"/>
  <c r="AE227" i="1" a="1"/>
  <c r="AE227" i="1" s="1"/>
  <c r="AE228" i="1" a="1"/>
  <c r="AE228" i="1" s="1"/>
  <c r="AE229" i="1" a="1"/>
  <c r="AE229" i="1" s="1"/>
  <c r="AE230" i="1" a="1"/>
  <c r="AE230" i="1"/>
  <c r="AE231" i="1" a="1"/>
  <c r="AE231" i="1" s="1"/>
  <c r="AE232" i="1" a="1"/>
  <c r="AE232" i="1" s="1"/>
  <c r="AE233" i="1" a="1"/>
  <c r="AE233" i="1" s="1"/>
  <c r="AE234" i="1" a="1"/>
  <c r="AE234" i="1" s="1"/>
  <c r="AE235" i="1" a="1"/>
  <c r="AE235" i="1" s="1"/>
  <c r="AE236" i="1" a="1"/>
  <c r="AE236" i="1" s="1"/>
  <c r="AE237" i="1" a="1"/>
  <c r="AE237" i="1" s="1"/>
  <c r="AE238" i="1" a="1"/>
  <c r="AE238" i="1" s="1"/>
  <c r="AE239" i="1" a="1"/>
  <c r="AE239" i="1" s="1"/>
  <c r="AE240" i="1" a="1"/>
  <c r="AE240" i="1" s="1"/>
  <c r="AE241" i="1" a="1"/>
  <c r="AE241" i="1" s="1"/>
  <c r="AE242" i="1" a="1"/>
  <c r="AE242" i="1" s="1"/>
  <c r="AE243" i="1" a="1"/>
  <c r="AE243" i="1" s="1"/>
  <c r="AE244" i="1" a="1"/>
  <c r="AE244" i="1"/>
  <c r="AE245" i="1" a="1"/>
  <c r="AE245" i="1" s="1"/>
  <c r="AE246" i="1" a="1"/>
  <c r="AE246" i="1" s="1"/>
  <c r="AE247" i="1" a="1"/>
  <c r="AE247" i="1" s="1"/>
  <c r="AE248" i="1" a="1"/>
  <c r="AE248" i="1" s="1"/>
  <c r="AE249" i="1" a="1"/>
  <c r="AE249" i="1"/>
  <c r="AE250" i="1" a="1"/>
  <c r="AE250" i="1"/>
  <c r="AE251" i="1" a="1"/>
  <c r="AE251" i="1" s="1"/>
  <c r="AE252" i="1" a="1"/>
  <c r="AE252" i="1" s="1"/>
  <c r="AE253" i="1" a="1"/>
  <c r="AE253" i="1"/>
  <c r="AE254" i="1" a="1"/>
  <c r="AE254" i="1" s="1"/>
  <c r="AE255" i="1" a="1"/>
  <c r="AE255" i="1" s="1"/>
  <c r="AE256" i="1" a="1"/>
  <c r="AE256" i="1" s="1"/>
  <c r="AE257" i="1" a="1"/>
  <c r="AE257" i="1" s="1"/>
  <c r="AE258" i="1" a="1"/>
  <c r="AE258" i="1" s="1"/>
  <c r="AE259" i="1" a="1"/>
  <c r="AE259" i="1" s="1"/>
  <c r="AE260" i="1" a="1"/>
  <c r="AE260" i="1" s="1"/>
  <c r="AE261" i="1" a="1"/>
  <c r="AE261" i="1" s="1"/>
  <c r="AE262" i="1" a="1"/>
  <c r="AE262" i="1"/>
  <c r="AE263" i="1" a="1"/>
  <c r="AE263" i="1" s="1"/>
  <c r="AE264" i="1" a="1"/>
  <c r="AE264" i="1" s="1"/>
  <c r="AE265" i="1" a="1"/>
  <c r="AE265" i="1" s="1"/>
  <c r="AE266" i="1" a="1"/>
  <c r="AE266" i="1" s="1"/>
  <c r="AE267" i="1" a="1"/>
  <c r="AE267" i="1" s="1"/>
  <c r="AE268" i="1" a="1"/>
  <c r="AE268" i="1"/>
  <c r="AE269" i="1" a="1"/>
  <c r="AE269" i="1" s="1"/>
  <c r="AE270" i="1" a="1"/>
  <c r="AE270" i="1" s="1"/>
  <c r="AE271" i="1" a="1"/>
  <c r="AE271" i="1" s="1"/>
  <c r="AE272" i="1" a="1"/>
  <c r="AE272" i="1"/>
  <c r="AE273" i="1" a="1"/>
  <c r="AE273" i="1" s="1"/>
  <c r="AE274" i="1" a="1"/>
  <c r="AE274" i="1" s="1"/>
  <c r="AE275" i="1" a="1"/>
  <c r="AE275" i="1" s="1"/>
  <c r="AE276" i="1" a="1"/>
  <c r="AE276" i="1"/>
  <c r="AE277" i="1" a="1"/>
  <c r="AE277" i="1"/>
  <c r="AE278" i="1" a="1"/>
  <c r="AE278" i="1" s="1"/>
  <c r="AE279" i="1" a="1"/>
  <c r="AE279" i="1" s="1"/>
  <c r="AE280" i="1" a="1"/>
  <c r="AE280" i="1" s="1"/>
  <c r="AE281" i="1" a="1"/>
  <c r="AE281" i="1" s="1"/>
  <c r="AE282" i="1" a="1"/>
  <c r="AE282" i="1"/>
  <c r="AE283" i="1" a="1"/>
  <c r="AE283" i="1" s="1"/>
  <c r="AE284" i="1" a="1"/>
  <c r="AE284" i="1" s="1"/>
  <c r="AE285" i="1" a="1"/>
  <c r="AE285" i="1"/>
  <c r="AE286" i="1" a="1"/>
  <c r="AE286" i="1" s="1"/>
  <c r="AE287" i="1" a="1"/>
  <c r="AE287" i="1" s="1"/>
  <c r="AE288" i="1" a="1"/>
  <c r="AE288" i="1" s="1"/>
  <c r="AE289" i="1" a="1"/>
  <c r="AE289" i="1" s="1"/>
  <c r="AE290" i="1" a="1"/>
  <c r="AE290" i="1" s="1"/>
  <c r="AE291" i="1" a="1"/>
  <c r="AE291" i="1" s="1"/>
  <c r="AE292" i="1" a="1"/>
  <c r="AE292" i="1" s="1"/>
  <c r="AE293" i="1" a="1"/>
  <c r="AE293" i="1" s="1"/>
  <c r="AE294" i="1" a="1"/>
  <c r="AE294" i="1"/>
  <c r="AE295" i="1" a="1"/>
  <c r="AE295" i="1" s="1"/>
  <c r="AE296" i="1" a="1"/>
  <c r="AE296" i="1" s="1"/>
  <c r="AE297" i="1" a="1"/>
  <c r="AE297" i="1" s="1"/>
  <c r="AE298" i="1" a="1"/>
  <c r="AE298" i="1" s="1"/>
  <c r="AE299" i="1" a="1"/>
  <c r="AE299" i="1" s="1"/>
  <c r="AE300" i="1" a="1"/>
  <c r="AE300" i="1" s="1"/>
  <c r="AE301" i="1" a="1"/>
  <c r="AE301" i="1" s="1"/>
  <c r="AE302" i="1" a="1"/>
  <c r="AE302" i="1" s="1"/>
  <c r="AE303" i="1" a="1"/>
  <c r="AE303" i="1" s="1"/>
  <c r="AE304" i="1" a="1"/>
  <c r="AE304" i="1" s="1"/>
  <c r="AE305" i="1" a="1"/>
  <c r="AE305" i="1" s="1"/>
  <c r="AE306" i="1" a="1"/>
  <c r="AE306" i="1" s="1"/>
  <c r="AE307" i="1" a="1"/>
  <c r="AE307" i="1" s="1"/>
  <c r="AE308" i="1" a="1"/>
  <c r="AE308" i="1"/>
  <c r="AE309" i="1" a="1"/>
  <c r="AE309" i="1" s="1"/>
  <c r="AE310" i="1" a="1"/>
  <c r="AE310" i="1" s="1"/>
  <c r="AE311" i="1" a="1"/>
  <c r="AE311" i="1" s="1"/>
  <c r="AE312" i="1" a="1"/>
  <c r="AE312" i="1" s="1"/>
  <c r="AE313" i="1" a="1"/>
  <c r="AE313" i="1"/>
  <c r="AE314" i="1" a="1"/>
  <c r="AE314" i="1"/>
  <c r="AE315" i="1" a="1"/>
  <c r="AE315" i="1" s="1"/>
  <c r="AE316" i="1" a="1"/>
  <c r="AE316" i="1" s="1"/>
  <c r="AE317" i="1" a="1"/>
  <c r="AE317" i="1"/>
  <c r="AE318" i="1" a="1"/>
  <c r="AE318" i="1" s="1"/>
  <c r="AE319" i="1" a="1"/>
  <c r="AE319" i="1" s="1"/>
  <c r="AE320" i="1" a="1"/>
  <c r="AE320" i="1" s="1"/>
  <c r="AE321" i="1" a="1"/>
  <c r="AE321" i="1" s="1"/>
  <c r="AE322" i="1" a="1"/>
  <c r="AE322" i="1" s="1"/>
  <c r="AE323" i="1" a="1"/>
  <c r="AE323" i="1" s="1"/>
  <c r="AE324" i="1" a="1"/>
  <c r="AE324" i="1" s="1"/>
  <c r="AE325" i="1" a="1"/>
  <c r="AE325" i="1" s="1"/>
  <c r="AE326" i="1" a="1"/>
  <c r="AE326" i="1"/>
  <c r="AE327" i="1" a="1"/>
  <c r="AE327" i="1" s="1"/>
  <c r="AE328" i="1" a="1"/>
  <c r="AE328" i="1" s="1"/>
  <c r="AE329" i="1" a="1"/>
  <c r="AE329" i="1" s="1"/>
  <c r="AE330" i="1" a="1"/>
  <c r="AE330" i="1" s="1"/>
  <c r="AE331" i="1" a="1"/>
  <c r="AE331" i="1" s="1"/>
  <c r="AE332" i="1" a="1"/>
  <c r="AE332" i="1"/>
  <c r="AE333" i="1" a="1"/>
  <c r="AE333" i="1" s="1"/>
  <c r="AE334" i="1" a="1"/>
  <c r="AE334" i="1" s="1"/>
  <c r="AE335" i="1" a="1"/>
  <c r="AE335" i="1" s="1"/>
  <c r="AE336" i="1" a="1"/>
  <c r="AE336" i="1"/>
  <c r="AE337" i="1" a="1"/>
  <c r="AE337" i="1" s="1"/>
  <c r="AE338" i="1" a="1"/>
  <c r="AE338" i="1" s="1"/>
  <c r="AE339" i="1" a="1"/>
  <c r="AE339" i="1" s="1"/>
  <c r="AE340" i="1" a="1"/>
  <c r="AE340" i="1"/>
  <c r="AE341" i="1" a="1"/>
  <c r="AE341" i="1"/>
  <c r="AE342" i="1" a="1"/>
  <c r="AE342" i="1" s="1"/>
  <c r="AE343" i="1" a="1"/>
  <c r="AE343" i="1" s="1"/>
  <c r="AE344" i="1" a="1"/>
  <c r="AE344" i="1"/>
  <c r="AE345" i="1" a="1"/>
  <c r="AE345" i="1" s="1"/>
  <c r="AE346" i="1" a="1"/>
  <c r="AE346" i="1" s="1"/>
  <c r="AE347" i="1" a="1"/>
  <c r="AE347" i="1" s="1"/>
  <c r="AE348" i="1" a="1"/>
  <c r="AE348" i="1" s="1"/>
  <c r="AE349" i="1" a="1"/>
  <c r="AE349" i="1" s="1"/>
  <c r="AE350" i="1" a="1"/>
  <c r="AE350" i="1" s="1"/>
  <c r="AE351" i="1" a="1"/>
  <c r="AE351" i="1" s="1"/>
  <c r="AE352" i="1" a="1"/>
  <c r="AE352" i="1"/>
  <c r="AE353" i="1" a="1"/>
  <c r="AE353" i="1" s="1"/>
  <c r="AE354" i="1" a="1"/>
  <c r="AE354" i="1" s="1"/>
  <c r="AE355" i="1" a="1"/>
  <c r="AE355" i="1" s="1"/>
  <c r="AE356" i="1" a="1"/>
  <c r="AE356" i="1" s="1"/>
  <c r="AE357" i="1" a="1"/>
  <c r="AE357" i="1"/>
  <c r="AE358" i="1" a="1"/>
  <c r="AE358" i="1" s="1"/>
  <c r="AE359" i="1" a="1"/>
  <c r="AE359" i="1" s="1"/>
  <c r="AE360" i="1" a="1"/>
  <c r="AE360" i="1" s="1"/>
  <c r="AE361" i="1" a="1"/>
  <c r="AE361" i="1" s="1"/>
  <c r="AE362" i="1" a="1"/>
  <c r="AE362" i="1" s="1"/>
  <c r="AE363" i="1" a="1"/>
  <c r="AE363" i="1" s="1"/>
  <c r="AE364" i="1" a="1"/>
  <c r="AE364" i="1" s="1"/>
  <c r="AE365" i="1" a="1"/>
  <c r="AE365" i="1" s="1"/>
  <c r="AE366" i="1" a="1"/>
  <c r="AE366" i="1" s="1"/>
  <c r="AE367" i="1" a="1"/>
  <c r="AE367" i="1" s="1"/>
  <c r="AE368" i="1" a="1"/>
  <c r="AE368" i="1"/>
  <c r="AE369" i="1" a="1"/>
  <c r="AE369" i="1" s="1"/>
  <c r="AE370" i="1" a="1"/>
  <c r="AE370" i="1" s="1"/>
  <c r="AE371" i="1" a="1"/>
  <c r="AE371" i="1" s="1"/>
  <c r="AE372" i="1" a="1"/>
  <c r="AE372" i="1" s="1"/>
  <c r="AE373" i="1" a="1"/>
  <c r="AE373" i="1"/>
  <c r="AE374" i="1" a="1"/>
  <c r="AE374" i="1" s="1"/>
  <c r="AE375" i="1" a="1"/>
  <c r="AE375" i="1" s="1"/>
  <c r="AE376" i="1" a="1"/>
  <c r="AE376" i="1" s="1"/>
  <c r="AE377" i="1" a="1"/>
  <c r="AE377" i="1" s="1"/>
  <c r="AE378" i="1" a="1"/>
  <c r="AE378" i="1" s="1"/>
  <c r="AE379" i="1" a="1"/>
  <c r="AE379" i="1" s="1"/>
  <c r="AE380" i="1" a="1"/>
  <c r="AE380" i="1" s="1"/>
  <c r="AE381" i="1" a="1"/>
  <c r="AE381" i="1" s="1"/>
  <c r="AE382" i="1" a="1"/>
  <c r="AE382" i="1" s="1"/>
  <c r="AE383" i="1" a="1"/>
  <c r="AE383" i="1" s="1"/>
  <c r="AE384" i="1" a="1"/>
  <c r="AE384" i="1"/>
  <c r="AE385" i="1" a="1"/>
  <c r="AE385" i="1" s="1"/>
  <c r="AE386" i="1" a="1"/>
  <c r="AE386" i="1" s="1"/>
  <c r="AE387" i="1" a="1"/>
  <c r="AE387" i="1" s="1"/>
  <c r="AE388" i="1" a="1"/>
  <c r="AE388" i="1" s="1"/>
  <c r="AE389" i="1" a="1"/>
  <c r="AE389" i="1"/>
  <c r="AE390" i="1" a="1"/>
  <c r="AE390" i="1" s="1"/>
  <c r="AE391" i="1" a="1"/>
  <c r="AE391" i="1" s="1"/>
  <c r="AE392" i="1" a="1"/>
  <c r="AE392" i="1" s="1"/>
  <c r="AE393" i="1" a="1"/>
  <c r="AE393" i="1" s="1"/>
  <c r="AE394" i="1" a="1"/>
  <c r="AE394" i="1" s="1"/>
  <c r="AE395" i="1" a="1"/>
  <c r="AE395" i="1" s="1"/>
  <c r="AE396" i="1" a="1"/>
  <c r="AE396" i="1" s="1"/>
  <c r="AE397" i="1" a="1"/>
  <c r="AE397" i="1" s="1"/>
  <c r="AE398" i="1" a="1"/>
  <c r="AE398" i="1" s="1"/>
  <c r="AE399" i="1" a="1"/>
  <c r="AE399" i="1" s="1"/>
  <c r="AE400" i="1" a="1"/>
  <c r="AE400" i="1"/>
  <c r="AE401" i="1" a="1"/>
  <c r="AE401" i="1" s="1"/>
  <c r="AE402" i="1" a="1"/>
  <c r="AE402" i="1" s="1"/>
  <c r="AE403" i="1" a="1"/>
  <c r="AE403" i="1" s="1"/>
  <c r="AE404" i="1" a="1"/>
  <c r="AE404" i="1" s="1"/>
  <c r="AE405" i="1" a="1"/>
  <c r="AE405" i="1"/>
  <c r="AE406" i="1" a="1"/>
  <c r="AE406" i="1" s="1"/>
  <c r="AE407" i="1" a="1"/>
  <c r="AE407" i="1" s="1"/>
  <c r="AE408" i="1" a="1"/>
  <c r="AE408" i="1" s="1"/>
  <c r="AE409" i="1" a="1"/>
  <c r="AE409" i="1" s="1"/>
  <c r="AE410" i="1" a="1"/>
  <c r="AE410" i="1" s="1"/>
  <c r="AE411" i="1" a="1"/>
  <c r="AE411" i="1" s="1"/>
  <c r="AE412" i="1" a="1"/>
  <c r="AE412" i="1" s="1"/>
  <c r="AE413" i="1" a="1"/>
  <c r="AE413" i="1" s="1"/>
  <c r="AE414" i="1" a="1"/>
  <c r="AE414" i="1" s="1"/>
  <c r="AE415" i="1" a="1"/>
  <c r="AE415" i="1" s="1"/>
  <c r="AE416" i="1" a="1"/>
  <c r="AE416" i="1"/>
  <c r="AE417" i="1" a="1"/>
  <c r="AE417" i="1" s="1"/>
  <c r="AE418" i="1" a="1"/>
  <c r="AE418" i="1" s="1"/>
  <c r="AE419" i="1" a="1"/>
  <c r="AE419" i="1" s="1"/>
  <c r="AE420" i="1" a="1"/>
  <c r="AE420" i="1" s="1"/>
  <c r="AE421" i="1" a="1"/>
  <c r="AE421" i="1"/>
  <c r="AE422" i="1" a="1"/>
  <c r="AE422" i="1" s="1"/>
  <c r="AE423" i="1" a="1"/>
  <c r="AE423" i="1" s="1"/>
  <c r="AE424" i="1" a="1"/>
  <c r="AE424" i="1" s="1"/>
  <c r="AE425" i="1" a="1"/>
  <c r="AE425" i="1" s="1"/>
  <c r="AE426" i="1" a="1"/>
  <c r="AE426" i="1" s="1"/>
  <c r="AE427" i="1" a="1"/>
  <c r="AE427" i="1" s="1"/>
  <c r="AE428" i="1" a="1"/>
  <c r="AE428" i="1" s="1"/>
  <c r="AE429" i="1" a="1"/>
  <c r="AE429" i="1" s="1"/>
  <c r="AE430" i="1" a="1"/>
  <c r="AE430" i="1" s="1"/>
  <c r="AE431" i="1" a="1"/>
  <c r="AE431" i="1" s="1"/>
  <c r="AE432" i="1" a="1"/>
  <c r="AE432" i="1"/>
  <c r="AE433" i="1" a="1"/>
  <c r="AE433" i="1" s="1"/>
  <c r="AE434" i="1" a="1"/>
  <c r="AE434" i="1" s="1"/>
  <c r="AE435" i="1" a="1"/>
  <c r="AE435" i="1" s="1"/>
  <c r="AE436" i="1" a="1"/>
  <c r="AE436" i="1" s="1"/>
  <c r="AE437" i="1" a="1"/>
  <c r="AE437" i="1"/>
  <c r="AE438" i="1" a="1"/>
  <c r="AE438" i="1" s="1"/>
  <c r="AE439" i="1" a="1"/>
  <c r="AE439" i="1" s="1"/>
  <c r="AE440" i="1" a="1"/>
  <c r="AE440" i="1" s="1"/>
  <c r="AE441" i="1" a="1"/>
  <c r="AE441" i="1" s="1"/>
  <c r="AE442" i="1" a="1"/>
  <c r="AE442" i="1" s="1"/>
  <c r="AE443" i="1" a="1"/>
  <c r="AE443" i="1" s="1"/>
  <c r="AE444" i="1" a="1"/>
  <c r="AE444" i="1" s="1"/>
  <c r="AE445" i="1" a="1"/>
  <c r="AE445" i="1" s="1"/>
  <c r="AE446" i="1" a="1"/>
  <c r="AE446" i="1" s="1"/>
  <c r="AE447" i="1" a="1"/>
  <c r="AE447" i="1" s="1"/>
  <c r="AE448" i="1" a="1"/>
  <c r="AE448" i="1"/>
  <c r="AE449" i="1" a="1"/>
  <c r="AE449" i="1" s="1"/>
  <c r="AE450" i="1" a="1"/>
  <c r="AE450" i="1" s="1"/>
  <c r="AE451" i="1" a="1"/>
  <c r="AE451" i="1" s="1"/>
  <c r="AE452" i="1" a="1"/>
  <c r="AE452" i="1" s="1"/>
  <c r="AE453" i="1" a="1"/>
  <c r="AE453" i="1"/>
  <c r="AE454" i="1" a="1"/>
  <c r="AE454" i="1" s="1"/>
  <c r="AE455" i="1" a="1"/>
  <c r="AE455" i="1" s="1"/>
  <c r="AE456" i="1" a="1"/>
  <c r="AE456" i="1" s="1"/>
  <c r="AE457" i="1" a="1"/>
  <c r="AE457" i="1" s="1"/>
  <c r="AE458" i="1" a="1"/>
  <c r="AE458" i="1" s="1"/>
  <c r="AE459" i="1" a="1"/>
  <c r="AE459" i="1" s="1"/>
  <c r="AE460" i="1" a="1"/>
  <c r="AE460" i="1" s="1"/>
  <c r="AE461" i="1" a="1"/>
  <c r="AE461" i="1" s="1"/>
  <c r="AE462" i="1" a="1"/>
  <c r="AE462" i="1" s="1"/>
  <c r="AE463" i="1" a="1"/>
  <c r="AE463" i="1" s="1"/>
  <c r="AE464" i="1" a="1"/>
  <c r="AE464" i="1"/>
  <c r="AE465" i="1" a="1"/>
  <c r="AE465" i="1" s="1"/>
  <c r="AE466" i="1" a="1"/>
  <c r="AE466" i="1" s="1"/>
  <c r="AE467" i="1" a="1"/>
  <c r="AE467" i="1" s="1"/>
  <c r="AE468" i="1" a="1"/>
  <c r="AE468" i="1" s="1"/>
  <c r="AE469" i="1" a="1"/>
  <c r="AE469" i="1"/>
  <c r="AE470" i="1" a="1"/>
  <c r="AE470" i="1" s="1"/>
  <c r="AE471" i="1" a="1"/>
  <c r="AE471" i="1" s="1"/>
  <c r="AE472" i="1" a="1"/>
  <c r="AE472" i="1" s="1"/>
  <c r="AE473" i="1" a="1"/>
  <c r="AE473" i="1" s="1"/>
  <c r="AE474" i="1" a="1"/>
  <c r="AE474" i="1" s="1"/>
  <c r="AE475" i="1" a="1"/>
  <c r="AE475" i="1" s="1"/>
  <c r="AE476" i="1" a="1"/>
  <c r="AE476" i="1" s="1"/>
  <c r="AE477" i="1" a="1"/>
  <c r="AE477" i="1" s="1"/>
  <c r="AE478" i="1" a="1"/>
  <c r="AE478" i="1" s="1"/>
  <c r="AE479" i="1" a="1"/>
  <c r="AE479" i="1" s="1"/>
  <c r="AE480" i="1" a="1"/>
  <c r="AE480" i="1"/>
  <c r="AE481" i="1" a="1"/>
  <c r="AE481" i="1" s="1"/>
  <c r="AE482" i="1" a="1"/>
  <c r="AE482" i="1" s="1"/>
  <c r="AE483" i="1" a="1"/>
  <c r="AE483" i="1" s="1"/>
  <c r="AE484" i="1" a="1"/>
  <c r="AE484" i="1" s="1"/>
  <c r="AE485" i="1" a="1"/>
  <c r="AE485" i="1"/>
  <c r="AE486" i="1" a="1"/>
  <c r="AE486" i="1" s="1"/>
  <c r="AE487" i="1" a="1"/>
  <c r="AE487" i="1" s="1"/>
  <c r="AE488" i="1" a="1"/>
  <c r="AE488" i="1" s="1"/>
  <c r="AE489" i="1" a="1"/>
  <c r="AE489" i="1" s="1"/>
  <c r="AE490" i="1" a="1"/>
  <c r="AE490" i="1" s="1"/>
  <c r="AE491" i="1" a="1"/>
  <c r="AE491" i="1" s="1"/>
  <c r="AE492" i="1" a="1"/>
  <c r="AE492" i="1" s="1"/>
  <c r="AE493" i="1" a="1"/>
  <c r="AE493" i="1" s="1"/>
  <c r="AE494" i="1" a="1"/>
  <c r="AE494" i="1" s="1"/>
  <c r="AE495" i="1" a="1"/>
  <c r="AE495" i="1" s="1"/>
  <c r="AE496" i="1" a="1"/>
  <c r="AE496" i="1"/>
  <c r="AE497" i="1" a="1"/>
  <c r="AE497" i="1" s="1"/>
  <c r="AE498" i="1" a="1"/>
  <c r="AE498" i="1" s="1"/>
  <c r="AE499" i="1" a="1"/>
  <c r="AE499" i="1" s="1"/>
  <c r="AE500" i="1" a="1"/>
  <c r="AE500" i="1" s="1"/>
  <c r="AE501" i="1" a="1"/>
  <c r="AE501" i="1"/>
  <c r="AE502" i="1" a="1"/>
  <c r="AE502" i="1" s="1"/>
  <c r="AE503" i="1" a="1"/>
  <c r="AE503" i="1" s="1"/>
  <c r="AE504" i="1" a="1"/>
  <c r="AE504" i="1" s="1"/>
  <c r="AE505" i="1" a="1"/>
  <c r="AE505" i="1" s="1"/>
  <c r="AE506" i="1" a="1"/>
  <c r="AE506" i="1" s="1"/>
  <c r="AE507" i="1" a="1"/>
  <c r="AE507" i="1" s="1"/>
  <c r="AE508" i="1" a="1"/>
  <c r="AE508" i="1" s="1"/>
  <c r="AE509" i="1" a="1"/>
  <c r="AE509" i="1" s="1"/>
  <c r="AE510" i="1" a="1"/>
  <c r="AE510" i="1" s="1"/>
  <c r="AE511" i="1" a="1"/>
  <c r="AE511" i="1" s="1"/>
  <c r="AE512" i="1" a="1"/>
  <c r="AE512" i="1"/>
  <c r="AE513" i="1" a="1"/>
  <c r="AE513" i="1" s="1"/>
  <c r="AE514" i="1" a="1"/>
  <c r="AE514" i="1" s="1"/>
  <c r="AE515" i="1" a="1"/>
  <c r="AE515" i="1" s="1"/>
  <c r="AE516" i="1" a="1"/>
  <c r="AE516" i="1" s="1"/>
  <c r="AE517" i="1" a="1"/>
  <c r="AE517" i="1"/>
  <c r="AE518" i="1" a="1"/>
  <c r="AE518" i="1" s="1"/>
  <c r="AE519" i="1" a="1"/>
  <c r="AE519" i="1" s="1"/>
  <c r="AE520" i="1" a="1"/>
  <c r="AE520" i="1" s="1"/>
  <c r="AE521" i="1" a="1"/>
  <c r="AE521" i="1" s="1"/>
  <c r="AE522" i="1" a="1"/>
  <c r="AE522" i="1" s="1"/>
  <c r="AE523" i="1" a="1"/>
  <c r="AE523" i="1" s="1"/>
  <c r="AE524" i="1" a="1"/>
  <c r="AE524" i="1" s="1"/>
  <c r="AE525" i="1" a="1"/>
  <c r="AE525" i="1" s="1"/>
  <c r="AE526" i="1" a="1"/>
  <c r="AE526" i="1" s="1"/>
  <c r="AE527" i="1" a="1"/>
  <c r="AE527" i="1" s="1"/>
  <c r="AE528" i="1" a="1"/>
  <c r="AE528" i="1"/>
  <c r="AE529" i="1" a="1"/>
  <c r="AE529" i="1" s="1"/>
  <c r="AE530" i="1" a="1"/>
  <c r="AE530" i="1" s="1"/>
  <c r="AE531" i="1" a="1"/>
  <c r="AE531" i="1" s="1"/>
  <c r="AE532" i="1" a="1"/>
  <c r="AE532" i="1" s="1"/>
  <c r="AE533" i="1" a="1"/>
  <c r="AE533" i="1"/>
  <c r="AE534" i="1" a="1"/>
  <c r="AE534" i="1" s="1"/>
  <c r="AE535" i="1" a="1"/>
  <c r="AE535" i="1" s="1"/>
  <c r="AE536" i="1" a="1"/>
  <c r="AE536" i="1" s="1"/>
  <c r="AE537" i="1" a="1"/>
  <c r="AE537" i="1" s="1"/>
  <c r="AE538" i="1" a="1"/>
  <c r="AE538" i="1" s="1"/>
  <c r="AE539" i="1" a="1"/>
  <c r="AE539" i="1" s="1"/>
  <c r="AE540" i="1" a="1"/>
  <c r="AE540" i="1" s="1"/>
  <c r="AE541" i="1" a="1"/>
  <c r="AE541" i="1" s="1"/>
  <c r="AE542" i="1" a="1"/>
  <c r="AE542" i="1" s="1"/>
  <c r="AE543" i="1" a="1"/>
  <c r="AE543" i="1" s="1"/>
  <c r="AE544" i="1" a="1"/>
  <c r="AE544" i="1"/>
  <c r="AE545" i="1" a="1"/>
  <c r="AE545" i="1" s="1"/>
  <c r="AE546" i="1" a="1"/>
  <c r="AE546" i="1" s="1"/>
  <c r="AE547" i="1" a="1"/>
  <c r="AE547" i="1" s="1"/>
  <c r="AE548" i="1" a="1"/>
  <c r="AE548" i="1" s="1"/>
  <c r="AE549" i="1" a="1"/>
  <c r="AE549" i="1"/>
  <c r="AE550" i="1" a="1"/>
  <c r="AE550" i="1" s="1"/>
  <c r="AE551" i="1" a="1"/>
  <c r="AE551" i="1" s="1"/>
  <c r="AE552" i="1" a="1"/>
  <c r="AE552" i="1" s="1"/>
  <c r="AE553" i="1" a="1"/>
  <c r="AE553" i="1" s="1"/>
  <c r="AE554" i="1" a="1"/>
  <c r="AE554" i="1" s="1"/>
  <c r="AE555" i="1" a="1"/>
  <c r="AE555" i="1" s="1"/>
  <c r="AE556" i="1" a="1"/>
  <c r="AE556" i="1" s="1"/>
  <c r="AE557" i="1" a="1"/>
  <c r="AE557" i="1" s="1"/>
  <c r="AE558" i="1" a="1"/>
  <c r="AE558" i="1" s="1"/>
  <c r="AE559" i="1" a="1"/>
  <c r="AE559" i="1" s="1"/>
  <c r="AE560" i="1" a="1"/>
  <c r="AE560" i="1"/>
  <c r="AE561" i="1" a="1"/>
  <c r="AE561" i="1" s="1"/>
  <c r="AE562" i="1" a="1"/>
  <c r="AE562" i="1" s="1"/>
  <c r="AE563" i="1" a="1"/>
  <c r="AE563" i="1" s="1"/>
  <c r="AE564" i="1" a="1"/>
  <c r="AE564" i="1" s="1"/>
  <c r="AE565" i="1" a="1"/>
  <c r="AE565" i="1"/>
  <c r="AE566" i="1" a="1"/>
  <c r="AE566" i="1" s="1"/>
  <c r="AE567" i="1" a="1"/>
  <c r="AE567" i="1" s="1"/>
  <c r="AE568" i="1" a="1"/>
  <c r="AE568" i="1" s="1"/>
  <c r="AE569" i="1" a="1"/>
  <c r="AE569" i="1" s="1"/>
  <c r="AE570" i="1" a="1"/>
  <c r="AE570" i="1" s="1"/>
  <c r="AE571" i="1" a="1"/>
  <c r="AE571" i="1" s="1"/>
  <c r="AE572" i="1" a="1"/>
  <c r="AE572" i="1" s="1"/>
  <c r="AE573" i="1" a="1"/>
  <c r="AE573" i="1" s="1"/>
  <c r="AE574" i="1" a="1"/>
  <c r="AE574" i="1" s="1"/>
  <c r="AE575" i="1" a="1"/>
  <c r="AE575" i="1" s="1"/>
  <c r="AE576" i="1" a="1"/>
  <c r="AE576" i="1"/>
  <c r="AE577" i="1" a="1"/>
  <c r="AE577" i="1" s="1"/>
  <c r="AE578" i="1" a="1"/>
  <c r="AE578" i="1" s="1"/>
  <c r="AE579" i="1" a="1"/>
  <c r="AE579" i="1" s="1"/>
  <c r="AE580" i="1" a="1"/>
  <c r="AE580" i="1" s="1"/>
  <c r="AE581" i="1" a="1"/>
  <c r="AE581" i="1"/>
  <c r="AE582" i="1" a="1"/>
  <c r="AE582" i="1" s="1"/>
  <c r="AE583" i="1" a="1"/>
  <c r="AE583" i="1" s="1"/>
  <c r="AE584" i="1" a="1"/>
  <c r="AE584" i="1"/>
  <c r="AE585" i="1" a="1"/>
  <c r="AE585" i="1"/>
  <c r="AE586" i="1" a="1"/>
  <c r="AE586" i="1"/>
  <c r="AE587" i="1" a="1"/>
  <c r="AE587" i="1" s="1"/>
  <c r="AE588" i="1" a="1"/>
  <c r="AE588" i="1" s="1"/>
  <c r="AE589" i="1" a="1"/>
  <c r="AE589" i="1" s="1"/>
  <c r="AE590" i="1" a="1"/>
  <c r="AE590" i="1"/>
  <c r="AE591" i="1" a="1"/>
  <c r="AE591" i="1" s="1"/>
  <c r="AE592" i="1" a="1"/>
  <c r="AE592" i="1"/>
  <c r="AE593" i="1" a="1"/>
  <c r="AE593" i="1"/>
  <c r="AE594" i="1" a="1"/>
  <c r="AE594" i="1"/>
  <c r="AE595" i="1" a="1"/>
  <c r="AE595" i="1" s="1"/>
  <c r="AE596" i="1" a="1"/>
  <c r="AE596" i="1" s="1"/>
  <c r="AE597" i="1" a="1"/>
  <c r="AE597" i="1" s="1"/>
  <c r="AE598" i="1" a="1"/>
  <c r="AE598" i="1" s="1"/>
  <c r="AE599" i="1" a="1"/>
  <c r="AE599" i="1" s="1"/>
  <c r="AE600" i="1" a="1"/>
  <c r="AE600" i="1"/>
  <c r="AE601" i="1" a="1"/>
  <c r="AE601" i="1"/>
  <c r="AE602" i="1" a="1"/>
  <c r="AE602" i="1" s="1"/>
  <c r="AE603" i="1" a="1"/>
  <c r="AE603" i="1" s="1"/>
  <c r="AE604" i="1" a="1"/>
  <c r="AE604" i="1"/>
  <c r="AE605" i="1" a="1"/>
  <c r="AE605" i="1" s="1"/>
  <c r="AE606" i="1" a="1"/>
  <c r="AE606" i="1" s="1"/>
  <c r="AE607" i="1" a="1"/>
  <c r="AE607" i="1" s="1"/>
  <c r="AE608" i="1" a="1"/>
  <c r="AE608" i="1" s="1"/>
  <c r="AE609" i="1" a="1"/>
  <c r="AE609" i="1"/>
  <c r="AE610" i="1" a="1"/>
  <c r="AE610" i="1"/>
  <c r="AE611" i="1" a="1"/>
  <c r="AE611" i="1" s="1"/>
  <c r="AE612" i="1" a="1"/>
  <c r="AE612" i="1"/>
  <c r="AE613" i="1" a="1"/>
  <c r="AE613" i="1"/>
  <c r="AE614" i="1" a="1"/>
  <c r="AE614" i="1" s="1"/>
  <c r="AE615" i="1" a="1"/>
  <c r="AE615" i="1" s="1"/>
  <c r="AE616" i="1" a="1"/>
  <c r="AE616" i="1" s="1"/>
  <c r="AE617" i="1" a="1"/>
  <c r="AE617" i="1" s="1"/>
  <c r="AE618" i="1" a="1"/>
  <c r="AE618" i="1"/>
  <c r="AE619" i="1" a="1"/>
  <c r="AE619" i="1" s="1"/>
  <c r="AE620" i="1" a="1"/>
  <c r="AE620" i="1"/>
  <c r="AE621" i="1" a="1"/>
  <c r="AE621" i="1"/>
  <c r="AE622" i="1" a="1"/>
  <c r="AE622" i="1"/>
  <c r="AE623" i="1" a="1"/>
  <c r="AE623" i="1" s="1"/>
  <c r="AE624" i="1" a="1"/>
  <c r="AE624" i="1"/>
  <c r="AE625" i="1" a="1"/>
  <c r="AE625" i="1" s="1"/>
  <c r="AE626" i="1" a="1"/>
  <c r="AE626" i="1" s="1"/>
  <c r="AE627" i="1" a="1"/>
  <c r="AE627" i="1" s="1"/>
  <c r="AE628" i="1" a="1"/>
  <c r="AE628" i="1" s="1"/>
  <c r="AE629" i="1" a="1"/>
  <c r="AE629" i="1"/>
  <c r="AE630" i="1" a="1"/>
  <c r="AE630" i="1"/>
  <c r="AE631" i="1" a="1"/>
  <c r="AE631" i="1" s="1"/>
  <c r="AE632" i="1" a="1"/>
  <c r="AE632" i="1"/>
  <c r="AE633" i="1" a="1"/>
  <c r="AE633" i="1"/>
  <c r="AE634" i="1" a="1"/>
  <c r="AE634" i="1" s="1"/>
  <c r="AE635" i="1" a="1"/>
  <c r="AE635" i="1" s="1"/>
  <c r="AE636" i="1" a="1"/>
  <c r="AE636" i="1"/>
  <c r="AE637" i="1" a="1"/>
  <c r="AE637" i="1" s="1"/>
  <c r="AE638" i="1" a="1"/>
  <c r="AE638" i="1"/>
  <c r="AE639" i="1" a="1"/>
  <c r="AE639" i="1" s="1"/>
  <c r="AE640" i="1" a="1"/>
  <c r="AE640" i="1" s="1"/>
  <c r="AE641" i="1" a="1"/>
  <c r="AE641" i="1"/>
  <c r="AE642" i="1" a="1"/>
  <c r="AE642" i="1"/>
  <c r="AE643" i="1" a="1"/>
  <c r="AE643" i="1" s="1"/>
  <c r="AE644" i="1" a="1"/>
  <c r="AE644" i="1"/>
  <c r="AE645" i="1" a="1"/>
  <c r="AE645" i="1"/>
  <c r="AE646" i="1" a="1"/>
  <c r="AE646" i="1" s="1"/>
  <c r="AE647" i="1" a="1"/>
  <c r="AE647" i="1" s="1"/>
  <c r="AE648" i="1" a="1"/>
  <c r="AE648" i="1" s="1"/>
  <c r="AE649" i="1" a="1"/>
  <c r="AE649" i="1" s="1"/>
  <c r="AE650" i="1" a="1"/>
  <c r="AE650" i="1"/>
  <c r="AE651" i="1" a="1"/>
  <c r="AE651" i="1" s="1"/>
  <c r="AE652" i="1" a="1"/>
  <c r="AE652" i="1"/>
  <c r="AE653" i="1" a="1"/>
  <c r="AE653" i="1"/>
  <c r="AE654" i="1" a="1"/>
  <c r="AE654" i="1"/>
  <c r="AE655" i="1" a="1"/>
  <c r="AE655" i="1" s="1"/>
  <c r="AE656" i="1" a="1"/>
  <c r="AE656" i="1"/>
  <c r="AE657" i="1" a="1"/>
  <c r="AE657" i="1" s="1"/>
  <c r="AE658" i="1" a="1"/>
  <c r="AE658" i="1" s="1"/>
  <c r="AE659" i="1" a="1"/>
  <c r="AE659" i="1" s="1"/>
  <c r="AE660" i="1" a="1"/>
  <c r="AE660" i="1" s="1"/>
  <c r="AE661" i="1" a="1"/>
  <c r="AE661" i="1"/>
  <c r="AE662" i="1" a="1"/>
  <c r="AE662" i="1" s="1"/>
  <c r="AE663" i="1" a="1"/>
  <c r="AE663" i="1" s="1"/>
  <c r="AE664" i="1" a="1"/>
  <c r="AE664" i="1"/>
  <c r="AE665" i="1" a="1"/>
  <c r="AE665" i="1"/>
  <c r="AE666" i="1" a="1"/>
  <c r="AE666" i="1"/>
  <c r="AE667" i="1" a="1"/>
  <c r="AE667" i="1" s="1"/>
  <c r="AE668" i="1" a="1"/>
  <c r="AE668" i="1"/>
  <c r="AE669" i="1" a="1"/>
  <c r="AE669" i="1" s="1"/>
  <c r="AE670" i="1" a="1"/>
  <c r="AE670" i="1"/>
  <c r="AE671" i="1" a="1"/>
  <c r="AE671" i="1" s="1"/>
  <c r="AE672" i="1" a="1"/>
  <c r="AE672" i="1" s="1"/>
  <c r="AE673" i="1" a="1"/>
  <c r="AE673" i="1"/>
  <c r="AE674" i="1" a="1"/>
  <c r="AE674" i="1"/>
  <c r="AE675" i="1" a="1"/>
  <c r="AE675" i="1" s="1"/>
  <c r="AE676" i="1" a="1"/>
  <c r="AE676" i="1"/>
  <c r="AE677" i="1" a="1"/>
  <c r="AE677" i="1"/>
  <c r="AE678" i="1" a="1"/>
  <c r="AE678" i="1" s="1"/>
  <c r="AE679" i="1" a="1"/>
  <c r="AE679" i="1" s="1"/>
  <c r="AE680" i="1" a="1"/>
  <c r="AE680" i="1"/>
  <c r="AE681" i="1" a="1"/>
  <c r="AE681" i="1" s="1"/>
  <c r="AE682" i="1" a="1"/>
  <c r="AE682" i="1"/>
  <c r="AE683" i="1" a="1"/>
  <c r="AE683" i="1" s="1"/>
  <c r="AE684" i="1" a="1"/>
  <c r="AE684" i="1"/>
  <c r="AE685" i="1" a="1"/>
  <c r="AE685" i="1"/>
  <c r="AE686" i="1" a="1"/>
  <c r="AE686" i="1"/>
  <c r="AE687" i="1" a="1"/>
  <c r="AE687" i="1" s="1"/>
  <c r="AE688" i="1" a="1"/>
  <c r="AE688" i="1"/>
  <c r="AE689" i="1" a="1"/>
  <c r="AE689" i="1"/>
  <c r="AE690" i="1" a="1"/>
  <c r="AE690" i="1" s="1"/>
  <c r="AE691" i="1" a="1"/>
  <c r="AE691" i="1" s="1"/>
  <c r="AE692" i="1" a="1"/>
  <c r="AE692" i="1" s="1"/>
  <c r="AE693" i="1" a="1"/>
  <c r="AE693" i="1"/>
  <c r="AE694" i="1" a="1"/>
  <c r="AE694" i="1"/>
  <c r="AE695" i="1" a="1"/>
  <c r="AE695" i="1" s="1"/>
  <c r="AE696" i="1" a="1"/>
  <c r="AE696" i="1"/>
  <c r="AE697" i="1" a="1"/>
  <c r="AE697" i="1"/>
  <c r="AE698" i="1" a="1"/>
  <c r="AE698" i="1"/>
  <c r="AE699" i="1" a="1"/>
  <c r="AE699" i="1" s="1"/>
  <c r="AE700" i="1" a="1"/>
  <c r="AE700" i="1"/>
  <c r="AE701" i="1" a="1"/>
  <c r="AE701" i="1" s="1"/>
  <c r="AE702" i="1" a="1"/>
  <c r="AE702" i="1"/>
  <c r="AE703" i="1" a="1"/>
  <c r="AE703" i="1" s="1"/>
  <c r="AE704" i="1" a="1"/>
  <c r="AE704" i="1" s="1"/>
  <c r="AE705" i="1" a="1"/>
  <c r="AE705" i="1"/>
  <c r="AE706" i="1" a="1"/>
  <c r="AE706" i="1"/>
  <c r="AE707" i="1" a="1"/>
  <c r="AE707" i="1" s="1"/>
  <c r="AE708" i="1" a="1"/>
  <c r="AE708" i="1"/>
  <c r="AE709" i="1" a="1"/>
  <c r="AE709" i="1"/>
  <c r="AE710" i="1" a="1"/>
  <c r="AE710" i="1" s="1"/>
  <c r="AE711" i="1" a="1"/>
  <c r="AE711" i="1" s="1"/>
  <c r="AE712" i="1" a="1"/>
  <c r="AE712" i="1"/>
  <c r="AE713" i="1" a="1"/>
  <c r="AE713" i="1" s="1"/>
  <c r="AE714" i="1" a="1"/>
  <c r="AE714" i="1"/>
  <c r="AE715" i="1" a="1"/>
  <c r="AE715" i="1" s="1"/>
  <c r="AE716" i="1" a="1"/>
  <c r="AE716" i="1"/>
  <c r="AE717" i="1" a="1"/>
  <c r="AE717" i="1"/>
  <c r="AE718" i="1" a="1"/>
  <c r="AE718" i="1"/>
  <c r="AE719" i="1" a="1"/>
  <c r="AE719" i="1" s="1"/>
  <c r="AE720" i="1" a="1"/>
  <c r="AE720" i="1"/>
  <c r="AE721" i="1" a="1"/>
  <c r="AE721" i="1"/>
  <c r="AE722" i="1" a="1"/>
  <c r="AE722" i="1" s="1"/>
  <c r="AE723" i="1" a="1"/>
  <c r="AE723" i="1" s="1"/>
  <c r="AE724" i="1" a="1"/>
  <c r="AE724" i="1"/>
  <c r="AE725" i="1" a="1"/>
  <c r="AE725" i="1"/>
  <c r="AE726" i="1" a="1"/>
  <c r="AE726" i="1"/>
  <c r="AE727" i="1" a="1"/>
  <c r="AE727" i="1" s="1"/>
  <c r="AE728" i="1" a="1"/>
  <c r="AE728" i="1"/>
  <c r="AE729" i="1" a="1"/>
  <c r="AE729" i="1"/>
  <c r="AE730" i="1" a="1"/>
  <c r="AE730" i="1"/>
  <c r="AE731" i="1" a="1"/>
  <c r="AE731" i="1" s="1"/>
  <c r="AE732" i="1" a="1"/>
  <c r="AE732" i="1"/>
  <c r="AE733" i="1" a="1"/>
  <c r="AE733" i="1"/>
  <c r="AE734" i="1" a="1"/>
  <c r="AE734" i="1"/>
  <c r="AE735" i="1" a="1"/>
  <c r="AE735" i="1" s="1"/>
  <c r="AE736" i="1" a="1"/>
  <c r="AE736" i="1" s="1"/>
  <c r="AE737" i="1" a="1"/>
  <c r="AE737" i="1"/>
  <c r="AE738" i="1" a="1"/>
  <c r="AE738" i="1"/>
  <c r="AE739" i="1" a="1"/>
  <c r="AE739" i="1" s="1"/>
  <c r="AE740" i="1" a="1"/>
  <c r="AE740" i="1"/>
  <c r="AE741" i="1" a="1"/>
  <c r="AE741" i="1"/>
  <c r="AE742" i="1" a="1"/>
  <c r="AE742" i="1"/>
  <c r="AE743" i="1" a="1"/>
  <c r="AE743" i="1" s="1"/>
  <c r="AE744" i="1" a="1"/>
  <c r="AE744" i="1"/>
  <c r="AE745" i="1" a="1"/>
  <c r="AE745" i="1" s="1"/>
  <c r="AE746" i="1" a="1"/>
  <c r="AE746" i="1"/>
  <c r="AE747" i="1" a="1"/>
  <c r="AE747" i="1" s="1"/>
  <c r="AE748" i="1" a="1"/>
  <c r="AE748" i="1"/>
  <c r="AE749" i="1" a="1"/>
  <c r="AE749" i="1"/>
  <c r="AE750" i="1" a="1"/>
  <c r="AE750" i="1"/>
  <c r="AE751" i="1" a="1"/>
  <c r="AE751" i="1" s="1"/>
  <c r="AE752" i="1" a="1"/>
  <c r="AE752" i="1"/>
  <c r="AE753" i="1" a="1"/>
  <c r="AE753" i="1"/>
  <c r="AE754" i="1" a="1"/>
  <c r="AE754" i="1" s="1"/>
  <c r="AE755" i="1" a="1"/>
  <c r="AE755" i="1" s="1"/>
  <c r="AE756" i="1" a="1"/>
  <c r="AE756" i="1"/>
  <c r="AE757" i="1" a="1"/>
  <c r="AE757" i="1"/>
  <c r="AE758" i="1" a="1"/>
  <c r="AE758" i="1"/>
  <c r="AE759" i="1" a="1"/>
  <c r="AE759" i="1" s="1"/>
  <c r="AE760" i="1" a="1"/>
  <c r="AE760" i="1"/>
  <c r="AE761" i="1" a="1"/>
  <c r="AE761" i="1"/>
  <c r="AE762" i="1" a="1"/>
  <c r="AE762" i="1"/>
  <c r="AE763" i="1" a="1"/>
  <c r="AE763" i="1" s="1"/>
  <c r="AE764" i="1" a="1"/>
  <c r="AE764" i="1"/>
  <c r="AE765" i="1" a="1"/>
  <c r="AE765" i="1"/>
  <c r="AE766" i="1" a="1"/>
  <c r="AE766" i="1"/>
  <c r="AE767" i="1" a="1"/>
  <c r="AE767" i="1" s="1"/>
  <c r="AE768" i="1" a="1"/>
  <c r="AE768" i="1" s="1"/>
  <c r="AE769" i="1" a="1"/>
  <c r="AE769" i="1"/>
  <c r="AE770" i="1" a="1"/>
  <c r="AE770" i="1"/>
  <c r="AE771" i="1" a="1"/>
  <c r="AE771" i="1" s="1"/>
  <c r="AE772" i="1" a="1"/>
  <c r="AE772" i="1"/>
  <c r="AE773" i="1" a="1"/>
  <c r="AE773" i="1"/>
  <c r="AE774" i="1" a="1"/>
  <c r="AE774" i="1"/>
  <c r="AE775" i="1" a="1"/>
  <c r="AE775" i="1" s="1"/>
  <c r="AE776" i="1" a="1"/>
  <c r="AE776" i="1"/>
  <c r="AE777" i="1" a="1"/>
  <c r="AE777" i="1" s="1"/>
  <c r="AE778" i="1" a="1"/>
  <c r="AE778" i="1"/>
  <c r="AE779" i="1" a="1"/>
  <c r="AE779" i="1" s="1"/>
  <c r="AE780" i="1" a="1"/>
  <c r="AE780" i="1"/>
  <c r="AE781" i="1" a="1"/>
  <c r="AE781" i="1"/>
  <c r="AE782" i="1" a="1"/>
  <c r="AE782" i="1"/>
  <c r="AE783" i="1" a="1"/>
  <c r="AE783" i="1" s="1"/>
  <c r="AE784" i="1" a="1"/>
  <c r="AE784" i="1"/>
  <c r="AE785" i="1" a="1"/>
  <c r="AE785" i="1"/>
  <c r="AE786" i="1" a="1"/>
  <c r="AE786" i="1" s="1"/>
  <c r="AE787" i="1" a="1"/>
  <c r="AE787" i="1" s="1"/>
  <c r="AE788" i="1" a="1"/>
  <c r="AE788" i="1"/>
  <c r="AE789" i="1" a="1"/>
  <c r="AE789" i="1"/>
  <c r="AE790" i="1" a="1"/>
  <c r="AE790" i="1"/>
  <c r="AE791" i="1" a="1"/>
  <c r="AE791" i="1" s="1"/>
  <c r="AE792" i="1" a="1"/>
  <c r="AE792" i="1"/>
  <c r="AE793" i="1" a="1"/>
  <c r="AE793" i="1"/>
  <c r="AE794" i="1" a="1"/>
  <c r="AE794" i="1"/>
  <c r="AE795" i="1" a="1"/>
  <c r="AE795" i="1" s="1"/>
  <c r="AE796" i="1" a="1"/>
  <c r="AE796" i="1"/>
  <c r="AE797" i="1" a="1"/>
  <c r="AE797" i="1"/>
  <c r="AE798" i="1" a="1"/>
  <c r="AE798" i="1"/>
  <c r="AE799" i="1" a="1"/>
  <c r="AE799" i="1" s="1"/>
  <c r="AE800" i="1" a="1"/>
  <c r="AE800" i="1" s="1"/>
  <c r="AE801" i="1" a="1"/>
  <c r="AE801" i="1"/>
  <c r="AE802" i="1" a="1"/>
  <c r="AE802" i="1"/>
  <c r="AE803" i="1" a="1"/>
  <c r="AE803" i="1" s="1"/>
  <c r="AE804" i="1" a="1"/>
  <c r="AE804" i="1"/>
  <c r="AE805" i="1" a="1"/>
  <c r="AE805" i="1"/>
  <c r="AE806" i="1" a="1"/>
  <c r="AE806" i="1"/>
  <c r="AE807" i="1" a="1"/>
  <c r="AE807" i="1" s="1"/>
  <c r="AE808" i="1" a="1"/>
  <c r="AE808" i="1"/>
  <c r="AE809" i="1" a="1"/>
  <c r="AE809" i="1" s="1"/>
  <c r="AE810" i="1" a="1"/>
  <c r="AE810" i="1"/>
  <c r="AE811" i="1" a="1"/>
  <c r="AE811" i="1" s="1"/>
  <c r="AE812" i="1" a="1"/>
  <c r="AE812" i="1"/>
  <c r="AE813" i="1" a="1"/>
  <c r="AE813" i="1"/>
  <c r="AE814" i="1" a="1"/>
  <c r="AE814" i="1"/>
  <c r="AE815" i="1" a="1"/>
  <c r="AE815" i="1" s="1"/>
  <c r="AE816" i="1" a="1"/>
  <c r="AE816" i="1"/>
  <c r="AE817" i="1" a="1"/>
  <c r="AE817" i="1"/>
  <c r="AE818" i="1" a="1"/>
  <c r="AE818" i="1" s="1"/>
  <c r="AE819" i="1" a="1"/>
  <c r="AE819" i="1" s="1"/>
  <c r="AE820" i="1" a="1"/>
  <c r="AE820" i="1"/>
  <c r="AE821" i="1" a="1"/>
  <c r="AE821" i="1"/>
  <c r="AE822" i="1" a="1"/>
  <c r="AE822" i="1"/>
  <c r="AE823" i="1" a="1"/>
  <c r="AE823" i="1" s="1"/>
  <c r="AE824" i="1" a="1"/>
  <c r="AE824" i="1"/>
  <c r="AE825" i="1" a="1"/>
  <c r="AE825" i="1"/>
  <c r="AE826" i="1" a="1"/>
  <c r="AE826" i="1"/>
  <c r="AE827" i="1" a="1"/>
  <c r="AE827" i="1" s="1"/>
  <c r="AE828" i="1" a="1"/>
  <c r="AE828" i="1"/>
  <c r="AE829" i="1" a="1"/>
  <c r="AE829" i="1"/>
  <c r="AE830" i="1" a="1"/>
  <c r="AE830" i="1"/>
  <c r="AE831" i="1" a="1"/>
  <c r="AE831" i="1" s="1"/>
  <c r="AE832" i="1" a="1"/>
  <c r="AE832" i="1" s="1"/>
  <c r="AE833" i="1" a="1"/>
  <c r="AE833" i="1"/>
  <c r="AE834" i="1" a="1"/>
  <c r="AE834" i="1"/>
  <c r="AE835" i="1" a="1"/>
  <c r="AE835" i="1" s="1"/>
  <c r="AE836" i="1" a="1"/>
  <c r="AE836" i="1"/>
  <c r="AE837" i="1" a="1"/>
  <c r="AE837" i="1"/>
  <c r="AE838" i="1" a="1"/>
  <c r="AE838" i="1"/>
  <c r="AE839" i="1" a="1"/>
  <c r="AE839" i="1" s="1"/>
  <c r="AE840" i="1" a="1"/>
  <c r="AE840" i="1"/>
  <c r="AE841" i="1" a="1"/>
  <c r="AE841" i="1" s="1"/>
  <c r="AE842" i="1" a="1"/>
  <c r="AE842" i="1"/>
  <c r="AE843" i="1" a="1"/>
  <c r="AE843" i="1" s="1"/>
  <c r="AE844" i="1" a="1"/>
  <c r="AE844" i="1"/>
  <c r="AE845" i="1" a="1"/>
  <c r="AE845" i="1"/>
  <c r="AE846" i="1" a="1"/>
  <c r="AE846" i="1"/>
  <c r="AE847" i="1" a="1"/>
  <c r="AE847" i="1" s="1"/>
  <c r="AE848" i="1" a="1"/>
  <c r="AE848" i="1"/>
  <c r="AE849" i="1" a="1"/>
  <c r="AE849" i="1"/>
  <c r="AE850" i="1" a="1"/>
  <c r="AE850" i="1" s="1"/>
  <c r="AE851" i="1" a="1"/>
  <c r="AE851" i="1" s="1"/>
  <c r="AE852" i="1" a="1"/>
  <c r="AE852" i="1"/>
  <c r="AE853" i="1" a="1"/>
  <c r="AE853" i="1"/>
  <c r="AE854" i="1" a="1"/>
  <c r="AE854" i="1"/>
  <c r="AE855" i="1" a="1"/>
  <c r="AE855" i="1" s="1"/>
  <c r="AE856" i="1" a="1"/>
  <c r="AE856" i="1"/>
  <c r="AE857" i="1" a="1"/>
  <c r="AE857" i="1"/>
  <c r="AE858" i="1" a="1"/>
  <c r="AE858" i="1"/>
  <c r="AE859" i="1" a="1"/>
  <c r="AE859" i="1" s="1"/>
  <c r="AE860" i="1" a="1"/>
  <c r="AE860" i="1"/>
  <c r="AE861" i="1" a="1"/>
  <c r="AE861" i="1"/>
  <c r="AE862" i="1" a="1"/>
  <c r="AE862" i="1"/>
  <c r="AE863" i="1" a="1"/>
  <c r="AE863" i="1" s="1"/>
  <c r="AE864" i="1" a="1"/>
  <c r="AE864" i="1"/>
  <c r="AE865" i="1" a="1"/>
  <c r="AE865" i="1"/>
  <c r="AE866" i="1" a="1"/>
  <c r="AE866" i="1"/>
  <c r="AE867" i="1" a="1"/>
  <c r="AE867" i="1" s="1"/>
  <c r="AE868" i="1" a="1"/>
  <c r="AE868" i="1"/>
  <c r="AE869" i="1" a="1"/>
  <c r="AE869" i="1"/>
  <c r="AE870" i="1" a="1"/>
  <c r="AE870" i="1"/>
  <c r="AE871" i="1" a="1"/>
  <c r="AE871" i="1" s="1"/>
  <c r="AE872" i="1" a="1"/>
  <c r="AE872" i="1"/>
  <c r="AE873" i="1" a="1"/>
  <c r="AE873" i="1"/>
  <c r="AE874" i="1" a="1"/>
  <c r="AE874" i="1"/>
  <c r="AE875" i="1" a="1"/>
  <c r="AE875" i="1" s="1"/>
  <c r="AE876" i="1" a="1"/>
  <c r="AE876" i="1"/>
  <c r="AE877" i="1" a="1"/>
  <c r="AE877" i="1"/>
  <c r="AE878" i="1" a="1"/>
  <c r="AE878" i="1"/>
  <c r="AE879" i="1" a="1"/>
  <c r="AE879" i="1" s="1"/>
  <c r="AE880" i="1" a="1"/>
  <c r="AE880" i="1"/>
  <c r="AE881" i="1" a="1"/>
  <c r="AE881" i="1"/>
  <c r="AE882" i="1" a="1"/>
  <c r="AE882" i="1"/>
  <c r="AE883" i="1" a="1"/>
  <c r="AE883" i="1" s="1"/>
  <c r="AE884" i="1" a="1"/>
  <c r="AE884" i="1"/>
  <c r="AE885" i="1" a="1"/>
  <c r="AE885" i="1"/>
  <c r="AE886" i="1" a="1"/>
  <c r="AE886" i="1"/>
  <c r="AE887" i="1" a="1"/>
  <c r="AE887" i="1" s="1"/>
  <c r="AE888" i="1" a="1"/>
  <c r="AE888" i="1"/>
  <c r="AE889" i="1" a="1"/>
  <c r="AE889" i="1"/>
  <c r="AE890" i="1" a="1"/>
  <c r="AE890" i="1"/>
  <c r="AE891" i="1" a="1"/>
  <c r="AE891" i="1" s="1"/>
  <c r="AE892" i="1" a="1"/>
  <c r="AE892" i="1"/>
  <c r="AE893" i="1" a="1"/>
  <c r="AE893" i="1"/>
  <c r="AE894" i="1" a="1"/>
  <c r="AE894" i="1"/>
  <c r="AE895" i="1" a="1"/>
  <c r="AE895" i="1" s="1"/>
  <c r="AE896" i="1" a="1"/>
  <c r="AE896" i="1"/>
  <c r="AE897" i="1" a="1"/>
  <c r="AE897" i="1"/>
  <c r="AE898" i="1" a="1"/>
  <c r="AE898" i="1"/>
  <c r="AE899" i="1" a="1"/>
  <c r="AE899" i="1" s="1"/>
  <c r="AE900" i="1" a="1"/>
  <c r="AE900" i="1"/>
  <c r="AE901" i="1" a="1"/>
  <c r="AE901" i="1"/>
  <c r="AE902" i="1" a="1"/>
  <c r="AE902" i="1"/>
  <c r="AE903" i="1" a="1"/>
  <c r="AE903" i="1" s="1"/>
  <c r="AE904" i="1" a="1"/>
  <c r="AE904" i="1"/>
  <c r="AE905" i="1" a="1"/>
  <c r="AE905" i="1"/>
  <c r="AE906" i="1" a="1"/>
  <c r="AE906" i="1"/>
  <c r="AE907" i="1" a="1"/>
  <c r="AE907" i="1" s="1"/>
  <c r="AE908" i="1" a="1"/>
  <c r="AE908" i="1"/>
  <c r="AE909" i="1" a="1"/>
  <c r="AE909" i="1"/>
  <c r="AE910" i="1" a="1"/>
  <c r="AE910" i="1"/>
  <c r="AE911" i="1" a="1"/>
  <c r="AE911" i="1" s="1"/>
  <c r="AE912" i="1" a="1"/>
  <c r="AE912" i="1"/>
  <c r="AE913" i="1" a="1"/>
  <c r="AE913" i="1"/>
  <c r="AE914" i="1" a="1"/>
  <c r="AE914" i="1"/>
  <c r="AE915" i="1" a="1"/>
  <c r="AE915" i="1" s="1"/>
  <c r="AE916" i="1" a="1"/>
  <c r="AE916" i="1"/>
  <c r="AE917" i="1" a="1"/>
  <c r="AE917" i="1"/>
  <c r="AE918" i="1" a="1"/>
  <c r="AE918" i="1"/>
  <c r="AE919" i="1" a="1"/>
  <c r="AE919" i="1" s="1"/>
  <c r="AE920" i="1" a="1"/>
  <c r="AE920" i="1"/>
  <c r="AE921" i="1" a="1"/>
  <c r="AE921" i="1"/>
  <c r="AE922" i="1" a="1"/>
  <c r="AE922" i="1"/>
  <c r="AE923" i="1" a="1"/>
  <c r="AE923" i="1" s="1"/>
  <c r="AE924" i="1" a="1"/>
  <c r="AE924" i="1"/>
  <c r="AE925" i="1" a="1"/>
  <c r="AE925" i="1"/>
  <c r="AE926" i="1" a="1"/>
  <c r="AE926" i="1"/>
  <c r="AE927" i="1" a="1"/>
  <c r="AE927" i="1" s="1"/>
  <c r="AE928" i="1" a="1"/>
  <c r="AE928" i="1"/>
  <c r="AE929" i="1" a="1"/>
  <c r="AE929" i="1"/>
  <c r="AE930" i="1" a="1"/>
  <c r="AE930" i="1"/>
  <c r="AE931" i="1" a="1"/>
  <c r="AE931" i="1" s="1"/>
  <c r="AE932" i="1" a="1"/>
  <c r="AE932" i="1"/>
  <c r="AE933" i="1" a="1"/>
  <c r="AE933" i="1"/>
  <c r="AE934" i="1" a="1"/>
  <c r="AE934" i="1"/>
  <c r="AE935" i="1" a="1"/>
  <c r="AE935" i="1" s="1"/>
  <c r="AE936" i="1" a="1"/>
  <c r="AE936" i="1"/>
  <c r="AE937" i="1" a="1"/>
  <c r="AE937" i="1"/>
  <c r="AE938" i="1" a="1"/>
  <c r="AE938" i="1"/>
  <c r="AE939" i="1" a="1"/>
  <c r="AE939" i="1" s="1"/>
  <c r="AE940" i="1" a="1"/>
  <c r="AE940" i="1"/>
  <c r="AE941" i="1" a="1"/>
  <c r="AE941" i="1"/>
  <c r="AE942" i="1" a="1"/>
  <c r="AE942" i="1"/>
  <c r="AE943" i="1" a="1"/>
  <c r="AE943" i="1" s="1"/>
  <c r="AE944" i="1" a="1"/>
  <c r="AE944" i="1"/>
  <c r="AE945" i="1" a="1"/>
  <c r="AE945" i="1"/>
  <c r="AE946" i="1" a="1"/>
  <c r="AE946" i="1"/>
  <c r="AE947" i="1" a="1"/>
  <c r="AE947" i="1" s="1"/>
  <c r="AE948" i="1" a="1"/>
  <c r="AE948" i="1"/>
  <c r="AE949" i="1" a="1"/>
  <c r="AE949" i="1"/>
  <c r="AE950" i="1" a="1"/>
  <c r="AE950" i="1"/>
  <c r="AE951" i="1" a="1"/>
  <c r="AE951" i="1" s="1"/>
  <c r="AE952" i="1" a="1"/>
  <c r="AE952" i="1"/>
  <c r="AE953" i="1" a="1"/>
  <c r="AE953" i="1"/>
  <c r="AE954" i="1" a="1"/>
  <c r="AE954" i="1" s="1"/>
  <c r="AE955" i="1" a="1"/>
  <c r="AE955" i="1" s="1"/>
  <c r="AE956" i="1" a="1"/>
  <c r="AE956" i="1"/>
  <c r="AE957" i="1" a="1"/>
  <c r="AE957" i="1"/>
  <c r="AE958" i="1" a="1"/>
  <c r="AE958" i="1"/>
  <c r="AE959" i="1" a="1"/>
  <c r="AE959" i="1" s="1"/>
  <c r="AE960" i="1" a="1"/>
  <c r="AE960" i="1"/>
  <c r="AE961" i="1" a="1"/>
  <c r="AE961" i="1"/>
  <c r="AE962" i="1" a="1"/>
  <c r="AE962" i="1"/>
  <c r="AE963" i="1" a="1"/>
  <c r="AE963" i="1" s="1"/>
  <c r="AE964" i="1" a="1"/>
  <c r="AE964" i="1"/>
  <c r="AE965" i="1" a="1"/>
  <c r="AE965" i="1"/>
  <c r="AE966" i="1" a="1"/>
  <c r="AE966" i="1"/>
  <c r="AE967" i="1" a="1"/>
  <c r="AE967" i="1" s="1"/>
  <c r="AE968" i="1" a="1"/>
  <c r="AE968" i="1"/>
  <c r="AE969" i="1" a="1"/>
  <c r="AE969" i="1"/>
  <c r="AE970" i="1" a="1"/>
  <c r="AE970" i="1"/>
  <c r="AE971" i="1" a="1"/>
  <c r="AE971" i="1" s="1"/>
  <c r="AE972" i="1" a="1"/>
  <c r="AE972" i="1"/>
  <c r="AE973" i="1" a="1"/>
  <c r="AE973" i="1"/>
  <c r="AE974" i="1" a="1"/>
  <c r="AE974" i="1"/>
  <c r="AE975" i="1" a="1"/>
  <c r="AE975" i="1" s="1"/>
  <c r="AE976" i="1" a="1"/>
  <c r="AE976" i="1"/>
  <c r="AE977" i="1" a="1"/>
  <c r="AE977" i="1"/>
  <c r="AE978" i="1" a="1"/>
  <c r="AE978" i="1"/>
  <c r="AE979" i="1" a="1"/>
  <c r="AE979" i="1" s="1"/>
  <c r="AE980" i="1" a="1"/>
  <c r="AE980" i="1"/>
  <c r="AE981" i="1" a="1"/>
  <c r="AE981" i="1"/>
  <c r="AE982" i="1" a="1"/>
  <c r="AE982" i="1"/>
  <c r="AE983" i="1" a="1"/>
  <c r="AE983" i="1" s="1"/>
  <c r="AE984" i="1" a="1"/>
  <c r="AE984" i="1"/>
  <c r="AE985" i="1" a="1"/>
  <c r="AE985" i="1"/>
  <c r="AE986" i="1" a="1"/>
  <c r="AE986" i="1"/>
  <c r="AE987" i="1" a="1"/>
  <c r="AE987" i="1" s="1"/>
  <c r="AE988" i="1" a="1"/>
  <c r="AE988" i="1"/>
  <c r="AE989" i="1" a="1"/>
  <c r="AE989" i="1"/>
  <c r="AE990" i="1" a="1"/>
  <c r="AE990" i="1"/>
  <c r="AE991" i="1" a="1"/>
  <c r="AE991" i="1" s="1"/>
  <c r="AE992" i="1" a="1"/>
  <c r="AE992" i="1"/>
  <c r="AE993" i="1" a="1"/>
  <c r="AE993" i="1"/>
  <c r="AE994" i="1" a="1"/>
  <c r="AE994" i="1"/>
  <c r="AE995" i="1" a="1"/>
  <c r="AE995" i="1" s="1"/>
  <c r="AE996" i="1" a="1"/>
  <c r="AE996" i="1"/>
  <c r="AE997" i="1" a="1"/>
  <c r="AE997" i="1"/>
  <c r="AE998" i="1" a="1"/>
  <c r="AE998" i="1"/>
  <c r="AE999" i="1" a="1"/>
  <c r="AE999" i="1" s="1"/>
  <c r="AE1000" i="1" a="1"/>
  <c r="AE1000" i="1"/>
  <c r="AE1001" i="1" a="1"/>
  <c r="AE1001" i="1"/>
  <c r="AE1002" i="1" a="1"/>
  <c r="AE1002" i="1"/>
  <c r="AE1003" i="1" a="1"/>
  <c r="AE1003" i="1" s="1"/>
  <c r="AE1004" i="1" a="1"/>
  <c r="AE1004" i="1"/>
  <c r="AE1005" i="1" a="1"/>
  <c r="AE1005" i="1"/>
  <c r="AE1006" i="1" a="1"/>
  <c r="AE1006" i="1"/>
  <c r="AE1007" i="1" a="1"/>
  <c r="AE1007" i="1" s="1"/>
  <c r="AE1008" i="1" a="1"/>
  <c r="AE1008" i="1"/>
  <c r="AE1009" i="1" a="1"/>
  <c r="AE1009" i="1"/>
  <c r="AE1010" i="1" a="1"/>
  <c r="AE1010" i="1"/>
  <c r="AE1011" i="1" a="1"/>
  <c r="AE1011" i="1" s="1"/>
  <c r="AE1012" i="1" a="1"/>
  <c r="AE1012" i="1"/>
  <c r="AE1013" i="1" a="1"/>
  <c r="AE1013" i="1"/>
  <c r="AE1014" i="1" a="1"/>
  <c r="AE1014" i="1"/>
  <c r="AE1015" i="1" a="1"/>
  <c r="AE1015" i="1" s="1"/>
  <c r="AE1016" i="1" a="1"/>
  <c r="AE1016" i="1"/>
  <c r="AE1017" i="1" a="1"/>
  <c r="AE1017" i="1"/>
  <c r="AE1018" i="1" a="1"/>
  <c r="AE1018" i="1"/>
  <c r="AE1019" i="1" a="1"/>
  <c r="AE1019" i="1" s="1"/>
  <c r="AE1020" i="1" a="1"/>
  <c r="AE1020" i="1"/>
  <c r="AE1021" i="1" a="1"/>
  <c r="AE1021" i="1"/>
  <c r="AE1022" i="1" a="1"/>
  <c r="AE1022" i="1"/>
  <c r="AE1023" i="1" a="1"/>
  <c r="AE1023" i="1" s="1"/>
  <c r="AE1024" i="1" a="1"/>
  <c r="AE1024" i="1"/>
  <c r="AE1025" i="1" a="1"/>
  <c r="AE1025" i="1"/>
  <c r="AE1026" i="1" a="1"/>
  <c r="AE1026" i="1"/>
  <c r="AE1027" i="1" a="1"/>
  <c r="AE1027" i="1" s="1"/>
  <c r="AE1028" i="1" a="1"/>
  <c r="AE1028" i="1"/>
  <c r="AE1029" i="1" a="1"/>
  <c r="AE1029" i="1"/>
  <c r="AE1030" i="1" a="1"/>
  <c r="AE1030" i="1"/>
  <c r="AE1031" i="1" a="1"/>
  <c r="AE1031" i="1" s="1"/>
  <c r="AE1032" i="1" a="1"/>
  <c r="AE1032" i="1"/>
  <c r="AE1033" i="1" a="1"/>
  <c r="AE1033" i="1"/>
  <c r="AE1034" i="1" a="1"/>
  <c r="AE1034" i="1"/>
  <c r="AE1035" i="1" a="1"/>
  <c r="AE1035" i="1" s="1"/>
  <c r="AE1036" i="1" a="1"/>
  <c r="AE1036" i="1"/>
  <c r="AE1037" i="1" a="1"/>
  <c r="AE1037" i="1"/>
  <c r="AE1038" i="1" a="1"/>
  <c r="AE1038" i="1"/>
  <c r="AE1039" i="1" a="1"/>
  <c r="AE1039" i="1" s="1"/>
  <c r="AE1040" i="1" a="1"/>
  <c r="AE1040" i="1"/>
  <c r="AE1041" i="1" a="1"/>
  <c r="AE1041" i="1"/>
  <c r="AE1042" i="1" a="1"/>
  <c r="AE1042" i="1"/>
  <c r="AE1043" i="1" a="1"/>
  <c r="AE1043" i="1" s="1"/>
  <c r="AE1044" i="1" a="1"/>
  <c r="AE1044" i="1"/>
  <c r="AE1045" i="1" a="1"/>
  <c r="AE1045" i="1"/>
  <c r="AE1046" i="1" a="1"/>
  <c r="AE1046" i="1"/>
  <c r="AE1047" i="1" a="1"/>
  <c r="AE1047" i="1" s="1"/>
  <c r="AE1048" i="1" a="1"/>
  <c r="AE1048" i="1"/>
  <c r="AE1049" i="1" a="1"/>
  <c r="AE1049" i="1"/>
  <c r="AE1050" i="1" a="1"/>
  <c r="AE1050" i="1"/>
  <c r="AE1051" i="1" a="1"/>
  <c r="AE1051" i="1" s="1"/>
  <c r="AE1052" i="1" a="1"/>
  <c r="AE1052" i="1"/>
  <c r="AE1053" i="1" a="1"/>
  <c r="AE1053" i="1"/>
  <c r="AE1054" i="1" a="1"/>
  <c r="AE1054" i="1"/>
  <c r="AE1055" i="1" a="1"/>
  <c r="AE1055" i="1" s="1"/>
  <c r="AE1056" i="1" a="1"/>
  <c r="AE1056" i="1"/>
  <c r="AE1057" i="1" a="1"/>
  <c r="AE1057" i="1"/>
  <c r="AE1058" i="1" a="1"/>
  <c r="AE1058" i="1"/>
  <c r="AE1059" i="1" a="1"/>
  <c r="AE1059" i="1" s="1"/>
  <c r="AE1060" i="1" a="1"/>
  <c r="AE1060" i="1"/>
  <c r="AE1061" i="1" a="1"/>
  <c r="AE1061" i="1"/>
  <c r="AE1062" i="1" a="1"/>
  <c r="AE1062" i="1" s="1"/>
  <c r="AE1063" i="1" a="1"/>
  <c r="AE1063" i="1" s="1"/>
  <c r="AE1064" i="1" a="1"/>
  <c r="AE1064" i="1"/>
  <c r="AE1065" i="1" a="1"/>
  <c r="AE1065" i="1"/>
  <c r="AE1066" i="1" a="1"/>
  <c r="AE1066" i="1"/>
  <c r="AE1067" i="1" a="1"/>
  <c r="AE1067" i="1" s="1"/>
  <c r="AE1068" i="1" a="1"/>
  <c r="AE1068" i="1"/>
  <c r="AE1069" i="1" a="1"/>
  <c r="AE1069" i="1"/>
  <c r="AE1070" i="1" a="1"/>
  <c r="AE1070" i="1"/>
  <c r="AE1071" i="1" a="1"/>
  <c r="AE1071" i="1" s="1"/>
  <c r="AE1072" i="1" a="1"/>
  <c r="AE1072" i="1"/>
  <c r="AE1073" i="1" a="1"/>
  <c r="AE1073" i="1"/>
  <c r="AE1074" i="1" a="1"/>
  <c r="AE1074" i="1"/>
  <c r="AF1074" i="1"/>
  <c r="AF1073" i="1"/>
  <c r="AF1072" i="1"/>
  <c r="AF1071" i="1"/>
  <c r="AF1070" i="1"/>
  <c r="AF1069" i="1"/>
  <c r="AF1068" i="1"/>
  <c r="AF1067" i="1"/>
  <c r="AF1066" i="1"/>
  <c r="AF1065" i="1"/>
  <c r="AF1064" i="1"/>
  <c r="AF1063" i="1"/>
  <c r="AF1062" i="1"/>
  <c r="AF1061" i="1"/>
  <c r="AF1060" i="1"/>
  <c r="AF1059" i="1"/>
  <c r="AF1058" i="1"/>
  <c r="AF1057" i="1"/>
  <c r="AF1056" i="1"/>
  <c r="AF1055" i="1"/>
  <c r="AF1054" i="1"/>
  <c r="AF1053" i="1"/>
  <c r="AF1052" i="1"/>
  <c r="AF1051" i="1"/>
  <c r="AF1050" i="1"/>
  <c r="AF1049" i="1"/>
  <c r="AF1048" i="1"/>
  <c r="AF1047" i="1"/>
  <c r="AF1046" i="1"/>
  <c r="AF1045" i="1"/>
  <c r="AF1044" i="1"/>
  <c r="AF1043" i="1"/>
  <c r="AF1042" i="1"/>
  <c r="AF1041" i="1"/>
  <c r="AF1040" i="1"/>
  <c r="AF1039" i="1"/>
  <c r="AF1038" i="1"/>
  <c r="AF1037" i="1"/>
  <c r="AF1036" i="1"/>
  <c r="AF1035" i="1"/>
  <c r="AF1034" i="1"/>
  <c r="AF1033" i="1"/>
  <c r="AF1032" i="1"/>
  <c r="AF1031" i="1"/>
  <c r="AF1030" i="1"/>
  <c r="AF1029" i="1"/>
  <c r="AF1028" i="1"/>
  <c r="AF1027" i="1"/>
  <c r="AF1026" i="1"/>
  <c r="AF1025" i="1"/>
  <c r="AF1024" i="1"/>
  <c r="AF1023" i="1"/>
  <c r="AF1022" i="1"/>
  <c r="AF1021" i="1"/>
  <c r="AF1020" i="1"/>
  <c r="AF1019" i="1"/>
  <c r="AF1018" i="1"/>
  <c r="AF1017" i="1"/>
  <c r="AF1016" i="1"/>
  <c r="AF1015" i="1"/>
  <c r="AF1014" i="1"/>
  <c r="AF1013" i="1"/>
  <c r="AF1012" i="1"/>
  <c r="AF1011" i="1"/>
  <c r="AF1010" i="1"/>
  <c r="AF1009" i="1"/>
  <c r="AF1008" i="1"/>
  <c r="AF1007" i="1"/>
  <c r="AF1006" i="1"/>
  <c r="AF1005" i="1"/>
  <c r="AF1004" i="1"/>
  <c r="AF1003" i="1"/>
  <c r="AF1002" i="1"/>
  <c r="AF1001" i="1"/>
  <c r="AF1000" i="1"/>
  <c r="AF999" i="1"/>
  <c r="AF998" i="1"/>
  <c r="AF997" i="1"/>
  <c r="AF996" i="1"/>
  <c r="AF995" i="1"/>
  <c r="AF994" i="1"/>
  <c r="AF993" i="1"/>
  <c r="AF992" i="1"/>
  <c r="AF991" i="1"/>
  <c r="AF990" i="1"/>
  <c r="AF989" i="1"/>
  <c r="AF988" i="1"/>
  <c r="AF987" i="1"/>
  <c r="AF986" i="1"/>
  <c r="AF985" i="1"/>
  <c r="AF984" i="1"/>
  <c r="AF983" i="1"/>
  <c r="AF982" i="1"/>
  <c r="AF981" i="1"/>
  <c r="AF980" i="1"/>
  <c r="AF979" i="1"/>
  <c r="AF978" i="1"/>
  <c r="AF977" i="1"/>
  <c r="AF976" i="1"/>
  <c r="AF975" i="1"/>
  <c r="AF974" i="1"/>
  <c r="AF973" i="1"/>
  <c r="AF972" i="1"/>
  <c r="AF971" i="1"/>
  <c r="AF970" i="1"/>
  <c r="AF969" i="1"/>
  <c r="AF968" i="1"/>
  <c r="AF967" i="1"/>
  <c r="AF966" i="1"/>
  <c r="AF965" i="1"/>
  <c r="AF964" i="1"/>
  <c r="AF963" i="1"/>
  <c r="AF962" i="1"/>
  <c r="AF961" i="1"/>
  <c r="AF960" i="1"/>
  <c r="AF959" i="1"/>
  <c r="AF958" i="1"/>
  <c r="AF957" i="1"/>
  <c r="AF956" i="1"/>
  <c r="AF955" i="1"/>
  <c r="AF954" i="1"/>
  <c r="AF953" i="1"/>
  <c r="AF952" i="1"/>
  <c r="AF951" i="1"/>
  <c r="AF950" i="1"/>
  <c r="AF949" i="1"/>
  <c r="AF948" i="1"/>
  <c r="AF947" i="1"/>
  <c r="AF946" i="1"/>
  <c r="AF945" i="1"/>
  <c r="AF944" i="1"/>
  <c r="AF943" i="1"/>
  <c r="AF942" i="1"/>
  <c r="AF941" i="1"/>
  <c r="AF940" i="1"/>
  <c r="AF939" i="1"/>
  <c r="AF938" i="1"/>
  <c r="AF937" i="1"/>
  <c r="AF936" i="1"/>
  <c r="AF935" i="1"/>
  <c r="AF934" i="1"/>
  <c r="AF933" i="1"/>
  <c r="AF932" i="1"/>
  <c r="AF931" i="1"/>
  <c r="AF930" i="1"/>
  <c r="AF929" i="1"/>
  <c r="AF928" i="1"/>
  <c r="AF927" i="1"/>
  <c r="AF926" i="1"/>
  <c r="AF925" i="1"/>
  <c r="AF924" i="1"/>
  <c r="AF923" i="1"/>
  <c r="AF922" i="1"/>
  <c r="AF921" i="1"/>
  <c r="AF920" i="1"/>
  <c r="AF919" i="1"/>
  <c r="AF918" i="1"/>
  <c r="AF917" i="1"/>
  <c r="AF916" i="1"/>
  <c r="AF915" i="1"/>
  <c r="AF914" i="1"/>
  <c r="AF913" i="1"/>
  <c r="AF912" i="1"/>
  <c r="AF911" i="1"/>
  <c r="AF910" i="1"/>
  <c r="AF909" i="1"/>
  <c r="AF908" i="1"/>
  <c r="AF907" i="1"/>
  <c r="AF906" i="1"/>
  <c r="AF905" i="1"/>
  <c r="AF904" i="1"/>
  <c r="AF903" i="1"/>
  <c r="AF902" i="1"/>
  <c r="AF901" i="1"/>
  <c r="AF900" i="1"/>
  <c r="AF899" i="1"/>
  <c r="AF898" i="1"/>
  <c r="AF897" i="1"/>
  <c r="AF896" i="1"/>
  <c r="AF895" i="1"/>
  <c r="AF894" i="1"/>
  <c r="AF893" i="1"/>
  <c r="AF892" i="1"/>
  <c r="AF891" i="1"/>
  <c r="AF890" i="1"/>
  <c r="AF889" i="1"/>
  <c r="AF888" i="1"/>
  <c r="AF887" i="1"/>
  <c r="AF886" i="1"/>
  <c r="AF885" i="1"/>
  <c r="AF884" i="1"/>
  <c r="AF883" i="1"/>
  <c r="AF882" i="1"/>
  <c r="AF881" i="1"/>
  <c r="AF880" i="1"/>
  <c r="AF879" i="1"/>
  <c r="AF878" i="1"/>
  <c r="AF877" i="1"/>
  <c r="AF876" i="1"/>
  <c r="AF875" i="1"/>
  <c r="AF874" i="1"/>
  <c r="AF873" i="1"/>
  <c r="AF872" i="1"/>
  <c r="AF871" i="1"/>
  <c r="AF870" i="1"/>
  <c r="AF869" i="1"/>
  <c r="AF868" i="1"/>
  <c r="AF867" i="1"/>
  <c r="AF866" i="1"/>
  <c r="AF865" i="1"/>
  <c r="AF864" i="1"/>
  <c r="AF863" i="1"/>
  <c r="AF862" i="1"/>
  <c r="AF861" i="1"/>
  <c r="AF860" i="1"/>
  <c r="AF859" i="1"/>
  <c r="AF858" i="1"/>
  <c r="AF857" i="1"/>
  <c r="AF856" i="1"/>
  <c r="AF855" i="1"/>
  <c r="AF854" i="1"/>
  <c r="AF853" i="1"/>
  <c r="AF852" i="1"/>
  <c r="AF851" i="1"/>
  <c r="AF850" i="1"/>
  <c r="AF849" i="1"/>
  <c r="AF848" i="1"/>
  <c r="AF847" i="1"/>
  <c r="AF846" i="1"/>
  <c r="AF845" i="1"/>
  <c r="AF844" i="1"/>
  <c r="AF843" i="1"/>
  <c r="AF842" i="1"/>
  <c r="AF841" i="1"/>
  <c r="AF840" i="1"/>
  <c r="AF839" i="1"/>
  <c r="AF838" i="1"/>
  <c r="AF837" i="1"/>
  <c r="AF836" i="1"/>
  <c r="AF835" i="1"/>
  <c r="AF834" i="1"/>
  <c r="AF833" i="1"/>
  <c r="AF832" i="1"/>
  <c r="AF831" i="1"/>
  <c r="AF830" i="1"/>
  <c r="AF829" i="1"/>
  <c r="AF828" i="1"/>
  <c r="AF827" i="1"/>
  <c r="AF826" i="1"/>
  <c r="AF825" i="1"/>
  <c r="AF824" i="1"/>
  <c r="AF823" i="1"/>
  <c r="AF822" i="1"/>
  <c r="AF821" i="1"/>
  <c r="AF820" i="1"/>
  <c r="AF819" i="1"/>
  <c r="AF818" i="1"/>
  <c r="AF817" i="1"/>
  <c r="AF816" i="1"/>
  <c r="AF815" i="1"/>
  <c r="AF814" i="1"/>
  <c r="AF813" i="1"/>
  <c r="AF812" i="1"/>
  <c r="AF811" i="1"/>
  <c r="AF810" i="1"/>
  <c r="AF809" i="1"/>
  <c r="AF808" i="1"/>
  <c r="AF807" i="1"/>
  <c r="AF806" i="1"/>
  <c r="AF805" i="1"/>
  <c r="AF804" i="1"/>
  <c r="AF803" i="1"/>
  <c r="AF802" i="1"/>
  <c r="AF801" i="1"/>
  <c r="AF800" i="1"/>
  <c r="AF799" i="1"/>
  <c r="AF798" i="1"/>
  <c r="AF797" i="1"/>
  <c r="AF796" i="1"/>
  <c r="AF795" i="1"/>
  <c r="AF794" i="1"/>
  <c r="AF793" i="1"/>
  <c r="AF792" i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9" i="1"/>
  <c r="AF778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64" i="1"/>
  <c r="AF763" i="1"/>
  <c r="AF762" i="1"/>
  <c r="AF761" i="1"/>
  <c r="AF760" i="1"/>
  <c r="AF759" i="1"/>
  <c r="AF758" i="1"/>
  <c r="AF757" i="1"/>
  <c r="AF756" i="1"/>
  <c r="AF755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2" i="1"/>
  <c r="AF721" i="1"/>
  <c r="AF720" i="1"/>
  <c r="AF719" i="1"/>
  <c r="AF718" i="1"/>
  <c r="AF717" i="1"/>
  <c r="AF716" i="1"/>
  <c r="AF715" i="1"/>
  <c r="AF714" i="1"/>
  <c r="AF713" i="1"/>
  <c r="AF712" i="1"/>
  <c r="AF711" i="1"/>
  <c r="AF710" i="1"/>
  <c r="AF709" i="1"/>
  <c r="AF708" i="1"/>
  <c r="AF707" i="1"/>
  <c r="AF706" i="1"/>
  <c r="AF705" i="1"/>
  <c r="AF704" i="1"/>
  <c r="AF703" i="1"/>
  <c r="AF702" i="1"/>
  <c r="AF701" i="1"/>
  <c r="AF700" i="1"/>
  <c r="AF699" i="1"/>
  <c r="AF698" i="1"/>
  <c r="AF697" i="1"/>
  <c r="AF696" i="1"/>
  <c r="AF695" i="1"/>
  <c r="AF694" i="1"/>
  <c r="AF693" i="1"/>
  <c r="AF692" i="1"/>
  <c r="AF691" i="1"/>
  <c r="AF690" i="1"/>
  <c r="AF689" i="1"/>
  <c r="AF688" i="1"/>
  <c r="AF687" i="1"/>
  <c r="AF686" i="1"/>
  <c r="AF685" i="1"/>
  <c r="AF684" i="1"/>
  <c r="AF683" i="1"/>
  <c r="AF682" i="1"/>
  <c r="AF681" i="1"/>
  <c r="AF680" i="1"/>
  <c r="AF679" i="1"/>
  <c r="AF678" i="1"/>
  <c r="AF677" i="1"/>
  <c r="AF676" i="1"/>
  <c r="AF675" i="1"/>
  <c r="AF674" i="1"/>
  <c r="AF673" i="1"/>
  <c r="AF672" i="1"/>
  <c r="AF671" i="1"/>
  <c r="AF670" i="1"/>
  <c r="AF669" i="1"/>
  <c r="AF668" i="1"/>
  <c r="AF667" i="1"/>
  <c r="AF666" i="1"/>
  <c r="AF665" i="1"/>
  <c r="AF664" i="1"/>
  <c r="AF663" i="1"/>
  <c r="AF662" i="1"/>
  <c r="AF661" i="1"/>
  <c r="AF660" i="1"/>
  <c r="AF659" i="1"/>
  <c r="AF658" i="1"/>
  <c r="AF657" i="1"/>
  <c r="AF656" i="1"/>
  <c r="AF655" i="1"/>
  <c r="AF654" i="1"/>
  <c r="AF653" i="1"/>
  <c r="AF652" i="1"/>
  <c r="AF651" i="1"/>
  <c r="AF650" i="1"/>
  <c r="AF649" i="1"/>
  <c r="AF648" i="1"/>
  <c r="AF647" i="1"/>
  <c r="AF646" i="1"/>
  <c r="AF645" i="1"/>
  <c r="AF644" i="1"/>
  <c r="AF643" i="1"/>
  <c r="AF642" i="1"/>
  <c r="AF641" i="1"/>
  <c r="AF640" i="1"/>
  <c r="AF639" i="1"/>
  <c r="AF638" i="1"/>
  <c r="AF637" i="1"/>
  <c r="AF636" i="1"/>
  <c r="AF635" i="1"/>
  <c r="AF634" i="1"/>
  <c r="AF633" i="1"/>
  <c r="AF632" i="1"/>
  <c r="AF631" i="1"/>
  <c r="AF630" i="1"/>
  <c r="AF629" i="1"/>
  <c r="AF628" i="1"/>
  <c r="AF627" i="1"/>
  <c r="AF626" i="1"/>
  <c r="AF625" i="1"/>
  <c r="AF624" i="1"/>
  <c r="AF623" i="1"/>
  <c r="AF622" i="1"/>
  <c r="AF621" i="1"/>
  <c r="AF620" i="1"/>
  <c r="AF619" i="1"/>
  <c r="AF618" i="1"/>
  <c r="AF617" i="1"/>
  <c r="AF616" i="1"/>
  <c r="AF615" i="1"/>
  <c r="AF614" i="1"/>
  <c r="AF613" i="1"/>
  <c r="AF612" i="1"/>
  <c r="AF611" i="1"/>
  <c r="AF610" i="1"/>
  <c r="AF609" i="1"/>
  <c r="AF608" i="1"/>
  <c r="AF607" i="1"/>
  <c r="AF606" i="1"/>
  <c r="AF605" i="1"/>
  <c r="AF604" i="1"/>
  <c r="AF603" i="1"/>
  <c r="AF602" i="1"/>
  <c r="AF601" i="1"/>
  <c r="AF600" i="1"/>
  <c r="AF599" i="1"/>
  <c r="AF598" i="1"/>
  <c r="AF597" i="1"/>
  <c r="AF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F581" i="1"/>
  <c r="AF580" i="1"/>
  <c r="AF579" i="1"/>
  <c r="AF578" i="1"/>
  <c r="AF577" i="1"/>
  <c r="AF576" i="1"/>
  <c r="AF575" i="1"/>
  <c r="AF574" i="1"/>
  <c r="AF573" i="1"/>
  <c r="AF572" i="1"/>
  <c r="AF571" i="1"/>
  <c r="AF570" i="1"/>
  <c r="AF569" i="1"/>
  <c r="AF568" i="1"/>
  <c r="AF567" i="1"/>
  <c r="AF566" i="1"/>
  <c r="AF565" i="1"/>
  <c r="AF564" i="1"/>
  <c r="AF563" i="1"/>
  <c r="AF562" i="1"/>
  <c r="AF561" i="1"/>
  <c r="AF560" i="1"/>
  <c r="AF559" i="1"/>
  <c r="AF558" i="1"/>
  <c r="AF557" i="1"/>
  <c r="AF556" i="1"/>
  <c r="AF555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2" i="1"/>
  <c r="AD1074" i="1"/>
  <c r="AC1074" i="1"/>
  <c r="AB1074" i="1"/>
  <c r="AA1074" i="1"/>
  <c r="Z1074" i="1"/>
  <c r="Y1074" i="1"/>
  <c r="X1074" i="1"/>
  <c r="AD1073" i="1"/>
  <c r="AC1073" i="1"/>
  <c r="AB1073" i="1"/>
  <c r="AA1073" i="1"/>
  <c r="Z1073" i="1"/>
  <c r="Y1073" i="1"/>
  <c r="X1073" i="1"/>
  <c r="AD1072" i="1"/>
  <c r="AC1072" i="1"/>
  <c r="AB1072" i="1"/>
  <c r="AA1072" i="1"/>
  <c r="Z1072" i="1"/>
  <c r="Y1072" i="1"/>
  <c r="X1072" i="1"/>
  <c r="AD1071" i="1"/>
  <c r="AC1071" i="1"/>
  <c r="AB1071" i="1"/>
  <c r="AA1071" i="1"/>
  <c r="Z1071" i="1"/>
  <c r="Y1071" i="1"/>
  <c r="X1071" i="1"/>
  <c r="AD1070" i="1"/>
  <c r="AC1070" i="1"/>
  <c r="AB1070" i="1"/>
  <c r="AA1070" i="1"/>
  <c r="Z1070" i="1"/>
  <c r="Y1070" i="1"/>
  <c r="X1070" i="1"/>
  <c r="AD1069" i="1"/>
  <c r="AC1069" i="1"/>
  <c r="AB1069" i="1"/>
  <c r="AA1069" i="1"/>
  <c r="Z1069" i="1"/>
  <c r="Y1069" i="1"/>
  <c r="X1069" i="1"/>
  <c r="AD1068" i="1"/>
  <c r="AC1068" i="1"/>
  <c r="AB1068" i="1"/>
  <c r="AA1068" i="1"/>
  <c r="Z1068" i="1"/>
  <c r="Y1068" i="1"/>
  <c r="X1068" i="1"/>
  <c r="AD1067" i="1"/>
  <c r="AC1067" i="1"/>
  <c r="AB1067" i="1"/>
  <c r="AA1067" i="1"/>
  <c r="Z1067" i="1"/>
  <c r="Y1067" i="1"/>
  <c r="X1067" i="1"/>
  <c r="AD1066" i="1"/>
  <c r="AC1066" i="1"/>
  <c r="AB1066" i="1"/>
  <c r="AA1066" i="1"/>
  <c r="Z1066" i="1"/>
  <c r="Y1066" i="1"/>
  <c r="X1066" i="1"/>
  <c r="AD1065" i="1"/>
  <c r="AC1065" i="1"/>
  <c r="AB1065" i="1"/>
  <c r="AA1065" i="1"/>
  <c r="Z1065" i="1"/>
  <c r="Y1065" i="1"/>
  <c r="X1065" i="1"/>
  <c r="AD1064" i="1"/>
  <c r="AC1064" i="1"/>
  <c r="AB1064" i="1"/>
  <c r="AA1064" i="1"/>
  <c r="Z1064" i="1"/>
  <c r="Y1064" i="1"/>
  <c r="X1064" i="1"/>
  <c r="AD1063" i="1"/>
  <c r="AC1063" i="1"/>
  <c r="AB1063" i="1"/>
  <c r="AA1063" i="1"/>
  <c r="Z1063" i="1"/>
  <c r="Y1063" i="1"/>
  <c r="X1063" i="1"/>
  <c r="AD1062" i="1"/>
  <c r="AC1062" i="1"/>
  <c r="AB1062" i="1"/>
  <c r="AA1062" i="1"/>
  <c r="Z1062" i="1"/>
  <c r="Y1062" i="1"/>
  <c r="X1062" i="1"/>
  <c r="AD1061" i="1"/>
  <c r="AC1061" i="1"/>
  <c r="AB1061" i="1"/>
  <c r="AA1061" i="1"/>
  <c r="Z1061" i="1"/>
  <c r="Y1061" i="1"/>
  <c r="X1061" i="1"/>
  <c r="AD1060" i="1"/>
  <c r="AC1060" i="1"/>
  <c r="AB1060" i="1"/>
  <c r="AA1060" i="1"/>
  <c r="Z1060" i="1"/>
  <c r="Y1060" i="1"/>
  <c r="X1060" i="1"/>
  <c r="AD1059" i="1"/>
  <c r="AC1059" i="1"/>
  <c r="AB1059" i="1"/>
  <c r="AA1059" i="1"/>
  <c r="Z1059" i="1"/>
  <c r="Y1059" i="1"/>
  <c r="X1059" i="1"/>
  <c r="AD1058" i="1"/>
  <c r="AC1058" i="1"/>
  <c r="AB1058" i="1"/>
  <c r="AA1058" i="1"/>
  <c r="Z1058" i="1"/>
  <c r="Y1058" i="1"/>
  <c r="X1058" i="1"/>
  <c r="AD1057" i="1"/>
  <c r="AC1057" i="1"/>
  <c r="AB1057" i="1"/>
  <c r="AA1057" i="1"/>
  <c r="Z1057" i="1"/>
  <c r="Y1057" i="1"/>
  <c r="X1057" i="1"/>
  <c r="AD1056" i="1"/>
  <c r="AC1056" i="1"/>
  <c r="AB1056" i="1"/>
  <c r="AA1056" i="1"/>
  <c r="Z1056" i="1"/>
  <c r="Y1056" i="1"/>
  <c r="X1056" i="1"/>
  <c r="AD1055" i="1"/>
  <c r="AC1055" i="1"/>
  <c r="AB1055" i="1"/>
  <c r="AA1055" i="1"/>
  <c r="Z1055" i="1"/>
  <c r="Y1055" i="1"/>
  <c r="X1055" i="1"/>
  <c r="AD1054" i="1"/>
  <c r="AC1054" i="1"/>
  <c r="AB1054" i="1"/>
  <c r="AA1054" i="1"/>
  <c r="Z1054" i="1"/>
  <c r="Y1054" i="1"/>
  <c r="X1054" i="1"/>
  <c r="AD1053" i="1"/>
  <c r="AC1053" i="1"/>
  <c r="AB1053" i="1"/>
  <c r="AA1053" i="1"/>
  <c r="Z1053" i="1"/>
  <c r="Y1053" i="1"/>
  <c r="X1053" i="1"/>
  <c r="AD1052" i="1"/>
  <c r="AC1052" i="1"/>
  <c r="AB1052" i="1"/>
  <c r="AA1052" i="1"/>
  <c r="Z1052" i="1"/>
  <c r="Y1052" i="1"/>
  <c r="X1052" i="1"/>
  <c r="AD1051" i="1"/>
  <c r="AC1051" i="1"/>
  <c r="AB1051" i="1"/>
  <c r="AA1051" i="1"/>
  <c r="Z1051" i="1"/>
  <c r="Y1051" i="1"/>
  <c r="X1051" i="1"/>
  <c r="AD1050" i="1"/>
  <c r="AC1050" i="1"/>
  <c r="AB1050" i="1"/>
  <c r="AA1050" i="1"/>
  <c r="Z1050" i="1"/>
  <c r="Y1050" i="1"/>
  <c r="X1050" i="1"/>
  <c r="AD1049" i="1"/>
  <c r="AC1049" i="1"/>
  <c r="AB1049" i="1"/>
  <c r="AA1049" i="1"/>
  <c r="Z1049" i="1"/>
  <c r="Y1049" i="1"/>
  <c r="X1049" i="1"/>
  <c r="AD1048" i="1"/>
  <c r="AC1048" i="1"/>
  <c r="AB1048" i="1"/>
  <c r="AA1048" i="1"/>
  <c r="Z1048" i="1"/>
  <c r="Y1048" i="1"/>
  <c r="X1048" i="1"/>
  <c r="AD1047" i="1"/>
  <c r="AC1047" i="1"/>
  <c r="AB1047" i="1"/>
  <c r="AA1047" i="1"/>
  <c r="Z1047" i="1"/>
  <c r="Y1047" i="1"/>
  <c r="X1047" i="1"/>
  <c r="AD1046" i="1"/>
  <c r="AC1046" i="1"/>
  <c r="AB1046" i="1"/>
  <c r="AA1046" i="1"/>
  <c r="Z1046" i="1"/>
  <c r="Y1046" i="1"/>
  <c r="X1046" i="1"/>
  <c r="AD1045" i="1"/>
  <c r="AC1045" i="1"/>
  <c r="AB1045" i="1"/>
  <c r="AA1045" i="1"/>
  <c r="Z1045" i="1"/>
  <c r="Y1045" i="1"/>
  <c r="X1045" i="1"/>
  <c r="AD1044" i="1"/>
  <c r="AC1044" i="1"/>
  <c r="AB1044" i="1"/>
  <c r="AA1044" i="1"/>
  <c r="Z1044" i="1"/>
  <c r="Y1044" i="1"/>
  <c r="X1044" i="1"/>
  <c r="AD1043" i="1"/>
  <c r="AC1043" i="1"/>
  <c r="AB1043" i="1"/>
  <c r="AA1043" i="1"/>
  <c r="Z1043" i="1"/>
  <c r="Y1043" i="1"/>
  <c r="X1043" i="1"/>
  <c r="AD1042" i="1"/>
  <c r="AC1042" i="1"/>
  <c r="AB1042" i="1"/>
  <c r="AA1042" i="1"/>
  <c r="Z1042" i="1"/>
  <c r="Y1042" i="1"/>
  <c r="X1042" i="1"/>
  <c r="AD1041" i="1"/>
  <c r="AC1041" i="1"/>
  <c r="AB1041" i="1"/>
  <c r="AA1041" i="1"/>
  <c r="Z1041" i="1"/>
  <c r="Y1041" i="1"/>
  <c r="X1041" i="1"/>
  <c r="AD1040" i="1"/>
  <c r="AC1040" i="1"/>
  <c r="AB1040" i="1"/>
  <c r="AA1040" i="1"/>
  <c r="Z1040" i="1"/>
  <c r="Y1040" i="1"/>
  <c r="X1040" i="1"/>
  <c r="AD1039" i="1"/>
  <c r="AC1039" i="1"/>
  <c r="AB1039" i="1"/>
  <c r="AA1039" i="1"/>
  <c r="Z1039" i="1"/>
  <c r="Y1039" i="1"/>
  <c r="X1039" i="1"/>
  <c r="AD1038" i="1"/>
  <c r="AC1038" i="1"/>
  <c r="AB1038" i="1"/>
  <c r="AA1038" i="1"/>
  <c r="Z1038" i="1"/>
  <c r="Y1038" i="1"/>
  <c r="X1038" i="1"/>
  <c r="AD1037" i="1"/>
  <c r="AC1037" i="1"/>
  <c r="AB1037" i="1"/>
  <c r="AA1037" i="1"/>
  <c r="Z1037" i="1"/>
  <c r="Y1037" i="1"/>
  <c r="X1037" i="1"/>
  <c r="AD1036" i="1"/>
  <c r="AC1036" i="1"/>
  <c r="AB1036" i="1"/>
  <c r="AA1036" i="1"/>
  <c r="Z1036" i="1"/>
  <c r="Y1036" i="1"/>
  <c r="X1036" i="1"/>
  <c r="AD1035" i="1"/>
  <c r="AC1035" i="1"/>
  <c r="AB1035" i="1"/>
  <c r="AA1035" i="1"/>
  <c r="Z1035" i="1"/>
  <c r="Y1035" i="1"/>
  <c r="X1035" i="1"/>
  <c r="AD1034" i="1"/>
  <c r="AC1034" i="1"/>
  <c r="AB1034" i="1"/>
  <c r="AA1034" i="1"/>
  <c r="Z1034" i="1"/>
  <c r="Y1034" i="1"/>
  <c r="X1034" i="1"/>
  <c r="AD1033" i="1"/>
  <c r="AC1033" i="1"/>
  <c r="AB1033" i="1"/>
  <c r="AA1033" i="1"/>
  <c r="Z1033" i="1"/>
  <c r="Y1033" i="1"/>
  <c r="X1033" i="1"/>
  <c r="AD1032" i="1"/>
  <c r="AC1032" i="1"/>
  <c r="AB1032" i="1"/>
  <c r="AA1032" i="1"/>
  <c r="Z1032" i="1"/>
  <c r="Y1032" i="1"/>
  <c r="X1032" i="1"/>
  <c r="AD1031" i="1"/>
  <c r="AC1031" i="1"/>
  <c r="AB1031" i="1"/>
  <c r="AA1031" i="1"/>
  <c r="Z1031" i="1"/>
  <c r="Y1031" i="1"/>
  <c r="X1031" i="1"/>
  <c r="AD1030" i="1"/>
  <c r="AC1030" i="1"/>
  <c r="AB1030" i="1"/>
  <c r="AA1030" i="1"/>
  <c r="Z1030" i="1"/>
  <c r="Y1030" i="1"/>
  <c r="X1030" i="1"/>
  <c r="AD1029" i="1"/>
  <c r="AC1029" i="1"/>
  <c r="AB1029" i="1"/>
  <c r="AA1029" i="1"/>
  <c r="Z1029" i="1"/>
  <c r="Y1029" i="1"/>
  <c r="X1029" i="1"/>
  <c r="AD1028" i="1"/>
  <c r="AC1028" i="1"/>
  <c r="AB1028" i="1"/>
  <c r="AA1028" i="1"/>
  <c r="Z1028" i="1"/>
  <c r="Y1028" i="1"/>
  <c r="X1028" i="1"/>
  <c r="AD1027" i="1"/>
  <c r="AC1027" i="1"/>
  <c r="AB1027" i="1"/>
  <c r="AA1027" i="1"/>
  <c r="Z1027" i="1"/>
  <c r="Y1027" i="1"/>
  <c r="X1027" i="1"/>
  <c r="AD1026" i="1"/>
  <c r="AC1026" i="1"/>
  <c r="AB1026" i="1"/>
  <c r="AA1026" i="1"/>
  <c r="Z1026" i="1"/>
  <c r="Y1026" i="1"/>
  <c r="X1026" i="1"/>
  <c r="AD1025" i="1"/>
  <c r="AC1025" i="1"/>
  <c r="AB1025" i="1"/>
  <c r="AA1025" i="1"/>
  <c r="Z1025" i="1"/>
  <c r="Y1025" i="1"/>
  <c r="X1025" i="1"/>
  <c r="AD1024" i="1"/>
  <c r="AC1024" i="1"/>
  <c r="AB1024" i="1"/>
  <c r="AA1024" i="1"/>
  <c r="Z1024" i="1"/>
  <c r="Y1024" i="1"/>
  <c r="X1024" i="1"/>
  <c r="AD1023" i="1"/>
  <c r="AC1023" i="1"/>
  <c r="AB1023" i="1"/>
  <c r="AA1023" i="1"/>
  <c r="Z1023" i="1"/>
  <c r="Y1023" i="1"/>
  <c r="X1023" i="1"/>
  <c r="AD1022" i="1"/>
  <c r="AC1022" i="1"/>
  <c r="AB1022" i="1"/>
  <c r="AA1022" i="1"/>
  <c r="Z1022" i="1"/>
  <c r="Y1022" i="1"/>
  <c r="X1022" i="1"/>
  <c r="AD1021" i="1"/>
  <c r="AC1021" i="1"/>
  <c r="AB1021" i="1"/>
  <c r="AA1021" i="1"/>
  <c r="Z1021" i="1"/>
  <c r="Y1021" i="1"/>
  <c r="X1021" i="1"/>
  <c r="AD1020" i="1"/>
  <c r="AC1020" i="1"/>
  <c r="AB1020" i="1"/>
  <c r="AA1020" i="1"/>
  <c r="Z1020" i="1"/>
  <c r="Y1020" i="1"/>
  <c r="X1020" i="1"/>
  <c r="AD1019" i="1"/>
  <c r="AC1019" i="1"/>
  <c r="AB1019" i="1"/>
  <c r="AA1019" i="1"/>
  <c r="Z1019" i="1"/>
  <c r="Y1019" i="1"/>
  <c r="X1019" i="1"/>
  <c r="AD1018" i="1"/>
  <c r="AC1018" i="1"/>
  <c r="AB1018" i="1"/>
  <c r="AA1018" i="1"/>
  <c r="Z1018" i="1"/>
  <c r="Y1018" i="1"/>
  <c r="X1018" i="1"/>
  <c r="AD1017" i="1"/>
  <c r="AC1017" i="1"/>
  <c r="AB1017" i="1"/>
  <c r="AA1017" i="1"/>
  <c r="Z1017" i="1"/>
  <c r="Y1017" i="1"/>
  <c r="X1017" i="1"/>
  <c r="AD1016" i="1"/>
  <c r="AC1016" i="1"/>
  <c r="AB1016" i="1"/>
  <c r="AA1016" i="1"/>
  <c r="Z1016" i="1"/>
  <c r="Y1016" i="1"/>
  <c r="X1016" i="1"/>
  <c r="AD1015" i="1"/>
  <c r="AC1015" i="1"/>
  <c r="AB1015" i="1"/>
  <c r="AA1015" i="1"/>
  <c r="Z1015" i="1"/>
  <c r="Y1015" i="1"/>
  <c r="X1015" i="1"/>
  <c r="AD1014" i="1"/>
  <c r="AC1014" i="1"/>
  <c r="AB1014" i="1"/>
  <c r="AA1014" i="1"/>
  <c r="Z1014" i="1"/>
  <c r="Y1014" i="1"/>
  <c r="X1014" i="1"/>
  <c r="AD1013" i="1"/>
  <c r="AC1013" i="1"/>
  <c r="AB1013" i="1"/>
  <c r="AA1013" i="1"/>
  <c r="Z1013" i="1"/>
  <c r="Y1013" i="1"/>
  <c r="X1013" i="1"/>
  <c r="AD1012" i="1"/>
  <c r="AC1012" i="1"/>
  <c r="AB1012" i="1"/>
  <c r="AA1012" i="1"/>
  <c r="Z1012" i="1"/>
  <c r="Y1012" i="1"/>
  <c r="X1012" i="1"/>
  <c r="AD1011" i="1"/>
  <c r="AC1011" i="1"/>
  <c r="AB1011" i="1"/>
  <c r="AA1011" i="1"/>
  <c r="Z1011" i="1"/>
  <c r="Y1011" i="1"/>
  <c r="X1011" i="1"/>
  <c r="AD1010" i="1"/>
  <c r="AC1010" i="1"/>
  <c r="AB1010" i="1"/>
  <c r="AA1010" i="1"/>
  <c r="Z1010" i="1"/>
  <c r="Y1010" i="1"/>
  <c r="X1010" i="1"/>
  <c r="AD1009" i="1"/>
  <c r="AC1009" i="1"/>
  <c r="AB1009" i="1"/>
  <c r="AA1009" i="1"/>
  <c r="Z1009" i="1"/>
  <c r="Y1009" i="1"/>
  <c r="X1009" i="1"/>
  <c r="AD1008" i="1"/>
  <c r="AC1008" i="1"/>
  <c r="AB1008" i="1"/>
  <c r="AA1008" i="1"/>
  <c r="Z1008" i="1"/>
  <c r="Y1008" i="1"/>
  <c r="X1008" i="1"/>
  <c r="AD1007" i="1"/>
  <c r="AC1007" i="1"/>
  <c r="AB1007" i="1"/>
  <c r="AA1007" i="1"/>
  <c r="Z1007" i="1"/>
  <c r="Y1007" i="1"/>
  <c r="X1007" i="1"/>
  <c r="AD1006" i="1"/>
  <c r="AC1006" i="1"/>
  <c r="AB1006" i="1"/>
  <c r="AA1006" i="1"/>
  <c r="Z1006" i="1"/>
  <c r="Y1006" i="1"/>
  <c r="X1006" i="1"/>
  <c r="AD1005" i="1"/>
  <c r="AC1005" i="1"/>
  <c r="AB1005" i="1"/>
  <c r="AA1005" i="1"/>
  <c r="Z1005" i="1"/>
  <c r="Y1005" i="1"/>
  <c r="X1005" i="1"/>
  <c r="AD1004" i="1"/>
  <c r="AC1004" i="1"/>
  <c r="AB1004" i="1"/>
  <c r="AA1004" i="1"/>
  <c r="Z1004" i="1"/>
  <c r="Y1004" i="1"/>
  <c r="X1004" i="1"/>
  <c r="AD1003" i="1"/>
  <c r="AC1003" i="1"/>
  <c r="AB1003" i="1"/>
  <c r="AA1003" i="1"/>
  <c r="Z1003" i="1"/>
  <c r="Y1003" i="1"/>
  <c r="X1003" i="1"/>
  <c r="AD1002" i="1"/>
  <c r="AC1002" i="1"/>
  <c r="AB1002" i="1"/>
  <c r="AA1002" i="1"/>
  <c r="Z1002" i="1"/>
  <c r="Y1002" i="1"/>
  <c r="X1002" i="1"/>
  <c r="AD1001" i="1"/>
  <c r="AC1001" i="1"/>
  <c r="AB1001" i="1"/>
  <c r="AA1001" i="1"/>
  <c r="Z1001" i="1"/>
  <c r="Y1001" i="1"/>
  <c r="X1001" i="1"/>
  <c r="AD1000" i="1"/>
  <c r="AC1000" i="1"/>
  <c r="AB1000" i="1"/>
  <c r="AA1000" i="1"/>
  <c r="Z1000" i="1"/>
  <c r="Y1000" i="1"/>
  <c r="X1000" i="1"/>
  <c r="AD999" i="1"/>
  <c r="AC999" i="1"/>
  <c r="AB999" i="1"/>
  <c r="AA999" i="1"/>
  <c r="Z999" i="1"/>
  <c r="Y999" i="1"/>
  <c r="X999" i="1"/>
  <c r="AD998" i="1"/>
  <c r="AC998" i="1"/>
  <c r="AB998" i="1"/>
  <c r="AA998" i="1"/>
  <c r="Z998" i="1"/>
  <c r="Y998" i="1"/>
  <c r="X998" i="1"/>
  <c r="AD997" i="1"/>
  <c r="AC997" i="1"/>
  <c r="AB997" i="1"/>
  <c r="AA997" i="1"/>
  <c r="Z997" i="1"/>
  <c r="Y997" i="1"/>
  <c r="X997" i="1"/>
  <c r="AD996" i="1"/>
  <c r="AC996" i="1"/>
  <c r="AB996" i="1"/>
  <c r="AA996" i="1"/>
  <c r="Z996" i="1"/>
  <c r="Y996" i="1"/>
  <c r="X996" i="1"/>
  <c r="AD995" i="1"/>
  <c r="AC995" i="1"/>
  <c r="AB995" i="1"/>
  <c r="AA995" i="1"/>
  <c r="Z995" i="1"/>
  <c r="Y995" i="1"/>
  <c r="X995" i="1"/>
  <c r="AD994" i="1"/>
  <c r="AC994" i="1"/>
  <c r="AB994" i="1"/>
  <c r="AA994" i="1"/>
  <c r="Z994" i="1"/>
  <c r="Y994" i="1"/>
  <c r="X994" i="1"/>
  <c r="AD993" i="1"/>
  <c r="AC993" i="1"/>
  <c r="AB993" i="1"/>
  <c r="AA993" i="1"/>
  <c r="Z993" i="1"/>
  <c r="Y993" i="1"/>
  <c r="X993" i="1"/>
  <c r="AD992" i="1"/>
  <c r="AC992" i="1"/>
  <c r="AB992" i="1"/>
  <c r="AA992" i="1"/>
  <c r="Z992" i="1"/>
  <c r="Y992" i="1"/>
  <c r="X992" i="1"/>
  <c r="AD991" i="1"/>
  <c r="AC991" i="1"/>
  <c r="AB991" i="1"/>
  <c r="AA991" i="1"/>
  <c r="Z991" i="1"/>
  <c r="Y991" i="1"/>
  <c r="X991" i="1"/>
  <c r="AD990" i="1"/>
  <c r="AC990" i="1"/>
  <c r="AB990" i="1"/>
  <c r="AA990" i="1"/>
  <c r="Z990" i="1"/>
  <c r="Y990" i="1"/>
  <c r="X990" i="1"/>
  <c r="AD989" i="1"/>
  <c r="AC989" i="1"/>
  <c r="AB989" i="1"/>
  <c r="AA989" i="1"/>
  <c r="Z989" i="1"/>
  <c r="Y989" i="1"/>
  <c r="X989" i="1"/>
  <c r="AD988" i="1"/>
  <c r="AC988" i="1"/>
  <c r="AB988" i="1"/>
  <c r="AA988" i="1"/>
  <c r="Z988" i="1"/>
  <c r="Y988" i="1"/>
  <c r="X988" i="1"/>
  <c r="AD987" i="1"/>
  <c r="AC987" i="1"/>
  <c r="AB987" i="1"/>
  <c r="AA987" i="1"/>
  <c r="Z987" i="1"/>
  <c r="Y987" i="1"/>
  <c r="X987" i="1"/>
  <c r="AD986" i="1"/>
  <c r="AC986" i="1"/>
  <c r="AB986" i="1"/>
  <c r="AA986" i="1"/>
  <c r="Z986" i="1"/>
  <c r="Y986" i="1"/>
  <c r="X986" i="1"/>
  <c r="AD985" i="1"/>
  <c r="AC985" i="1"/>
  <c r="AB985" i="1"/>
  <c r="AA985" i="1"/>
  <c r="Z985" i="1"/>
  <c r="Y985" i="1"/>
  <c r="X985" i="1"/>
  <c r="AD984" i="1"/>
  <c r="AC984" i="1"/>
  <c r="AB984" i="1"/>
  <c r="AA984" i="1"/>
  <c r="Z984" i="1"/>
  <c r="Y984" i="1"/>
  <c r="X984" i="1"/>
  <c r="AD983" i="1"/>
  <c r="AC983" i="1"/>
  <c r="AB983" i="1"/>
  <c r="AA983" i="1"/>
  <c r="Z983" i="1"/>
  <c r="Y983" i="1"/>
  <c r="X983" i="1"/>
  <c r="AD982" i="1"/>
  <c r="AC982" i="1"/>
  <c r="AB982" i="1"/>
  <c r="AA982" i="1"/>
  <c r="Z982" i="1"/>
  <c r="Y982" i="1"/>
  <c r="X982" i="1"/>
  <c r="AD981" i="1"/>
  <c r="AC981" i="1"/>
  <c r="AB981" i="1"/>
  <c r="AA981" i="1"/>
  <c r="Z981" i="1"/>
  <c r="Y981" i="1"/>
  <c r="X981" i="1"/>
  <c r="AD980" i="1"/>
  <c r="AC980" i="1"/>
  <c r="AB980" i="1"/>
  <c r="AA980" i="1"/>
  <c r="Z980" i="1"/>
  <c r="Y980" i="1"/>
  <c r="X980" i="1"/>
  <c r="AD979" i="1"/>
  <c r="AC979" i="1"/>
  <c r="AB979" i="1"/>
  <c r="AA979" i="1"/>
  <c r="Z979" i="1"/>
  <c r="Y979" i="1"/>
  <c r="X979" i="1"/>
  <c r="AD978" i="1"/>
  <c r="AC978" i="1"/>
  <c r="AB978" i="1"/>
  <c r="AA978" i="1"/>
  <c r="Z978" i="1"/>
  <c r="Y978" i="1"/>
  <c r="X978" i="1"/>
  <c r="AD977" i="1"/>
  <c r="AC977" i="1"/>
  <c r="AB977" i="1"/>
  <c r="AA977" i="1"/>
  <c r="Z977" i="1"/>
  <c r="Y977" i="1"/>
  <c r="X977" i="1"/>
  <c r="AD976" i="1"/>
  <c r="AC976" i="1"/>
  <c r="AB976" i="1"/>
  <c r="AA976" i="1"/>
  <c r="Z976" i="1"/>
  <c r="Y976" i="1"/>
  <c r="X976" i="1"/>
  <c r="AD975" i="1"/>
  <c r="AC975" i="1"/>
  <c r="AB975" i="1"/>
  <c r="AA975" i="1"/>
  <c r="Z975" i="1"/>
  <c r="Y975" i="1"/>
  <c r="X975" i="1"/>
  <c r="AD974" i="1"/>
  <c r="AC974" i="1"/>
  <c r="AB974" i="1"/>
  <c r="AA974" i="1"/>
  <c r="Z974" i="1"/>
  <c r="Y974" i="1"/>
  <c r="X974" i="1"/>
  <c r="AD973" i="1"/>
  <c r="AC973" i="1"/>
  <c r="AB973" i="1"/>
  <c r="AA973" i="1"/>
  <c r="Z973" i="1"/>
  <c r="Y973" i="1"/>
  <c r="X973" i="1"/>
  <c r="AD972" i="1"/>
  <c r="AC972" i="1"/>
  <c r="AB972" i="1"/>
  <c r="AA972" i="1"/>
  <c r="Z972" i="1"/>
  <c r="Y972" i="1"/>
  <c r="X972" i="1"/>
  <c r="AD971" i="1"/>
  <c r="AC971" i="1"/>
  <c r="AB971" i="1"/>
  <c r="AA971" i="1"/>
  <c r="Z971" i="1"/>
  <c r="Y971" i="1"/>
  <c r="X971" i="1"/>
  <c r="AD970" i="1"/>
  <c r="AC970" i="1"/>
  <c r="AB970" i="1"/>
  <c r="AA970" i="1"/>
  <c r="Z970" i="1"/>
  <c r="Y970" i="1"/>
  <c r="X970" i="1"/>
  <c r="AD969" i="1"/>
  <c r="AC969" i="1"/>
  <c r="AB969" i="1"/>
  <c r="AA969" i="1"/>
  <c r="Z969" i="1"/>
  <c r="Y969" i="1"/>
  <c r="X969" i="1"/>
  <c r="AD968" i="1"/>
  <c r="AC968" i="1"/>
  <c r="AB968" i="1"/>
  <c r="AA968" i="1"/>
  <c r="Z968" i="1"/>
  <c r="Y968" i="1"/>
  <c r="X968" i="1"/>
  <c r="AD967" i="1"/>
  <c r="AC967" i="1"/>
  <c r="AB967" i="1"/>
  <c r="AA967" i="1"/>
  <c r="Z967" i="1"/>
  <c r="Y967" i="1"/>
  <c r="X967" i="1"/>
  <c r="AD966" i="1"/>
  <c r="AC966" i="1"/>
  <c r="AB966" i="1"/>
  <c r="AA966" i="1"/>
  <c r="Z966" i="1"/>
  <c r="Y966" i="1"/>
  <c r="X966" i="1"/>
  <c r="AD965" i="1"/>
  <c r="AC965" i="1"/>
  <c r="AB965" i="1"/>
  <c r="AA965" i="1"/>
  <c r="Z965" i="1"/>
  <c r="Y965" i="1"/>
  <c r="X965" i="1"/>
  <c r="AD964" i="1"/>
  <c r="AC964" i="1"/>
  <c r="AB964" i="1"/>
  <c r="AA964" i="1"/>
  <c r="Z964" i="1"/>
  <c r="Y964" i="1"/>
  <c r="X964" i="1"/>
  <c r="AD963" i="1"/>
  <c r="AC963" i="1"/>
  <c r="AB963" i="1"/>
  <c r="AA963" i="1"/>
  <c r="Z963" i="1"/>
  <c r="Y963" i="1"/>
  <c r="X963" i="1"/>
  <c r="AD962" i="1"/>
  <c r="AC962" i="1"/>
  <c r="AB962" i="1"/>
  <c r="AA962" i="1"/>
  <c r="Z962" i="1"/>
  <c r="Y962" i="1"/>
  <c r="X962" i="1"/>
  <c r="AD961" i="1"/>
  <c r="AC961" i="1"/>
  <c r="AB961" i="1"/>
  <c r="AA961" i="1"/>
  <c r="Z961" i="1"/>
  <c r="Y961" i="1"/>
  <c r="X961" i="1"/>
  <c r="AD960" i="1"/>
  <c r="AC960" i="1"/>
  <c r="AB960" i="1"/>
  <c r="AA960" i="1"/>
  <c r="Z960" i="1"/>
  <c r="Y960" i="1"/>
  <c r="X960" i="1"/>
  <c r="AD959" i="1"/>
  <c r="AC959" i="1"/>
  <c r="AB959" i="1"/>
  <c r="AA959" i="1"/>
  <c r="Z959" i="1"/>
  <c r="Y959" i="1"/>
  <c r="X959" i="1"/>
  <c r="AD958" i="1"/>
  <c r="AC958" i="1"/>
  <c r="AB958" i="1"/>
  <c r="AA958" i="1"/>
  <c r="Z958" i="1"/>
  <c r="Y958" i="1"/>
  <c r="X958" i="1"/>
  <c r="AD957" i="1"/>
  <c r="AC957" i="1"/>
  <c r="AB957" i="1"/>
  <c r="AA957" i="1"/>
  <c r="Z957" i="1"/>
  <c r="Y957" i="1"/>
  <c r="X957" i="1"/>
  <c r="AD956" i="1"/>
  <c r="AC956" i="1"/>
  <c r="AB956" i="1"/>
  <c r="AA956" i="1"/>
  <c r="Z956" i="1"/>
  <c r="Y956" i="1"/>
  <c r="X956" i="1"/>
  <c r="AD955" i="1"/>
  <c r="AC955" i="1"/>
  <c r="AB955" i="1"/>
  <c r="AA955" i="1"/>
  <c r="Z955" i="1"/>
  <c r="Y955" i="1"/>
  <c r="X955" i="1"/>
  <c r="AD954" i="1"/>
  <c r="AC954" i="1"/>
  <c r="AB954" i="1"/>
  <c r="AA954" i="1"/>
  <c r="Z954" i="1"/>
  <c r="Y954" i="1"/>
  <c r="X954" i="1"/>
  <c r="AD953" i="1"/>
  <c r="AC953" i="1"/>
  <c r="AB953" i="1"/>
  <c r="AA953" i="1"/>
  <c r="Z953" i="1"/>
  <c r="Y953" i="1"/>
  <c r="X953" i="1"/>
  <c r="AD952" i="1"/>
  <c r="AC952" i="1"/>
  <c r="AB952" i="1"/>
  <c r="AA952" i="1"/>
  <c r="Z952" i="1"/>
  <c r="Y952" i="1"/>
  <c r="X952" i="1"/>
  <c r="AD951" i="1"/>
  <c r="AC951" i="1"/>
  <c r="AB951" i="1"/>
  <c r="AA951" i="1"/>
  <c r="Z951" i="1"/>
  <c r="Y951" i="1"/>
  <c r="X951" i="1"/>
  <c r="AD950" i="1"/>
  <c r="AC950" i="1"/>
  <c r="AB950" i="1"/>
  <c r="AA950" i="1"/>
  <c r="Z950" i="1"/>
  <c r="Y950" i="1"/>
  <c r="X950" i="1"/>
  <c r="AD949" i="1"/>
  <c r="AC949" i="1"/>
  <c r="AB949" i="1"/>
  <c r="AA949" i="1"/>
  <c r="Z949" i="1"/>
  <c r="Y949" i="1"/>
  <c r="X949" i="1"/>
  <c r="AD948" i="1"/>
  <c r="AC948" i="1"/>
  <c r="AB948" i="1"/>
  <c r="AA948" i="1"/>
  <c r="Z948" i="1"/>
  <c r="Y948" i="1"/>
  <c r="X948" i="1"/>
  <c r="AD947" i="1"/>
  <c r="AC947" i="1"/>
  <c r="AB947" i="1"/>
  <c r="AA947" i="1"/>
  <c r="Z947" i="1"/>
  <c r="Y947" i="1"/>
  <c r="X947" i="1"/>
  <c r="AD946" i="1"/>
  <c r="AC946" i="1"/>
  <c r="AB946" i="1"/>
  <c r="AA946" i="1"/>
  <c r="Z946" i="1"/>
  <c r="Y946" i="1"/>
  <c r="X946" i="1"/>
  <c r="AD945" i="1"/>
  <c r="AC945" i="1"/>
  <c r="AB945" i="1"/>
  <c r="AA945" i="1"/>
  <c r="Z945" i="1"/>
  <c r="Y945" i="1"/>
  <c r="X945" i="1"/>
  <c r="AD944" i="1"/>
  <c r="AC944" i="1"/>
  <c r="AB944" i="1"/>
  <c r="AA944" i="1"/>
  <c r="Z944" i="1"/>
  <c r="Y944" i="1"/>
  <c r="X944" i="1"/>
  <c r="AD943" i="1"/>
  <c r="AC943" i="1"/>
  <c r="AB943" i="1"/>
  <c r="AA943" i="1"/>
  <c r="Z943" i="1"/>
  <c r="Y943" i="1"/>
  <c r="X943" i="1"/>
  <c r="AD942" i="1"/>
  <c r="AC942" i="1"/>
  <c r="AB942" i="1"/>
  <c r="AA942" i="1"/>
  <c r="Z942" i="1"/>
  <c r="Y942" i="1"/>
  <c r="X942" i="1"/>
  <c r="AD941" i="1"/>
  <c r="AC941" i="1"/>
  <c r="AB941" i="1"/>
  <c r="AA941" i="1"/>
  <c r="Z941" i="1"/>
  <c r="Y941" i="1"/>
  <c r="X941" i="1"/>
  <c r="AD940" i="1"/>
  <c r="AC940" i="1"/>
  <c r="AB940" i="1"/>
  <c r="AA940" i="1"/>
  <c r="Z940" i="1"/>
  <c r="Y940" i="1"/>
  <c r="X940" i="1"/>
  <c r="AD939" i="1"/>
  <c r="AC939" i="1"/>
  <c r="AB939" i="1"/>
  <c r="AA939" i="1"/>
  <c r="Z939" i="1"/>
  <c r="Y939" i="1"/>
  <c r="X939" i="1"/>
  <c r="AD938" i="1"/>
  <c r="AC938" i="1"/>
  <c r="AB938" i="1"/>
  <c r="AA938" i="1"/>
  <c r="Z938" i="1"/>
  <c r="Y938" i="1"/>
  <c r="X938" i="1"/>
  <c r="AD937" i="1"/>
  <c r="AC937" i="1"/>
  <c r="AB937" i="1"/>
  <c r="AA937" i="1"/>
  <c r="Z937" i="1"/>
  <c r="Y937" i="1"/>
  <c r="X937" i="1"/>
  <c r="AD936" i="1"/>
  <c r="AC936" i="1"/>
  <c r="AB936" i="1"/>
  <c r="AA936" i="1"/>
  <c r="Z936" i="1"/>
  <c r="Y936" i="1"/>
  <c r="X936" i="1"/>
  <c r="AD935" i="1"/>
  <c r="AC935" i="1"/>
  <c r="AB935" i="1"/>
  <c r="AA935" i="1"/>
  <c r="Z935" i="1"/>
  <c r="Y935" i="1"/>
  <c r="X935" i="1"/>
  <c r="AD934" i="1"/>
  <c r="AC934" i="1"/>
  <c r="AB934" i="1"/>
  <c r="AA934" i="1"/>
  <c r="Z934" i="1"/>
  <c r="Y934" i="1"/>
  <c r="X934" i="1"/>
  <c r="AD933" i="1"/>
  <c r="AC933" i="1"/>
  <c r="AB933" i="1"/>
  <c r="AA933" i="1"/>
  <c r="Z933" i="1"/>
  <c r="Y933" i="1"/>
  <c r="X933" i="1"/>
  <c r="AD932" i="1"/>
  <c r="AC932" i="1"/>
  <c r="AB932" i="1"/>
  <c r="AA932" i="1"/>
  <c r="Z932" i="1"/>
  <c r="Y932" i="1"/>
  <c r="X932" i="1"/>
  <c r="AD931" i="1"/>
  <c r="AC931" i="1"/>
  <c r="AB931" i="1"/>
  <c r="AA931" i="1"/>
  <c r="Z931" i="1"/>
  <c r="Y931" i="1"/>
  <c r="X931" i="1"/>
  <c r="AD930" i="1"/>
  <c r="AC930" i="1"/>
  <c r="AB930" i="1"/>
  <c r="AA930" i="1"/>
  <c r="Z930" i="1"/>
  <c r="Y930" i="1"/>
  <c r="X930" i="1"/>
  <c r="AD929" i="1"/>
  <c r="AC929" i="1"/>
  <c r="AB929" i="1"/>
  <c r="AA929" i="1"/>
  <c r="Z929" i="1"/>
  <c r="Y929" i="1"/>
  <c r="X929" i="1"/>
  <c r="AD928" i="1"/>
  <c r="AC928" i="1"/>
  <c r="AB928" i="1"/>
  <c r="AA928" i="1"/>
  <c r="Z928" i="1"/>
  <c r="Y928" i="1"/>
  <c r="X928" i="1"/>
  <c r="AD927" i="1"/>
  <c r="AC927" i="1"/>
  <c r="AB927" i="1"/>
  <c r="AA927" i="1"/>
  <c r="Z927" i="1"/>
  <c r="Y927" i="1"/>
  <c r="X927" i="1"/>
  <c r="AD926" i="1"/>
  <c r="AC926" i="1"/>
  <c r="AB926" i="1"/>
  <c r="AA926" i="1"/>
  <c r="Z926" i="1"/>
  <c r="Y926" i="1"/>
  <c r="X926" i="1"/>
  <c r="AD925" i="1"/>
  <c r="AC925" i="1"/>
  <c r="AB925" i="1"/>
  <c r="AA925" i="1"/>
  <c r="Z925" i="1"/>
  <c r="Y925" i="1"/>
  <c r="X925" i="1"/>
  <c r="AD924" i="1"/>
  <c r="AC924" i="1"/>
  <c r="AB924" i="1"/>
  <c r="AA924" i="1"/>
  <c r="Z924" i="1"/>
  <c r="Y924" i="1"/>
  <c r="X924" i="1"/>
  <c r="AD923" i="1"/>
  <c r="AC923" i="1"/>
  <c r="AB923" i="1"/>
  <c r="AA923" i="1"/>
  <c r="Z923" i="1"/>
  <c r="Y923" i="1"/>
  <c r="X923" i="1"/>
  <c r="AD922" i="1"/>
  <c r="AC922" i="1"/>
  <c r="AB922" i="1"/>
  <c r="AA922" i="1"/>
  <c r="Z922" i="1"/>
  <c r="Y922" i="1"/>
  <c r="X922" i="1"/>
  <c r="AD921" i="1"/>
  <c r="AC921" i="1"/>
  <c r="AB921" i="1"/>
  <c r="AA921" i="1"/>
  <c r="Z921" i="1"/>
  <c r="Y921" i="1"/>
  <c r="X921" i="1"/>
  <c r="AD920" i="1"/>
  <c r="AC920" i="1"/>
  <c r="AB920" i="1"/>
  <c r="AA920" i="1"/>
  <c r="Z920" i="1"/>
  <c r="Y920" i="1"/>
  <c r="X920" i="1"/>
  <c r="AD919" i="1"/>
  <c r="AC919" i="1"/>
  <c r="AB919" i="1"/>
  <c r="AA919" i="1"/>
  <c r="Z919" i="1"/>
  <c r="Y919" i="1"/>
  <c r="X919" i="1"/>
  <c r="AD918" i="1"/>
  <c r="AC918" i="1"/>
  <c r="AB918" i="1"/>
  <c r="AA918" i="1"/>
  <c r="Z918" i="1"/>
  <c r="Y918" i="1"/>
  <c r="X918" i="1"/>
  <c r="AD917" i="1"/>
  <c r="AC917" i="1"/>
  <c r="AB917" i="1"/>
  <c r="AA917" i="1"/>
  <c r="Z917" i="1"/>
  <c r="Y917" i="1"/>
  <c r="X917" i="1"/>
  <c r="AD916" i="1"/>
  <c r="AC916" i="1"/>
  <c r="AB916" i="1"/>
  <c r="AA916" i="1"/>
  <c r="Z916" i="1"/>
  <c r="Y916" i="1"/>
  <c r="X916" i="1"/>
  <c r="AD915" i="1"/>
  <c r="AC915" i="1"/>
  <c r="AB915" i="1"/>
  <c r="AA915" i="1"/>
  <c r="Z915" i="1"/>
  <c r="Y915" i="1"/>
  <c r="X915" i="1"/>
  <c r="AD914" i="1"/>
  <c r="AC914" i="1"/>
  <c r="AB914" i="1"/>
  <c r="AA914" i="1"/>
  <c r="Z914" i="1"/>
  <c r="Y914" i="1"/>
  <c r="X914" i="1"/>
  <c r="AD913" i="1"/>
  <c r="AC913" i="1"/>
  <c r="AB913" i="1"/>
  <c r="AA913" i="1"/>
  <c r="Z913" i="1"/>
  <c r="Y913" i="1"/>
  <c r="X913" i="1"/>
  <c r="AD912" i="1"/>
  <c r="AC912" i="1"/>
  <c r="AB912" i="1"/>
  <c r="AA912" i="1"/>
  <c r="Z912" i="1"/>
  <c r="Y912" i="1"/>
  <c r="X912" i="1"/>
  <c r="AD911" i="1"/>
  <c r="AC911" i="1"/>
  <c r="AB911" i="1"/>
  <c r="AA911" i="1"/>
  <c r="Z911" i="1"/>
  <c r="Y911" i="1"/>
  <c r="X911" i="1"/>
  <c r="AD910" i="1"/>
  <c r="AC910" i="1"/>
  <c r="AB910" i="1"/>
  <c r="AA910" i="1"/>
  <c r="Z910" i="1"/>
  <c r="Y910" i="1"/>
  <c r="X910" i="1"/>
  <c r="AD909" i="1"/>
  <c r="AC909" i="1"/>
  <c r="AB909" i="1"/>
  <c r="AA909" i="1"/>
  <c r="Z909" i="1"/>
  <c r="Y909" i="1"/>
  <c r="X909" i="1"/>
  <c r="AD908" i="1"/>
  <c r="AC908" i="1"/>
  <c r="AB908" i="1"/>
  <c r="AA908" i="1"/>
  <c r="Z908" i="1"/>
  <c r="Y908" i="1"/>
  <c r="X908" i="1"/>
  <c r="AD907" i="1"/>
  <c r="AC907" i="1"/>
  <c r="AB907" i="1"/>
  <c r="AA907" i="1"/>
  <c r="Z907" i="1"/>
  <c r="Y907" i="1"/>
  <c r="X907" i="1"/>
  <c r="AD906" i="1"/>
  <c r="AC906" i="1"/>
  <c r="AB906" i="1"/>
  <c r="AA906" i="1"/>
  <c r="Z906" i="1"/>
  <c r="Y906" i="1"/>
  <c r="X906" i="1"/>
  <c r="AD905" i="1"/>
  <c r="AC905" i="1"/>
  <c r="AB905" i="1"/>
  <c r="AA905" i="1"/>
  <c r="Z905" i="1"/>
  <c r="Y905" i="1"/>
  <c r="X905" i="1"/>
  <c r="AD904" i="1"/>
  <c r="AC904" i="1"/>
  <c r="AB904" i="1"/>
  <c r="AA904" i="1"/>
  <c r="Z904" i="1"/>
  <c r="Y904" i="1"/>
  <c r="X904" i="1"/>
  <c r="AD903" i="1"/>
  <c r="AC903" i="1"/>
  <c r="AB903" i="1"/>
  <c r="AA903" i="1"/>
  <c r="Z903" i="1"/>
  <c r="Y903" i="1"/>
  <c r="X903" i="1"/>
  <c r="AD902" i="1"/>
  <c r="AC902" i="1"/>
  <c r="AB902" i="1"/>
  <c r="AA902" i="1"/>
  <c r="Z902" i="1"/>
  <c r="Y902" i="1"/>
  <c r="X902" i="1"/>
  <c r="AD901" i="1"/>
  <c r="AC901" i="1"/>
  <c r="AB901" i="1"/>
  <c r="AA901" i="1"/>
  <c r="Z901" i="1"/>
  <c r="Y901" i="1"/>
  <c r="X901" i="1"/>
  <c r="AD900" i="1"/>
  <c r="AC900" i="1"/>
  <c r="AB900" i="1"/>
  <c r="AA900" i="1"/>
  <c r="Z900" i="1"/>
  <c r="Y900" i="1"/>
  <c r="X900" i="1"/>
  <c r="AD899" i="1"/>
  <c r="AC899" i="1"/>
  <c r="AB899" i="1"/>
  <c r="AA899" i="1"/>
  <c r="Z899" i="1"/>
  <c r="Y899" i="1"/>
  <c r="X899" i="1"/>
  <c r="AD898" i="1"/>
  <c r="AC898" i="1"/>
  <c r="AB898" i="1"/>
  <c r="AA898" i="1"/>
  <c r="Z898" i="1"/>
  <c r="Y898" i="1"/>
  <c r="X898" i="1"/>
  <c r="AD897" i="1"/>
  <c r="AC897" i="1"/>
  <c r="AB897" i="1"/>
  <c r="AA897" i="1"/>
  <c r="Z897" i="1"/>
  <c r="Y897" i="1"/>
  <c r="X897" i="1"/>
  <c r="AD896" i="1"/>
  <c r="AC896" i="1"/>
  <c r="AB896" i="1"/>
  <c r="AA896" i="1"/>
  <c r="Z896" i="1"/>
  <c r="Y896" i="1"/>
  <c r="X896" i="1"/>
  <c r="AD895" i="1"/>
  <c r="AC895" i="1"/>
  <c r="AB895" i="1"/>
  <c r="AA895" i="1"/>
  <c r="Z895" i="1"/>
  <c r="Y895" i="1"/>
  <c r="X895" i="1"/>
  <c r="AD894" i="1"/>
  <c r="AC894" i="1"/>
  <c r="AB894" i="1"/>
  <c r="AA894" i="1"/>
  <c r="Z894" i="1"/>
  <c r="Y894" i="1"/>
  <c r="X894" i="1"/>
  <c r="AD893" i="1"/>
  <c r="AC893" i="1"/>
  <c r="AB893" i="1"/>
  <c r="AA893" i="1"/>
  <c r="Z893" i="1"/>
  <c r="Y893" i="1"/>
  <c r="X893" i="1"/>
  <c r="AD892" i="1"/>
  <c r="AC892" i="1"/>
  <c r="AB892" i="1"/>
  <c r="AA892" i="1"/>
  <c r="Z892" i="1"/>
  <c r="Y892" i="1"/>
  <c r="X892" i="1"/>
  <c r="AD891" i="1"/>
  <c r="AC891" i="1"/>
  <c r="AB891" i="1"/>
  <c r="AA891" i="1"/>
  <c r="Z891" i="1"/>
  <c r="Y891" i="1"/>
  <c r="X891" i="1"/>
  <c r="AD890" i="1"/>
  <c r="AC890" i="1"/>
  <c r="AB890" i="1"/>
  <c r="AA890" i="1"/>
  <c r="Z890" i="1"/>
  <c r="Y890" i="1"/>
  <c r="X890" i="1"/>
  <c r="AD889" i="1"/>
  <c r="AC889" i="1"/>
  <c r="AB889" i="1"/>
  <c r="AA889" i="1"/>
  <c r="Z889" i="1"/>
  <c r="Y889" i="1"/>
  <c r="X889" i="1"/>
  <c r="AD888" i="1"/>
  <c r="AC888" i="1"/>
  <c r="AB888" i="1"/>
  <c r="AA888" i="1"/>
  <c r="Z888" i="1"/>
  <c r="Y888" i="1"/>
  <c r="X888" i="1"/>
  <c r="AD887" i="1"/>
  <c r="AC887" i="1"/>
  <c r="AB887" i="1"/>
  <c r="AA887" i="1"/>
  <c r="Z887" i="1"/>
  <c r="Y887" i="1"/>
  <c r="X887" i="1"/>
  <c r="AD886" i="1"/>
  <c r="AC886" i="1"/>
  <c r="AB886" i="1"/>
  <c r="AA886" i="1"/>
  <c r="Z886" i="1"/>
  <c r="Y886" i="1"/>
  <c r="X886" i="1"/>
  <c r="AD885" i="1"/>
  <c r="AC885" i="1"/>
  <c r="AB885" i="1"/>
  <c r="AA885" i="1"/>
  <c r="Z885" i="1"/>
  <c r="Y885" i="1"/>
  <c r="X885" i="1"/>
  <c r="AD884" i="1"/>
  <c r="AC884" i="1"/>
  <c r="AB884" i="1"/>
  <c r="AA884" i="1"/>
  <c r="Z884" i="1"/>
  <c r="Y884" i="1"/>
  <c r="X884" i="1"/>
  <c r="AD883" i="1"/>
  <c r="AC883" i="1"/>
  <c r="AB883" i="1"/>
  <c r="AA883" i="1"/>
  <c r="Z883" i="1"/>
  <c r="Y883" i="1"/>
  <c r="X883" i="1"/>
  <c r="AD882" i="1"/>
  <c r="AC882" i="1"/>
  <c r="AB882" i="1"/>
  <c r="AA882" i="1"/>
  <c r="Z882" i="1"/>
  <c r="Y882" i="1"/>
  <c r="X882" i="1"/>
  <c r="AD881" i="1"/>
  <c r="AC881" i="1"/>
  <c r="AB881" i="1"/>
  <c r="AA881" i="1"/>
  <c r="Z881" i="1"/>
  <c r="Y881" i="1"/>
  <c r="X881" i="1"/>
  <c r="AD880" i="1"/>
  <c r="AC880" i="1"/>
  <c r="AB880" i="1"/>
  <c r="AA880" i="1"/>
  <c r="Z880" i="1"/>
  <c r="Y880" i="1"/>
  <c r="X880" i="1"/>
  <c r="AD879" i="1"/>
  <c r="AC879" i="1"/>
  <c r="AB879" i="1"/>
  <c r="AA879" i="1"/>
  <c r="Z879" i="1"/>
  <c r="Y879" i="1"/>
  <c r="X879" i="1"/>
  <c r="AD878" i="1"/>
  <c r="AC878" i="1"/>
  <c r="AB878" i="1"/>
  <c r="AA878" i="1"/>
  <c r="Z878" i="1"/>
  <c r="Y878" i="1"/>
  <c r="X878" i="1"/>
  <c r="AD877" i="1"/>
  <c r="AC877" i="1"/>
  <c r="AB877" i="1"/>
  <c r="AA877" i="1"/>
  <c r="Z877" i="1"/>
  <c r="Y877" i="1"/>
  <c r="X877" i="1"/>
  <c r="AD876" i="1"/>
  <c r="AC876" i="1"/>
  <c r="AB876" i="1"/>
  <c r="AA876" i="1"/>
  <c r="Z876" i="1"/>
  <c r="Y876" i="1"/>
  <c r="X876" i="1"/>
  <c r="AD875" i="1"/>
  <c r="AC875" i="1"/>
  <c r="AB875" i="1"/>
  <c r="AA875" i="1"/>
  <c r="Z875" i="1"/>
  <c r="Y875" i="1"/>
  <c r="X875" i="1"/>
  <c r="AD874" i="1"/>
  <c r="AC874" i="1"/>
  <c r="AB874" i="1"/>
  <c r="AA874" i="1"/>
  <c r="Z874" i="1"/>
  <c r="Y874" i="1"/>
  <c r="X874" i="1"/>
  <c r="AD873" i="1"/>
  <c r="AC873" i="1"/>
  <c r="AB873" i="1"/>
  <c r="AA873" i="1"/>
  <c r="Z873" i="1"/>
  <c r="Y873" i="1"/>
  <c r="X873" i="1"/>
  <c r="AD872" i="1"/>
  <c r="AC872" i="1"/>
  <c r="AB872" i="1"/>
  <c r="AA872" i="1"/>
  <c r="Z872" i="1"/>
  <c r="Y872" i="1"/>
  <c r="X872" i="1"/>
  <c r="AD871" i="1"/>
  <c r="AC871" i="1"/>
  <c r="AB871" i="1"/>
  <c r="AA871" i="1"/>
  <c r="Z871" i="1"/>
  <c r="Y871" i="1"/>
  <c r="X871" i="1"/>
  <c r="AD870" i="1"/>
  <c r="AC870" i="1"/>
  <c r="AB870" i="1"/>
  <c r="AA870" i="1"/>
  <c r="Z870" i="1"/>
  <c r="Y870" i="1"/>
  <c r="X870" i="1"/>
  <c r="AD869" i="1"/>
  <c r="AC869" i="1"/>
  <c r="AB869" i="1"/>
  <c r="AA869" i="1"/>
  <c r="Z869" i="1"/>
  <c r="Y869" i="1"/>
  <c r="X869" i="1"/>
  <c r="AD868" i="1"/>
  <c r="AC868" i="1"/>
  <c r="AB868" i="1"/>
  <c r="AA868" i="1"/>
  <c r="Z868" i="1"/>
  <c r="Y868" i="1"/>
  <c r="X868" i="1"/>
  <c r="AD867" i="1"/>
  <c r="AC867" i="1"/>
  <c r="AB867" i="1"/>
  <c r="AA867" i="1"/>
  <c r="Z867" i="1"/>
  <c r="Y867" i="1"/>
  <c r="X867" i="1"/>
  <c r="AD866" i="1"/>
  <c r="AC866" i="1"/>
  <c r="AB866" i="1"/>
  <c r="AA866" i="1"/>
  <c r="Z866" i="1"/>
  <c r="Y866" i="1"/>
  <c r="X866" i="1"/>
  <c r="AD865" i="1"/>
  <c r="AC865" i="1"/>
  <c r="AB865" i="1"/>
  <c r="AA865" i="1"/>
  <c r="Z865" i="1"/>
  <c r="Y865" i="1"/>
  <c r="X865" i="1"/>
  <c r="AD864" i="1"/>
  <c r="AC864" i="1"/>
  <c r="AB864" i="1"/>
  <c r="AA864" i="1"/>
  <c r="Z864" i="1"/>
  <c r="Y864" i="1"/>
  <c r="X864" i="1"/>
  <c r="AD863" i="1"/>
  <c r="AC863" i="1"/>
  <c r="AB863" i="1"/>
  <c r="AA863" i="1"/>
  <c r="Z863" i="1"/>
  <c r="Y863" i="1"/>
  <c r="X863" i="1"/>
  <c r="AD862" i="1"/>
  <c r="AC862" i="1"/>
  <c r="AB862" i="1"/>
  <c r="AA862" i="1"/>
  <c r="Z862" i="1"/>
  <c r="Y862" i="1"/>
  <c r="X862" i="1"/>
  <c r="AD861" i="1"/>
  <c r="AC861" i="1"/>
  <c r="AB861" i="1"/>
  <c r="AA861" i="1"/>
  <c r="Z861" i="1"/>
  <c r="Y861" i="1"/>
  <c r="X861" i="1"/>
  <c r="AD860" i="1"/>
  <c r="AC860" i="1"/>
  <c r="AB860" i="1"/>
  <c r="AA860" i="1"/>
  <c r="Z860" i="1"/>
  <c r="Y860" i="1"/>
  <c r="X860" i="1"/>
  <c r="AD859" i="1"/>
  <c r="AC859" i="1"/>
  <c r="AB859" i="1"/>
  <c r="AA859" i="1"/>
  <c r="Z859" i="1"/>
  <c r="Y859" i="1"/>
  <c r="X859" i="1"/>
  <c r="AD858" i="1"/>
  <c r="AC858" i="1"/>
  <c r="AB858" i="1"/>
  <c r="AA858" i="1"/>
  <c r="Z858" i="1"/>
  <c r="Y858" i="1"/>
  <c r="X858" i="1"/>
  <c r="AD857" i="1"/>
  <c r="AC857" i="1"/>
  <c r="AB857" i="1"/>
  <c r="AA857" i="1"/>
  <c r="Z857" i="1"/>
  <c r="Y857" i="1"/>
  <c r="X857" i="1"/>
  <c r="AD856" i="1"/>
  <c r="AC856" i="1"/>
  <c r="AB856" i="1"/>
  <c r="AA856" i="1"/>
  <c r="Z856" i="1"/>
  <c r="Y856" i="1"/>
  <c r="X856" i="1"/>
  <c r="AD855" i="1"/>
  <c r="AC855" i="1"/>
  <c r="AB855" i="1"/>
  <c r="AA855" i="1"/>
  <c r="Z855" i="1"/>
  <c r="Y855" i="1"/>
  <c r="X855" i="1"/>
  <c r="AD854" i="1"/>
  <c r="AC854" i="1"/>
  <c r="AB854" i="1"/>
  <c r="AA854" i="1"/>
  <c r="Z854" i="1"/>
  <c r="Y854" i="1"/>
  <c r="X854" i="1"/>
  <c r="AD853" i="1"/>
  <c r="AC853" i="1"/>
  <c r="AB853" i="1"/>
  <c r="AA853" i="1"/>
  <c r="Z853" i="1"/>
  <c r="Y853" i="1"/>
  <c r="X853" i="1"/>
  <c r="AD852" i="1"/>
  <c r="AC852" i="1"/>
  <c r="AB852" i="1"/>
  <c r="AA852" i="1"/>
  <c r="Z852" i="1"/>
  <c r="Y852" i="1"/>
  <c r="X852" i="1"/>
  <c r="AD851" i="1"/>
  <c r="AC851" i="1"/>
  <c r="AB851" i="1"/>
  <c r="AA851" i="1"/>
  <c r="Z851" i="1"/>
  <c r="Y851" i="1"/>
  <c r="X851" i="1"/>
  <c r="AD850" i="1"/>
  <c r="AC850" i="1"/>
  <c r="AB850" i="1"/>
  <c r="AA850" i="1"/>
  <c r="Z850" i="1"/>
  <c r="Y850" i="1"/>
  <c r="X850" i="1"/>
  <c r="AD849" i="1"/>
  <c r="AC849" i="1"/>
  <c r="AB849" i="1"/>
  <c r="AA849" i="1"/>
  <c r="Z849" i="1"/>
  <c r="Y849" i="1"/>
  <c r="X849" i="1"/>
  <c r="AD848" i="1"/>
  <c r="AC848" i="1"/>
  <c r="AB848" i="1"/>
  <c r="AA848" i="1"/>
  <c r="Z848" i="1"/>
  <c r="Y848" i="1"/>
  <c r="X848" i="1"/>
  <c r="AD847" i="1"/>
  <c r="AC847" i="1"/>
  <c r="AB847" i="1"/>
  <c r="AA847" i="1"/>
  <c r="Z847" i="1"/>
  <c r="Y847" i="1"/>
  <c r="X847" i="1"/>
  <c r="AD846" i="1"/>
  <c r="AC846" i="1"/>
  <c r="AB846" i="1"/>
  <c r="AA846" i="1"/>
  <c r="Z846" i="1"/>
  <c r="Y846" i="1"/>
  <c r="X846" i="1"/>
  <c r="AD845" i="1"/>
  <c r="AC845" i="1"/>
  <c r="AB845" i="1"/>
  <c r="AA845" i="1"/>
  <c r="Z845" i="1"/>
  <c r="Y845" i="1"/>
  <c r="X845" i="1"/>
  <c r="AD844" i="1"/>
  <c r="AC844" i="1"/>
  <c r="AB844" i="1"/>
  <c r="AA844" i="1"/>
  <c r="Z844" i="1"/>
  <c r="Y844" i="1"/>
  <c r="X844" i="1"/>
  <c r="AD843" i="1"/>
  <c r="AC843" i="1"/>
  <c r="AB843" i="1"/>
  <c r="AA843" i="1"/>
  <c r="Z843" i="1"/>
  <c r="Y843" i="1"/>
  <c r="X843" i="1"/>
  <c r="AD842" i="1"/>
  <c r="AC842" i="1"/>
  <c r="AB842" i="1"/>
  <c r="AA842" i="1"/>
  <c r="Z842" i="1"/>
  <c r="Y842" i="1"/>
  <c r="X842" i="1"/>
  <c r="AD841" i="1"/>
  <c r="AC841" i="1"/>
  <c r="AB841" i="1"/>
  <c r="AA841" i="1"/>
  <c r="Z841" i="1"/>
  <c r="Y841" i="1"/>
  <c r="X841" i="1"/>
  <c r="AD840" i="1"/>
  <c r="AC840" i="1"/>
  <c r="AB840" i="1"/>
  <c r="AA840" i="1"/>
  <c r="Z840" i="1"/>
  <c r="Y840" i="1"/>
  <c r="X840" i="1"/>
  <c r="AD839" i="1"/>
  <c r="AC839" i="1"/>
  <c r="AB839" i="1"/>
  <c r="AA839" i="1"/>
  <c r="Z839" i="1"/>
  <c r="Y839" i="1"/>
  <c r="X839" i="1"/>
  <c r="AD838" i="1"/>
  <c r="AC838" i="1"/>
  <c r="AB838" i="1"/>
  <c r="AA838" i="1"/>
  <c r="Z838" i="1"/>
  <c r="Y838" i="1"/>
  <c r="X838" i="1"/>
  <c r="AD837" i="1"/>
  <c r="AC837" i="1"/>
  <c r="AB837" i="1"/>
  <c r="AA837" i="1"/>
  <c r="Z837" i="1"/>
  <c r="Y837" i="1"/>
  <c r="X837" i="1"/>
  <c r="AD836" i="1"/>
  <c r="AC836" i="1"/>
  <c r="AB836" i="1"/>
  <c r="AA836" i="1"/>
  <c r="Z836" i="1"/>
  <c r="Y836" i="1"/>
  <c r="X836" i="1"/>
  <c r="AD835" i="1"/>
  <c r="AC835" i="1"/>
  <c r="AB835" i="1"/>
  <c r="AA835" i="1"/>
  <c r="Z835" i="1"/>
  <c r="Y835" i="1"/>
  <c r="X835" i="1"/>
  <c r="AD834" i="1"/>
  <c r="AC834" i="1"/>
  <c r="AB834" i="1"/>
  <c r="AA834" i="1"/>
  <c r="Z834" i="1"/>
  <c r="Y834" i="1"/>
  <c r="X834" i="1"/>
  <c r="AD833" i="1"/>
  <c r="AC833" i="1"/>
  <c r="AB833" i="1"/>
  <c r="AA833" i="1"/>
  <c r="Z833" i="1"/>
  <c r="Y833" i="1"/>
  <c r="X833" i="1"/>
  <c r="AD832" i="1"/>
  <c r="AC832" i="1"/>
  <c r="AB832" i="1"/>
  <c r="AA832" i="1"/>
  <c r="Z832" i="1"/>
  <c r="Y832" i="1"/>
  <c r="X832" i="1"/>
  <c r="AD831" i="1"/>
  <c r="AC831" i="1"/>
  <c r="AB831" i="1"/>
  <c r="AA831" i="1"/>
  <c r="Z831" i="1"/>
  <c r="Y831" i="1"/>
  <c r="X831" i="1"/>
  <c r="AD830" i="1"/>
  <c r="AC830" i="1"/>
  <c r="AB830" i="1"/>
  <c r="AA830" i="1"/>
  <c r="Z830" i="1"/>
  <c r="Y830" i="1"/>
  <c r="X830" i="1"/>
  <c r="AD829" i="1"/>
  <c r="AC829" i="1"/>
  <c r="AB829" i="1"/>
  <c r="AA829" i="1"/>
  <c r="Z829" i="1"/>
  <c r="Y829" i="1"/>
  <c r="X829" i="1"/>
  <c r="AD828" i="1"/>
  <c r="AC828" i="1"/>
  <c r="AB828" i="1"/>
  <c r="AA828" i="1"/>
  <c r="Z828" i="1"/>
  <c r="Y828" i="1"/>
  <c r="X828" i="1"/>
  <c r="AD827" i="1"/>
  <c r="AC827" i="1"/>
  <c r="AB827" i="1"/>
  <c r="AA827" i="1"/>
  <c r="Z827" i="1"/>
  <c r="Y827" i="1"/>
  <c r="X827" i="1"/>
  <c r="AD826" i="1"/>
  <c r="AC826" i="1"/>
  <c r="AB826" i="1"/>
  <c r="AA826" i="1"/>
  <c r="Z826" i="1"/>
  <c r="Y826" i="1"/>
  <c r="X826" i="1"/>
  <c r="AD825" i="1"/>
  <c r="AC825" i="1"/>
  <c r="AB825" i="1"/>
  <c r="AA825" i="1"/>
  <c r="Z825" i="1"/>
  <c r="Y825" i="1"/>
  <c r="X825" i="1"/>
  <c r="AD824" i="1"/>
  <c r="AC824" i="1"/>
  <c r="AB824" i="1"/>
  <c r="AA824" i="1"/>
  <c r="Z824" i="1"/>
  <c r="Y824" i="1"/>
  <c r="X824" i="1"/>
  <c r="AD823" i="1"/>
  <c r="AC823" i="1"/>
  <c r="AB823" i="1"/>
  <c r="AA823" i="1"/>
  <c r="Z823" i="1"/>
  <c r="Y823" i="1"/>
  <c r="X823" i="1"/>
  <c r="AD822" i="1"/>
  <c r="AC822" i="1"/>
  <c r="AB822" i="1"/>
  <c r="AA822" i="1"/>
  <c r="Z822" i="1"/>
  <c r="Y822" i="1"/>
  <c r="X822" i="1"/>
  <c r="AD821" i="1"/>
  <c r="AC821" i="1"/>
  <c r="AB821" i="1"/>
  <c r="AA821" i="1"/>
  <c r="Z821" i="1"/>
  <c r="Y821" i="1"/>
  <c r="X821" i="1"/>
  <c r="AD820" i="1"/>
  <c r="AC820" i="1"/>
  <c r="AB820" i="1"/>
  <c r="AA820" i="1"/>
  <c r="Z820" i="1"/>
  <c r="Y820" i="1"/>
  <c r="X820" i="1"/>
  <c r="AD819" i="1"/>
  <c r="AC819" i="1"/>
  <c r="AB819" i="1"/>
  <c r="AA819" i="1"/>
  <c r="Z819" i="1"/>
  <c r="Y819" i="1"/>
  <c r="X819" i="1"/>
  <c r="AD818" i="1"/>
  <c r="AC818" i="1"/>
  <c r="AB818" i="1"/>
  <c r="AA818" i="1"/>
  <c r="Z818" i="1"/>
  <c r="Y818" i="1"/>
  <c r="X818" i="1"/>
  <c r="AD817" i="1"/>
  <c r="AC817" i="1"/>
  <c r="AB817" i="1"/>
  <c r="AA817" i="1"/>
  <c r="Z817" i="1"/>
  <c r="Y817" i="1"/>
  <c r="X817" i="1"/>
  <c r="AD816" i="1"/>
  <c r="AC816" i="1"/>
  <c r="AB816" i="1"/>
  <c r="AA816" i="1"/>
  <c r="Z816" i="1"/>
  <c r="Y816" i="1"/>
  <c r="X816" i="1"/>
  <c r="AD815" i="1"/>
  <c r="AC815" i="1"/>
  <c r="AB815" i="1"/>
  <c r="AA815" i="1"/>
  <c r="Z815" i="1"/>
  <c r="Y815" i="1"/>
  <c r="X815" i="1"/>
  <c r="AD814" i="1"/>
  <c r="AC814" i="1"/>
  <c r="AB814" i="1"/>
  <c r="AA814" i="1"/>
  <c r="Z814" i="1"/>
  <c r="Y814" i="1"/>
  <c r="X814" i="1"/>
  <c r="AD813" i="1"/>
  <c r="AC813" i="1"/>
  <c r="AB813" i="1"/>
  <c r="AA813" i="1"/>
  <c r="Z813" i="1"/>
  <c r="Y813" i="1"/>
  <c r="X813" i="1"/>
  <c r="AD812" i="1"/>
  <c r="AC812" i="1"/>
  <c r="AB812" i="1"/>
  <c r="AA812" i="1"/>
  <c r="Z812" i="1"/>
  <c r="Y812" i="1"/>
  <c r="X812" i="1"/>
  <c r="AD811" i="1"/>
  <c r="AC811" i="1"/>
  <c r="AB811" i="1"/>
  <c r="AA811" i="1"/>
  <c r="Z811" i="1"/>
  <c r="Y811" i="1"/>
  <c r="X811" i="1"/>
  <c r="AD810" i="1"/>
  <c r="AC810" i="1"/>
  <c r="AB810" i="1"/>
  <c r="AA810" i="1"/>
  <c r="Z810" i="1"/>
  <c r="Y810" i="1"/>
  <c r="X810" i="1"/>
  <c r="AD809" i="1"/>
  <c r="AC809" i="1"/>
  <c r="AB809" i="1"/>
  <c r="AA809" i="1"/>
  <c r="Z809" i="1"/>
  <c r="Y809" i="1"/>
  <c r="X809" i="1"/>
  <c r="AD808" i="1"/>
  <c r="AC808" i="1"/>
  <c r="AB808" i="1"/>
  <c r="AA808" i="1"/>
  <c r="Z808" i="1"/>
  <c r="Y808" i="1"/>
  <c r="X808" i="1"/>
  <c r="AD807" i="1"/>
  <c r="AC807" i="1"/>
  <c r="AB807" i="1"/>
  <c r="AA807" i="1"/>
  <c r="Z807" i="1"/>
  <c r="Y807" i="1"/>
  <c r="X807" i="1"/>
  <c r="AD806" i="1"/>
  <c r="AC806" i="1"/>
  <c r="AB806" i="1"/>
  <c r="AA806" i="1"/>
  <c r="Z806" i="1"/>
  <c r="Y806" i="1"/>
  <c r="X806" i="1"/>
  <c r="AD805" i="1"/>
  <c r="AC805" i="1"/>
  <c r="AB805" i="1"/>
  <c r="AA805" i="1"/>
  <c r="Z805" i="1"/>
  <c r="Y805" i="1"/>
  <c r="X805" i="1"/>
  <c r="AD804" i="1"/>
  <c r="AC804" i="1"/>
  <c r="AB804" i="1"/>
  <c r="AA804" i="1"/>
  <c r="Z804" i="1"/>
  <c r="Y804" i="1"/>
  <c r="X804" i="1"/>
  <c r="AD803" i="1"/>
  <c r="AC803" i="1"/>
  <c r="AB803" i="1"/>
  <c r="AA803" i="1"/>
  <c r="Z803" i="1"/>
  <c r="Y803" i="1"/>
  <c r="X803" i="1"/>
  <c r="AD802" i="1"/>
  <c r="AC802" i="1"/>
  <c r="AB802" i="1"/>
  <c r="AA802" i="1"/>
  <c r="Z802" i="1"/>
  <c r="Y802" i="1"/>
  <c r="X802" i="1"/>
  <c r="AD801" i="1"/>
  <c r="AC801" i="1"/>
  <c r="AB801" i="1"/>
  <c r="AA801" i="1"/>
  <c r="Z801" i="1"/>
  <c r="Y801" i="1"/>
  <c r="X801" i="1"/>
  <c r="AD800" i="1"/>
  <c r="AC800" i="1"/>
  <c r="AB800" i="1"/>
  <c r="AA800" i="1"/>
  <c r="Z800" i="1"/>
  <c r="Y800" i="1"/>
  <c r="X800" i="1"/>
  <c r="AD799" i="1"/>
  <c r="AC799" i="1"/>
  <c r="AB799" i="1"/>
  <c r="AA799" i="1"/>
  <c r="Z799" i="1"/>
  <c r="Y799" i="1"/>
  <c r="X799" i="1"/>
  <c r="AD798" i="1"/>
  <c r="AC798" i="1"/>
  <c r="AB798" i="1"/>
  <c r="AA798" i="1"/>
  <c r="Z798" i="1"/>
  <c r="Y798" i="1"/>
  <c r="X798" i="1"/>
  <c r="AD797" i="1"/>
  <c r="AC797" i="1"/>
  <c r="AB797" i="1"/>
  <c r="AA797" i="1"/>
  <c r="Z797" i="1"/>
  <c r="Y797" i="1"/>
  <c r="X797" i="1"/>
  <c r="AD796" i="1"/>
  <c r="AC796" i="1"/>
  <c r="AB796" i="1"/>
  <c r="AA796" i="1"/>
  <c r="Z796" i="1"/>
  <c r="Y796" i="1"/>
  <c r="X796" i="1"/>
  <c r="AD795" i="1"/>
  <c r="AC795" i="1"/>
  <c r="AB795" i="1"/>
  <c r="AA795" i="1"/>
  <c r="Z795" i="1"/>
  <c r="Y795" i="1"/>
  <c r="X795" i="1"/>
  <c r="AD794" i="1"/>
  <c r="AC794" i="1"/>
  <c r="AB794" i="1"/>
  <c r="AA794" i="1"/>
  <c r="Z794" i="1"/>
  <c r="Y794" i="1"/>
  <c r="X794" i="1"/>
  <c r="AD793" i="1"/>
  <c r="AC793" i="1"/>
  <c r="AB793" i="1"/>
  <c r="AA793" i="1"/>
  <c r="Z793" i="1"/>
  <c r="Y793" i="1"/>
  <c r="X793" i="1"/>
  <c r="AD792" i="1"/>
  <c r="AC792" i="1"/>
  <c r="AB792" i="1"/>
  <c r="AA792" i="1"/>
  <c r="Z792" i="1"/>
  <c r="Y792" i="1"/>
  <c r="X792" i="1"/>
  <c r="AD791" i="1"/>
  <c r="AC791" i="1"/>
  <c r="AB791" i="1"/>
  <c r="AA791" i="1"/>
  <c r="Z791" i="1"/>
  <c r="Y791" i="1"/>
  <c r="X791" i="1"/>
  <c r="AD790" i="1"/>
  <c r="AC790" i="1"/>
  <c r="AB790" i="1"/>
  <c r="AA790" i="1"/>
  <c r="Z790" i="1"/>
  <c r="Y790" i="1"/>
  <c r="X790" i="1"/>
  <c r="AD789" i="1"/>
  <c r="AC789" i="1"/>
  <c r="AB789" i="1"/>
  <c r="AA789" i="1"/>
  <c r="Z789" i="1"/>
  <c r="Y789" i="1"/>
  <c r="X789" i="1"/>
  <c r="AD788" i="1"/>
  <c r="AC788" i="1"/>
  <c r="AB788" i="1"/>
  <c r="AA788" i="1"/>
  <c r="Z788" i="1"/>
  <c r="Y788" i="1"/>
  <c r="X788" i="1"/>
  <c r="AD787" i="1"/>
  <c r="AC787" i="1"/>
  <c r="AB787" i="1"/>
  <c r="AA787" i="1"/>
  <c r="Z787" i="1"/>
  <c r="Y787" i="1"/>
  <c r="X787" i="1"/>
  <c r="AD786" i="1"/>
  <c r="AC786" i="1"/>
  <c r="AB786" i="1"/>
  <c r="AA786" i="1"/>
  <c r="Z786" i="1"/>
  <c r="Y786" i="1"/>
  <c r="X786" i="1"/>
  <c r="AD785" i="1"/>
  <c r="AC785" i="1"/>
  <c r="AB785" i="1"/>
  <c r="AA785" i="1"/>
  <c r="Z785" i="1"/>
  <c r="Y785" i="1"/>
  <c r="X785" i="1"/>
  <c r="AD784" i="1"/>
  <c r="AC784" i="1"/>
  <c r="AB784" i="1"/>
  <c r="AA784" i="1"/>
  <c r="Z784" i="1"/>
  <c r="Y784" i="1"/>
  <c r="X784" i="1"/>
  <c r="AD783" i="1"/>
  <c r="AC783" i="1"/>
  <c r="AB783" i="1"/>
  <c r="AA783" i="1"/>
  <c r="Z783" i="1"/>
  <c r="Y783" i="1"/>
  <c r="X783" i="1"/>
  <c r="AD782" i="1"/>
  <c r="AC782" i="1"/>
  <c r="AB782" i="1"/>
  <c r="AA782" i="1"/>
  <c r="Z782" i="1"/>
  <c r="Y782" i="1"/>
  <c r="X782" i="1"/>
  <c r="AD781" i="1"/>
  <c r="AC781" i="1"/>
  <c r="AB781" i="1"/>
  <c r="AA781" i="1"/>
  <c r="Z781" i="1"/>
  <c r="Y781" i="1"/>
  <c r="X781" i="1"/>
  <c r="AD780" i="1"/>
  <c r="AC780" i="1"/>
  <c r="AB780" i="1"/>
  <c r="AA780" i="1"/>
  <c r="Z780" i="1"/>
  <c r="Y780" i="1"/>
  <c r="X780" i="1"/>
  <c r="AD779" i="1"/>
  <c r="AC779" i="1"/>
  <c r="AB779" i="1"/>
  <c r="AA779" i="1"/>
  <c r="Z779" i="1"/>
  <c r="Y779" i="1"/>
  <c r="X779" i="1"/>
  <c r="AD778" i="1"/>
  <c r="AC778" i="1"/>
  <c r="AB778" i="1"/>
  <c r="AA778" i="1"/>
  <c r="Z778" i="1"/>
  <c r="Y778" i="1"/>
  <c r="X778" i="1"/>
  <c r="AD777" i="1"/>
  <c r="AC777" i="1"/>
  <c r="AB777" i="1"/>
  <c r="AA777" i="1"/>
  <c r="Z777" i="1"/>
  <c r="Y777" i="1"/>
  <c r="X777" i="1"/>
  <c r="AD776" i="1"/>
  <c r="AC776" i="1"/>
  <c r="AB776" i="1"/>
  <c r="AA776" i="1"/>
  <c r="Z776" i="1"/>
  <c r="Y776" i="1"/>
  <c r="X776" i="1"/>
  <c r="AD775" i="1"/>
  <c r="AC775" i="1"/>
  <c r="AB775" i="1"/>
  <c r="AA775" i="1"/>
  <c r="Z775" i="1"/>
  <c r="Y775" i="1"/>
  <c r="X775" i="1"/>
  <c r="AD774" i="1"/>
  <c r="AC774" i="1"/>
  <c r="AB774" i="1"/>
  <c r="AA774" i="1"/>
  <c r="Z774" i="1"/>
  <c r="Y774" i="1"/>
  <c r="X774" i="1"/>
  <c r="AD773" i="1"/>
  <c r="AC773" i="1"/>
  <c r="AB773" i="1"/>
  <c r="AA773" i="1"/>
  <c r="Z773" i="1"/>
  <c r="Y773" i="1"/>
  <c r="X773" i="1"/>
  <c r="AD772" i="1"/>
  <c r="AC772" i="1"/>
  <c r="AB772" i="1"/>
  <c r="AA772" i="1"/>
  <c r="Z772" i="1"/>
  <c r="Y772" i="1"/>
  <c r="X772" i="1"/>
  <c r="AD771" i="1"/>
  <c r="AC771" i="1"/>
  <c r="AB771" i="1"/>
  <c r="AA771" i="1"/>
  <c r="Z771" i="1"/>
  <c r="Y771" i="1"/>
  <c r="X771" i="1"/>
  <c r="AD770" i="1"/>
  <c r="AC770" i="1"/>
  <c r="AB770" i="1"/>
  <c r="AA770" i="1"/>
  <c r="Z770" i="1"/>
  <c r="Y770" i="1"/>
  <c r="X770" i="1"/>
  <c r="AD769" i="1"/>
  <c r="AC769" i="1"/>
  <c r="AB769" i="1"/>
  <c r="AA769" i="1"/>
  <c r="Z769" i="1"/>
  <c r="Y769" i="1"/>
  <c r="X769" i="1"/>
  <c r="AD768" i="1"/>
  <c r="AC768" i="1"/>
  <c r="AB768" i="1"/>
  <c r="AA768" i="1"/>
  <c r="Z768" i="1"/>
  <c r="Y768" i="1"/>
  <c r="X768" i="1"/>
  <c r="AD767" i="1"/>
  <c r="AC767" i="1"/>
  <c r="AB767" i="1"/>
  <c r="AA767" i="1"/>
  <c r="Z767" i="1"/>
  <c r="Y767" i="1"/>
  <c r="X767" i="1"/>
  <c r="AD766" i="1"/>
  <c r="AC766" i="1"/>
  <c r="AB766" i="1"/>
  <c r="AA766" i="1"/>
  <c r="Z766" i="1"/>
  <c r="Y766" i="1"/>
  <c r="X766" i="1"/>
  <c r="AD765" i="1"/>
  <c r="AC765" i="1"/>
  <c r="AB765" i="1"/>
  <c r="AA765" i="1"/>
  <c r="Z765" i="1"/>
  <c r="Y765" i="1"/>
  <c r="X765" i="1"/>
  <c r="AD764" i="1"/>
  <c r="AC764" i="1"/>
  <c r="AB764" i="1"/>
  <c r="AA764" i="1"/>
  <c r="Z764" i="1"/>
  <c r="Y764" i="1"/>
  <c r="X764" i="1"/>
  <c r="AD763" i="1"/>
  <c r="AC763" i="1"/>
  <c r="AB763" i="1"/>
  <c r="AA763" i="1"/>
  <c r="Z763" i="1"/>
  <c r="Y763" i="1"/>
  <c r="X763" i="1"/>
  <c r="AD762" i="1"/>
  <c r="AC762" i="1"/>
  <c r="AB762" i="1"/>
  <c r="AA762" i="1"/>
  <c r="Z762" i="1"/>
  <c r="Y762" i="1"/>
  <c r="X762" i="1"/>
  <c r="AD761" i="1"/>
  <c r="AC761" i="1"/>
  <c r="AB761" i="1"/>
  <c r="AA761" i="1"/>
  <c r="Z761" i="1"/>
  <c r="Y761" i="1"/>
  <c r="X761" i="1"/>
  <c r="AD760" i="1"/>
  <c r="AC760" i="1"/>
  <c r="AB760" i="1"/>
  <c r="AA760" i="1"/>
  <c r="Z760" i="1"/>
  <c r="Y760" i="1"/>
  <c r="X760" i="1"/>
  <c r="AD759" i="1"/>
  <c r="AC759" i="1"/>
  <c r="AB759" i="1"/>
  <c r="AA759" i="1"/>
  <c r="Z759" i="1"/>
  <c r="Y759" i="1"/>
  <c r="X759" i="1"/>
  <c r="AD758" i="1"/>
  <c r="AC758" i="1"/>
  <c r="AB758" i="1"/>
  <c r="AA758" i="1"/>
  <c r="Z758" i="1"/>
  <c r="Y758" i="1"/>
  <c r="X758" i="1"/>
  <c r="AD757" i="1"/>
  <c r="AC757" i="1"/>
  <c r="AB757" i="1"/>
  <c r="AA757" i="1"/>
  <c r="Z757" i="1"/>
  <c r="Y757" i="1"/>
  <c r="X757" i="1"/>
  <c r="AD756" i="1"/>
  <c r="AC756" i="1"/>
  <c r="AB756" i="1"/>
  <c r="AA756" i="1"/>
  <c r="Z756" i="1"/>
  <c r="Y756" i="1"/>
  <c r="X756" i="1"/>
  <c r="AD755" i="1"/>
  <c r="AC755" i="1"/>
  <c r="AB755" i="1"/>
  <c r="AA755" i="1"/>
  <c r="Z755" i="1"/>
  <c r="Y755" i="1"/>
  <c r="X755" i="1"/>
  <c r="AD754" i="1"/>
  <c r="AC754" i="1"/>
  <c r="AB754" i="1"/>
  <c r="AA754" i="1"/>
  <c r="Z754" i="1"/>
  <c r="Y754" i="1"/>
  <c r="X754" i="1"/>
  <c r="AD753" i="1"/>
  <c r="AC753" i="1"/>
  <c r="AB753" i="1"/>
  <c r="AA753" i="1"/>
  <c r="Z753" i="1"/>
  <c r="Y753" i="1"/>
  <c r="X753" i="1"/>
  <c r="AD752" i="1"/>
  <c r="AC752" i="1"/>
  <c r="AB752" i="1"/>
  <c r="AA752" i="1"/>
  <c r="Z752" i="1"/>
  <c r="Y752" i="1"/>
  <c r="X752" i="1"/>
  <c r="AD751" i="1"/>
  <c r="AC751" i="1"/>
  <c r="AB751" i="1"/>
  <c r="AA751" i="1"/>
  <c r="Z751" i="1"/>
  <c r="Y751" i="1"/>
  <c r="X751" i="1"/>
  <c r="AD750" i="1"/>
  <c r="AC750" i="1"/>
  <c r="AB750" i="1"/>
  <c r="AA750" i="1"/>
  <c r="Z750" i="1"/>
  <c r="Y750" i="1"/>
  <c r="X750" i="1"/>
  <c r="AD749" i="1"/>
  <c r="AC749" i="1"/>
  <c r="AB749" i="1"/>
  <c r="AA749" i="1"/>
  <c r="Z749" i="1"/>
  <c r="Y749" i="1"/>
  <c r="X749" i="1"/>
  <c r="AD748" i="1"/>
  <c r="AC748" i="1"/>
  <c r="AB748" i="1"/>
  <c r="AA748" i="1"/>
  <c r="Z748" i="1"/>
  <c r="Y748" i="1"/>
  <c r="X748" i="1"/>
  <c r="AD747" i="1"/>
  <c r="AC747" i="1"/>
  <c r="AB747" i="1"/>
  <c r="AA747" i="1"/>
  <c r="Z747" i="1"/>
  <c r="Y747" i="1"/>
  <c r="X747" i="1"/>
  <c r="AD746" i="1"/>
  <c r="AC746" i="1"/>
  <c r="AB746" i="1"/>
  <c r="AA746" i="1"/>
  <c r="Z746" i="1"/>
  <c r="Y746" i="1"/>
  <c r="X746" i="1"/>
  <c r="AD745" i="1"/>
  <c r="AC745" i="1"/>
  <c r="AB745" i="1"/>
  <c r="AA745" i="1"/>
  <c r="Z745" i="1"/>
  <c r="Y745" i="1"/>
  <c r="X745" i="1"/>
  <c r="AD744" i="1"/>
  <c r="AC744" i="1"/>
  <c r="AB744" i="1"/>
  <c r="AA744" i="1"/>
  <c r="Z744" i="1"/>
  <c r="Y744" i="1"/>
  <c r="X744" i="1"/>
  <c r="AD743" i="1"/>
  <c r="AC743" i="1"/>
  <c r="AB743" i="1"/>
  <c r="AA743" i="1"/>
  <c r="Z743" i="1"/>
  <c r="Y743" i="1"/>
  <c r="X743" i="1"/>
  <c r="AD742" i="1"/>
  <c r="AC742" i="1"/>
  <c r="AB742" i="1"/>
  <c r="AA742" i="1"/>
  <c r="Z742" i="1"/>
  <c r="Y742" i="1"/>
  <c r="X742" i="1"/>
  <c r="AD741" i="1"/>
  <c r="AC741" i="1"/>
  <c r="AB741" i="1"/>
  <c r="AA741" i="1"/>
  <c r="Z741" i="1"/>
  <c r="Y741" i="1"/>
  <c r="X741" i="1"/>
  <c r="AD740" i="1"/>
  <c r="AC740" i="1"/>
  <c r="AB740" i="1"/>
  <c r="AA740" i="1"/>
  <c r="Z740" i="1"/>
  <c r="Y740" i="1"/>
  <c r="X740" i="1"/>
  <c r="AD739" i="1"/>
  <c r="AC739" i="1"/>
  <c r="AB739" i="1"/>
  <c r="AA739" i="1"/>
  <c r="Z739" i="1"/>
  <c r="Y739" i="1"/>
  <c r="X739" i="1"/>
  <c r="AD738" i="1"/>
  <c r="AC738" i="1"/>
  <c r="AB738" i="1"/>
  <c r="AA738" i="1"/>
  <c r="Z738" i="1"/>
  <c r="Y738" i="1"/>
  <c r="X738" i="1"/>
  <c r="AD737" i="1"/>
  <c r="AC737" i="1"/>
  <c r="AB737" i="1"/>
  <c r="AA737" i="1"/>
  <c r="Z737" i="1"/>
  <c r="Y737" i="1"/>
  <c r="X737" i="1"/>
  <c r="AD736" i="1"/>
  <c r="AC736" i="1"/>
  <c r="AB736" i="1"/>
  <c r="AA736" i="1"/>
  <c r="Z736" i="1"/>
  <c r="Y736" i="1"/>
  <c r="X736" i="1"/>
  <c r="AD735" i="1"/>
  <c r="AC735" i="1"/>
  <c r="AB735" i="1"/>
  <c r="AA735" i="1"/>
  <c r="Z735" i="1"/>
  <c r="Y735" i="1"/>
  <c r="X735" i="1"/>
  <c r="AD734" i="1"/>
  <c r="AC734" i="1"/>
  <c r="AB734" i="1"/>
  <c r="AA734" i="1"/>
  <c r="Z734" i="1"/>
  <c r="Y734" i="1"/>
  <c r="X734" i="1"/>
  <c r="AD733" i="1"/>
  <c r="AC733" i="1"/>
  <c r="AB733" i="1"/>
  <c r="AA733" i="1"/>
  <c r="Z733" i="1"/>
  <c r="Y733" i="1"/>
  <c r="X733" i="1"/>
  <c r="AD732" i="1"/>
  <c r="AC732" i="1"/>
  <c r="AB732" i="1"/>
  <c r="AA732" i="1"/>
  <c r="Z732" i="1"/>
  <c r="Y732" i="1"/>
  <c r="X732" i="1"/>
  <c r="AD731" i="1"/>
  <c r="AC731" i="1"/>
  <c r="AB731" i="1"/>
  <c r="AA731" i="1"/>
  <c r="Z731" i="1"/>
  <c r="Y731" i="1"/>
  <c r="X731" i="1"/>
  <c r="AD730" i="1"/>
  <c r="AC730" i="1"/>
  <c r="AB730" i="1"/>
  <c r="AA730" i="1"/>
  <c r="Z730" i="1"/>
  <c r="Y730" i="1"/>
  <c r="X730" i="1"/>
  <c r="AD729" i="1"/>
  <c r="AC729" i="1"/>
  <c r="AB729" i="1"/>
  <c r="AA729" i="1"/>
  <c r="Z729" i="1"/>
  <c r="Y729" i="1"/>
  <c r="X729" i="1"/>
  <c r="AD728" i="1"/>
  <c r="AC728" i="1"/>
  <c r="AB728" i="1"/>
  <c r="AA728" i="1"/>
  <c r="Z728" i="1"/>
  <c r="Y728" i="1"/>
  <c r="X728" i="1"/>
  <c r="AD727" i="1"/>
  <c r="AC727" i="1"/>
  <c r="AB727" i="1"/>
  <c r="AA727" i="1"/>
  <c r="Z727" i="1"/>
  <c r="Y727" i="1"/>
  <c r="X727" i="1"/>
  <c r="AD726" i="1"/>
  <c r="AC726" i="1"/>
  <c r="AB726" i="1"/>
  <c r="AA726" i="1"/>
  <c r="Z726" i="1"/>
  <c r="Y726" i="1"/>
  <c r="X726" i="1"/>
  <c r="AD725" i="1"/>
  <c r="AC725" i="1"/>
  <c r="AB725" i="1"/>
  <c r="AA725" i="1"/>
  <c r="Z725" i="1"/>
  <c r="Y725" i="1"/>
  <c r="X725" i="1"/>
  <c r="AD724" i="1"/>
  <c r="AC724" i="1"/>
  <c r="AB724" i="1"/>
  <c r="AA724" i="1"/>
  <c r="Z724" i="1"/>
  <c r="Y724" i="1"/>
  <c r="X724" i="1"/>
  <c r="AD723" i="1"/>
  <c r="AC723" i="1"/>
  <c r="AB723" i="1"/>
  <c r="AA723" i="1"/>
  <c r="Z723" i="1"/>
  <c r="Y723" i="1"/>
  <c r="X723" i="1"/>
  <c r="AD722" i="1"/>
  <c r="AC722" i="1"/>
  <c r="AB722" i="1"/>
  <c r="AA722" i="1"/>
  <c r="Z722" i="1"/>
  <c r="Y722" i="1"/>
  <c r="X722" i="1"/>
  <c r="AD721" i="1"/>
  <c r="AC721" i="1"/>
  <c r="AB721" i="1"/>
  <c r="AA721" i="1"/>
  <c r="Z721" i="1"/>
  <c r="Y721" i="1"/>
  <c r="X721" i="1"/>
  <c r="AD720" i="1"/>
  <c r="AC720" i="1"/>
  <c r="AB720" i="1"/>
  <c r="AA720" i="1"/>
  <c r="Z720" i="1"/>
  <c r="Y720" i="1"/>
  <c r="X720" i="1"/>
  <c r="AD719" i="1"/>
  <c r="AC719" i="1"/>
  <c r="AB719" i="1"/>
  <c r="AA719" i="1"/>
  <c r="Z719" i="1"/>
  <c r="Y719" i="1"/>
  <c r="X719" i="1"/>
  <c r="AD718" i="1"/>
  <c r="AC718" i="1"/>
  <c r="AB718" i="1"/>
  <c r="AA718" i="1"/>
  <c r="Z718" i="1"/>
  <c r="Y718" i="1"/>
  <c r="X718" i="1"/>
  <c r="AD717" i="1"/>
  <c r="AC717" i="1"/>
  <c r="AB717" i="1"/>
  <c r="AA717" i="1"/>
  <c r="Z717" i="1"/>
  <c r="Y717" i="1"/>
  <c r="X717" i="1"/>
  <c r="AD716" i="1"/>
  <c r="AC716" i="1"/>
  <c r="AB716" i="1"/>
  <c r="AA716" i="1"/>
  <c r="Z716" i="1"/>
  <c r="Y716" i="1"/>
  <c r="X716" i="1"/>
  <c r="AD715" i="1"/>
  <c r="AC715" i="1"/>
  <c r="AB715" i="1"/>
  <c r="AA715" i="1"/>
  <c r="Z715" i="1"/>
  <c r="Y715" i="1"/>
  <c r="X715" i="1"/>
  <c r="AD714" i="1"/>
  <c r="AC714" i="1"/>
  <c r="AB714" i="1"/>
  <c r="AA714" i="1"/>
  <c r="Z714" i="1"/>
  <c r="Y714" i="1"/>
  <c r="X714" i="1"/>
  <c r="AD713" i="1"/>
  <c r="AC713" i="1"/>
  <c r="AB713" i="1"/>
  <c r="AA713" i="1"/>
  <c r="Z713" i="1"/>
  <c r="Y713" i="1"/>
  <c r="X713" i="1"/>
  <c r="AD712" i="1"/>
  <c r="AC712" i="1"/>
  <c r="AB712" i="1"/>
  <c r="AA712" i="1"/>
  <c r="Z712" i="1"/>
  <c r="Y712" i="1"/>
  <c r="X712" i="1"/>
  <c r="AD711" i="1"/>
  <c r="AC711" i="1"/>
  <c r="AB711" i="1"/>
  <c r="AA711" i="1"/>
  <c r="Z711" i="1"/>
  <c r="Y711" i="1"/>
  <c r="X711" i="1"/>
  <c r="AD710" i="1"/>
  <c r="AC710" i="1"/>
  <c r="AB710" i="1"/>
  <c r="AA710" i="1"/>
  <c r="Z710" i="1"/>
  <c r="Y710" i="1"/>
  <c r="X710" i="1"/>
  <c r="AD709" i="1"/>
  <c r="AC709" i="1"/>
  <c r="AB709" i="1"/>
  <c r="AA709" i="1"/>
  <c r="Z709" i="1"/>
  <c r="Y709" i="1"/>
  <c r="X709" i="1"/>
  <c r="AD708" i="1"/>
  <c r="AC708" i="1"/>
  <c r="AB708" i="1"/>
  <c r="AA708" i="1"/>
  <c r="Z708" i="1"/>
  <c r="Y708" i="1"/>
  <c r="X708" i="1"/>
  <c r="AD707" i="1"/>
  <c r="AC707" i="1"/>
  <c r="AB707" i="1"/>
  <c r="AA707" i="1"/>
  <c r="Z707" i="1"/>
  <c r="Y707" i="1"/>
  <c r="X707" i="1"/>
  <c r="AD706" i="1"/>
  <c r="AC706" i="1"/>
  <c r="AB706" i="1"/>
  <c r="AA706" i="1"/>
  <c r="Z706" i="1"/>
  <c r="Y706" i="1"/>
  <c r="X706" i="1"/>
  <c r="AD705" i="1"/>
  <c r="AC705" i="1"/>
  <c r="AB705" i="1"/>
  <c r="AA705" i="1"/>
  <c r="Z705" i="1"/>
  <c r="Y705" i="1"/>
  <c r="X705" i="1"/>
  <c r="AD704" i="1"/>
  <c r="AC704" i="1"/>
  <c r="AB704" i="1"/>
  <c r="AA704" i="1"/>
  <c r="Z704" i="1"/>
  <c r="Y704" i="1"/>
  <c r="X704" i="1"/>
  <c r="AD703" i="1"/>
  <c r="AC703" i="1"/>
  <c r="AB703" i="1"/>
  <c r="AA703" i="1"/>
  <c r="Z703" i="1"/>
  <c r="Y703" i="1"/>
  <c r="X703" i="1"/>
  <c r="AD702" i="1"/>
  <c r="AC702" i="1"/>
  <c r="AB702" i="1"/>
  <c r="AA702" i="1"/>
  <c r="Z702" i="1"/>
  <c r="Y702" i="1"/>
  <c r="X702" i="1"/>
  <c r="AD701" i="1"/>
  <c r="AC701" i="1"/>
  <c r="AB701" i="1"/>
  <c r="AA701" i="1"/>
  <c r="Z701" i="1"/>
  <c r="Y701" i="1"/>
  <c r="X701" i="1"/>
  <c r="AD700" i="1"/>
  <c r="AC700" i="1"/>
  <c r="AB700" i="1"/>
  <c r="AA700" i="1"/>
  <c r="Z700" i="1"/>
  <c r="Y700" i="1"/>
  <c r="X700" i="1"/>
  <c r="AD699" i="1"/>
  <c r="AC699" i="1"/>
  <c r="AB699" i="1"/>
  <c r="AA699" i="1"/>
  <c r="Z699" i="1"/>
  <c r="Y699" i="1"/>
  <c r="X699" i="1"/>
  <c r="AD698" i="1"/>
  <c r="AC698" i="1"/>
  <c r="AB698" i="1"/>
  <c r="AA698" i="1"/>
  <c r="Z698" i="1"/>
  <c r="Y698" i="1"/>
  <c r="X698" i="1"/>
  <c r="AD697" i="1"/>
  <c r="AC697" i="1"/>
  <c r="AB697" i="1"/>
  <c r="AA697" i="1"/>
  <c r="Z697" i="1"/>
  <c r="Y697" i="1"/>
  <c r="X697" i="1"/>
  <c r="AD696" i="1"/>
  <c r="AC696" i="1"/>
  <c r="AB696" i="1"/>
  <c r="AA696" i="1"/>
  <c r="Z696" i="1"/>
  <c r="Y696" i="1"/>
  <c r="X696" i="1"/>
  <c r="AD695" i="1"/>
  <c r="AC695" i="1"/>
  <c r="AB695" i="1"/>
  <c r="AA695" i="1"/>
  <c r="Z695" i="1"/>
  <c r="Y695" i="1"/>
  <c r="X695" i="1"/>
  <c r="AD694" i="1"/>
  <c r="AC694" i="1"/>
  <c r="AB694" i="1"/>
  <c r="AA694" i="1"/>
  <c r="Z694" i="1"/>
  <c r="Y694" i="1"/>
  <c r="X694" i="1"/>
  <c r="AD693" i="1"/>
  <c r="AC693" i="1"/>
  <c r="AB693" i="1"/>
  <c r="AA693" i="1"/>
  <c r="Z693" i="1"/>
  <c r="Y693" i="1"/>
  <c r="X693" i="1"/>
  <c r="AD692" i="1"/>
  <c r="AC692" i="1"/>
  <c r="AB692" i="1"/>
  <c r="AA692" i="1"/>
  <c r="Z692" i="1"/>
  <c r="Y692" i="1"/>
  <c r="X692" i="1"/>
  <c r="AD691" i="1"/>
  <c r="AC691" i="1"/>
  <c r="AB691" i="1"/>
  <c r="AA691" i="1"/>
  <c r="Z691" i="1"/>
  <c r="Y691" i="1"/>
  <c r="X691" i="1"/>
  <c r="AD690" i="1"/>
  <c r="AC690" i="1"/>
  <c r="AB690" i="1"/>
  <c r="AA690" i="1"/>
  <c r="Z690" i="1"/>
  <c r="Y690" i="1"/>
  <c r="X690" i="1"/>
  <c r="AD689" i="1"/>
  <c r="AC689" i="1"/>
  <c r="AB689" i="1"/>
  <c r="AA689" i="1"/>
  <c r="Z689" i="1"/>
  <c r="Y689" i="1"/>
  <c r="X689" i="1"/>
  <c r="AD688" i="1"/>
  <c r="AC688" i="1"/>
  <c r="AB688" i="1"/>
  <c r="AA688" i="1"/>
  <c r="Z688" i="1"/>
  <c r="Y688" i="1"/>
  <c r="X688" i="1"/>
  <c r="AD687" i="1"/>
  <c r="AC687" i="1"/>
  <c r="AB687" i="1"/>
  <c r="AA687" i="1"/>
  <c r="Z687" i="1"/>
  <c r="Y687" i="1"/>
  <c r="X687" i="1"/>
  <c r="AD686" i="1"/>
  <c r="AC686" i="1"/>
  <c r="AB686" i="1"/>
  <c r="AA686" i="1"/>
  <c r="Z686" i="1"/>
  <c r="Y686" i="1"/>
  <c r="X686" i="1"/>
  <c r="AD685" i="1"/>
  <c r="AC685" i="1"/>
  <c r="AB685" i="1"/>
  <c r="AA685" i="1"/>
  <c r="Z685" i="1"/>
  <c r="Y685" i="1"/>
  <c r="X685" i="1"/>
  <c r="AD684" i="1"/>
  <c r="AC684" i="1"/>
  <c r="AB684" i="1"/>
  <c r="AA684" i="1"/>
  <c r="Z684" i="1"/>
  <c r="Y684" i="1"/>
  <c r="X684" i="1"/>
  <c r="AD683" i="1"/>
  <c r="AC683" i="1"/>
  <c r="AB683" i="1"/>
  <c r="AA683" i="1"/>
  <c r="Z683" i="1"/>
  <c r="Y683" i="1"/>
  <c r="X683" i="1"/>
  <c r="AD682" i="1"/>
  <c r="AC682" i="1"/>
  <c r="AB682" i="1"/>
  <c r="AA682" i="1"/>
  <c r="Z682" i="1"/>
  <c r="Y682" i="1"/>
  <c r="X682" i="1"/>
  <c r="AD681" i="1"/>
  <c r="AC681" i="1"/>
  <c r="AB681" i="1"/>
  <c r="AA681" i="1"/>
  <c r="Z681" i="1"/>
  <c r="Y681" i="1"/>
  <c r="X681" i="1"/>
  <c r="AD680" i="1"/>
  <c r="AC680" i="1"/>
  <c r="AB680" i="1"/>
  <c r="AA680" i="1"/>
  <c r="Z680" i="1"/>
  <c r="Y680" i="1"/>
  <c r="X680" i="1"/>
  <c r="AD679" i="1"/>
  <c r="AC679" i="1"/>
  <c r="AB679" i="1"/>
  <c r="AA679" i="1"/>
  <c r="Z679" i="1"/>
  <c r="Y679" i="1"/>
  <c r="X679" i="1"/>
  <c r="AD678" i="1"/>
  <c r="AC678" i="1"/>
  <c r="AB678" i="1"/>
  <c r="AA678" i="1"/>
  <c r="Z678" i="1"/>
  <c r="Y678" i="1"/>
  <c r="X678" i="1"/>
  <c r="AD677" i="1"/>
  <c r="AC677" i="1"/>
  <c r="AB677" i="1"/>
  <c r="AA677" i="1"/>
  <c r="Z677" i="1"/>
  <c r="Y677" i="1"/>
  <c r="X677" i="1"/>
  <c r="AD676" i="1"/>
  <c r="AC676" i="1"/>
  <c r="AB676" i="1"/>
  <c r="AA676" i="1"/>
  <c r="Z676" i="1"/>
  <c r="Y676" i="1"/>
  <c r="X676" i="1"/>
  <c r="AD675" i="1"/>
  <c r="AC675" i="1"/>
  <c r="AB675" i="1"/>
  <c r="AA675" i="1"/>
  <c r="Z675" i="1"/>
  <c r="Y675" i="1"/>
  <c r="X675" i="1"/>
  <c r="AD674" i="1"/>
  <c r="AC674" i="1"/>
  <c r="AB674" i="1"/>
  <c r="AA674" i="1"/>
  <c r="Z674" i="1"/>
  <c r="Y674" i="1"/>
  <c r="X674" i="1"/>
  <c r="AD673" i="1"/>
  <c r="AC673" i="1"/>
  <c r="AB673" i="1"/>
  <c r="AA673" i="1"/>
  <c r="Z673" i="1"/>
  <c r="Y673" i="1"/>
  <c r="X673" i="1"/>
  <c r="AD672" i="1"/>
  <c r="AC672" i="1"/>
  <c r="AB672" i="1"/>
  <c r="AA672" i="1"/>
  <c r="Z672" i="1"/>
  <c r="Y672" i="1"/>
  <c r="X672" i="1"/>
  <c r="AD671" i="1"/>
  <c r="AC671" i="1"/>
  <c r="AB671" i="1"/>
  <c r="AA671" i="1"/>
  <c r="Z671" i="1"/>
  <c r="Y671" i="1"/>
  <c r="X671" i="1"/>
  <c r="AD670" i="1"/>
  <c r="AC670" i="1"/>
  <c r="AB670" i="1"/>
  <c r="AA670" i="1"/>
  <c r="Z670" i="1"/>
  <c r="Y670" i="1"/>
  <c r="X670" i="1"/>
  <c r="AD669" i="1"/>
  <c r="AC669" i="1"/>
  <c r="AB669" i="1"/>
  <c r="AA669" i="1"/>
  <c r="Z669" i="1"/>
  <c r="Y669" i="1"/>
  <c r="X669" i="1"/>
  <c r="AD668" i="1"/>
  <c r="AC668" i="1"/>
  <c r="AB668" i="1"/>
  <c r="AA668" i="1"/>
  <c r="Z668" i="1"/>
  <c r="Y668" i="1"/>
  <c r="X668" i="1"/>
  <c r="AD667" i="1"/>
  <c r="AC667" i="1"/>
  <c r="AB667" i="1"/>
  <c r="AA667" i="1"/>
  <c r="Z667" i="1"/>
  <c r="Y667" i="1"/>
  <c r="X667" i="1"/>
  <c r="AD666" i="1"/>
  <c r="AC666" i="1"/>
  <c r="AB666" i="1"/>
  <c r="AA666" i="1"/>
  <c r="Z666" i="1"/>
  <c r="Y666" i="1"/>
  <c r="X666" i="1"/>
  <c r="AD665" i="1"/>
  <c r="AC665" i="1"/>
  <c r="AB665" i="1"/>
  <c r="AA665" i="1"/>
  <c r="Z665" i="1"/>
  <c r="Y665" i="1"/>
  <c r="X665" i="1"/>
  <c r="AD664" i="1"/>
  <c r="AC664" i="1"/>
  <c r="AB664" i="1"/>
  <c r="AA664" i="1"/>
  <c r="Z664" i="1"/>
  <c r="Y664" i="1"/>
  <c r="X664" i="1"/>
  <c r="AD663" i="1"/>
  <c r="AC663" i="1"/>
  <c r="AB663" i="1"/>
  <c r="AA663" i="1"/>
  <c r="Z663" i="1"/>
  <c r="Y663" i="1"/>
  <c r="X663" i="1"/>
  <c r="AD662" i="1"/>
  <c r="AC662" i="1"/>
  <c r="AB662" i="1"/>
  <c r="AA662" i="1"/>
  <c r="Z662" i="1"/>
  <c r="Y662" i="1"/>
  <c r="X662" i="1"/>
  <c r="AD661" i="1"/>
  <c r="AC661" i="1"/>
  <c r="AB661" i="1"/>
  <c r="AA661" i="1"/>
  <c r="Z661" i="1"/>
  <c r="Y661" i="1"/>
  <c r="X661" i="1"/>
  <c r="AD660" i="1"/>
  <c r="AC660" i="1"/>
  <c r="AB660" i="1"/>
  <c r="AA660" i="1"/>
  <c r="Z660" i="1"/>
  <c r="Y660" i="1"/>
  <c r="X660" i="1"/>
  <c r="AD659" i="1"/>
  <c r="AC659" i="1"/>
  <c r="AB659" i="1"/>
  <c r="AA659" i="1"/>
  <c r="Z659" i="1"/>
  <c r="Y659" i="1"/>
  <c r="X659" i="1"/>
  <c r="AD658" i="1"/>
  <c r="AC658" i="1"/>
  <c r="AB658" i="1"/>
  <c r="AA658" i="1"/>
  <c r="Z658" i="1"/>
  <c r="Y658" i="1"/>
  <c r="X658" i="1"/>
  <c r="AD657" i="1"/>
  <c r="AC657" i="1"/>
  <c r="AB657" i="1"/>
  <c r="AA657" i="1"/>
  <c r="Z657" i="1"/>
  <c r="Y657" i="1"/>
  <c r="X657" i="1"/>
  <c r="AD656" i="1"/>
  <c r="AC656" i="1"/>
  <c r="AB656" i="1"/>
  <c r="AA656" i="1"/>
  <c r="Z656" i="1"/>
  <c r="Y656" i="1"/>
  <c r="X656" i="1"/>
  <c r="AD655" i="1"/>
  <c r="AC655" i="1"/>
  <c r="AB655" i="1"/>
  <c r="AA655" i="1"/>
  <c r="Z655" i="1"/>
  <c r="Y655" i="1"/>
  <c r="X655" i="1"/>
  <c r="AD654" i="1"/>
  <c r="AC654" i="1"/>
  <c r="AB654" i="1"/>
  <c r="AA654" i="1"/>
  <c r="Z654" i="1"/>
  <c r="Y654" i="1"/>
  <c r="X654" i="1"/>
  <c r="AD653" i="1"/>
  <c r="AC653" i="1"/>
  <c r="AB653" i="1"/>
  <c r="AA653" i="1"/>
  <c r="Z653" i="1"/>
  <c r="Y653" i="1"/>
  <c r="X653" i="1"/>
  <c r="AD652" i="1"/>
  <c r="AC652" i="1"/>
  <c r="AB652" i="1"/>
  <c r="AA652" i="1"/>
  <c r="Z652" i="1"/>
  <c r="Y652" i="1"/>
  <c r="X652" i="1"/>
  <c r="AD651" i="1"/>
  <c r="AC651" i="1"/>
  <c r="AB651" i="1"/>
  <c r="AA651" i="1"/>
  <c r="Z651" i="1"/>
  <c r="Y651" i="1"/>
  <c r="X651" i="1"/>
  <c r="AD650" i="1"/>
  <c r="AC650" i="1"/>
  <c r="AB650" i="1"/>
  <c r="AA650" i="1"/>
  <c r="Z650" i="1"/>
  <c r="Y650" i="1"/>
  <c r="X650" i="1"/>
  <c r="AD649" i="1"/>
  <c r="AC649" i="1"/>
  <c r="AB649" i="1"/>
  <c r="AA649" i="1"/>
  <c r="Z649" i="1"/>
  <c r="Y649" i="1"/>
  <c r="X649" i="1"/>
  <c r="AD648" i="1"/>
  <c r="AC648" i="1"/>
  <c r="AB648" i="1"/>
  <c r="AA648" i="1"/>
  <c r="Z648" i="1"/>
  <c r="Y648" i="1"/>
  <c r="X648" i="1"/>
  <c r="AD647" i="1"/>
  <c r="AC647" i="1"/>
  <c r="AB647" i="1"/>
  <c r="AA647" i="1"/>
  <c r="Z647" i="1"/>
  <c r="Y647" i="1"/>
  <c r="X647" i="1"/>
  <c r="AD646" i="1"/>
  <c r="AC646" i="1"/>
  <c r="AB646" i="1"/>
  <c r="AA646" i="1"/>
  <c r="Z646" i="1"/>
  <c r="Y646" i="1"/>
  <c r="X646" i="1"/>
  <c r="AD645" i="1"/>
  <c r="AC645" i="1"/>
  <c r="AB645" i="1"/>
  <c r="AA645" i="1"/>
  <c r="Z645" i="1"/>
  <c r="Y645" i="1"/>
  <c r="X645" i="1"/>
  <c r="AD644" i="1"/>
  <c r="AC644" i="1"/>
  <c r="AB644" i="1"/>
  <c r="AA644" i="1"/>
  <c r="Z644" i="1"/>
  <c r="Y644" i="1"/>
  <c r="X644" i="1"/>
  <c r="AD643" i="1"/>
  <c r="AC643" i="1"/>
  <c r="AB643" i="1"/>
  <c r="AA643" i="1"/>
  <c r="Z643" i="1"/>
  <c r="Y643" i="1"/>
  <c r="X643" i="1"/>
  <c r="AD642" i="1"/>
  <c r="AC642" i="1"/>
  <c r="AB642" i="1"/>
  <c r="AA642" i="1"/>
  <c r="Z642" i="1"/>
  <c r="Y642" i="1"/>
  <c r="X642" i="1"/>
  <c r="AD641" i="1"/>
  <c r="AC641" i="1"/>
  <c r="AB641" i="1"/>
  <c r="AA641" i="1"/>
  <c r="Z641" i="1"/>
  <c r="Y641" i="1"/>
  <c r="X641" i="1"/>
  <c r="AD640" i="1"/>
  <c r="AC640" i="1"/>
  <c r="AB640" i="1"/>
  <c r="AA640" i="1"/>
  <c r="Z640" i="1"/>
  <c r="Y640" i="1"/>
  <c r="X640" i="1"/>
  <c r="AD639" i="1"/>
  <c r="AC639" i="1"/>
  <c r="AB639" i="1"/>
  <c r="AA639" i="1"/>
  <c r="Z639" i="1"/>
  <c r="Y639" i="1"/>
  <c r="X639" i="1"/>
  <c r="AD638" i="1"/>
  <c r="AC638" i="1"/>
  <c r="AB638" i="1"/>
  <c r="AA638" i="1"/>
  <c r="Z638" i="1"/>
  <c r="Y638" i="1"/>
  <c r="X638" i="1"/>
  <c r="AD637" i="1"/>
  <c r="AC637" i="1"/>
  <c r="AB637" i="1"/>
  <c r="AA637" i="1"/>
  <c r="Z637" i="1"/>
  <c r="Y637" i="1"/>
  <c r="X637" i="1"/>
  <c r="AD636" i="1"/>
  <c r="AC636" i="1"/>
  <c r="AB636" i="1"/>
  <c r="AA636" i="1"/>
  <c r="Z636" i="1"/>
  <c r="Y636" i="1"/>
  <c r="X636" i="1"/>
  <c r="AD635" i="1"/>
  <c r="AC635" i="1"/>
  <c r="AB635" i="1"/>
  <c r="AA635" i="1"/>
  <c r="Z635" i="1"/>
  <c r="Y635" i="1"/>
  <c r="X635" i="1"/>
  <c r="AD634" i="1"/>
  <c r="AC634" i="1"/>
  <c r="AB634" i="1"/>
  <c r="AA634" i="1"/>
  <c r="Z634" i="1"/>
  <c r="Y634" i="1"/>
  <c r="X634" i="1"/>
  <c r="AD633" i="1"/>
  <c r="AC633" i="1"/>
  <c r="AB633" i="1"/>
  <c r="AA633" i="1"/>
  <c r="Z633" i="1"/>
  <c r="Y633" i="1"/>
  <c r="X633" i="1"/>
  <c r="AD632" i="1"/>
  <c r="AC632" i="1"/>
  <c r="AB632" i="1"/>
  <c r="AA632" i="1"/>
  <c r="Z632" i="1"/>
  <c r="Y632" i="1"/>
  <c r="X632" i="1"/>
  <c r="AD631" i="1"/>
  <c r="AC631" i="1"/>
  <c r="AB631" i="1"/>
  <c r="AA631" i="1"/>
  <c r="Z631" i="1"/>
  <c r="Y631" i="1"/>
  <c r="X631" i="1"/>
  <c r="AD630" i="1"/>
  <c r="AC630" i="1"/>
  <c r="AB630" i="1"/>
  <c r="AA630" i="1"/>
  <c r="Z630" i="1"/>
  <c r="Y630" i="1"/>
  <c r="X630" i="1"/>
  <c r="AD629" i="1"/>
  <c r="AC629" i="1"/>
  <c r="AB629" i="1"/>
  <c r="AA629" i="1"/>
  <c r="Z629" i="1"/>
  <c r="Y629" i="1"/>
  <c r="X629" i="1"/>
  <c r="AD628" i="1"/>
  <c r="AC628" i="1"/>
  <c r="AB628" i="1"/>
  <c r="AA628" i="1"/>
  <c r="Z628" i="1"/>
  <c r="Y628" i="1"/>
  <c r="X628" i="1"/>
  <c r="AD627" i="1"/>
  <c r="AC627" i="1"/>
  <c r="AB627" i="1"/>
  <c r="AA627" i="1"/>
  <c r="Z627" i="1"/>
  <c r="Y627" i="1"/>
  <c r="X627" i="1"/>
  <c r="AD626" i="1"/>
  <c r="AC626" i="1"/>
  <c r="AB626" i="1"/>
  <c r="AA626" i="1"/>
  <c r="Z626" i="1"/>
  <c r="Y626" i="1"/>
  <c r="X626" i="1"/>
  <c r="AD625" i="1"/>
  <c r="AC625" i="1"/>
  <c r="AB625" i="1"/>
  <c r="AA625" i="1"/>
  <c r="Z625" i="1"/>
  <c r="Y625" i="1"/>
  <c r="X625" i="1"/>
  <c r="AD624" i="1"/>
  <c r="AC624" i="1"/>
  <c r="AB624" i="1"/>
  <c r="AA624" i="1"/>
  <c r="Z624" i="1"/>
  <c r="Y624" i="1"/>
  <c r="X624" i="1"/>
  <c r="AD623" i="1"/>
  <c r="AC623" i="1"/>
  <c r="AB623" i="1"/>
  <c r="AA623" i="1"/>
  <c r="Z623" i="1"/>
  <c r="Y623" i="1"/>
  <c r="X623" i="1"/>
  <c r="AD622" i="1"/>
  <c r="AC622" i="1"/>
  <c r="AB622" i="1"/>
  <c r="AA622" i="1"/>
  <c r="Z622" i="1"/>
  <c r="Y622" i="1"/>
  <c r="X622" i="1"/>
  <c r="AD621" i="1"/>
  <c r="AC621" i="1"/>
  <c r="AB621" i="1"/>
  <c r="AA621" i="1"/>
  <c r="Z621" i="1"/>
  <c r="Y621" i="1"/>
  <c r="X621" i="1"/>
  <c r="AD620" i="1"/>
  <c r="AC620" i="1"/>
  <c r="AB620" i="1"/>
  <c r="AA620" i="1"/>
  <c r="Z620" i="1"/>
  <c r="Y620" i="1"/>
  <c r="X620" i="1"/>
  <c r="AD619" i="1"/>
  <c r="AC619" i="1"/>
  <c r="AB619" i="1"/>
  <c r="AA619" i="1"/>
  <c r="Z619" i="1"/>
  <c r="Y619" i="1"/>
  <c r="X619" i="1"/>
  <c r="AD618" i="1"/>
  <c r="AC618" i="1"/>
  <c r="AB618" i="1"/>
  <c r="AA618" i="1"/>
  <c r="Z618" i="1"/>
  <c r="Y618" i="1"/>
  <c r="X618" i="1"/>
  <c r="AD617" i="1"/>
  <c r="AC617" i="1"/>
  <c r="AB617" i="1"/>
  <c r="AA617" i="1"/>
  <c r="Z617" i="1"/>
  <c r="Y617" i="1"/>
  <c r="X617" i="1"/>
  <c r="AD616" i="1"/>
  <c r="AC616" i="1"/>
  <c r="AB616" i="1"/>
  <c r="AA616" i="1"/>
  <c r="Z616" i="1"/>
  <c r="Y616" i="1"/>
  <c r="X616" i="1"/>
  <c r="AD615" i="1"/>
  <c r="AC615" i="1"/>
  <c r="AB615" i="1"/>
  <c r="AA615" i="1"/>
  <c r="Z615" i="1"/>
  <c r="Y615" i="1"/>
  <c r="X615" i="1"/>
  <c r="AD614" i="1"/>
  <c r="AC614" i="1"/>
  <c r="AB614" i="1"/>
  <c r="AA614" i="1"/>
  <c r="Z614" i="1"/>
  <c r="Y614" i="1"/>
  <c r="X614" i="1"/>
  <c r="AD613" i="1"/>
  <c r="AC613" i="1"/>
  <c r="AB613" i="1"/>
  <c r="AA613" i="1"/>
  <c r="Z613" i="1"/>
  <c r="Y613" i="1"/>
  <c r="X613" i="1"/>
  <c r="AD612" i="1"/>
  <c r="AC612" i="1"/>
  <c r="AB612" i="1"/>
  <c r="AA612" i="1"/>
  <c r="Z612" i="1"/>
  <c r="Y612" i="1"/>
  <c r="X612" i="1"/>
  <c r="AD611" i="1"/>
  <c r="AC611" i="1"/>
  <c r="AB611" i="1"/>
  <c r="AA611" i="1"/>
  <c r="Z611" i="1"/>
  <c r="Y611" i="1"/>
  <c r="X611" i="1"/>
  <c r="AD610" i="1"/>
  <c r="AC610" i="1"/>
  <c r="AB610" i="1"/>
  <c r="AA610" i="1"/>
  <c r="Z610" i="1"/>
  <c r="Y610" i="1"/>
  <c r="X610" i="1"/>
  <c r="AD609" i="1"/>
  <c r="AC609" i="1"/>
  <c r="AB609" i="1"/>
  <c r="AA609" i="1"/>
  <c r="Z609" i="1"/>
  <c r="Y609" i="1"/>
  <c r="X609" i="1"/>
  <c r="AD608" i="1"/>
  <c r="AC608" i="1"/>
  <c r="AB608" i="1"/>
  <c r="AA608" i="1"/>
  <c r="Z608" i="1"/>
  <c r="Y608" i="1"/>
  <c r="X608" i="1"/>
  <c r="AD607" i="1"/>
  <c r="AC607" i="1"/>
  <c r="AB607" i="1"/>
  <c r="AA607" i="1"/>
  <c r="Z607" i="1"/>
  <c r="Y607" i="1"/>
  <c r="X607" i="1"/>
  <c r="AD606" i="1"/>
  <c r="AC606" i="1"/>
  <c r="AB606" i="1"/>
  <c r="AA606" i="1"/>
  <c r="Z606" i="1"/>
  <c r="Y606" i="1"/>
  <c r="X606" i="1"/>
  <c r="AD605" i="1"/>
  <c r="AC605" i="1"/>
  <c r="AB605" i="1"/>
  <c r="AA605" i="1"/>
  <c r="Z605" i="1"/>
  <c r="Y605" i="1"/>
  <c r="X605" i="1"/>
  <c r="AD604" i="1"/>
  <c r="AC604" i="1"/>
  <c r="AB604" i="1"/>
  <c r="AA604" i="1"/>
  <c r="Z604" i="1"/>
  <c r="Y604" i="1"/>
  <c r="X604" i="1"/>
  <c r="AD603" i="1"/>
  <c r="AC603" i="1"/>
  <c r="AB603" i="1"/>
  <c r="AA603" i="1"/>
  <c r="Z603" i="1"/>
  <c r="Y603" i="1"/>
  <c r="X603" i="1"/>
  <c r="AD602" i="1"/>
  <c r="AC602" i="1"/>
  <c r="AB602" i="1"/>
  <c r="AA602" i="1"/>
  <c r="Z602" i="1"/>
  <c r="Y602" i="1"/>
  <c r="X602" i="1"/>
  <c r="AD601" i="1"/>
  <c r="AC601" i="1"/>
  <c r="AB601" i="1"/>
  <c r="AA601" i="1"/>
  <c r="Z601" i="1"/>
  <c r="Y601" i="1"/>
  <c r="X601" i="1"/>
  <c r="AD600" i="1"/>
  <c r="AC600" i="1"/>
  <c r="AB600" i="1"/>
  <c r="AA600" i="1"/>
  <c r="Z600" i="1"/>
  <c r="Y600" i="1"/>
  <c r="X600" i="1"/>
  <c r="AD599" i="1"/>
  <c r="AC599" i="1"/>
  <c r="AB599" i="1"/>
  <c r="AA599" i="1"/>
  <c r="Z599" i="1"/>
  <c r="Y599" i="1"/>
  <c r="X599" i="1"/>
  <c r="AD598" i="1"/>
  <c r="AC598" i="1"/>
  <c r="AB598" i="1"/>
  <c r="AA598" i="1"/>
  <c r="Z598" i="1"/>
  <c r="Y598" i="1"/>
  <c r="X598" i="1"/>
  <c r="AD597" i="1"/>
  <c r="AC597" i="1"/>
  <c r="AB597" i="1"/>
  <c r="AA597" i="1"/>
  <c r="Z597" i="1"/>
  <c r="Y597" i="1"/>
  <c r="X597" i="1"/>
  <c r="AD596" i="1"/>
  <c r="AC596" i="1"/>
  <c r="AB596" i="1"/>
  <c r="AA596" i="1"/>
  <c r="Z596" i="1"/>
  <c r="Y596" i="1"/>
  <c r="X596" i="1"/>
  <c r="AD595" i="1"/>
  <c r="AC595" i="1"/>
  <c r="AB595" i="1"/>
  <c r="AA595" i="1"/>
  <c r="Z595" i="1"/>
  <c r="Y595" i="1"/>
  <c r="X595" i="1"/>
  <c r="AD594" i="1"/>
  <c r="AC594" i="1"/>
  <c r="AB594" i="1"/>
  <c r="AA594" i="1"/>
  <c r="Z594" i="1"/>
  <c r="Y594" i="1"/>
  <c r="X594" i="1"/>
  <c r="AD593" i="1"/>
  <c r="AC593" i="1"/>
  <c r="AB593" i="1"/>
  <c r="AA593" i="1"/>
  <c r="Z593" i="1"/>
  <c r="Y593" i="1"/>
  <c r="X593" i="1"/>
  <c r="AD592" i="1"/>
  <c r="AC592" i="1"/>
  <c r="AB592" i="1"/>
  <c r="AA592" i="1"/>
  <c r="Z592" i="1"/>
  <c r="Y592" i="1"/>
  <c r="X592" i="1"/>
  <c r="AD591" i="1"/>
  <c r="AC591" i="1"/>
  <c r="AB591" i="1"/>
  <c r="AA591" i="1"/>
  <c r="Z591" i="1"/>
  <c r="Y591" i="1"/>
  <c r="X591" i="1"/>
  <c r="AD590" i="1"/>
  <c r="AC590" i="1"/>
  <c r="AB590" i="1"/>
  <c r="AA590" i="1"/>
  <c r="Z590" i="1"/>
  <c r="Y590" i="1"/>
  <c r="X590" i="1"/>
  <c r="AD589" i="1"/>
  <c r="AC589" i="1"/>
  <c r="AB589" i="1"/>
  <c r="AA589" i="1"/>
  <c r="Z589" i="1"/>
  <c r="Y589" i="1"/>
  <c r="X589" i="1"/>
  <c r="AD588" i="1"/>
  <c r="AC588" i="1"/>
  <c r="AB588" i="1"/>
  <c r="AA588" i="1"/>
  <c r="Z588" i="1"/>
  <c r="Y588" i="1"/>
  <c r="X588" i="1"/>
  <c r="AD587" i="1"/>
  <c r="AC587" i="1"/>
  <c r="AB587" i="1"/>
  <c r="AA587" i="1"/>
  <c r="Z587" i="1"/>
  <c r="Y587" i="1"/>
  <c r="X587" i="1"/>
  <c r="AD586" i="1"/>
  <c r="AC586" i="1"/>
  <c r="AB586" i="1"/>
  <c r="AA586" i="1"/>
  <c r="Z586" i="1"/>
  <c r="Y586" i="1"/>
  <c r="X586" i="1"/>
  <c r="AD585" i="1"/>
  <c r="AC585" i="1"/>
  <c r="AB585" i="1"/>
  <c r="AA585" i="1"/>
  <c r="Z585" i="1"/>
  <c r="Y585" i="1"/>
  <c r="X585" i="1"/>
  <c r="AD584" i="1"/>
  <c r="AC584" i="1"/>
  <c r="AB584" i="1"/>
  <c r="AA584" i="1"/>
  <c r="Z584" i="1"/>
  <c r="Y584" i="1"/>
  <c r="X584" i="1"/>
  <c r="AD583" i="1"/>
  <c r="AC583" i="1"/>
  <c r="AB583" i="1"/>
  <c r="AA583" i="1"/>
  <c r="Z583" i="1"/>
  <c r="Y583" i="1"/>
  <c r="X583" i="1"/>
  <c r="AD582" i="1"/>
  <c r="AC582" i="1"/>
  <c r="AB582" i="1"/>
  <c r="AA582" i="1"/>
  <c r="Z582" i="1"/>
  <c r="Y582" i="1"/>
  <c r="X582" i="1"/>
  <c r="AD581" i="1"/>
  <c r="AC581" i="1"/>
  <c r="AB581" i="1"/>
  <c r="AA581" i="1"/>
  <c r="Z581" i="1"/>
  <c r="Y581" i="1"/>
  <c r="X581" i="1"/>
  <c r="AD580" i="1"/>
  <c r="AC580" i="1"/>
  <c r="AB580" i="1"/>
  <c r="AA580" i="1"/>
  <c r="Z580" i="1"/>
  <c r="Y580" i="1"/>
  <c r="X580" i="1"/>
  <c r="AD579" i="1"/>
  <c r="AC579" i="1"/>
  <c r="AB579" i="1"/>
  <c r="AA579" i="1"/>
  <c r="Z579" i="1"/>
  <c r="Y579" i="1"/>
  <c r="X579" i="1"/>
  <c r="AD578" i="1"/>
  <c r="AC578" i="1"/>
  <c r="AB578" i="1"/>
  <c r="AA578" i="1"/>
  <c r="Z578" i="1"/>
  <c r="Y578" i="1"/>
  <c r="X578" i="1"/>
  <c r="AD577" i="1"/>
  <c r="AC577" i="1"/>
  <c r="AB577" i="1"/>
  <c r="AA577" i="1"/>
  <c r="Z577" i="1"/>
  <c r="Y577" i="1"/>
  <c r="X577" i="1"/>
  <c r="AD576" i="1"/>
  <c r="AC576" i="1"/>
  <c r="AB576" i="1"/>
  <c r="AA576" i="1"/>
  <c r="Z576" i="1"/>
  <c r="Y576" i="1"/>
  <c r="X576" i="1"/>
  <c r="AD575" i="1"/>
  <c r="AC575" i="1"/>
  <c r="AB575" i="1"/>
  <c r="AA575" i="1"/>
  <c r="Z575" i="1"/>
  <c r="Y575" i="1"/>
  <c r="X575" i="1"/>
  <c r="AD574" i="1"/>
  <c r="AC574" i="1"/>
  <c r="AB574" i="1"/>
  <c r="AA574" i="1"/>
  <c r="Z574" i="1"/>
  <c r="Y574" i="1"/>
  <c r="X574" i="1"/>
  <c r="AD573" i="1"/>
  <c r="AC573" i="1"/>
  <c r="AB573" i="1"/>
  <c r="AA573" i="1"/>
  <c r="Z573" i="1"/>
  <c r="Y573" i="1"/>
  <c r="X573" i="1"/>
  <c r="AD572" i="1"/>
  <c r="AC572" i="1"/>
  <c r="AB572" i="1"/>
  <c r="AA572" i="1"/>
  <c r="Z572" i="1"/>
  <c r="Y572" i="1"/>
  <c r="X572" i="1"/>
  <c r="AD571" i="1"/>
  <c r="AC571" i="1"/>
  <c r="AB571" i="1"/>
  <c r="AA571" i="1"/>
  <c r="Z571" i="1"/>
  <c r="Y571" i="1"/>
  <c r="X571" i="1"/>
  <c r="AD570" i="1"/>
  <c r="AC570" i="1"/>
  <c r="AB570" i="1"/>
  <c r="AA570" i="1"/>
  <c r="Z570" i="1"/>
  <c r="Y570" i="1"/>
  <c r="X570" i="1"/>
  <c r="AD569" i="1"/>
  <c r="AC569" i="1"/>
  <c r="AB569" i="1"/>
  <c r="AA569" i="1"/>
  <c r="Z569" i="1"/>
  <c r="Y569" i="1"/>
  <c r="X569" i="1"/>
  <c r="AD568" i="1"/>
  <c r="AC568" i="1"/>
  <c r="AB568" i="1"/>
  <c r="AA568" i="1"/>
  <c r="Z568" i="1"/>
  <c r="Y568" i="1"/>
  <c r="X568" i="1"/>
  <c r="AD567" i="1"/>
  <c r="AC567" i="1"/>
  <c r="AB567" i="1"/>
  <c r="AA567" i="1"/>
  <c r="Z567" i="1"/>
  <c r="Y567" i="1"/>
  <c r="X567" i="1"/>
  <c r="AD566" i="1"/>
  <c r="AC566" i="1"/>
  <c r="AB566" i="1"/>
  <c r="AA566" i="1"/>
  <c r="Z566" i="1"/>
  <c r="Y566" i="1"/>
  <c r="X566" i="1"/>
  <c r="AD565" i="1"/>
  <c r="AC565" i="1"/>
  <c r="AB565" i="1"/>
  <c r="AA565" i="1"/>
  <c r="Z565" i="1"/>
  <c r="Y565" i="1"/>
  <c r="X565" i="1"/>
  <c r="AD564" i="1"/>
  <c r="AC564" i="1"/>
  <c r="AB564" i="1"/>
  <c r="AA564" i="1"/>
  <c r="Z564" i="1"/>
  <c r="Y564" i="1"/>
  <c r="X564" i="1"/>
  <c r="AD563" i="1"/>
  <c r="AC563" i="1"/>
  <c r="AB563" i="1"/>
  <c r="AA563" i="1"/>
  <c r="Z563" i="1"/>
  <c r="Y563" i="1"/>
  <c r="X563" i="1"/>
  <c r="AD562" i="1"/>
  <c r="AC562" i="1"/>
  <c r="AB562" i="1"/>
  <c r="AA562" i="1"/>
  <c r="Z562" i="1"/>
  <c r="Y562" i="1"/>
  <c r="X562" i="1"/>
  <c r="AD561" i="1"/>
  <c r="AC561" i="1"/>
  <c r="AB561" i="1"/>
  <c r="AA561" i="1"/>
  <c r="Z561" i="1"/>
  <c r="Y561" i="1"/>
  <c r="X561" i="1"/>
  <c r="AD560" i="1"/>
  <c r="AC560" i="1"/>
  <c r="AB560" i="1"/>
  <c r="AA560" i="1"/>
  <c r="Z560" i="1"/>
  <c r="Y560" i="1"/>
  <c r="X560" i="1"/>
  <c r="AD559" i="1"/>
  <c r="AC559" i="1"/>
  <c r="AB559" i="1"/>
  <c r="AA559" i="1"/>
  <c r="Z559" i="1"/>
  <c r="Y559" i="1"/>
  <c r="X559" i="1"/>
  <c r="AD558" i="1"/>
  <c r="AC558" i="1"/>
  <c r="AB558" i="1"/>
  <c r="AA558" i="1"/>
  <c r="Z558" i="1"/>
  <c r="Y558" i="1"/>
  <c r="X558" i="1"/>
  <c r="AD557" i="1"/>
  <c r="AC557" i="1"/>
  <c r="AB557" i="1"/>
  <c r="AA557" i="1"/>
  <c r="Z557" i="1"/>
  <c r="Y557" i="1"/>
  <c r="X557" i="1"/>
  <c r="AD556" i="1"/>
  <c r="AC556" i="1"/>
  <c r="AB556" i="1"/>
  <c r="AA556" i="1"/>
  <c r="Z556" i="1"/>
  <c r="Y556" i="1"/>
  <c r="X556" i="1"/>
  <c r="AD555" i="1"/>
  <c r="AC555" i="1"/>
  <c r="AB555" i="1"/>
  <c r="AA555" i="1"/>
  <c r="Z555" i="1"/>
  <c r="Y555" i="1"/>
  <c r="X555" i="1"/>
  <c r="AD554" i="1"/>
  <c r="AC554" i="1"/>
  <c r="AB554" i="1"/>
  <c r="AA554" i="1"/>
  <c r="Z554" i="1"/>
  <c r="Y554" i="1"/>
  <c r="X554" i="1"/>
  <c r="AD553" i="1"/>
  <c r="AC553" i="1"/>
  <c r="AB553" i="1"/>
  <c r="AA553" i="1"/>
  <c r="Z553" i="1"/>
  <c r="Y553" i="1"/>
  <c r="X553" i="1"/>
  <c r="AD552" i="1"/>
  <c r="AC552" i="1"/>
  <c r="AB552" i="1"/>
  <c r="AA552" i="1"/>
  <c r="Z552" i="1"/>
  <c r="Y552" i="1"/>
  <c r="X552" i="1"/>
  <c r="AD551" i="1"/>
  <c r="AC551" i="1"/>
  <c r="AB551" i="1"/>
  <c r="AA551" i="1"/>
  <c r="Z551" i="1"/>
  <c r="Y551" i="1"/>
  <c r="X551" i="1"/>
  <c r="AD550" i="1"/>
  <c r="AC550" i="1"/>
  <c r="AB550" i="1"/>
  <c r="AA550" i="1"/>
  <c r="Z550" i="1"/>
  <c r="Y550" i="1"/>
  <c r="X550" i="1"/>
  <c r="AD549" i="1"/>
  <c r="AC549" i="1"/>
  <c r="AB549" i="1"/>
  <c r="AA549" i="1"/>
  <c r="Z549" i="1"/>
  <c r="Y549" i="1"/>
  <c r="X549" i="1"/>
  <c r="AD548" i="1"/>
  <c r="AC548" i="1"/>
  <c r="AB548" i="1"/>
  <c r="AA548" i="1"/>
  <c r="Z548" i="1"/>
  <c r="Y548" i="1"/>
  <c r="X548" i="1"/>
  <c r="AD547" i="1"/>
  <c r="AC547" i="1"/>
  <c r="AB547" i="1"/>
  <c r="AA547" i="1"/>
  <c r="Z547" i="1"/>
  <c r="Y547" i="1"/>
  <c r="X547" i="1"/>
  <c r="AD546" i="1"/>
  <c r="AC546" i="1"/>
  <c r="AB546" i="1"/>
  <c r="AA546" i="1"/>
  <c r="Z546" i="1"/>
  <c r="Y546" i="1"/>
  <c r="X546" i="1"/>
  <c r="AD545" i="1"/>
  <c r="AC545" i="1"/>
  <c r="AB545" i="1"/>
  <c r="AA545" i="1"/>
  <c r="Z545" i="1"/>
  <c r="Y545" i="1"/>
  <c r="X545" i="1"/>
  <c r="AD544" i="1"/>
  <c r="AC544" i="1"/>
  <c r="AB544" i="1"/>
  <c r="AA544" i="1"/>
  <c r="Z544" i="1"/>
  <c r="Y544" i="1"/>
  <c r="X544" i="1"/>
  <c r="AD543" i="1"/>
  <c r="AC543" i="1"/>
  <c r="AB543" i="1"/>
  <c r="AA543" i="1"/>
  <c r="Z543" i="1"/>
  <c r="Y543" i="1"/>
  <c r="X543" i="1"/>
  <c r="AD542" i="1"/>
  <c r="AC542" i="1"/>
  <c r="AB542" i="1"/>
  <c r="AA542" i="1"/>
  <c r="Z542" i="1"/>
  <c r="Y542" i="1"/>
  <c r="X542" i="1"/>
  <c r="AD541" i="1"/>
  <c r="AC541" i="1"/>
  <c r="AB541" i="1"/>
  <c r="AA541" i="1"/>
  <c r="Z541" i="1"/>
  <c r="Y541" i="1"/>
  <c r="X541" i="1"/>
  <c r="AD540" i="1"/>
  <c r="AC540" i="1"/>
  <c r="AB540" i="1"/>
  <c r="AA540" i="1"/>
  <c r="Z540" i="1"/>
  <c r="Y540" i="1"/>
  <c r="X540" i="1"/>
  <c r="AD539" i="1"/>
  <c r="AC539" i="1"/>
  <c r="AB539" i="1"/>
  <c r="AA539" i="1"/>
  <c r="Z539" i="1"/>
  <c r="Y539" i="1"/>
  <c r="X539" i="1"/>
  <c r="AD538" i="1"/>
  <c r="AC538" i="1"/>
  <c r="AB538" i="1"/>
  <c r="AA538" i="1"/>
  <c r="Z538" i="1"/>
  <c r="Y538" i="1"/>
  <c r="X538" i="1"/>
  <c r="AD537" i="1"/>
  <c r="AC537" i="1"/>
  <c r="AB537" i="1"/>
  <c r="AA537" i="1"/>
  <c r="Z537" i="1"/>
  <c r="Y537" i="1"/>
  <c r="X537" i="1"/>
  <c r="AD536" i="1"/>
  <c r="AC536" i="1"/>
  <c r="AB536" i="1"/>
  <c r="AA536" i="1"/>
  <c r="Z536" i="1"/>
  <c r="Y536" i="1"/>
  <c r="X536" i="1"/>
  <c r="AD535" i="1"/>
  <c r="AC535" i="1"/>
  <c r="AB535" i="1"/>
  <c r="AA535" i="1"/>
  <c r="Z535" i="1"/>
  <c r="Y535" i="1"/>
  <c r="X535" i="1"/>
  <c r="AD534" i="1"/>
  <c r="AC534" i="1"/>
  <c r="AB534" i="1"/>
  <c r="AA534" i="1"/>
  <c r="Z534" i="1"/>
  <c r="Y534" i="1"/>
  <c r="X534" i="1"/>
  <c r="AD533" i="1"/>
  <c r="AC533" i="1"/>
  <c r="AB533" i="1"/>
  <c r="AA533" i="1"/>
  <c r="Z533" i="1"/>
  <c r="Y533" i="1"/>
  <c r="X533" i="1"/>
  <c r="AD532" i="1"/>
  <c r="AC532" i="1"/>
  <c r="AB532" i="1"/>
  <c r="AA532" i="1"/>
  <c r="Z532" i="1"/>
  <c r="Y532" i="1"/>
  <c r="X532" i="1"/>
  <c r="AD531" i="1"/>
  <c r="AC531" i="1"/>
  <c r="AB531" i="1"/>
  <c r="AA531" i="1"/>
  <c r="Z531" i="1"/>
  <c r="Y531" i="1"/>
  <c r="X531" i="1"/>
  <c r="AD530" i="1"/>
  <c r="AC530" i="1"/>
  <c r="AB530" i="1"/>
  <c r="AA530" i="1"/>
  <c r="Z530" i="1"/>
  <c r="Y530" i="1"/>
  <c r="X530" i="1"/>
  <c r="AD529" i="1"/>
  <c r="AC529" i="1"/>
  <c r="AB529" i="1"/>
  <c r="AA529" i="1"/>
  <c r="Z529" i="1"/>
  <c r="Y529" i="1"/>
  <c r="X529" i="1"/>
  <c r="AD528" i="1"/>
  <c r="AC528" i="1"/>
  <c r="AB528" i="1"/>
  <c r="AA528" i="1"/>
  <c r="Z528" i="1"/>
  <c r="Y528" i="1"/>
  <c r="X528" i="1"/>
  <c r="AD527" i="1"/>
  <c r="AC527" i="1"/>
  <c r="AB527" i="1"/>
  <c r="AA527" i="1"/>
  <c r="Z527" i="1"/>
  <c r="Y527" i="1"/>
  <c r="X527" i="1"/>
  <c r="AD526" i="1"/>
  <c r="AC526" i="1"/>
  <c r="AB526" i="1"/>
  <c r="AA526" i="1"/>
  <c r="Z526" i="1"/>
  <c r="Y526" i="1"/>
  <c r="X526" i="1"/>
  <c r="AD525" i="1"/>
  <c r="AC525" i="1"/>
  <c r="AB525" i="1"/>
  <c r="AA525" i="1"/>
  <c r="Z525" i="1"/>
  <c r="Y525" i="1"/>
  <c r="X525" i="1"/>
  <c r="AD524" i="1"/>
  <c r="AC524" i="1"/>
  <c r="AB524" i="1"/>
  <c r="AA524" i="1"/>
  <c r="Z524" i="1"/>
  <c r="Y524" i="1"/>
  <c r="X524" i="1"/>
  <c r="AD523" i="1"/>
  <c r="AC523" i="1"/>
  <c r="AB523" i="1"/>
  <c r="AA523" i="1"/>
  <c r="Z523" i="1"/>
  <c r="Y523" i="1"/>
  <c r="X523" i="1"/>
  <c r="AD522" i="1"/>
  <c r="AC522" i="1"/>
  <c r="AB522" i="1"/>
  <c r="AA522" i="1"/>
  <c r="Z522" i="1"/>
  <c r="Y522" i="1"/>
  <c r="X522" i="1"/>
  <c r="AD521" i="1"/>
  <c r="AC521" i="1"/>
  <c r="AB521" i="1"/>
  <c r="AA521" i="1"/>
  <c r="Z521" i="1"/>
  <c r="Y521" i="1"/>
  <c r="X521" i="1"/>
  <c r="AD520" i="1"/>
  <c r="AC520" i="1"/>
  <c r="AB520" i="1"/>
  <c r="AA520" i="1"/>
  <c r="Z520" i="1"/>
  <c r="Y520" i="1"/>
  <c r="X520" i="1"/>
  <c r="AD519" i="1"/>
  <c r="AC519" i="1"/>
  <c r="AB519" i="1"/>
  <c r="AA519" i="1"/>
  <c r="Z519" i="1"/>
  <c r="Y519" i="1"/>
  <c r="X519" i="1"/>
  <c r="AD518" i="1"/>
  <c r="AC518" i="1"/>
  <c r="AB518" i="1"/>
  <c r="AA518" i="1"/>
  <c r="Z518" i="1"/>
  <c r="Y518" i="1"/>
  <c r="X518" i="1"/>
  <c r="AD517" i="1"/>
  <c r="AC517" i="1"/>
  <c r="AB517" i="1"/>
  <c r="AA517" i="1"/>
  <c r="Z517" i="1"/>
  <c r="Y517" i="1"/>
  <c r="X517" i="1"/>
  <c r="AD516" i="1"/>
  <c r="AC516" i="1"/>
  <c r="AB516" i="1"/>
  <c r="AA516" i="1"/>
  <c r="Z516" i="1"/>
  <c r="Y516" i="1"/>
  <c r="X516" i="1"/>
  <c r="AD515" i="1"/>
  <c r="AC515" i="1"/>
  <c r="AB515" i="1"/>
  <c r="AA515" i="1"/>
  <c r="Z515" i="1"/>
  <c r="Y515" i="1"/>
  <c r="X515" i="1"/>
  <c r="AD514" i="1"/>
  <c r="AC514" i="1"/>
  <c r="AB514" i="1"/>
  <c r="AA514" i="1"/>
  <c r="Z514" i="1"/>
  <c r="Y514" i="1"/>
  <c r="X514" i="1"/>
  <c r="AD513" i="1"/>
  <c r="AC513" i="1"/>
  <c r="AB513" i="1"/>
  <c r="AA513" i="1"/>
  <c r="Z513" i="1"/>
  <c r="Y513" i="1"/>
  <c r="X513" i="1"/>
  <c r="AD512" i="1"/>
  <c r="AC512" i="1"/>
  <c r="AB512" i="1"/>
  <c r="AA512" i="1"/>
  <c r="Z512" i="1"/>
  <c r="Y512" i="1"/>
  <c r="X512" i="1"/>
  <c r="AD511" i="1"/>
  <c r="AC511" i="1"/>
  <c r="AB511" i="1"/>
  <c r="AA511" i="1"/>
  <c r="Z511" i="1"/>
  <c r="Y511" i="1"/>
  <c r="X511" i="1"/>
  <c r="AD510" i="1"/>
  <c r="AC510" i="1"/>
  <c r="AB510" i="1"/>
  <c r="AA510" i="1"/>
  <c r="Z510" i="1"/>
  <c r="Y510" i="1"/>
  <c r="X510" i="1"/>
  <c r="AD509" i="1"/>
  <c r="AC509" i="1"/>
  <c r="AB509" i="1"/>
  <c r="AA509" i="1"/>
  <c r="Z509" i="1"/>
  <c r="Y509" i="1"/>
  <c r="X509" i="1"/>
  <c r="AD508" i="1"/>
  <c r="AC508" i="1"/>
  <c r="AB508" i="1"/>
  <c r="AA508" i="1"/>
  <c r="Z508" i="1"/>
  <c r="Y508" i="1"/>
  <c r="X508" i="1"/>
  <c r="AD507" i="1"/>
  <c r="AC507" i="1"/>
  <c r="AB507" i="1"/>
  <c r="AA507" i="1"/>
  <c r="Z507" i="1"/>
  <c r="Y507" i="1"/>
  <c r="X507" i="1"/>
  <c r="AD506" i="1"/>
  <c r="AC506" i="1"/>
  <c r="AB506" i="1"/>
  <c r="AA506" i="1"/>
  <c r="Z506" i="1"/>
  <c r="Y506" i="1"/>
  <c r="X506" i="1"/>
  <c r="AD505" i="1"/>
  <c r="AC505" i="1"/>
  <c r="AB505" i="1"/>
  <c r="AA505" i="1"/>
  <c r="Z505" i="1"/>
  <c r="Y505" i="1"/>
  <c r="X505" i="1"/>
  <c r="AD504" i="1"/>
  <c r="AC504" i="1"/>
  <c r="AB504" i="1"/>
  <c r="AA504" i="1"/>
  <c r="Z504" i="1"/>
  <c r="Y504" i="1"/>
  <c r="X504" i="1"/>
  <c r="AD503" i="1"/>
  <c r="AC503" i="1"/>
  <c r="AB503" i="1"/>
  <c r="AA503" i="1"/>
  <c r="Z503" i="1"/>
  <c r="Y503" i="1"/>
  <c r="X503" i="1"/>
  <c r="AD502" i="1"/>
  <c r="AC502" i="1"/>
  <c r="AB502" i="1"/>
  <c r="AA502" i="1"/>
  <c r="Z502" i="1"/>
  <c r="Y502" i="1"/>
  <c r="X502" i="1"/>
  <c r="AD501" i="1"/>
  <c r="AC501" i="1"/>
  <c r="AB501" i="1"/>
  <c r="AA501" i="1"/>
  <c r="Z501" i="1"/>
  <c r="Y501" i="1"/>
  <c r="X501" i="1"/>
  <c r="AD500" i="1"/>
  <c r="AC500" i="1"/>
  <c r="AB500" i="1"/>
  <c r="AA500" i="1"/>
  <c r="Z500" i="1"/>
  <c r="Y500" i="1"/>
  <c r="X500" i="1"/>
  <c r="AD499" i="1"/>
  <c r="AC499" i="1"/>
  <c r="AB499" i="1"/>
  <c r="AA499" i="1"/>
  <c r="Z499" i="1"/>
  <c r="Y499" i="1"/>
  <c r="X499" i="1"/>
  <c r="AD498" i="1"/>
  <c r="AC498" i="1"/>
  <c r="AB498" i="1"/>
  <c r="AA498" i="1"/>
  <c r="Z498" i="1"/>
  <c r="Y498" i="1"/>
  <c r="X498" i="1"/>
  <c r="AD497" i="1"/>
  <c r="AC497" i="1"/>
  <c r="AB497" i="1"/>
  <c r="AA497" i="1"/>
  <c r="Z497" i="1"/>
  <c r="Y497" i="1"/>
  <c r="X497" i="1"/>
  <c r="AD496" i="1"/>
  <c r="AC496" i="1"/>
  <c r="AB496" i="1"/>
  <c r="AA496" i="1"/>
  <c r="Z496" i="1"/>
  <c r="Y496" i="1"/>
  <c r="X496" i="1"/>
  <c r="AD495" i="1"/>
  <c r="AC495" i="1"/>
  <c r="AB495" i="1"/>
  <c r="AA495" i="1"/>
  <c r="Z495" i="1"/>
  <c r="Y495" i="1"/>
  <c r="X495" i="1"/>
  <c r="AD494" i="1"/>
  <c r="AC494" i="1"/>
  <c r="AB494" i="1"/>
  <c r="AA494" i="1"/>
  <c r="Z494" i="1"/>
  <c r="Y494" i="1"/>
  <c r="X494" i="1"/>
  <c r="AD493" i="1"/>
  <c r="AC493" i="1"/>
  <c r="AB493" i="1"/>
  <c r="AA493" i="1"/>
  <c r="Z493" i="1"/>
  <c r="Y493" i="1"/>
  <c r="X493" i="1"/>
  <c r="AD492" i="1"/>
  <c r="AC492" i="1"/>
  <c r="AB492" i="1"/>
  <c r="AA492" i="1"/>
  <c r="Z492" i="1"/>
  <c r="Y492" i="1"/>
  <c r="X492" i="1"/>
  <c r="AD491" i="1"/>
  <c r="AC491" i="1"/>
  <c r="AB491" i="1"/>
  <c r="AA491" i="1"/>
  <c r="Z491" i="1"/>
  <c r="Y491" i="1"/>
  <c r="X491" i="1"/>
  <c r="AD490" i="1"/>
  <c r="AC490" i="1"/>
  <c r="AB490" i="1"/>
  <c r="AA490" i="1"/>
  <c r="Z490" i="1"/>
  <c r="Y490" i="1"/>
  <c r="X490" i="1"/>
  <c r="AD489" i="1"/>
  <c r="AC489" i="1"/>
  <c r="AB489" i="1"/>
  <c r="AA489" i="1"/>
  <c r="Z489" i="1"/>
  <c r="Y489" i="1"/>
  <c r="X489" i="1"/>
  <c r="AD488" i="1"/>
  <c r="AC488" i="1"/>
  <c r="AB488" i="1"/>
  <c r="AA488" i="1"/>
  <c r="Z488" i="1"/>
  <c r="Y488" i="1"/>
  <c r="X488" i="1"/>
  <c r="AD487" i="1"/>
  <c r="AC487" i="1"/>
  <c r="AB487" i="1"/>
  <c r="AA487" i="1"/>
  <c r="Z487" i="1"/>
  <c r="Y487" i="1"/>
  <c r="X487" i="1"/>
  <c r="AD486" i="1"/>
  <c r="AC486" i="1"/>
  <c r="AB486" i="1"/>
  <c r="AA486" i="1"/>
  <c r="Z486" i="1"/>
  <c r="Y486" i="1"/>
  <c r="X486" i="1"/>
  <c r="AD485" i="1"/>
  <c r="AC485" i="1"/>
  <c r="AB485" i="1"/>
  <c r="AA485" i="1"/>
  <c r="Z485" i="1"/>
  <c r="Y485" i="1"/>
  <c r="X485" i="1"/>
  <c r="AD484" i="1"/>
  <c r="AC484" i="1"/>
  <c r="AB484" i="1"/>
  <c r="AA484" i="1"/>
  <c r="Z484" i="1"/>
  <c r="Y484" i="1"/>
  <c r="X484" i="1"/>
  <c r="AD483" i="1"/>
  <c r="AC483" i="1"/>
  <c r="AB483" i="1"/>
  <c r="AA483" i="1"/>
  <c r="Z483" i="1"/>
  <c r="Y483" i="1"/>
  <c r="X483" i="1"/>
  <c r="AD482" i="1"/>
  <c r="AC482" i="1"/>
  <c r="AB482" i="1"/>
  <c r="AA482" i="1"/>
  <c r="Z482" i="1"/>
  <c r="Y482" i="1"/>
  <c r="X482" i="1"/>
  <c r="AD481" i="1"/>
  <c r="AC481" i="1"/>
  <c r="AB481" i="1"/>
  <c r="AA481" i="1"/>
  <c r="Z481" i="1"/>
  <c r="Y481" i="1"/>
  <c r="X481" i="1"/>
  <c r="AD480" i="1"/>
  <c r="AC480" i="1"/>
  <c r="AB480" i="1"/>
  <c r="AA480" i="1"/>
  <c r="Z480" i="1"/>
  <c r="Y480" i="1"/>
  <c r="X480" i="1"/>
  <c r="AD479" i="1"/>
  <c r="AC479" i="1"/>
  <c r="AB479" i="1"/>
  <c r="AA479" i="1"/>
  <c r="Z479" i="1"/>
  <c r="Y479" i="1"/>
  <c r="X479" i="1"/>
  <c r="AD478" i="1"/>
  <c r="AC478" i="1"/>
  <c r="AB478" i="1"/>
  <c r="AA478" i="1"/>
  <c r="Z478" i="1"/>
  <c r="Y478" i="1"/>
  <c r="X478" i="1"/>
  <c r="AD477" i="1"/>
  <c r="AC477" i="1"/>
  <c r="AB477" i="1"/>
  <c r="AA477" i="1"/>
  <c r="Z477" i="1"/>
  <c r="Y477" i="1"/>
  <c r="X477" i="1"/>
  <c r="AD476" i="1"/>
  <c r="AC476" i="1"/>
  <c r="AB476" i="1"/>
  <c r="AA476" i="1"/>
  <c r="Z476" i="1"/>
  <c r="Y476" i="1"/>
  <c r="X476" i="1"/>
  <c r="AD475" i="1"/>
  <c r="AC475" i="1"/>
  <c r="AB475" i="1"/>
  <c r="AA475" i="1"/>
  <c r="Z475" i="1"/>
  <c r="Y475" i="1"/>
  <c r="X475" i="1"/>
  <c r="AD474" i="1"/>
  <c r="AC474" i="1"/>
  <c r="AB474" i="1"/>
  <c r="AA474" i="1"/>
  <c r="Z474" i="1"/>
  <c r="Y474" i="1"/>
  <c r="X474" i="1"/>
  <c r="AD473" i="1"/>
  <c r="AC473" i="1"/>
  <c r="AB473" i="1"/>
  <c r="AA473" i="1"/>
  <c r="Z473" i="1"/>
  <c r="Y473" i="1"/>
  <c r="X473" i="1"/>
  <c r="AD472" i="1"/>
  <c r="AC472" i="1"/>
  <c r="AB472" i="1"/>
  <c r="AA472" i="1"/>
  <c r="Z472" i="1"/>
  <c r="Y472" i="1"/>
  <c r="X472" i="1"/>
  <c r="AD471" i="1"/>
  <c r="AC471" i="1"/>
  <c r="AB471" i="1"/>
  <c r="AA471" i="1"/>
  <c r="Z471" i="1"/>
  <c r="Y471" i="1"/>
  <c r="X471" i="1"/>
  <c r="AD470" i="1"/>
  <c r="AC470" i="1"/>
  <c r="AB470" i="1"/>
  <c r="AA470" i="1"/>
  <c r="Z470" i="1"/>
  <c r="Y470" i="1"/>
  <c r="X470" i="1"/>
  <c r="AD469" i="1"/>
  <c r="AC469" i="1"/>
  <c r="AB469" i="1"/>
  <c r="AA469" i="1"/>
  <c r="Z469" i="1"/>
  <c r="Y469" i="1"/>
  <c r="X469" i="1"/>
  <c r="AD468" i="1"/>
  <c r="AC468" i="1"/>
  <c r="AB468" i="1"/>
  <c r="AA468" i="1"/>
  <c r="Z468" i="1"/>
  <c r="Y468" i="1"/>
  <c r="X468" i="1"/>
  <c r="AD467" i="1"/>
  <c r="AC467" i="1"/>
  <c r="AB467" i="1"/>
  <c r="AA467" i="1"/>
  <c r="Z467" i="1"/>
  <c r="Y467" i="1"/>
  <c r="X467" i="1"/>
  <c r="AD466" i="1"/>
  <c r="AC466" i="1"/>
  <c r="AB466" i="1"/>
  <c r="AA466" i="1"/>
  <c r="Z466" i="1"/>
  <c r="Y466" i="1"/>
  <c r="X466" i="1"/>
  <c r="AD465" i="1"/>
  <c r="AC465" i="1"/>
  <c r="AB465" i="1"/>
  <c r="AA465" i="1"/>
  <c r="Z465" i="1"/>
  <c r="Y465" i="1"/>
  <c r="X465" i="1"/>
  <c r="AD464" i="1"/>
  <c r="AC464" i="1"/>
  <c r="AB464" i="1"/>
  <c r="AA464" i="1"/>
  <c r="Z464" i="1"/>
  <c r="Y464" i="1"/>
  <c r="X464" i="1"/>
  <c r="AD463" i="1"/>
  <c r="AC463" i="1"/>
  <c r="AB463" i="1"/>
  <c r="AA463" i="1"/>
  <c r="Z463" i="1"/>
  <c r="Y463" i="1"/>
  <c r="X463" i="1"/>
  <c r="AD462" i="1"/>
  <c r="AC462" i="1"/>
  <c r="AB462" i="1"/>
  <c r="AA462" i="1"/>
  <c r="Z462" i="1"/>
  <c r="Y462" i="1"/>
  <c r="X462" i="1"/>
  <c r="AD461" i="1"/>
  <c r="AC461" i="1"/>
  <c r="AB461" i="1"/>
  <c r="AA461" i="1"/>
  <c r="Z461" i="1"/>
  <c r="Y461" i="1"/>
  <c r="X461" i="1"/>
  <c r="AD460" i="1"/>
  <c r="AC460" i="1"/>
  <c r="AB460" i="1"/>
  <c r="AA460" i="1"/>
  <c r="Z460" i="1"/>
  <c r="Y460" i="1"/>
  <c r="X460" i="1"/>
  <c r="AD459" i="1"/>
  <c r="AC459" i="1"/>
  <c r="AB459" i="1"/>
  <c r="AA459" i="1"/>
  <c r="Z459" i="1"/>
  <c r="Y459" i="1"/>
  <c r="X459" i="1"/>
  <c r="AD458" i="1"/>
  <c r="AC458" i="1"/>
  <c r="AB458" i="1"/>
  <c r="AA458" i="1"/>
  <c r="Z458" i="1"/>
  <c r="Y458" i="1"/>
  <c r="X458" i="1"/>
  <c r="AD457" i="1"/>
  <c r="AC457" i="1"/>
  <c r="AB457" i="1"/>
  <c r="AA457" i="1"/>
  <c r="Z457" i="1"/>
  <c r="Y457" i="1"/>
  <c r="X457" i="1"/>
  <c r="AD456" i="1"/>
  <c r="AC456" i="1"/>
  <c r="AB456" i="1"/>
  <c r="AA456" i="1"/>
  <c r="Z456" i="1"/>
  <c r="Y456" i="1"/>
  <c r="X456" i="1"/>
  <c r="AD455" i="1"/>
  <c r="AC455" i="1"/>
  <c r="AB455" i="1"/>
  <c r="AA455" i="1"/>
  <c r="Z455" i="1"/>
  <c r="Y455" i="1"/>
  <c r="X455" i="1"/>
  <c r="AD454" i="1"/>
  <c r="AC454" i="1"/>
  <c r="AB454" i="1"/>
  <c r="AA454" i="1"/>
  <c r="Z454" i="1"/>
  <c r="Y454" i="1"/>
  <c r="X454" i="1"/>
  <c r="AD453" i="1"/>
  <c r="AC453" i="1"/>
  <c r="AB453" i="1"/>
  <c r="AA453" i="1"/>
  <c r="Z453" i="1"/>
  <c r="Y453" i="1"/>
  <c r="X453" i="1"/>
  <c r="AD452" i="1"/>
  <c r="AC452" i="1"/>
  <c r="AB452" i="1"/>
  <c r="AA452" i="1"/>
  <c r="Z452" i="1"/>
  <c r="Y452" i="1"/>
  <c r="X452" i="1"/>
  <c r="AD451" i="1"/>
  <c r="AC451" i="1"/>
  <c r="AB451" i="1"/>
  <c r="AA451" i="1"/>
  <c r="Z451" i="1"/>
  <c r="Y451" i="1"/>
  <c r="X451" i="1"/>
  <c r="AD450" i="1"/>
  <c r="AC450" i="1"/>
  <c r="AB450" i="1"/>
  <c r="AA450" i="1"/>
  <c r="Z450" i="1"/>
  <c r="Y450" i="1"/>
  <c r="X450" i="1"/>
  <c r="AD449" i="1"/>
  <c r="AC449" i="1"/>
  <c r="AB449" i="1"/>
  <c r="AA449" i="1"/>
  <c r="Z449" i="1"/>
  <c r="Y449" i="1"/>
  <c r="X449" i="1"/>
  <c r="AD448" i="1"/>
  <c r="AC448" i="1"/>
  <c r="AB448" i="1"/>
  <c r="AA448" i="1"/>
  <c r="Z448" i="1"/>
  <c r="Y448" i="1"/>
  <c r="X448" i="1"/>
  <c r="AD447" i="1"/>
  <c r="AC447" i="1"/>
  <c r="AB447" i="1"/>
  <c r="AA447" i="1"/>
  <c r="Z447" i="1"/>
  <c r="Y447" i="1"/>
  <c r="X447" i="1"/>
  <c r="AD446" i="1"/>
  <c r="AC446" i="1"/>
  <c r="AB446" i="1"/>
  <c r="AA446" i="1"/>
  <c r="Z446" i="1"/>
  <c r="Y446" i="1"/>
  <c r="X446" i="1"/>
  <c r="AD445" i="1"/>
  <c r="AC445" i="1"/>
  <c r="AB445" i="1"/>
  <c r="AA445" i="1"/>
  <c r="Z445" i="1"/>
  <c r="Y445" i="1"/>
  <c r="X445" i="1"/>
  <c r="AD444" i="1"/>
  <c r="AC444" i="1"/>
  <c r="AB444" i="1"/>
  <c r="AA444" i="1"/>
  <c r="Z444" i="1"/>
  <c r="Y444" i="1"/>
  <c r="X444" i="1"/>
  <c r="AD443" i="1"/>
  <c r="AC443" i="1"/>
  <c r="AB443" i="1"/>
  <c r="AA443" i="1"/>
  <c r="Z443" i="1"/>
  <c r="Y443" i="1"/>
  <c r="X443" i="1"/>
  <c r="AD442" i="1"/>
  <c r="AC442" i="1"/>
  <c r="AB442" i="1"/>
  <c r="AA442" i="1"/>
  <c r="Z442" i="1"/>
  <c r="Y442" i="1"/>
  <c r="X442" i="1"/>
  <c r="AD441" i="1"/>
  <c r="AC441" i="1"/>
  <c r="AB441" i="1"/>
  <c r="AA441" i="1"/>
  <c r="Z441" i="1"/>
  <c r="Y441" i="1"/>
  <c r="X441" i="1"/>
  <c r="AD440" i="1"/>
  <c r="AC440" i="1"/>
  <c r="AB440" i="1"/>
  <c r="AA440" i="1"/>
  <c r="Z440" i="1"/>
  <c r="Y440" i="1"/>
  <c r="X440" i="1"/>
  <c r="AD439" i="1"/>
  <c r="AC439" i="1"/>
  <c r="AB439" i="1"/>
  <c r="AA439" i="1"/>
  <c r="Z439" i="1"/>
  <c r="Y439" i="1"/>
  <c r="X439" i="1"/>
  <c r="AD438" i="1"/>
  <c r="AC438" i="1"/>
  <c r="AB438" i="1"/>
  <c r="AA438" i="1"/>
  <c r="Z438" i="1"/>
  <c r="Y438" i="1"/>
  <c r="X438" i="1"/>
  <c r="AD437" i="1"/>
  <c r="AC437" i="1"/>
  <c r="AB437" i="1"/>
  <c r="AA437" i="1"/>
  <c r="Z437" i="1"/>
  <c r="Y437" i="1"/>
  <c r="X437" i="1"/>
  <c r="AD436" i="1"/>
  <c r="AC436" i="1"/>
  <c r="AB436" i="1"/>
  <c r="AA436" i="1"/>
  <c r="Z436" i="1"/>
  <c r="Y436" i="1"/>
  <c r="X436" i="1"/>
  <c r="AD435" i="1"/>
  <c r="AC435" i="1"/>
  <c r="AB435" i="1"/>
  <c r="AA435" i="1"/>
  <c r="Z435" i="1"/>
  <c r="Y435" i="1"/>
  <c r="X435" i="1"/>
  <c r="AD434" i="1"/>
  <c r="AC434" i="1"/>
  <c r="AB434" i="1"/>
  <c r="AA434" i="1"/>
  <c r="Z434" i="1"/>
  <c r="Y434" i="1"/>
  <c r="X434" i="1"/>
  <c r="AD433" i="1"/>
  <c r="AC433" i="1"/>
  <c r="AB433" i="1"/>
  <c r="AA433" i="1"/>
  <c r="Z433" i="1"/>
  <c r="Y433" i="1"/>
  <c r="X433" i="1"/>
  <c r="AD432" i="1"/>
  <c r="AC432" i="1"/>
  <c r="AB432" i="1"/>
  <c r="AA432" i="1"/>
  <c r="Z432" i="1"/>
  <c r="Y432" i="1"/>
  <c r="X432" i="1"/>
  <c r="AD431" i="1"/>
  <c r="AC431" i="1"/>
  <c r="AB431" i="1"/>
  <c r="AA431" i="1"/>
  <c r="Z431" i="1"/>
  <c r="Y431" i="1"/>
  <c r="X431" i="1"/>
  <c r="AD430" i="1"/>
  <c r="AC430" i="1"/>
  <c r="AB430" i="1"/>
  <c r="AA430" i="1"/>
  <c r="Z430" i="1"/>
  <c r="Y430" i="1"/>
  <c r="X430" i="1"/>
  <c r="AD429" i="1"/>
  <c r="AC429" i="1"/>
  <c r="AB429" i="1"/>
  <c r="AA429" i="1"/>
  <c r="Z429" i="1"/>
  <c r="Y429" i="1"/>
  <c r="X429" i="1"/>
  <c r="AD428" i="1"/>
  <c r="AC428" i="1"/>
  <c r="AB428" i="1"/>
  <c r="AA428" i="1"/>
  <c r="Z428" i="1"/>
  <c r="Y428" i="1"/>
  <c r="X428" i="1"/>
  <c r="AD427" i="1"/>
  <c r="AC427" i="1"/>
  <c r="AB427" i="1"/>
  <c r="AA427" i="1"/>
  <c r="Z427" i="1"/>
  <c r="Y427" i="1"/>
  <c r="X427" i="1"/>
  <c r="AD426" i="1"/>
  <c r="AC426" i="1"/>
  <c r="AB426" i="1"/>
  <c r="AA426" i="1"/>
  <c r="Z426" i="1"/>
  <c r="Y426" i="1"/>
  <c r="X426" i="1"/>
  <c r="AD425" i="1"/>
  <c r="AC425" i="1"/>
  <c r="AB425" i="1"/>
  <c r="AA425" i="1"/>
  <c r="Z425" i="1"/>
  <c r="Y425" i="1"/>
  <c r="X425" i="1"/>
  <c r="AD424" i="1"/>
  <c r="AC424" i="1"/>
  <c r="AB424" i="1"/>
  <c r="AA424" i="1"/>
  <c r="Z424" i="1"/>
  <c r="Y424" i="1"/>
  <c r="X424" i="1"/>
  <c r="AD423" i="1"/>
  <c r="AC423" i="1"/>
  <c r="AB423" i="1"/>
  <c r="AA423" i="1"/>
  <c r="Z423" i="1"/>
  <c r="Y423" i="1"/>
  <c r="X423" i="1"/>
  <c r="AD422" i="1"/>
  <c r="AC422" i="1"/>
  <c r="AB422" i="1"/>
  <c r="AA422" i="1"/>
  <c r="Z422" i="1"/>
  <c r="Y422" i="1"/>
  <c r="X422" i="1"/>
  <c r="AD421" i="1"/>
  <c r="AC421" i="1"/>
  <c r="AB421" i="1"/>
  <c r="AA421" i="1"/>
  <c r="Z421" i="1"/>
  <c r="Y421" i="1"/>
  <c r="X421" i="1"/>
  <c r="AD420" i="1"/>
  <c r="AC420" i="1"/>
  <c r="AB420" i="1"/>
  <c r="AA420" i="1"/>
  <c r="Z420" i="1"/>
  <c r="Y420" i="1"/>
  <c r="X420" i="1"/>
  <c r="AD419" i="1"/>
  <c r="AC419" i="1"/>
  <c r="AB419" i="1"/>
  <c r="AA419" i="1"/>
  <c r="Z419" i="1"/>
  <c r="Y419" i="1"/>
  <c r="X419" i="1"/>
  <c r="AD418" i="1"/>
  <c r="AC418" i="1"/>
  <c r="AB418" i="1"/>
  <c r="AA418" i="1"/>
  <c r="Z418" i="1"/>
  <c r="Y418" i="1"/>
  <c r="X418" i="1"/>
  <c r="AD417" i="1"/>
  <c r="AC417" i="1"/>
  <c r="AB417" i="1"/>
  <c r="AA417" i="1"/>
  <c r="Z417" i="1"/>
  <c r="Y417" i="1"/>
  <c r="X417" i="1"/>
  <c r="AD416" i="1"/>
  <c r="AC416" i="1"/>
  <c r="AB416" i="1"/>
  <c r="AA416" i="1"/>
  <c r="Z416" i="1"/>
  <c r="Y416" i="1"/>
  <c r="X416" i="1"/>
  <c r="AD415" i="1"/>
  <c r="AC415" i="1"/>
  <c r="AB415" i="1"/>
  <c r="AA415" i="1"/>
  <c r="Z415" i="1"/>
  <c r="Y415" i="1"/>
  <c r="X415" i="1"/>
  <c r="AD414" i="1"/>
  <c r="AC414" i="1"/>
  <c r="AB414" i="1"/>
  <c r="AA414" i="1"/>
  <c r="Z414" i="1"/>
  <c r="Y414" i="1"/>
  <c r="X414" i="1"/>
  <c r="AD413" i="1"/>
  <c r="AC413" i="1"/>
  <c r="AB413" i="1"/>
  <c r="AA413" i="1"/>
  <c r="Z413" i="1"/>
  <c r="Y413" i="1"/>
  <c r="X413" i="1"/>
  <c r="AD412" i="1"/>
  <c r="AC412" i="1"/>
  <c r="AB412" i="1"/>
  <c r="AA412" i="1"/>
  <c r="Z412" i="1"/>
  <c r="Y412" i="1"/>
  <c r="X412" i="1"/>
  <c r="AD411" i="1"/>
  <c r="AC411" i="1"/>
  <c r="AB411" i="1"/>
  <c r="AA411" i="1"/>
  <c r="Z411" i="1"/>
  <c r="Y411" i="1"/>
  <c r="X411" i="1"/>
  <c r="AD410" i="1"/>
  <c r="AC410" i="1"/>
  <c r="AB410" i="1"/>
  <c r="AA410" i="1"/>
  <c r="Z410" i="1"/>
  <c r="Y410" i="1"/>
  <c r="X410" i="1"/>
  <c r="AD409" i="1"/>
  <c r="AC409" i="1"/>
  <c r="AB409" i="1"/>
  <c r="AA409" i="1"/>
  <c r="Z409" i="1"/>
  <c r="Y409" i="1"/>
  <c r="X409" i="1"/>
  <c r="AD408" i="1"/>
  <c r="AC408" i="1"/>
  <c r="AB408" i="1"/>
  <c r="AA408" i="1"/>
  <c r="Z408" i="1"/>
  <c r="Y408" i="1"/>
  <c r="X408" i="1"/>
  <c r="AD407" i="1"/>
  <c r="AC407" i="1"/>
  <c r="AB407" i="1"/>
  <c r="AA407" i="1"/>
  <c r="Z407" i="1"/>
  <c r="Y407" i="1"/>
  <c r="X407" i="1"/>
  <c r="AD406" i="1"/>
  <c r="AC406" i="1"/>
  <c r="AB406" i="1"/>
  <c r="AA406" i="1"/>
  <c r="Z406" i="1"/>
  <c r="Y406" i="1"/>
  <c r="X406" i="1"/>
  <c r="AD405" i="1"/>
  <c r="AC405" i="1"/>
  <c r="AB405" i="1"/>
  <c r="AA405" i="1"/>
  <c r="Z405" i="1"/>
  <c r="Y405" i="1"/>
  <c r="X405" i="1"/>
  <c r="AD404" i="1"/>
  <c r="AC404" i="1"/>
  <c r="AB404" i="1"/>
  <c r="AA404" i="1"/>
  <c r="Z404" i="1"/>
  <c r="Y404" i="1"/>
  <c r="X404" i="1"/>
  <c r="AD403" i="1"/>
  <c r="AC403" i="1"/>
  <c r="AB403" i="1"/>
  <c r="AA403" i="1"/>
  <c r="Z403" i="1"/>
  <c r="Y403" i="1"/>
  <c r="X403" i="1"/>
  <c r="AD402" i="1"/>
  <c r="AC402" i="1"/>
  <c r="AB402" i="1"/>
  <c r="AA402" i="1"/>
  <c r="Z402" i="1"/>
  <c r="Y402" i="1"/>
  <c r="X402" i="1"/>
  <c r="AD401" i="1"/>
  <c r="AC401" i="1"/>
  <c r="AB401" i="1"/>
  <c r="AA401" i="1"/>
  <c r="Z401" i="1"/>
  <c r="Y401" i="1"/>
  <c r="X401" i="1"/>
  <c r="AD400" i="1"/>
  <c r="AC400" i="1"/>
  <c r="AB400" i="1"/>
  <c r="AA400" i="1"/>
  <c r="Z400" i="1"/>
  <c r="Y400" i="1"/>
  <c r="X400" i="1"/>
  <c r="AD399" i="1"/>
  <c r="AC399" i="1"/>
  <c r="AB399" i="1"/>
  <c r="AA399" i="1"/>
  <c r="Z399" i="1"/>
  <c r="Y399" i="1"/>
  <c r="X399" i="1"/>
  <c r="AD398" i="1"/>
  <c r="AC398" i="1"/>
  <c r="AB398" i="1"/>
  <c r="AA398" i="1"/>
  <c r="Z398" i="1"/>
  <c r="Y398" i="1"/>
  <c r="X398" i="1"/>
  <c r="AD397" i="1"/>
  <c r="AC397" i="1"/>
  <c r="AB397" i="1"/>
  <c r="AA397" i="1"/>
  <c r="Z397" i="1"/>
  <c r="Y397" i="1"/>
  <c r="X397" i="1"/>
  <c r="AD396" i="1"/>
  <c r="AC396" i="1"/>
  <c r="AB396" i="1"/>
  <c r="AA396" i="1"/>
  <c r="Z396" i="1"/>
  <c r="Y396" i="1"/>
  <c r="X396" i="1"/>
  <c r="AD395" i="1"/>
  <c r="AC395" i="1"/>
  <c r="AB395" i="1"/>
  <c r="AA395" i="1"/>
  <c r="Z395" i="1"/>
  <c r="Y395" i="1"/>
  <c r="X395" i="1"/>
  <c r="AD394" i="1"/>
  <c r="AC394" i="1"/>
  <c r="AB394" i="1"/>
  <c r="AA394" i="1"/>
  <c r="Z394" i="1"/>
  <c r="Y394" i="1"/>
  <c r="X394" i="1"/>
  <c r="AD393" i="1"/>
  <c r="AC393" i="1"/>
  <c r="AB393" i="1"/>
  <c r="AA393" i="1"/>
  <c r="Z393" i="1"/>
  <c r="Y393" i="1"/>
  <c r="X393" i="1"/>
  <c r="AD392" i="1"/>
  <c r="AC392" i="1"/>
  <c r="AB392" i="1"/>
  <c r="AA392" i="1"/>
  <c r="Z392" i="1"/>
  <c r="Y392" i="1"/>
  <c r="X392" i="1"/>
  <c r="AD391" i="1"/>
  <c r="AC391" i="1"/>
  <c r="AB391" i="1"/>
  <c r="AA391" i="1"/>
  <c r="Z391" i="1"/>
  <c r="Y391" i="1"/>
  <c r="X391" i="1"/>
  <c r="AD390" i="1"/>
  <c r="AC390" i="1"/>
  <c r="AB390" i="1"/>
  <c r="AA390" i="1"/>
  <c r="Z390" i="1"/>
  <c r="Y390" i="1"/>
  <c r="X390" i="1"/>
  <c r="AD389" i="1"/>
  <c r="AC389" i="1"/>
  <c r="AB389" i="1"/>
  <c r="AA389" i="1"/>
  <c r="Z389" i="1"/>
  <c r="Y389" i="1"/>
  <c r="X389" i="1"/>
  <c r="AD388" i="1"/>
  <c r="AC388" i="1"/>
  <c r="AB388" i="1"/>
  <c r="AA388" i="1"/>
  <c r="Z388" i="1"/>
  <c r="Y388" i="1"/>
  <c r="X388" i="1"/>
  <c r="AD387" i="1"/>
  <c r="AC387" i="1"/>
  <c r="AB387" i="1"/>
  <c r="AA387" i="1"/>
  <c r="Z387" i="1"/>
  <c r="Y387" i="1"/>
  <c r="X387" i="1"/>
  <c r="AD386" i="1"/>
  <c r="AC386" i="1"/>
  <c r="AB386" i="1"/>
  <c r="AA386" i="1"/>
  <c r="Z386" i="1"/>
  <c r="Y386" i="1"/>
  <c r="X386" i="1"/>
  <c r="AD385" i="1"/>
  <c r="AC385" i="1"/>
  <c r="AB385" i="1"/>
  <c r="AA385" i="1"/>
  <c r="Z385" i="1"/>
  <c r="Y385" i="1"/>
  <c r="X385" i="1"/>
  <c r="AD384" i="1"/>
  <c r="AC384" i="1"/>
  <c r="AB384" i="1"/>
  <c r="AA384" i="1"/>
  <c r="Z384" i="1"/>
  <c r="Y384" i="1"/>
  <c r="X384" i="1"/>
  <c r="AD383" i="1"/>
  <c r="AC383" i="1"/>
  <c r="AB383" i="1"/>
  <c r="AA383" i="1"/>
  <c r="Z383" i="1"/>
  <c r="Y383" i="1"/>
  <c r="X383" i="1"/>
  <c r="AD382" i="1"/>
  <c r="AC382" i="1"/>
  <c r="AB382" i="1"/>
  <c r="AA382" i="1"/>
  <c r="Z382" i="1"/>
  <c r="Y382" i="1"/>
  <c r="X382" i="1"/>
  <c r="AD381" i="1"/>
  <c r="AC381" i="1"/>
  <c r="AB381" i="1"/>
  <c r="AA381" i="1"/>
  <c r="Z381" i="1"/>
  <c r="Y381" i="1"/>
  <c r="X381" i="1"/>
  <c r="AD380" i="1"/>
  <c r="AC380" i="1"/>
  <c r="AB380" i="1"/>
  <c r="AA380" i="1"/>
  <c r="Z380" i="1"/>
  <c r="Y380" i="1"/>
  <c r="X380" i="1"/>
  <c r="AD379" i="1"/>
  <c r="AC379" i="1"/>
  <c r="AB379" i="1"/>
  <c r="AA379" i="1"/>
  <c r="Z379" i="1"/>
  <c r="Y379" i="1"/>
  <c r="X379" i="1"/>
  <c r="AD378" i="1"/>
  <c r="AC378" i="1"/>
  <c r="AB378" i="1"/>
  <c r="AA378" i="1"/>
  <c r="Z378" i="1"/>
  <c r="Y378" i="1"/>
  <c r="X378" i="1"/>
  <c r="AD377" i="1"/>
  <c r="AC377" i="1"/>
  <c r="AB377" i="1"/>
  <c r="AA377" i="1"/>
  <c r="Z377" i="1"/>
  <c r="Y377" i="1"/>
  <c r="X377" i="1"/>
  <c r="AD376" i="1"/>
  <c r="AC376" i="1"/>
  <c r="AB376" i="1"/>
  <c r="AA376" i="1"/>
  <c r="Z376" i="1"/>
  <c r="Y376" i="1"/>
  <c r="X376" i="1"/>
  <c r="AD375" i="1"/>
  <c r="AC375" i="1"/>
  <c r="AB375" i="1"/>
  <c r="AA375" i="1"/>
  <c r="Z375" i="1"/>
  <c r="Y375" i="1"/>
  <c r="X375" i="1"/>
  <c r="AD374" i="1"/>
  <c r="AC374" i="1"/>
  <c r="AB374" i="1"/>
  <c r="AA374" i="1"/>
  <c r="Z374" i="1"/>
  <c r="Y374" i="1"/>
  <c r="X374" i="1"/>
  <c r="AD373" i="1"/>
  <c r="AC373" i="1"/>
  <c r="AB373" i="1"/>
  <c r="AA373" i="1"/>
  <c r="Z373" i="1"/>
  <c r="Y373" i="1"/>
  <c r="X373" i="1"/>
  <c r="AD372" i="1"/>
  <c r="AC372" i="1"/>
  <c r="AB372" i="1"/>
  <c r="AA372" i="1"/>
  <c r="Z372" i="1"/>
  <c r="Y372" i="1"/>
  <c r="X372" i="1"/>
  <c r="AD371" i="1"/>
  <c r="AC371" i="1"/>
  <c r="AB371" i="1"/>
  <c r="AA371" i="1"/>
  <c r="Z371" i="1"/>
  <c r="Y371" i="1"/>
  <c r="X371" i="1"/>
  <c r="AD370" i="1"/>
  <c r="AC370" i="1"/>
  <c r="AB370" i="1"/>
  <c r="AA370" i="1"/>
  <c r="Z370" i="1"/>
  <c r="Y370" i="1"/>
  <c r="X370" i="1"/>
  <c r="AD369" i="1"/>
  <c r="AC369" i="1"/>
  <c r="AB369" i="1"/>
  <c r="AA369" i="1"/>
  <c r="Z369" i="1"/>
  <c r="Y369" i="1"/>
  <c r="X369" i="1"/>
  <c r="AD368" i="1"/>
  <c r="AC368" i="1"/>
  <c r="AB368" i="1"/>
  <c r="AA368" i="1"/>
  <c r="Z368" i="1"/>
  <c r="Y368" i="1"/>
  <c r="X368" i="1"/>
  <c r="AD367" i="1"/>
  <c r="AC367" i="1"/>
  <c r="AB367" i="1"/>
  <c r="AA367" i="1"/>
  <c r="Z367" i="1"/>
  <c r="Y367" i="1"/>
  <c r="X367" i="1"/>
  <c r="AD366" i="1"/>
  <c r="AC366" i="1"/>
  <c r="AB366" i="1"/>
  <c r="AA366" i="1"/>
  <c r="Z366" i="1"/>
  <c r="Y366" i="1"/>
  <c r="X366" i="1"/>
  <c r="AD365" i="1"/>
  <c r="AC365" i="1"/>
  <c r="AB365" i="1"/>
  <c r="AA365" i="1"/>
  <c r="Z365" i="1"/>
  <c r="Y365" i="1"/>
  <c r="X365" i="1"/>
  <c r="AD364" i="1"/>
  <c r="AC364" i="1"/>
  <c r="AB364" i="1"/>
  <c r="AA364" i="1"/>
  <c r="Z364" i="1"/>
  <c r="Y364" i="1"/>
  <c r="X364" i="1"/>
  <c r="AD363" i="1"/>
  <c r="AC363" i="1"/>
  <c r="AB363" i="1"/>
  <c r="AA363" i="1"/>
  <c r="Z363" i="1"/>
  <c r="Y363" i="1"/>
  <c r="X363" i="1"/>
  <c r="AD362" i="1"/>
  <c r="AC362" i="1"/>
  <c r="AB362" i="1"/>
  <c r="AA362" i="1"/>
  <c r="Z362" i="1"/>
  <c r="Y362" i="1"/>
  <c r="X362" i="1"/>
  <c r="AD361" i="1"/>
  <c r="AC361" i="1"/>
  <c r="AB361" i="1"/>
  <c r="AA361" i="1"/>
  <c r="Z361" i="1"/>
  <c r="Y361" i="1"/>
  <c r="X361" i="1"/>
  <c r="AD360" i="1"/>
  <c r="AC360" i="1"/>
  <c r="AB360" i="1"/>
  <c r="AA360" i="1"/>
  <c r="Z360" i="1"/>
  <c r="Y360" i="1"/>
  <c r="X360" i="1"/>
  <c r="AD359" i="1"/>
  <c r="AC359" i="1"/>
  <c r="AB359" i="1"/>
  <c r="AA359" i="1"/>
  <c r="Z359" i="1"/>
  <c r="Y359" i="1"/>
  <c r="X359" i="1"/>
  <c r="AD358" i="1"/>
  <c r="AC358" i="1"/>
  <c r="AB358" i="1"/>
  <c r="AA358" i="1"/>
  <c r="Z358" i="1"/>
  <c r="Y358" i="1"/>
  <c r="X358" i="1"/>
  <c r="AD357" i="1"/>
  <c r="AC357" i="1"/>
  <c r="AB357" i="1"/>
  <c r="AA357" i="1"/>
  <c r="Z357" i="1"/>
  <c r="Y357" i="1"/>
  <c r="X357" i="1"/>
  <c r="AD356" i="1"/>
  <c r="AC356" i="1"/>
  <c r="AB356" i="1"/>
  <c r="AA356" i="1"/>
  <c r="Z356" i="1"/>
  <c r="Y356" i="1"/>
  <c r="X356" i="1"/>
  <c r="AD355" i="1"/>
  <c r="AC355" i="1"/>
  <c r="AB355" i="1"/>
  <c r="AA355" i="1"/>
  <c r="Z355" i="1"/>
  <c r="Y355" i="1"/>
  <c r="X355" i="1"/>
  <c r="AD354" i="1"/>
  <c r="AC354" i="1"/>
  <c r="AB354" i="1"/>
  <c r="AA354" i="1"/>
  <c r="Z354" i="1"/>
  <c r="Y354" i="1"/>
  <c r="X354" i="1"/>
  <c r="AD353" i="1"/>
  <c r="AC353" i="1"/>
  <c r="AB353" i="1"/>
  <c r="AA353" i="1"/>
  <c r="Z353" i="1"/>
  <c r="Y353" i="1"/>
  <c r="X353" i="1"/>
  <c r="AD352" i="1"/>
  <c r="AC352" i="1"/>
  <c r="AB352" i="1"/>
  <c r="AA352" i="1"/>
  <c r="Z352" i="1"/>
  <c r="Y352" i="1"/>
  <c r="X352" i="1"/>
  <c r="AD351" i="1"/>
  <c r="AC351" i="1"/>
  <c r="AB351" i="1"/>
  <c r="AA351" i="1"/>
  <c r="Z351" i="1"/>
  <c r="Y351" i="1"/>
  <c r="X351" i="1"/>
  <c r="AD350" i="1"/>
  <c r="AC350" i="1"/>
  <c r="AB350" i="1"/>
  <c r="AA350" i="1"/>
  <c r="Z350" i="1"/>
  <c r="Y350" i="1"/>
  <c r="X350" i="1"/>
  <c r="AD349" i="1"/>
  <c r="AC349" i="1"/>
  <c r="AB349" i="1"/>
  <c r="AA349" i="1"/>
  <c r="Z349" i="1"/>
  <c r="Y349" i="1"/>
  <c r="X349" i="1"/>
  <c r="AD348" i="1"/>
  <c r="AC348" i="1"/>
  <c r="AB348" i="1"/>
  <c r="AA348" i="1"/>
  <c r="Z348" i="1"/>
  <c r="Y348" i="1"/>
  <c r="X348" i="1"/>
  <c r="AD347" i="1"/>
  <c r="AC347" i="1"/>
  <c r="AB347" i="1"/>
  <c r="AA347" i="1"/>
  <c r="Z347" i="1"/>
  <c r="Y347" i="1"/>
  <c r="X347" i="1"/>
  <c r="AD346" i="1"/>
  <c r="AC346" i="1"/>
  <c r="AB346" i="1"/>
  <c r="AA346" i="1"/>
  <c r="Z346" i="1"/>
  <c r="Y346" i="1"/>
  <c r="X346" i="1"/>
  <c r="AD345" i="1"/>
  <c r="AC345" i="1"/>
  <c r="AB345" i="1"/>
  <c r="AA345" i="1"/>
  <c r="Z345" i="1"/>
  <c r="Y345" i="1"/>
  <c r="X345" i="1"/>
  <c r="AD344" i="1"/>
  <c r="AC344" i="1"/>
  <c r="AB344" i="1"/>
  <c r="AA344" i="1"/>
  <c r="Z344" i="1"/>
  <c r="Y344" i="1"/>
  <c r="X344" i="1"/>
  <c r="AD343" i="1"/>
  <c r="AC343" i="1"/>
  <c r="AB343" i="1"/>
  <c r="AA343" i="1"/>
  <c r="Z343" i="1"/>
  <c r="Y343" i="1"/>
  <c r="X343" i="1"/>
  <c r="AD342" i="1"/>
  <c r="AC342" i="1"/>
  <c r="AB342" i="1"/>
  <c r="AA342" i="1"/>
  <c r="Z342" i="1"/>
  <c r="Y342" i="1"/>
  <c r="X342" i="1"/>
  <c r="AD341" i="1"/>
  <c r="AC341" i="1"/>
  <c r="AB341" i="1"/>
  <c r="AA341" i="1"/>
  <c r="Z341" i="1"/>
  <c r="Y341" i="1"/>
  <c r="X341" i="1"/>
  <c r="AD340" i="1"/>
  <c r="AC340" i="1"/>
  <c r="AB340" i="1"/>
  <c r="AA340" i="1"/>
  <c r="Z340" i="1"/>
  <c r="Y340" i="1"/>
  <c r="X340" i="1"/>
  <c r="AD339" i="1"/>
  <c r="AC339" i="1"/>
  <c r="AB339" i="1"/>
  <c r="AA339" i="1"/>
  <c r="Z339" i="1"/>
  <c r="Y339" i="1"/>
  <c r="X339" i="1"/>
  <c r="AD338" i="1"/>
  <c r="AC338" i="1"/>
  <c r="AB338" i="1"/>
  <c r="AA338" i="1"/>
  <c r="Z338" i="1"/>
  <c r="Y338" i="1"/>
  <c r="X338" i="1"/>
  <c r="AD337" i="1"/>
  <c r="AC337" i="1"/>
  <c r="AB337" i="1"/>
  <c r="AA337" i="1"/>
  <c r="Z337" i="1"/>
  <c r="Y337" i="1"/>
  <c r="X337" i="1"/>
  <c r="AD336" i="1"/>
  <c r="AC336" i="1"/>
  <c r="AB336" i="1"/>
  <c r="AA336" i="1"/>
  <c r="Z336" i="1"/>
  <c r="Y336" i="1"/>
  <c r="X336" i="1"/>
  <c r="AD335" i="1"/>
  <c r="AC335" i="1"/>
  <c r="AB335" i="1"/>
  <c r="AA335" i="1"/>
  <c r="Z335" i="1"/>
  <c r="Y335" i="1"/>
  <c r="X335" i="1"/>
  <c r="AD334" i="1"/>
  <c r="AC334" i="1"/>
  <c r="AB334" i="1"/>
  <c r="AA334" i="1"/>
  <c r="Z334" i="1"/>
  <c r="Y334" i="1"/>
  <c r="X334" i="1"/>
  <c r="AD333" i="1"/>
  <c r="AC333" i="1"/>
  <c r="AB333" i="1"/>
  <c r="AA333" i="1"/>
  <c r="Z333" i="1"/>
  <c r="Y333" i="1"/>
  <c r="X333" i="1"/>
  <c r="AD332" i="1"/>
  <c r="AC332" i="1"/>
  <c r="AB332" i="1"/>
  <c r="AA332" i="1"/>
  <c r="Z332" i="1"/>
  <c r="Y332" i="1"/>
  <c r="X332" i="1"/>
  <c r="AD331" i="1"/>
  <c r="AC331" i="1"/>
  <c r="AB331" i="1"/>
  <c r="AA331" i="1"/>
  <c r="Z331" i="1"/>
  <c r="Y331" i="1"/>
  <c r="X331" i="1"/>
  <c r="AD330" i="1"/>
  <c r="AC330" i="1"/>
  <c r="AB330" i="1"/>
  <c r="AA330" i="1"/>
  <c r="Z330" i="1"/>
  <c r="Y330" i="1"/>
  <c r="X330" i="1"/>
  <c r="AD329" i="1"/>
  <c r="AC329" i="1"/>
  <c r="AB329" i="1"/>
  <c r="AA329" i="1"/>
  <c r="Z329" i="1"/>
  <c r="Y329" i="1"/>
  <c r="X329" i="1"/>
  <c r="AD328" i="1"/>
  <c r="AC328" i="1"/>
  <c r="AB328" i="1"/>
  <c r="AA328" i="1"/>
  <c r="Z328" i="1"/>
  <c r="Y328" i="1"/>
  <c r="X328" i="1"/>
  <c r="AD327" i="1"/>
  <c r="AC327" i="1"/>
  <c r="AB327" i="1"/>
  <c r="AA327" i="1"/>
  <c r="Z327" i="1"/>
  <c r="Y327" i="1"/>
  <c r="X327" i="1"/>
  <c r="AD326" i="1"/>
  <c r="AC326" i="1"/>
  <c r="AB326" i="1"/>
  <c r="AA326" i="1"/>
  <c r="Z326" i="1"/>
  <c r="Y326" i="1"/>
  <c r="X326" i="1"/>
  <c r="AD325" i="1"/>
  <c r="AC325" i="1"/>
  <c r="AB325" i="1"/>
  <c r="AA325" i="1"/>
  <c r="Z325" i="1"/>
  <c r="Y325" i="1"/>
  <c r="X325" i="1"/>
  <c r="AD324" i="1"/>
  <c r="AC324" i="1"/>
  <c r="AB324" i="1"/>
  <c r="AA324" i="1"/>
  <c r="Z324" i="1"/>
  <c r="Y324" i="1"/>
  <c r="X324" i="1"/>
  <c r="AD323" i="1"/>
  <c r="AC323" i="1"/>
  <c r="AB323" i="1"/>
  <c r="AA323" i="1"/>
  <c r="Z323" i="1"/>
  <c r="Y323" i="1"/>
  <c r="X323" i="1"/>
  <c r="AD322" i="1"/>
  <c r="AC322" i="1"/>
  <c r="AB322" i="1"/>
  <c r="AA322" i="1"/>
  <c r="Z322" i="1"/>
  <c r="Y322" i="1"/>
  <c r="X322" i="1"/>
  <c r="AD321" i="1"/>
  <c r="AC321" i="1"/>
  <c r="AB321" i="1"/>
  <c r="AA321" i="1"/>
  <c r="Z321" i="1"/>
  <c r="Y321" i="1"/>
  <c r="X321" i="1"/>
  <c r="AD320" i="1"/>
  <c r="AC320" i="1"/>
  <c r="AB320" i="1"/>
  <c r="AA320" i="1"/>
  <c r="Z320" i="1"/>
  <c r="Y320" i="1"/>
  <c r="X320" i="1"/>
  <c r="AD319" i="1"/>
  <c r="AC319" i="1"/>
  <c r="AB319" i="1"/>
  <c r="AA319" i="1"/>
  <c r="Z319" i="1"/>
  <c r="Y319" i="1"/>
  <c r="X319" i="1"/>
  <c r="AD318" i="1"/>
  <c r="AC318" i="1"/>
  <c r="AB318" i="1"/>
  <c r="AA318" i="1"/>
  <c r="Z318" i="1"/>
  <c r="Y318" i="1"/>
  <c r="X318" i="1"/>
  <c r="AD317" i="1"/>
  <c r="AC317" i="1"/>
  <c r="AB317" i="1"/>
  <c r="AA317" i="1"/>
  <c r="Z317" i="1"/>
  <c r="Y317" i="1"/>
  <c r="X317" i="1"/>
  <c r="AD316" i="1"/>
  <c r="AC316" i="1"/>
  <c r="AB316" i="1"/>
  <c r="AA316" i="1"/>
  <c r="Z316" i="1"/>
  <c r="Y316" i="1"/>
  <c r="X316" i="1"/>
  <c r="AD315" i="1"/>
  <c r="AC315" i="1"/>
  <c r="AB315" i="1"/>
  <c r="AA315" i="1"/>
  <c r="Z315" i="1"/>
  <c r="Y315" i="1"/>
  <c r="X315" i="1"/>
  <c r="AD314" i="1"/>
  <c r="AC314" i="1"/>
  <c r="AB314" i="1"/>
  <c r="AA314" i="1"/>
  <c r="Z314" i="1"/>
  <c r="Y314" i="1"/>
  <c r="X314" i="1"/>
  <c r="AD313" i="1"/>
  <c r="AC313" i="1"/>
  <c r="AB313" i="1"/>
  <c r="AA313" i="1"/>
  <c r="Z313" i="1"/>
  <c r="Y313" i="1"/>
  <c r="X313" i="1"/>
  <c r="AD312" i="1"/>
  <c r="AC312" i="1"/>
  <c r="AB312" i="1"/>
  <c r="AA312" i="1"/>
  <c r="Z312" i="1"/>
  <c r="Y312" i="1"/>
  <c r="X312" i="1"/>
  <c r="AD311" i="1"/>
  <c r="AC311" i="1"/>
  <c r="AB311" i="1"/>
  <c r="AA311" i="1"/>
  <c r="Z311" i="1"/>
  <c r="Y311" i="1"/>
  <c r="X311" i="1"/>
  <c r="AD310" i="1"/>
  <c r="AC310" i="1"/>
  <c r="AB310" i="1"/>
  <c r="AA310" i="1"/>
  <c r="Z310" i="1"/>
  <c r="Y310" i="1"/>
  <c r="X310" i="1"/>
  <c r="AD309" i="1"/>
  <c r="AC309" i="1"/>
  <c r="AB309" i="1"/>
  <c r="AA309" i="1"/>
  <c r="Z309" i="1"/>
  <c r="Y309" i="1"/>
  <c r="X309" i="1"/>
  <c r="AD308" i="1"/>
  <c r="AC308" i="1"/>
  <c r="AB308" i="1"/>
  <c r="AA308" i="1"/>
  <c r="Z308" i="1"/>
  <c r="Y308" i="1"/>
  <c r="X308" i="1"/>
  <c r="AD307" i="1"/>
  <c r="AC307" i="1"/>
  <c r="AB307" i="1"/>
  <c r="AA307" i="1"/>
  <c r="Z307" i="1"/>
  <c r="Y307" i="1"/>
  <c r="X307" i="1"/>
  <c r="AD306" i="1"/>
  <c r="AC306" i="1"/>
  <c r="AB306" i="1"/>
  <c r="AA306" i="1"/>
  <c r="Z306" i="1"/>
  <c r="Y306" i="1"/>
  <c r="X306" i="1"/>
  <c r="AD305" i="1"/>
  <c r="AC305" i="1"/>
  <c r="AB305" i="1"/>
  <c r="AA305" i="1"/>
  <c r="Z305" i="1"/>
  <c r="Y305" i="1"/>
  <c r="X305" i="1"/>
  <c r="AD304" i="1"/>
  <c r="AC304" i="1"/>
  <c r="AB304" i="1"/>
  <c r="AA304" i="1"/>
  <c r="Z304" i="1"/>
  <c r="Y304" i="1"/>
  <c r="X304" i="1"/>
  <c r="AD303" i="1"/>
  <c r="AC303" i="1"/>
  <c r="AB303" i="1"/>
  <c r="AA303" i="1"/>
  <c r="Z303" i="1"/>
  <c r="Y303" i="1"/>
  <c r="X303" i="1"/>
  <c r="AD302" i="1"/>
  <c r="AC302" i="1"/>
  <c r="AB302" i="1"/>
  <c r="AA302" i="1"/>
  <c r="Z302" i="1"/>
  <c r="Y302" i="1"/>
  <c r="X302" i="1"/>
  <c r="AD301" i="1"/>
  <c r="AC301" i="1"/>
  <c r="AB301" i="1"/>
  <c r="AA301" i="1"/>
  <c r="Z301" i="1"/>
  <c r="Y301" i="1"/>
  <c r="X301" i="1"/>
  <c r="AD300" i="1"/>
  <c r="AC300" i="1"/>
  <c r="AB300" i="1"/>
  <c r="AA300" i="1"/>
  <c r="Z300" i="1"/>
  <c r="Y300" i="1"/>
  <c r="X300" i="1"/>
  <c r="AD299" i="1"/>
  <c r="AC299" i="1"/>
  <c r="AB299" i="1"/>
  <c r="AA299" i="1"/>
  <c r="Z299" i="1"/>
  <c r="Y299" i="1"/>
  <c r="X299" i="1"/>
  <c r="AD298" i="1"/>
  <c r="AC298" i="1"/>
  <c r="AB298" i="1"/>
  <c r="AA298" i="1"/>
  <c r="Z298" i="1"/>
  <c r="Y298" i="1"/>
  <c r="X298" i="1"/>
  <c r="AD297" i="1"/>
  <c r="AC297" i="1"/>
  <c r="AB297" i="1"/>
  <c r="AA297" i="1"/>
  <c r="Z297" i="1"/>
  <c r="Y297" i="1"/>
  <c r="X297" i="1"/>
  <c r="AD296" i="1"/>
  <c r="AC296" i="1"/>
  <c r="AB296" i="1"/>
  <c r="AA296" i="1"/>
  <c r="Z296" i="1"/>
  <c r="Y296" i="1"/>
  <c r="X296" i="1"/>
  <c r="AD295" i="1"/>
  <c r="AC295" i="1"/>
  <c r="AB295" i="1"/>
  <c r="AA295" i="1"/>
  <c r="Z295" i="1"/>
  <c r="Y295" i="1"/>
  <c r="X295" i="1"/>
  <c r="AD294" i="1"/>
  <c r="AC294" i="1"/>
  <c r="AB294" i="1"/>
  <c r="AA294" i="1"/>
  <c r="Z294" i="1"/>
  <c r="Y294" i="1"/>
  <c r="X294" i="1"/>
  <c r="AD293" i="1"/>
  <c r="AC293" i="1"/>
  <c r="AB293" i="1"/>
  <c r="AA293" i="1"/>
  <c r="Z293" i="1"/>
  <c r="Y293" i="1"/>
  <c r="X293" i="1"/>
  <c r="AD292" i="1"/>
  <c r="AC292" i="1"/>
  <c r="AB292" i="1"/>
  <c r="AA292" i="1"/>
  <c r="Z292" i="1"/>
  <c r="Y292" i="1"/>
  <c r="X292" i="1"/>
  <c r="AD291" i="1"/>
  <c r="AC291" i="1"/>
  <c r="AB291" i="1"/>
  <c r="AA291" i="1"/>
  <c r="Z291" i="1"/>
  <c r="Y291" i="1"/>
  <c r="X291" i="1"/>
  <c r="AD290" i="1"/>
  <c r="AC290" i="1"/>
  <c r="AB290" i="1"/>
  <c r="AA290" i="1"/>
  <c r="Z290" i="1"/>
  <c r="Y290" i="1"/>
  <c r="X290" i="1"/>
  <c r="AD289" i="1"/>
  <c r="AC289" i="1"/>
  <c r="AB289" i="1"/>
  <c r="AA289" i="1"/>
  <c r="Z289" i="1"/>
  <c r="Y289" i="1"/>
  <c r="X289" i="1"/>
  <c r="AD288" i="1"/>
  <c r="AC288" i="1"/>
  <c r="AB288" i="1"/>
  <c r="AA288" i="1"/>
  <c r="Z288" i="1"/>
  <c r="Y288" i="1"/>
  <c r="X288" i="1"/>
  <c r="AD287" i="1"/>
  <c r="AC287" i="1"/>
  <c r="AB287" i="1"/>
  <c r="AA287" i="1"/>
  <c r="Z287" i="1"/>
  <c r="Y287" i="1"/>
  <c r="X287" i="1"/>
  <c r="AD286" i="1"/>
  <c r="AC286" i="1"/>
  <c r="AB286" i="1"/>
  <c r="AA286" i="1"/>
  <c r="Z286" i="1"/>
  <c r="Y286" i="1"/>
  <c r="X286" i="1"/>
  <c r="AD285" i="1"/>
  <c r="AC285" i="1"/>
  <c r="AB285" i="1"/>
  <c r="AA285" i="1"/>
  <c r="Z285" i="1"/>
  <c r="Y285" i="1"/>
  <c r="X285" i="1"/>
  <c r="AD284" i="1"/>
  <c r="AC284" i="1"/>
  <c r="AB284" i="1"/>
  <c r="AA284" i="1"/>
  <c r="Z284" i="1"/>
  <c r="Y284" i="1"/>
  <c r="X284" i="1"/>
  <c r="AD283" i="1"/>
  <c r="AC283" i="1"/>
  <c r="AB283" i="1"/>
  <c r="AA283" i="1"/>
  <c r="Z283" i="1"/>
  <c r="Y283" i="1"/>
  <c r="X283" i="1"/>
  <c r="AD282" i="1"/>
  <c r="AC282" i="1"/>
  <c r="AB282" i="1"/>
  <c r="AA282" i="1"/>
  <c r="Z282" i="1"/>
  <c r="Y282" i="1"/>
  <c r="X282" i="1"/>
  <c r="AD281" i="1"/>
  <c r="AC281" i="1"/>
  <c r="AB281" i="1"/>
  <c r="AA281" i="1"/>
  <c r="Z281" i="1"/>
  <c r="Y281" i="1"/>
  <c r="X281" i="1"/>
  <c r="AD280" i="1"/>
  <c r="AC280" i="1"/>
  <c r="AB280" i="1"/>
  <c r="AA280" i="1"/>
  <c r="Z280" i="1"/>
  <c r="Y280" i="1"/>
  <c r="X280" i="1"/>
  <c r="AD279" i="1"/>
  <c r="AC279" i="1"/>
  <c r="AB279" i="1"/>
  <c r="AA279" i="1"/>
  <c r="Z279" i="1"/>
  <c r="Y279" i="1"/>
  <c r="X279" i="1"/>
  <c r="AD278" i="1"/>
  <c r="AC278" i="1"/>
  <c r="AB278" i="1"/>
  <c r="AA278" i="1"/>
  <c r="Z278" i="1"/>
  <c r="Y278" i="1"/>
  <c r="X278" i="1"/>
  <c r="AD277" i="1"/>
  <c r="AC277" i="1"/>
  <c r="AB277" i="1"/>
  <c r="AA277" i="1"/>
  <c r="Z277" i="1"/>
  <c r="Y277" i="1"/>
  <c r="X277" i="1"/>
  <c r="AD276" i="1"/>
  <c r="AC276" i="1"/>
  <c r="AB276" i="1"/>
  <c r="AA276" i="1"/>
  <c r="Z276" i="1"/>
  <c r="Y276" i="1"/>
  <c r="X276" i="1"/>
  <c r="AD275" i="1"/>
  <c r="AC275" i="1"/>
  <c r="AB275" i="1"/>
  <c r="AA275" i="1"/>
  <c r="Z275" i="1"/>
  <c r="Y275" i="1"/>
  <c r="X275" i="1"/>
  <c r="AD274" i="1"/>
  <c r="AC274" i="1"/>
  <c r="AB274" i="1"/>
  <c r="AA274" i="1"/>
  <c r="Z274" i="1"/>
  <c r="Y274" i="1"/>
  <c r="X274" i="1"/>
  <c r="AD273" i="1"/>
  <c r="AC273" i="1"/>
  <c r="AB273" i="1"/>
  <c r="AA273" i="1"/>
  <c r="Z273" i="1"/>
  <c r="Y273" i="1"/>
  <c r="X273" i="1"/>
  <c r="AD272" i="1"/>
  <c r="AC272" i="1"/>
  <c r="AB272" i="1"/>
  <c r="AA272" i="1"/>
  <c r="Z272" i="1"/>
  <c r="Y272" i="1"/>
  <c r="X272" i="1"/>
  <c r="AD271" i="1"/>
  <c r="AC271" i="1"/>
  <c r="AB271" i="1"/>
  <c r="AA271" i="1"/>
  <c r="Z271" i="1"/>
  <c r="Y271" i="1"/>
  <c r="X271" i="1"/>
  <c r="AD270" i="1"/>
  <c r="AC270" i="1"/>
  <c r="AB270" i="1"/>
  <c r="AA270" i="1"/>
  <c r="Z270" i="1"/>
  <c r="Y270" i="1"/>
  <c r="X270" i="1"/>
  <c r="AD269" i="1"/>
  <c r="AC269" i="1"/>
  <c r="AB269" i="1"/>
  <c r="AA269" i="1"/>
  <c r="Z269" i="1"/>
  <c r="Y269" i="1"/>
  <c r="X269" i="1"/>
  <c r="AD268" i="1"/>
  <c r="AC268" i="1"/>
  <c r="AB268" i="1"/>
  <c r="AA268" i="1"/>
  <c r="Z268" i="1"/>
  <c r="Y268" i="1"/>
  <c r="X268" i="1"/>
  <c r="AD267" i="1"/>
  <c r="AC267" i="1"/>
  <c r="AB267" i="1"/>
  <c r="AA267" i="1"/>
  <c r="Z267" i="1"/>
  <c r="Y267" i="1"/>
  <c r="X267" i="1"/>
  <c r="AD266" i="1"/>
  <c r="AC266" i="1"/>
  <c r="AB266" i="1"/>
  <c r="AA266" i="1"/>
  <c r="Z266" i="1"/>
  <c r="Y266" i="1"/>
  <c r="X266" i="1"/>
  <c r="AD265" i="1"/>
  <c r="AC265" i="1"/>
  <c r="AB265" i="1"/>
  <c r="AA265" i="1"/>
  <c r="Z265" i="1"/>
  <c r="Y265" i="1"/>
  <c r="X265" i="1"/>
  <c r="AD264" i="1"/>
  <c r="AC264" i="1"/>
  <c r="AB264" i="1"/>
  <c r="AA264" i="1"/>
  <c r="Z264" i="1"/>
  <c r="Y264" i="1"/>
  <c r="X264" i="1"/>
  <c r="AD263" i="1"/>
  <c r="AC263" i="1"/>
  <c r="AB263" i="1"/>
  <c r="AA263" i="1"/>
  <c r="Z263" i="1"/>
  <c r="Y263" i="1"/>
  <c r="X263" i="1"/>
  <c r="AD262" i="1"/>
  <c r="AC262" i="1"/>
  <c r="AB262" i="1"/>
  <c r="AA262" i="1"/>
  <c r="Z262" i="1"/>
  <c r="Y262" i="1"/>
  <c r="X262" i="1"/>
  <c r="AD261" i="1"/>
  <c r="AC261" i="1"/>
  <c r="AB261" i="1"/>
  <c r="AA261" i="1"/>
  <c r="Z261" i="1"/>
  <c r="Y261" i="1"/>
  <c r="X261" i="1"/>
  <c r="AD260" i="1"/>
  <c r="AC260" i="1"/>
  <c r="AB260" i="1"/>
  <c r="AA260" i="1"/>
  <c r="Z260" i="1"/>
  <c r="Y260" i="1"/>
  <c r="X260" i="1"/>
  <c r="AD259" i="1"/>
  <c r="AC259" i="1"/>
  <c r="AB259" i="1"/>
  <c r="AA259" i="1"/>
  <c r="Z259" i="1"/>
  <c r="Y259" i="1"/>
  <c r="X259" i="1"/>
  <c r="AD258" i="1"/>
  <c r="AC258" i="1"/>
  <c r="AB258" i="1"/>
  <c r="AA258" i="1"/>
  <c r="Z258" i="1"/>
  <c r="Y258" i="1"/>
  <c r="X258" i="1"/>
  <c r="AD257" i="1"/>
  <c r="AC257" i="1"/>
  <c r="AB257" i="1"/>
  <c r="AA257" i="1"/>
  <c r="Z257" i="1"/>
  <c r="Y257" i="1"/>
  <c r="X257" i="1"/>
  <c r="AD256" i="1"/>
  <c r="AC256" i="1"/>
  <c r="AB256" i="1"/>
  <c r="AA256" i="1"/>
  <c r="Z256" i="1"/>
  <c r="Y256" i="1"/>
  <c r="X256" i="1"/>
  <c r="AD255" i="1"/>
  <c r="AC255" i="1"/>
  <c r="AB255" i="1"/>
  <c r="AA255" i="1"/>
  <c r="Z255" i="1"/>
  <c r="Y255" i="1"/>
  <c r="X255" i="1"/>
  <c r="AD254" i="1"/>
  <c r="AC254" i="1"/>
  <c r="AB254" i="1"/>
  <c r="AA254" i="1"/>
  <c r="Z254" i="1"/>
  <c r="Y254" i="1"/>
  <c r="X254" i="1"/>
  <c r="AD253" i="1"/>
  <c r="AC253" i="1"/>
  <c r="AB253" i="1"/>
  <c r="AA253" i="1"/>
  <c r="Z253" i="1"/>
  <c r="Y253" i="1"/>
  <c r="X253" i="1"/>
  <c r="AD252" i="1"/>
  <c r="AC252" i="1"/>
  <c r="AB252" i="1"/>
  <c r="AA252" i="1"/>
  <c r="Z252" i="1"/>
  <c r="Y252" i="1"/>
  <c r="X252" i="1"/>
  <c r="AD251" i="1"/>
  <c r="AC251" i="1"/>
  <c r="AB251" i="1"/>
  <c r="AA251" i="1"/>
  <c r="Z251" i="1"/>
  <c r="Y251" i="1"/>
  <c r="X251" i="1"/>
  <c r="AD250" i="1"/>
  <c r="AC250" i="1"/>
  <c r="AB250" i="1"/>
  <c r="AA250" i="1"/>
  <c r="Z250" i="1"/>
  <c r="Y250" i="1"/>
  <c r="X250" i="1"/>
  <c r="AD249" i="1"/>
  <c r="AC249" i="1"/>
  <c r="AB249" i="1"/>
  <c r="AA249" i="1"/>
  <c r="Z249" i="1"/>
  <c r="Y249" i="1"/>
  <c r="X249" i="1"/>
  <c r="AD248" i="1"/>
  <c r="AC248" i="1"/>
  <c r="AB248" i="1"/>
  <c r="AA248" i="1"/>
  <c r="Z248" i="1"/>
  <c r="Y248" i="1"/>
  <c r="X248" i="1"/>
  <c r="AD247" i="1"/>
  <c r="AC247" i="1"/>
  <c r="AB247" i="1"/>
  <c r="AA247" i="1"/>
  <c r="Z247" i="1"/>
  <c r="Y247" i="1"/>
  <c r="X247" i="1"/>
  <c r="AD246" i="1"/>
  <c r="AC246" i="1"/>
  <c r="AB246" i="1"/>
  <c r="AA246" i="1"/>
  <c r="Z246" i="1"/>
  <c r="Y246" i="1"/>
  <c r="X246" i="1"/>
  <c r="AD245" i="1"/>
  <c r="AC245" i="1"/>
  <c r="AB245" i="1"/>
  <c r="AA245" i="1"/>
  <c r="Z245" i="1"/>
  <c r="Y245" i="1"/>
  <c r="X245" i="1"/>
  <c r="AD244" i="1"/>
  <c r="AC244" i="1"/>
  <c r="AB244" i="1"/>
  <c r="AA244" i="1"/>
  <c r="Z244" i="1"/>
  <c r="Y244" i="1"/>
  <c r="X244" i="1"/>
  <c r="AD243" i="1"/>
  <c r="AC243" i="1"/>
  <c r="AB243" i="1"/>
  <c r="AA243" i="1"/>
  <c r="Z243" i="1"/>
  <c r="Y243" i="1"/>
  <c r="X243" i="1"/>
  <c r="AD242" i="1"/>
  <c r="AC242" i="1"/>
  <c r="AB242" i="1"/>
  <c r="AA242" i="1"/>
  <c r="Z242" i="1"/>
  <c r="Y242" i="1"/>
  <c r="X242" i="1"/>
  <c r="AD241" i="1"/>
  <c r="AC241" i="1"/>
  <c r="AB241" i="1"/>
  <c r="AA241" i="1"/>
  <c r="Z241" i="1"/>
  <c r="Y241" i="1"/>
  <c r="X241" i="1"/>
  <c r="AD240" i="1"/>
  <c r="AC240" i="1"/>
  <c r="AB240" i="1"/>
  <c r="AA240" i="1"/>
  <c r="Z240" i="1"/>
  <c r="Y240" i="1"/>
  <c r="X240" i="1"/>
  <c r="AD239" i="1"/>
  <c r="AC239" i="1"/>
  <c r="AB239" i="1"/>
  <c r="AA239" i="1"/>
  <c r="Z239" i="1"/>
  <c r="Y239" i="1"/>
  <c r="X239" i="1"/>
  <c r="AD238" i="1"/>
  <c r="AC238" i="1"/>
  <c r="AB238" i="1"/>
  <c r="AA238" i="1"/>
  <c r="Z238" i="1"/>
  <c r="Y238" i="1"/>
  <c r="X238" i="1"/>
  <c r="AD237" i="1"/>
  <c r="AC237" i="1"/>
  <c r="AB237" i="1"/>
  <c r="AA237" i="1"/>
  <c r="Z237" i="1"/>
  <c r="Y237" i="1"/>
  <c r="X237" i="1"/>
  <c r="AD236" i="1"/>
  <c r="AC236" i="1"/>
  <c r="AB236" i="1"/>
  <c r="AA236" i="1"/>
  <c r="Z236" i="1"/>
  <c r="Y236" i="1"/>
  <c r="X236" i="1"/>
  <c r="AD235" i="1"/>
  <c r="AC235" i="1"/>
  <c r="AB235" i="1"/>
  <c r="AA235" i="1"/>
  <c r="Z235" i="1"/>
  <c r="Y235" i="1"/>
  <c r="X235" i="1"/>
  <c r="AD234" i="1"/>
  <c r="AC234" i="1"/>
  <c r="AB234" i="1"/>
  <c r="AA234" i="1"/>
  <c r="Z234" i="1"/>
  <c r="Y234" i="1"/>
  <c r="X234" i="1"/>
  <c r="AD233" i="1"/>
  <c r="AC233" i="1"/>
  <c r="AB233" i="1"/>
  <c r="AA233" i="1"/>
  <c r="Z233" i="1"/>
  <c r="Y233" i="1"/>
  <c r="X233" i="1"/>
  <c r="AD232" i="1"/>
  <c r="AC232" i="1"/>
  <c r="AB232" i="1"/>
  <c r="AA232" i="1"/>
  <c r="Z232" i="1"/>
  <c r="Y232" i="1"/>
  <c r="X232" i="1"/>
  <c r="AD231" i="1"/>
  <c r="AC231" i="1"/>
  <c r="AB231" i="1"/>
  <c r="AA231" i="1"/>
  <c r="Z231" i="1"/>
  <c r="Y231" i="1"/>
  <c r="X231" i="1"/>
  <c r="AD230" i="1"/>
  <c r="AC230" i="1"/>
  <c r="AB230" i="1"/>
  <c r="AA230" i="1"/>
  <c r="Z230" i="1"/>
  <c r="Y230" i="1"/>
  <c r="X230" i="1"/>
  <c r="AD229" i="1"/>
  <c r="AC229" i="1"/>
  <c r="AB229" i="1"/>
  <c r="AA229" i="1"/>
  <c r="Z229" i="1"/>
  <c r="Y229" i="1"/>
  <c r="X229" i="1"/>
  <c r="AD228" i="1"/>
  <c r="AC228" i="1"/>
  <c r="AB228" i="1"/>
  <c r="AA228" i="1"/>
  <c r="Z228" i="1"/>
  <c r="Y228" i="1"/>
  <c r="X228" i="1"/>
  <c r="AD227" i="1"/>
  <c r="AC227" i="1"/>
  <c r="AB227" i="1"/>
  <c r="AA227" i="1"/>
  <c r="Z227" i="1"/>
  <c r="Y227" i="1"/>
  <c r="X227" i="1"/>
  <c r="AD226" i="1"/>
  <c r="AC226" i="1"/>
  <c r="AB226" i="1"/>
  <c r="AA226" i="1"/>
  <c r="Z226" i="1"/>
  <c r="Y226" i="1"/>
  <c r="X226" i="1"/>
  <c r="AD225" i="1"/>
  <c r="AC225" i="1"/>
  <c r="AB225" i="1"/>
  <c r="AA225" i="1"/>
  <c r="Z225" i="1"/>
  <c r="Y225" i="1"/>
  <c r="X225" i="1"/>
  <c r="AD224" i="1"/>
  <c r="AC224" i="1"/>
  <c r="AB224" i="1"/>
  <c r="AA224" i="1"/>
  <c r="Z224" i="1"/>
  <c r="Y224" i="1"/>
  <c r="X224" i="1"/>
  <c r="AD223" i="1"/>
  <c r="AC223" i="1"/>
  <c r="AB223" i="1"/>
  <c r="AA223" i="1"/>
  <c r="Z223" i="1"/>
  <c r="Y223" i="1"/>
  <c r="X223" i="1"/>
  <c r="AD222" i="1"/>
  <c r="AC222" i="1"/>
  <c r="AB222" i="1"/>
  <c r="AA222" i="1"/>
  <c r="Z222" i="1"/>
  <c r="Y222" i="1"/>
  <c r="X222" i="1"/>
  <c r="AD221" i="1"/>
  <c r="AC221" i="1"/>
  <c r="AB221" i="1"/>
  <c r="AA221" i="1"/>
  <c r="Z221" i="1"/>
  <c r="Y221" i="1"/>
  <c r="X221" i="1"/>
  <c r="AD220" i="1"/>
  <c r="AC220" i="1"/>
  <c r="AB220" i="1"/>
  <c r="AA220" i="1"/>
  <c r="Z220" i="1"/>
  <c r="Y220" i="1"/>
  <c r="X220" i="1"/>
  <c r="AD219" i="1"/>
  <c r="AC219" i="1"/>
  <c r="AB219" i="1"/>
  <c r="AA219" i="1"/>
  <c r="Z219" i="1"/>
  <c r="Y219" i="1"/>
  <c r="X219" i="1"/>
  <c r="AD218" i="1"/>
  <c r="AC218" i="1"/>
  <c r="AB218" i="1"/>
  <c r="AA218" i="1"/>
  <c r="Z218" i="1"/>
  <c r="Y218" i="1"/>
  <c r="X218" i="1"/>
  <c r="AD217" i="1"/>
  <c r="AC217" i="1"/>
  <c r="AB217" i="1"/>
  <c r="AA217" i="1"/>
  <c r="Z217" i="1"/>
  <c r="Y217" i="1"/>
  <c r="X217" i="1"/>
  <c r="AD216" i="1"/>
  <c r="AC216" i="1"/>
  <c r="AB216" i="1"/>
  <c r="AA216" i="1"/>
  <c r="Z216" i="1"/>
  <c r="Y216" i="1"/>
  <c r="X216" i="1"/>
  <c r="AD215" i="1"/>
  <c r="AC215" i="1"/>
  <c r="AB215" i="1"/>
  <c r="AA215" i="1"/>
  <c r="Z215" i="1"/>
  <c r="Y215" i="1"/>
  <c r="X215" i="1"/>
  <c r="AD214" i="1"/>
  <c r="AC214" i="1"/>
  <c r="AB214" i="1"/>
  <c r="AA214" i="1"/>
  <c r="Z214" i="1"/>
  <c r="Y214" i="1"/>
  <c r="X214" i="1"/>
  <c r="AD213" i="1"/>
  <c r="AC213" i="1"/>
  <c r="AB213" i="1"/>
  <c r="AA213" i="1"/>
  <c r="Z213" i="1"/>
  <c r="Y213" i="1"/>
  <c r="X213" i="1"/>
  <c r="AD212" i="1"/>
  <c r="AC212" i="1"/>
  <c r="AB212" i="1"/>
  <c r="AA212" i="1"/>
  <c r="Z212" i="1"/>
  <c r="Y212" i="1"/>
  <c r="X212" i="1"/>
  <c r="AD211" i="1"/>
  <c r="AC211" i="1"/>
  <c r="AB211" i="1"/>
  <c r="AA211" i="1"/>
  <c r="Z211" i="1"/>
  <c r="Y211" i="1"/>
  <c r="X211" i="1"/>
  <c r="AD210" i="1"/>
  <c r="AC210" i="1"/>
  <c r="AB210" i="1"/>
  <c r="AA210" i="1"/>
  <c r="Z210" i="1"/>
  <c r="Y210" i="1"/>
  <c r="X210" i="1"/>
  <c r="AD209" i="1"/>
  <c r="AC209" i="1"/>
  <c r="AB209" i="1"/>
  <c r="AA209" i="1"/>
  <c r="Z209" i="1"/>
  <c r="Y209" i="1"/>
  <c r="X209" i="1"/>
  <c r="AD208" i="1"/>
  <c r="AC208" i="1"/>
  <c r="AB208" i="1"/>
  <c r="AA208" i="1"/>
  <c r="Z208" i="1"/>
  <c r="Y208" i="1"/>
  <c r="X208" i="1"/>
  <c r="AD207" i="1"/>
  <c r="AC207" i="1"/>
  <c r="AB207" i="1"/>
  <c r="AA207" i="1"/>
  <c r="Z207" i="1"/>
  <c r="Y207" i="1"/>
  <c r="X207" i="1"/>
  <c r="AD206" i="1"/>
  <c r="AC206" i="1"/>
  <c r="AB206" i="1"/>
  <c r="AA206" i="1"/>
  <c r="Z206" i="1"/>
  <c r="Y206" i="1"/>
  <c r="X206" i="1"/>
  <c r="AD205" i="1"/>
  <c r="AC205" i="1"/>
  <c r="AB205" i="1"/>
  <c r="AA205" i="1"/>
  <c r="Z205" i="1"/>
  <c r="Y205" i="1"/>
  <c r="X205" i="1"/>
  <c r="AD204" i="1"/>
  <c r="AC204" i="1"/>
  <c r="AB204" i="1"/>
  <c r="AA204" i="1"/>
  <c r="Z204" i="1"/>
  <c r="Y204" i="1"/>
  <c r="X204" i="1"/>
  <c r="AD203" i="1"/>
  <c r="AC203" i="1"/>
  <c r="AB203" i="1"/>
  <c r="AA203" i="1"/>
  <c r="Z203" i="1"/>
  <c r="Y203" i="1"/>
  <c r="X203" i="1"/>
  <c r="AD202" i="1"/>
  <c r="AC202" i="1"/>
  <c r="AB202" i="1"/>
  <c r="AA202" i="1"/>
  <c r="Z202" i="1"/>
  <c r="Y202" i="1"/>
  <c r="X202" i="1"/>
  <c r="AD201" i="1"/>
  <c r="AC201" i="1"/>
  <c r="AB201" i="1"/>
  <c r="AA201" i="1"/>
  <c r="Z201" i="1"/>
  <c r="Y201" i="1"/>
  <c r="X201" i="1"/>
  <c r="AD200" i="1"/>
  <c r="AC200" i="1"/>
  <c r="AB200" i="1"/>
  <c r="AA200" i="1"/>
  <c r="Z200" i="1"/>
  <c r="Y200" i="1"/>
  <c r="X200" i="1"/>
  <c r="AD199" i="1"/>
  <c r="AC199" i="1"/>
  <c r="AB199" i="1"/>
  <c r="AA199" i="1"/>
  <c r="Z199" i="1"/>
  <c r="Y199" i="1"/>
  <c r="X199" i="1"/>
  <c r="AD198" i="1"/>
  <c r="AC198" i="1"/>
  <c r="AB198" i="1"/>
  <c r="AA198" i="1"/>
  <c r="Z198" i="1"/>
  <c r="Y198" i="1"/>
  <c r="X198" i="1"/>
  <c r="AD197" i="1"/>
  <c r="AC197" i="1"/>
  <c r="AB197" i="1"/>
  <c r="AA197" i="1"/>
  <c r="Z197" i="1"/>
  <c r="Y197" i="1"/>
  <c r="X197" i="1"/>
  <c r="AD196" i="1"/>
  <c r="AC196" i="1"/>
  <c r="AB196" i="1"/>
  <c r="AA196" i="1"/>
  <c r="Z196" i="1"/>
  <c r="Y196" i="1"/>
  <c r="X196" i="1"/>
  <c r="AD195" i="1"/>
  <c r="AC195" i="1"/>
  <c r="AB195" i="1"/>
  <c r="AA195" i="1"/>
  <c r="Z195" i="1"/>
  <c r="Y195" i="1"/>
  <c r="X195" i="1"/>
  <c r="AD194" i="1"/>
  <c r="AC194" i="1"/>
  <c r="AB194" i="1"/>
  <c r="AA194" i="1"/>
  <c r="Z194" i="1"/>
  <c r="Y194" i="1"/>
  <c r="X194" i="1"/>
  <c r="AD193" i="1"/>
  <c r="AC193" i="1"/>
  <c r="AB193" i="1"/>
  <c r="AA193" i="1"/>
  <c r="Z193" i="1"/>
  <c r="Y193" i="1"/>
  <c r="X193" i="1"/>
  <c r="AD192" i="1"/>
  <c r="AC192" i="1"/>
  <c r="AB192" i="1"/>
  <c r="AA192" i="1"/>
  <c r="Z192" i="1"/>
  <c r="Y192" i="1"/>
  <c r="X192" i="1"/>
  <c r="AD191" i="1"/>
  <c r="AC191" i="1"/>
  <c r="AB191" i="1"/>
  <c r="AA191" i="1"/>
  <c r="Z191" i="1"/>
  <c r="Y191" i="1"/>
  <c r="X191" i="1"/>
  <c r="AD190" i="1"/>
  <c r="AC190" i="1"/>
  <c r="AB190" i="1"/>
  <c r="AA190" i="1"/>
  <c r="Z190" i="1"/>
  <c r="Y190" i="1"/>
  <c r="X190" i="1"/>
  <c r="AD189" i="1"/>
  <c r="AC189" i="1"/>
  <c r="AB189" i="1"/>
  <c r="AA189" i="1"/>
  <c r="Z189" i="1"/>
  <c r="Y189" i="1"/>
  <c r="X189" i="1"/>
  <c r="AD188" i="1"/>
  <c r="AC188" i="1"/>
  <c r="AB188" i="1"/>
  <c r="AA188" i="1"/>
  <c r="Z188" i="1"/>
  <c r="Y188" i="1"/>
  <c r="X188" i="1"/>
  <c r="AD187" i="1"/>
  <c r="AC187" i="1"/>
  <c r="AB187" i="1"/>
  <c r="AA187" i="1"/>
  <c r="Z187" i="1"/>
  <c r="Y187" i="1"/>
  <c r="X187" i="1"/>
  <c r="AD186" i="1"/>
  <c r="AC186" i="1"/>
  <c r="AB186" i="1"/>
  <c r="AA186" i="1"/>
  <c r="Z186" i="1"/>
  <c r="Y186" i="1"/>
  <c r="X186" i="1"/>
  <c r="AD185" i="1"/>
  <c r="AC185" i="1"/>
  <c r="AB185" i="1"/>
  <c r="AA185" i="1"/>
  <c r="Z185" i="1"/>
  <c r="Y185" i="1"/>
  <c r="X185" i="1"/>
  <c r="AD184" i="1"/>
  <c r="AC184" i="1"/>
  <c r="AB184" i="1"/>
  <c r="AA184" i="1"/>
  <c r="Z184" i="1"/>
  <c r="Y184" i="1"/>
  <c r="X184" i="1"/>
  <c r="AD183" i="1"/>
  <c r="AC183" i="1"/>
  <c r="AB183" i="1"/>
  <c r="AA183" i="1"/>
  <c r="Z183" i="1"/>
  <c r="Y183" i="1"/>
  <c r="X183" i="1"/>
  <c r="AD182" i="1"/>
  <c r="AC182" i="1"/>
  <c r="AB182" i="1"/>
  <c r="AA182" i="1"/>
  <c r="Z182" i="1"/>
  <c r="Y182" i="1"/>
  <c r="X182" i="1"/>
  <c r="AD181" i="1"/>
  <c r="AC181" i="1"/>
  <c r="AB181" i="1"/>
  <c r="AA181" i="1"/>
  <c r="Z181" i="1"/>
  <c r="Y181" i="1"/>
  <c r="X181" i="1"/>
  <c r="AD180" i="1"/>
  <c r="AC180" i="1"/>
  <c r="AB180" i="1"/>
  <c r="AA180" i="1"/>
  <c r="Z180" i="1"/>
  <c r="Y180" i="1"/>
  <c r="X180" i="1"/>
  <c r="AD179" i="1"/>
  <c r="AC179" i="1"/>
  <c r="AB179" i="1"/>
  <c r="AA179" i="1"/>
  <c r="Z179" i="1"/>
  <c r="Y179" i="1"/>
  <c r="X179" i="1"/>
  <c r="AD178" i="1"/>
  <c r="AC178" i="1"/>
  <c r="AB178" i="1"/>
  <c r="AA178" i="1"/>
  <c r="Z178" i="1"/>
  <c r="Y178" i="1"/>
  <c r="X178" i="1"/>
  <c r="AD177" i="1"/>
  <c r="AC177" i="1"/>
  <c r="AB177" i="1"/>
  <c r="AA177" i="1"/>
  <c r="Z177" i="1"/>
  <c r="Y177" i="1"/>
  <c r="X177" i="1"/>
  <c r="AD176" i="1"/>
  <c r="AC176" i="1"/>
  <c r="AB176" i="1"/>
  <c r="AA176" i="1"/>
  <c r="Z176" i="1"/>
  <c r="Y176" i="1"/>
  <c r="X176" i="1"/>
  <c r="AD175" i="1"/>
  <c r="AC175" i="1"/>
  <c r="AB175" i="1"/>
  <c r="AA175" i="1"/>
  <c r="Z175" i="1"/>
  <c r="Y175" i="1"/>
  <c r="X175" i="1"/>
  <c r="AD174" i="1"/>
  <c r="AC174" i="1"/>
  <c r="AB174" i="1"/>
  <c r="AA174" i="1"/>
  <c r="Z174" i="1"/>
  <c r="Y174" i="1"/>
  <c r="X174" i="1"/>
  <c r="AD173" i="1"/>
  <c r="AC173" i="1"/>
  <c r="AB173" i="1"/>
  <c r="AA173" i="1"/>
  <c r="Z173" i="1"/>
  <c r="Y173" i="1"/>
  <c r="X173" i="1"/>
  <c r="AD172" i="1"/>
  <c r="AC172" i="1"/>
  <c r="AB172" i="1"/>
  <c r="AA172" i="1"/>
  <c r="Z172" i="1"/>
  <c r="Y172" i="1"/>
  <c r="X172" i="1"/>
  <c r="AD171" i="1"/>
  <c r="AC171" i="1"/>
  <c r="AB171" i="1"/>
  <c r="AA171" i="1"/>
  <c r="Z171" i="1"/>
  <c r="Y171" i="1"/>
  <c r="X171" i="1"/>
  <c r="AD170" i="1"/>
  <c r="AC170" i="1"/>
  <c r="AB170" i="1"/>
  <c r="AA170" i="1"/>
  <c r="Z170" i="1"/>
  <c r="Y170" i="1"/>
  <c r="X170" i="1"/>
  <c r="AD169" i="1"/>
  <c r="AC169" i="1"/>
  <c r="AB169" i="1"/>
  <c r="AA169" i="1"/>
  <c r="Z169" i="1"/>
  <c r="Y169" i="1"/>
  <c r="X169" i="1"/>
  <c r="AD168" i="1"/>
  <c r="AC168" i="1"/>
  <c r="AB168" i="1"/>
  <c r="AA168" i="1"/>
  <c r="Z168" i="1"/>
  <c r="Y168" i="1"/>
  <c r="X168" i="1"/>
  <c r="AD167" i="1"/>
  <c r="AC167" i="1"/>
  <c r="AB167" i="1"/>
  <c r="AA167" i="1"/>
  <c r="Z167" i="1"/>
  <c r="Y167" i="1"/>
  <c r="X167" i="1"/>
  <c r="AD166" i="1"/>
  <c r="AC166" i="1"/>
  <c r="AB166" i="1"/>
  <c r="AA166" i="1"/>
  <c r="Z166" i="1"/>
  <c r="Y166" i="1"/>
  <c r="X166" i="1"/>
  <c r="AD165" i="1"/>
  <c r="AC165" i="1"/>
  <c r="AB165" i="1"/>
  <c r="AA165" i="1"/>
  <c r="Z165" i="1"/>
  <c r="Y165" i="1"/>
  <c r="X165" i="1"/>
  <c r="AD164" i="1"/>
  <c r="AC164" i="1"/>
  <c r="AB164" i="1"/>
  <c r="AA164" i="1"/>
  <c r="Z164" i="1"/>
  <c r="Y164" i="1"/>
  <c r="X164" i="1"/>
  <c r="AD163" i="1"/>
  <c r="AC163" i="1"/>
  <c r="AB163" i="1"/>
  <c r="AA163" i="1"/>
  <c r="Z163" i="1"/>
  <c r="Y163" i="1"/>
  <c r="X163" i="1"/>
  <c r="AD162" i="1"/>
  <c r="AC162" i="1"/>
  <c r="AB162" i="1"/>
  <c r="AA162" i="1"/>
  <c r="Z162" i="1"/>
  <c r="Y162" i="1"/>
  <c r="X162" i="1"/>
  <c r="AD161" i="1"/>
  <c r="AC161" i="1"/>
  <c r="AB161" i="1"/>
  <c r="AA161" i="1"/>
  <c r="Z161" i="1"/>
  <c r="Y161" i="1"/>
  <c r="X161" i="1"/>
  <c r="AD160" i="1"/>
  <c r="AC160" i="1"/>
  <c r="AB160" i="1"/>
  <c r="AA160" i="1"/>
  <c r="Z160" i="1"/>
  <c r="Y160" i="1"/>
  <c r="X160" i="1"/>
  <c r="AD159" i="1"/>
  <c r="AC159" i="1"/>
  <c r="AB159" i="1"/>
  <c r="AA159" i="1"/>
  <c r="Z159" i="1"/>
  <c r="Y159" i="1"/>
  <c r="X159" i="1"/>
  <c r="AD158" i="1"/>
  <c r="AC158" i="1"/>
  <c r="AB158" i="1"/>
  <c r="AA158" i="1"/>
  <c r="Z158" i="1"/>
  <c r="Y158" i="1"/>
  <c r="X158" i="1"/>
  <c r="AD157" i="1"/>
  <c r="AC157" i="1"/>
  <c r="AB157" i="1"/>
  <c r="AA157" i="1"/>
  <c r="Z157" i="1"/>
  <c r="Y157" i="1"/>
  <c r="X157" i="1"/>
  <c r="AD156" i="1"/>
  <c r="AC156" i="1"/>
  <c r="AB156" i="1"/>
  <c r="AA156" i="1"/>
  <c r="Z156" i="1"/>
  <c r="Y156" i="1"/>
  <c r="X156" i="1"/>
  <c r="AD155" i="1"/>
  <c r="AC155" i="1"/>
  <c r="AB155" i="1"/>
  <c r="AA155" i="1"/>
  <c r="Z155" i="1"/>
  <c r="Y155" i="1"/>
  <c r="X155" i="1"/>
  <c r="AD154" i="1"/>
  <c r="AC154" i="1"/>
  <c r="AB154" i="1"/>
  <c r="AA154" i="1"/>
  <c r="Z154" i="1"/>
  <c r="Y154" i="1"/>
  <c r="X154" i="1"/>
  <c r="AD153" i="1"/>
  <c r="AC153" i="1"/>
  <c r="AB153" i="1"/>
  <c r="AA153" i="1"/>
  <c r="Z153" i="1"/>
  <c r="Y153" i="1"/>
  <c r="X153" i="1"/>
  <c r="AD152" i="1"/>
  <c r="AC152" i="1"/>
  <c r="AB152" i="1"/>
  <c r="AA152" i="1"/>
  <c r="Z152" i="1"/>
  <c r="Y152" i="1"/>
  <c r="X152" i="1"/>
  <c r="AD151" i="1"/>
  <c r="AC151" i="1"/>
  <c r="AB151" i="1"/>
  <c r="AA151" i="1"/>
  <c r="Z151" i="1"/>
  <c r="Y151" i="1"/>
  <c r="X151" i="1"/>
  <c r="AD150" i="1"/>
  <c r="AC150" i="1"/>
  <c r="AB150" i="1"/>
  <c r="AA150" i="1"/>
  <c r="Z150" i="1"/>
  <c r="Y150" i="1"/>
  <c r="X150" i="1"/>
  <c r="AD149" i="1"/>
  <c r="AC149" i="1"/>
  <c r="AB149" i="1"/>
  <c r="AA149" i="1"/>
  <c r="Z149" i="1"/>
  <c r="Y149" i="1"/>
  <c r="X149" i="1"/>
  <c r="AD148" i="1"/>
  <c r="AC148" i="1"/>
  <c r="AB148" i="1"/>
  <c r="AA148" i="1"/>
  <c r="Z148" i="1"/>
  <c r="Y148" i="1"/>
  <c r="X148" i="1"/>
  <c r="AD147" i="1"/>
  <c r="AC147" i="1"/>
  <c r="AB147" i="1"/>
  <c r="AA147" i="1"/>
  <c r="Z147" i="1"/>
  <c r="Y147" i="1"/>
  <c r="X147" i="1"/>
  <c r="AD146" i="1"/>
  <c r="AC146" i="1"/>
  <c r="AB146" i="1"/>
  <c r="AA146" i="1"/>
  <c r="Z146" i="1"/>
  <c r="Y146" i="1"/>
  <c r="X146" i="1"/>
  <c r="AD145" i="1"/>
  <c r="AC145" i="1"/>
  <c r="AB145" i="1"/>
  <c r="AA145" i="1"/>
  <c r="Z145" i="1"/>
  <c r="Y145" i="1"/>
  <c r="X145" i="1"/>
  <c r="AD144" i="1"/>
  <c r="AC144" i="1"/>
  <c r="AB144" i="1"/>
  <c r="AA144" i="1"/>
  <c r="Z144" i="1"/>
  <c r="Y144" i="1"/>
  <c r="X144" i="1"/>
  <c r="AD143" i="1"/>
  <c r="AC143" i="1"/>
  <c r="AB143" i="1"/>
  <c r="AA143" i="1"/>
  <c r="Z143" i="1"/>
  <c r="Y143" i="1"/>
  <c r="X143" i="1"/>
  <c r="AD142" i="1"/>
  <c r="AC142" i="1"/>
  <c r="AB142" i="1"/>
  <c r="AA142" i="1"/>
  <c r="Z142" i="1"/>
  <c r="Y142" i="1"/>
  <c r="X142" i="1"/>
  <c r="AD141" i="1"/>
  <c r="AC141" i="1"/>
  <c r="AB141" i="1"/>
  <c r="AA141" i="1"/>
  <c r="Z141" i="1"/>
  <c r="Y141" i="1"/>
  <c r="X141" i="1"/>
  <c r="AD140" i="1"/>
  <c r="AC140" i="1"/>
  <c r="AB140" i="1"/>
  <c r="AA140" i="1"/>
  <c r="Z140" i="1"/>
  <c r="Y140" i="1"/>
  <c r="X140" i="1"/>
  <c r="AD139" i="1"/>
  <c r="AC139" i="1"/>
  <c r="AB139" i="1"/>
  <c r="AA139" i="1"/>
  <c r="Z139" i="1"/>
  <c r="Y139" i="1"/>
  <c r="X139" i="1"/>
  <c r="AD138" i="1"/>
  <c r="AC138" i="1"/>
  <c r="AB138" i="1"/>
  <c r="AA138" i="1"/>
  <c r="Z138" i="1"/>
  <c r="Y138" i="1"/>
  <c r="X138" i="1"/>
  <c r="AD137" i="1"/>
  <c r="AC137" i="1"/>
  <c r="AB137" i="1"/>
  <c r="AA137" i="1"/>
  <c r="Z137" i="1"/>
  <c r="Y137" i="1"/>
  <c r="X137" i="1"/>
  <c r="AD136" i="1"/>
  <c r="AC136" i="1"/>
  <c r="AB136" i="1"/>
  <c r="AA136" i="1"/>
  <c r="Z136" i="1"/>
  <c r="Y136" i="1"/>
  <c r="X136" i="1"/>
  <c r="AD135" i="1"/>
  <c r="AC135" i="1"/>
  <c r="AB135" i="1"/>
  <c r="AA135" i="1"/>
  <c r="Z135" i="1"/>
  <c r="Y135" i="1"/>
  <c r="X135" i="1"/>
  <c r="AD134" i="1"/>
  <c r="AC134" i="1"/>
  <c r="AB134" i="1"/>
  <c r="AA134" i="1"/>
  <c r="Z134" i="1"/>
  <c r="Y134" i="1"/>
  <c r="X134" i="1"/>
  <c r="AD133" i="1"/>
  <c r="AC133" i="1"/>
  <c r="AB133" i="1"/>
  <c r="AA133" i="1"/>
  <c r="Z133" i="1"/>
  <c r="Y133" i="1"/>
  <c r="X133" i="1"/>
  <c r="AD132" i="1"/>
  <c r="AC132" i="1"/>
  <c r="AB132" i="1"/>
  <c r="AA132" i="1"/>
  <c r="Z132" i="1"/>
  <c r="Y132" i="1"/>
  <c r="X132" i="1"/>
  <c r="AD131" i="1"/>
  <c r="AC131" i="1"/>
  <c r="AB131" i="1"/>
  <c r="AA131" i="1"/>
  <c r="Z131" i="1"/>
  <c r="Y131" i="1"/>
  <c r="X131" i="1"/>
  <c r="AD130" i="1"/>
  <c r="AC130" i="1"/>
  <c r="AB130" i="1"/>
  <c r="AA130" i="1"/>
  <c r="Z130" i="1"/>
  <c r="Y130" i="1"/>
  <c r="X130" i="1"/>
  <c r="AD129" i="1"/>
  <c r="AC129" i="1"/>
  <c r="AB129" i="1"/>
  <c r="AA129" i="1"/>
  <c r="Z129" i="1"/>
  <c r="Y129" i="1"/>
  <c r="X129" i="1"/>
  <c r="AD128" i="1"/>
  <c r="AC128" i="1"/>
  <c r="AB128" i="1"/>
  <c r="AA128" i="1"/>
  <c r="Z128" i="1"/>
  <c r="Y128" i="1"/>
  <c r="X128" i="1"/>
  <c r="AD127" i="1"/>
  <c r="AC127" i="1"/>
  <c r="AB127" i="1"/>
  <c r="AA127" i="1"/>
  <c r="Z127" i="1"/>
  <c r="Y127" i="1"/>
  <c r="X127" i="1"/>
  <c r="AD126" i="1"/>
  <c r="AC126" i="1"/>
  <c r="AB126" i="1"/>
  <c r="AA126" i="1"/>
  <c r="Z126" i="1"/>
  <c r="Y126" i="1"/>
  <c r="X126" i="1"/>
  <c r="AD125" i="1"/>
  <c r="AC125" i="1"/>
  <c r="AB125" i="1"/>
  <c r="AA125" i="1"/>
  <c r="Z125" i="1"/>
  <c r="Y125" i="1"/>
  <c r="X125" i="1"/>
  <c r="AD124" i="1"/>
  <c r="AC124" i="1"/>
  <c r="AB124" i="1"/>
  <c r="AA124" i="1"/>
  <c r="Z124" i="1"/>
  <c r="Y124" i="1"/>
  <c r="X124" i="1"/>
  <c r="AD123" i="1"/>
  <c r="AC123" i="1"/>
  <c r="AB123" i="1"/>
  <c r="AA123" i="1"/>
  <c r="Z123" i="1"/>
  <c r="Y123" i="1"/>
  <c r="X123" i="1"/>
  <c r="AD122" i="1"/>
  <c r="AC122" i="1"/>
  <c r="AB122" i="1"/>
  <c r="AA122" i="1"/>
  <c r="Z122" i="1"/>
  <c r="Y122" i="1"/>
  <c r="X122" i="1"/>
  <c r="AD121" i="1"/>
  <c r="AC121" i="1"/>
  <c r="AB121" i="1"/>
  <c r="AA121" i="1"/>
  <c r="Z121" i="1"/>
  <c r="Y121" i="1"/>
  <c r="X121" i="1"/>
  <c r="AD120" i="1"/>
  <c r="AC120" i="1"/>
  <c r="AB120" i="1"/>
  <c r="AA120" i="1"/>
  <c r="Z120" i="1"/>
  <c r="Y120" i="1"/>
  <c r="X120" i="1"/>
  <c r="AD119" i="1"/>
  <c r="AC119" i="1"/>
  <c r="AB119" i="1"/>
  <c r="AA119" i="1"/>
  <c r="Z119" i="1"/>
  <c r="Y119" i="1"/>
  <c r="X119" i="1"/>
  <c r="AD118" i="1"/>
  <c r="AC118" i="1"/>
  <c r="AB118" i="1"/>
  <c r="AA118" i="1"/>
  <c r="Z118" i="1"/>
  <c r="Y118" i="1"/>
  <c r="X118" i="1"/>
  <c r="AD117" i="1"/>
  <c r="AC117" i="1"/>
  <c r="AB117" i="1"/>
  <c r="AA117" i="1"/>
  <c r="Z117" i="1"/>
  <c r="Y117" i="1"/>
  <c r="X117" i="1"/>
  <c r="AD116" i="1"/>
  <c r="AC116" i="1"/>
  <c r="AB116" i="1"/>
  <c r="AA116" i="1"/>
  <c r="Z116" i="1"/>
  <c r="Y116" i="1"/>
  <c r="X116" i="1"/>
  <c r="AD115" i="1"/>
  <c r="AC115" i="1"/>
  <c r="AB115" i="1"/>
  <c r="AA115" i="1"/>
  <c r="Z115" i="1"/>
  <c r="Y115" i="1"/>
  <c r="X115" i="1"/>
  <c r="AD114" i="1"/>
  <c r="AC114" i="1"/>
  <c r="AB114" i="1"/>
  <c r="AA114" i="1"/>
  <c r="Z114" i="1"/>
  <c r="Y114" i="1"/>
  <c r="X114" i="1"/>
  <c r="AD113" i="1"/>
  <c r="AC113" i="1"/>
  <c r="AB113" i="1"/>
  <c r="AA113" i="1"/>
  <c r="Z113" i="1"/>
  <c r="Y113" i="1"/>
  <c r="X113" i="1"/>
  <c r="AD112" i="1"/>
  <c r="AC112" i="1"/>
  <c r="AB112" i="1"/>
  <c r="AA112" i="1"/>
  <c r="Z112" i="1"/>
  <c r="Y112" i="1"/>
  <c r="X112" i="1"/>
  <c r="AD111" i="1"/>
  <c r="AC111" i="1"/>
  <c r="AB111" i="1"/>
  <c r="AA111" i="1"/>
  <c r="Z111" i="1"/>
  <c r="Y111" i="1"/>
  <c r="X111" i="1"/>
  <c r="AD110" i="1"/>
  <c r="AC110" i="1"/>
  <c r="AB110" i="1"/>
  <c r="AA110" i="1"/>
  <c r="Z110" i="1"/>
  <c r="Y110" i="1"/>
  <c r="X110" i="1"/>
  <c r="AD109" i="1"/>
  <c r="AC109" i="1"/>
  <c r="AB109" i="1"/>
  <c r="AA109" i="1"/>
  <c r="Z109" i="1"/>
  <c r="Y109" i="1"/>
  <c r="X109" i="1"/>
  <c r="AD108" i="1"/>
  <c r="AC108" i="1"/>
  <c r="AB108" i="1"/>
  <c r="AA108" i="1"/>
  <c r="Z108" i="1"/>
  <c r="Y108" i="1"/>
  <c r="X108" i="1"/>
  <c r="AD107" i="1"/>
  <c r="AC107" i="1"/>
  <c r="AB107" i="1"/>
  <c r="AA107" i="1"/>
  <c r="Z107" i="1"/>
  <c r="Y107" i="1"/>
  <c r="X107" i="1"/>
  <c r="AD106" i="1"/>
  <c r="AC106" i="1"/>
  <c r="AB106" i="1"/>
  <c r="AA106" i="1"/>
  <c r="Z106" i="1"/>
  <c r="Y106" i="1"/>
  <c r="X106" i="1"/>
  <c r="AD105" i="1"/>
  <c r="AC105" i="1"/>
  <c r="AB105" i="1"/>
  <c r="AA105" i="1"/>
  <c r="Z105" i="1"/>
  <c r="Y105" i="1"/>
  <c r="X105" i="1"/>
  <c r="AD104" i="1"/>
  <c r="AC104" i="1"/>
  <c r="AB104" i="1"/>
  <c r="AA104" i="1"/>
  <c r="Z104" i="1"/>
  <c r="Y104" i="1"/>
  <c r="X104" i="1"/>
  <c r="AD103" i="1"/>
  <c r="AC103" i="1"/>
  <c r="AB103" i="1"/>
  <c r="AA103" i="1"/>
  <c r="Z103" i="1"/>
  <c r="Y103" i="1"/>
  <c r="X103" i="1"/>
  <c r="AD102" i="1"/>
  <c r="AC102" i="1"/>
  <c r="AB102" i="1"/>
  <c r="AA102" i="1"/>
  <c r="Z102" i="1"/>
  <c r="Y102" i="1"/>
  <c r="X102" i="1"/>
  <c r="AD101" i="1"/>
  <c r="AC101" i="1"/>
  <c r="AB101" i="1"/>
  <c r="AA101" i="1"/>
  <c r="Z101" i="1"/>
  <c r="Y101" i="1"/>
  <c r="X101" i="1"/>
  <c r="AD100" i="1"/>
  <c r="AC100" i="1"/>
  <c r="AB100" i="1"/>
  <c r="AA100" i="1"/>
  <c r="Z100" i="1"/>
  <c r="Y100" i="1"/>
  <c r="X100" i="1"/>
  <c r="AD99" i="1"/>
  <c r="AC99" i="1"/>
  <c r="AB99" i="1"/>
  <c r="AA99" i="1"/>
  <c r="Z99" i="1"/>
  <c r="Y99" i="1"/>
  <c r="X99" i="1"/>
  <c r="AD98" i="1"/>
  <c r="AC98" i="1"/>
  <c r="AB98" i="1"/>
  <c r="AA98" i="1"/>
  <c r="Z98" i="1"/>
  <c r="Y98" i="1"/>
  <c r="X98" i="1"/>
  <c r="AD97" i="1"/>
  <c r="AC97" i="1"/>
  <c r="AB97" i="1"/>
  <c r="AA97" i="1"/>
  <c r="Z97" i="1"/>
  <c r="Y97" i="1"/>
  <c r="X97" i="1"/>
  <c r="AD96" i="1"/>
  <c r="AC96" i="1"/>
  <c r="AB96" i="1"/>
  <c r="AA96" i="1"/>
  <c r="Z96" i="1"/>
  <c r="Y96" i="1"/>
  <c r="X96" i="1"/>
  <c r="AD95" i="1"/>
  <c r="AC95" i="1"/>
  <c r="AB95" i="1"/>
  <c r="AA95" i="1"/>
  <c r="Z95" i="1"/>
  <c r="Y95" i="1"/>
  <c r="X95" i="1"/>
  <c r="AD94" i="1"/>
  <c r="AC94" i="1"/>
  <c r="AB94" i="1"/>
  <c r="AA94" i="1"/>
  <c r="Z94" i="1"/>
  <c r="Y94" i="1"/>
  <c r="X94" i="1"/>
  <c r="AD93" i="1"/>
  <c r="AC93" i="1"/>
  <c r="AB93" i="1"/>
  <c r="AA93" i="1"/>
  <c r="Z93" i="1"/>
  <c r="Y93" i="1"/>
  <c r="X93" i="1"/>
  <c r="AD92" i="1"/>
  <c r="AC92" i="1"/>
  <c r="AB92" i="1"/>
  <c r="AA92" i="1"/>
  <c r="Z92" i="1"/>
  <c r="Y92" i="1"/>
  <c r="X92" i="1"/>
  <c r="AD91" i="1"/>
  <c r="AC91" i="1"/>
  <c r="AB91" i="1"/>
  <c r="AA91" i="1"/>
  <c r="Z91" i="1"/>
  <c r="Y91" i="1"/>
  <c r="X91" i="1"/>
  <c r="AD90" i="1"/>
  <c r="AC90" i="1"/>
  <c r="AB90" i="1"/>
  <c r="AA90" i="1"/>
  <c r="Z90" i="1"/>
  <c r="Y90" i="1"/>
  <c r="X90" i="1"/>
  <c r="AD89" i="1"/>
  <c r="AC89" i="1"/>
  <c r="AB89" i="1"/>
  <c r="AA89" i="1"/>
  <c r="Z89" i="1"/>
  <c r="Y89" i="1"/>
  <c r="X89" i="1"/>
  <c r="AD88" i="1"/>
  <c r="AC88" i="1"/>
  <c r="AB88" i="1"/>
  <c r="AA88" i="1"/>
  <c r="Z88" i="1"/>
  <c r="Y88" i="1"/>
  <c r="X88" i="1"/>
  <c r="AD87" i="1"/>
  <c r="AC87" i="1"/>
  <c r="AB87" i="1"/>
  <c r="AA87" i="1"/>
  <c r="Z87" i="1"/>
  <c r="Y87" i="1"/>
  <c r="X87" i="1"/>
  <c r="AD86" i="1"/>
  <c r="AC86" i="1"/>
  <c r="AB86" i="1"/>
  <c r="AA86" i="1"/>
  <c r="Z86" i="1"/>
  <c r="Y86" i="1"/>
  <c r="X86" i="1"/>
  <c r="AD85" i="1"/>
  <c r="AC85" i="1"/>
  <c r="AB85" i="1"/>
  <c r="AA85" i="1"/>
  <c r="Z85" i="1"/>
  <c r="Y85" i="1"/>
  <c r="X85" i="1"/>
  <c r="AD84" i="1"/>
  <c r="AC84" i="1"/>
  <c r="AB84" i="1"/>
  <c r="AA84" i="1"/>
  <c r="Z84" i="1"/>
  <c r="Y84" i="1"/>
  <c r="X84" i="1"/>
  <c r="AD83" i="1"/>
  <c r="AC83" i="1"/>
  <c r="AB83" i="1"/>
  <c r="AA83" i="1"/>
  <c r="Z83" i="1"/>
  <c r="Y83" i="1"/>
  <c r="X83" i="1"/>
  <c r="AD82" i="1"/>
  <c r="AC82" i="1"/>
  <c r="AB82" i="1"/>
  <c r="AA82" i="1"/>
  <c r="Z82" i="1"/>
  <c r="Y82" i="1"/>
  <c r="X82" i="1"/>
  <c r="AD81" i="1"/>
  <c r="AC81" i="1"/>
  <c r="AB81" i="1"/>
  <c r="AA81" i="1"/>
  <c r="Z81" i="1"/>
  <c r="Y81" i="1"/>
  <c r="X81" i="1"/>
  <c r="AD80" i="1"/>
  <c r="AC80" i="1"/>
  <c r="AB80" i="1"/>
  <c r="AA80" i="1"/>
  <c r="Z80" i="1"/>
  <c r="Y80" i="1"/>
  <c r="X80" i="1"/>
  <c r="AD79" i="1"/>
  <c r="AC79" i="1"/>
  <c r="AB79" i="1"/>
  <c r="AA79" i="1"/>
  <c r="Z79" i="1"/>
  <c r="Y79" i="1"/>
  <c r="X79" i="1"/>
  <c r="AD78" i="1"/>
  <c r="AC78" i="1"/>
  <c r="AB78" i="1"/>
  <c r="AA78" i="1"/>
  <c r="Z78" i="1"/>
  <c r="Y78" i="1"/>
  <c r="X78" i="1"/>
  <c r="AD77" i="1"/>
  <c r="AC77" i="1"/>
  <c r="AB77" i="1"/>
  <c r="AA77" i="1"/>
  <c r="Z77" i="1"/>
  <c r="Y77" i="1"/>
  <c r="X77" i="1"/>
  <c r="AD76" i="1"/>
  <c r="AC76" i="1"/>
  <c r="AB76" i="1"/>
  <c r="AA76" i="1"/>
  <c r="Z76" i="1"/>
  <c r="Y76" i="1"/>
  <c r="X76" i="1"/>
  <c r="AD75" i="1"/>
  <c r="AC75" i="1"/>
  <c r="AB75" i="1"/>
  <c r="AA75" i="1"/>
  <c r="Z75" i="1"/>
  <c r="Y75" i="1"/>
  <c r="X75" i="1"/>
  <c r="AD74" i="1"/>
  <c r="AC74" i="1"/>
  <c r="AB74" i="1"/>
  <c r="AA74" i="1"/>
  <c r="Z74" i="1"/>
  <c r="Y74" i="1"/>
  <c r="X74" i="1"/>
  <c r="AD73" i="1"/>
  <c r="AC73" i="1"/>
  <c r="AB73" i="1"/>
  <c r="AA73" i="1"/>
  <c r="Z73" i="1"/>
  <c r="Y73" i="1"/>
  <c r="X73" i="1"/>
  <c r="AD72" i="1"/>
  <c r="AC72" i="1"/>
  <c r="AB72" i="1"/>
  <c r="AA72" i="1"/>
  <c r="Z72" i="1"/>
  <c r="Y72" i="1"/>
  <c r="X72" i="1"/>
  <c r="AD71" i="1"/>
  <c r="AC71" i="1"/>
  <c r="AB71" i="1"/>
  <c r="AA71" i="1"/>
  <c r="Z71" i="1"/>
  <c r="Y71" i="1"/>
  <c r="X71" i="1"/>
  <c r="AD70" i="1"/>
  <c r="AC70" i="1"/>
  <c r="AB70" i="1"/>
  <c r="AA70" i="1"/>
  <c r="Z70" i="1"/>
  <c r="Y70" i="1"/>
  <c r="X70" i="1"/>
  <c r="AD69" i="1"/>
  <c r="AC69" i="1"/>
  <c r="AB69" i="1"/>
  <c r="AA69" i="1"/>
  <c r="Z69" i="1"/>
  <c r="Y69" i="1"/>
  <c r="X69" i="1"/>
  <c r="AD68" i="1"/>
  <c r="AC68" i="1"/>
  <c r="AB68" i="1"/>
  <c r="AA68" i="1"/>
  <c r="Z68" i="1"/>
  <c r="Y68" i="1"/>
  <c r="X68" i="1"/>
  <c r="AD67" i="1"/>
  <c r="AC67" i="1"/>
  <c r="AB67" i="1"/>
  <c r="AA67" i="1"/>
  <c r="Z67" i="1"/>
  <c r="Y67" i="1"/>
  <c r="X67" i="1"/>
  <c r="AD66" i="1"/>
  <c r="AC66" i="1"/>
  <c r="AB66" i="1"/>
  <c r="AA66" i="1"/>
  <c r="Z66" i="1"/>
  <c r="Y66" i="1"/>
  <c r="X66" i="1"/>
  <c r="AD65" i="1"/>
  <c r="AC65" i="1"/>
  <c r="AB65" i="1"/>
  <c r="AA65" i="1"/>
  <c r="Z65" i="1"/>
  <c r="Y65" i="1"/>
  <c r="X65" i="1"/>
  <c r="AD64" i="1"/>
  <c r="AC64" i="1"/>
  <c r="AB64" i="1"/>
  <c r="AA64" i="1"/>
  <c r="Z64" i="1"/>
  <c r="Y64" i="1"/>
  <c r="X64" i="1"/>
  <c r="AD63" i="1"/>
  <c r="AC63" i="1"/>
  <c r="AB63" i="1"/>
  <c r="AA63" i="1"/>
  <c r="Z63" i="1"/>
  <c r="Y63" i="1"/>
  <c r="X63" i="1"/>
  <c r="AD62" i="1"/>
  <c r="AC62" i="1"/>
  <c r="AB62" i="1"/>
  <c r="AA62" i="1"/>
  <c r="Z62" i="1"/>
  <c r="Y62" i="1"/>
  <c r="X62" i="1"/>
  <c r="AD61" i="1"/>
  <c r="AC61" i="1"/>
  <c r="AB61" i="1"/>
  <c r="AA61" i="1"/>
  <c r="Z61" i="1"/>
  <c r="Y61" i="1"/>
  <c r="X61" i="1"/>
  <c r="AD60" i="1"/>
  <c r="AC60" i="1"/>
  <c r="AB60" i="1"/>
  <c r="AA60" i="1"/>
  <c r="Z60" i="1"/>
  <c r="Y60" i="1"/>
  <c r="X60" i="1"/>
  <c r="AD59" i="1"/>
  <c r="AC59" i="1"/>
  <c r="AB59" i="1"/>
  <c r="AA59" i="1"/>
  <c r="Z59" i="1"/>
  <c r="Y59" i="1"/>
  <c r="X59" i="1"/>
  <c r="AD58" i="1"/>
  <c r="AC58" i="1"/>
  <c r="AB58" i="1"/>
  <c r="AA58" i="1"/>
  <c r="Z58" i="1"/>
  <c r="Y58" i="1"/>
  <c r="X58" i="1"/>
  <c r="AD57" i="1"/>
  <c r="AC57" i="1"/>
  <c r="AB57" i="1"/>
  <c r="AA57" i="1"/>
  <c r="Z57" i="1"/>
  <c r="Y57" i="1"/>
  <c r="X57" i="1"/>
  <c r="AD56" i="1"/>
  <c r="AC56" i="1"/>
  <c r="AB56" i="1"/>
  <c r="AA56" i="1"/>
  <c r="Z56" i="1"/>
  <c r="Y56" i="1"/>
  <c r="X56" i="1"/>
  <c r="AD55" i="1"/>
  <c r="AC55" i="1"/>
  <c r="AB55" i="1"/>
  <c r="AA55" i="1"/>
  <c r="Z55" i="1"/>
  <c r="Y55" i="1"/>
  <c r="X55" i="1"/>
  <c r="AD54" i="1"/>
  <c r="AC54" i="1"/>
  <c r="AB54" i="1"/>
  <c r="AA54" i="1"/>
  <c r="Z54" i="1"/>
  <c r="Y54" i="1"/>
  <c r="X54" i="1"/>
  <c r="AD53" i="1"/>
  <c r="AC53" i="1"/>
  <c r="AB53" i="1"/>
  <c r="AA53" i="1"/>
  <c r="Z53" i="1"/>
  <c r="Y53" i="1"/>
  <c r="X53" i="1"/>
  <c r="AD52" i="1"/>
  <c r="AC52" i="1"/>
  <c r="AB52" i="1"/>
  <c r="AA52" i="1"/>
  <c r="Z52" i="1"/>
  <c r="Y52" i="1"/>
  <c r="X52" i="1"/>
  <c r="AD51" i="1"/>
  <c r="AC51" i="1"/>
  <c r="AB51" i="1"/>
  <c r="AA51" i="1"/>
  <c r="Z51" i="1"/>
  <c r="Y51" i="1"/>
  <c r="X51" i="1"/>
  <c r="AD50" i="1"/>
  <c r="AC50" i="1"/>
  <c r="AB50" i="1"/>
  <c r="AA50" i="1"/>
  <c r="Z50" i="1"/>
  <c r="Y50" i="1"/>
  <c r="X50" i="1"/>
  <c r="AD49" i="1"/>
  <c r="AC49" i="1"/>
  <c r="AB49" i="1"/>
  <c r="AA49" i="1"/>
  <c r="Z49" i="1"/>
  <c r="Y49" i="1"/>
  <c r="X49" i="1"/>
  <c r="AD48" i="1"/>
  <c r="AC48" i="1"/>
  <c r="AB48" i="1"/>
  <c r="AA48" i="1"/>
  <c r="Z48" i="1"/>
  <c r="Y48" i="1"/>
  <c r="X48" i="1"/>
  <c r="AD47" i="1"/>
  <c r="AC47" i="1"/>
  <c r="AB47" i="1"/>
  <c r="AA47" i="1"/>
  <c r="Z47" i="1"/>
  <c r="Y47" i="1"/>
  <c r="X47" i="1"/>
  <c r="AD46" i="1"/>
  <c r="AC46" i="1"/>
  <c r="AB46" i="1"/>
  <c r="AA46" i="1"/>
  <c r="Z46" i="1"/>
  <c r="Y46" i="1"/>
  <c r="X46" i="1"/>
  <c r="AD45" i="1"/>
  <c r="AC45" i="1"/>
  <c r="AB45" i="1"/>
  <c r="AA45" i="1"/>
  <c r="Z45" i="1"/>
  <c r="Y45" i="1"/>
  <c r="X45" i="1"/>
  <c r="AD44" i="1"/>
  <c r="AC44" i="1"/>
  <c r="AB44" i="1"/>
  <c r="AA44" i="1"/>
  <c r="Z44" i="1"/>
  <c r="Y44" i="1"/>
  <c r="X44" i="1"/>
  <c r="AD43" i="1"/>
  <c r="AC43" i="1"/>
  <c r="AB43" i="1"/>
  <c r="AA43" i="1"/>
  <c r="Z43" i="1"/>
  <c r="Y43" i="1"/>
  <c r="X43" i="1"/>
  <c r="AD42" i="1"/>
  <c r="AC42" i="1"/>
  <c r="AB42" i="1"/>
  <c r="AA42" i="1"/>
  <c r="Z42" i="1"/>
  <c r="Y42" i="1"/>
  <c r="X42" i="1"/>
  <c r="AD41" i="1"/>
  <c r="AC41" i="1"/>
  <c r="AB41" i="1"/>
  <c r="AA41" i="1"/>
  <c r="Z41" i="1"/>
  <c r="Y41" i="1"/>
  <c r="X41" i="1"/>
  <c r="AD40" i="1"/>
  <c r="AC40" i="1"/>
  <c r="AB40" i="1"/>
  <c r="AA40" i="1"/>
  <c r="Z40" i="1"/>
  <c r="Y40" i="1"/>
  <c r="X40" i="1"/>
  <c r="AD39" i="1"/>
  <c r="AC39" i="1"/>
  <c r="AB39" i="1"/>
  <c r="AA39" i="1"/>
  <c r="Z39" i="1"/>
  <c r="Y39" i="1"/>
  <c r="X39" i="1"/>
  <c r="AD38" i="1"/>
  <c r="AC38" i="1"/>
  <c r="AB38" i="1"/>
  <c r="AA38" i="1"/>
  <c r="Z38" i="1"/>
  <c r="Y38" i="1"/>
  <c r="X38" i="1"/>
  <c r="AD37" i="1"/>
  <c r="AC37" i="1"/>
  <c r="AB37" i="1"/>
  <c r="AA37" i="1"/>
  <c r="Z37" i="1"/>
  <c r="Y37" i="1"/>
  <c r="X37" i="1"/>
  <c r="AD36" i="1"/>
  <c r="AC36" i="1"/>
  <c r="AB36" i="1"/>
  <c r="AA36" i="1"/>
  <c r="Z36" i="1"/>
  <c r="Y36" i="1"/>
  <c r="X36" i="1"/>
  <c r="AD35" i="1"/>
  <c r="AC35" i="1"/>
  <c r="AB35" i="1"/>
  <c r="AA35" i="1"/>
  <c r="Z35" i="1"/>
  <c r="Y35" i="1"/>
  <c r="X35" i="1"/>
  <c r="AD34" i="1"/>
  <c r="AC34" i="1"/>
  <c r="AB34" i="1"/>
  <c r="AA34" i="1"/>
  <c r="Z34" i="1"/>
  <c r="Y34" i="1"/>
  <c r="X34" i="1"/>
  <c r="AD33" i="1"/>
  <c r="AC33" i="1"/>
  <c r="AB33" i="1"/>
  <c r="AA33" i="1"/>
  <c r="Z33" i="1"/>
  <c r="Y33" i="1"/>
  <c r="X33" i="1"/>
  <c r="AD32" i="1"/>
  <c r="AC32" i="1"/>
  <c r="AB32" i="1"/>
  <c r="AA32" i="1"/>
  <c r="Z32" i="1"/>
  <c r="Y32" i="1"/>
  <c r="X32" i="1"/>
  <c r="AD31" i="1"/>
  <c r="AC31" i="1"/>
  <c r="AB31" i="1"/>
  <c r="AA31" i="1"/>
  <c r="Z31" i="1"/>
  <c r="Y31" i="1"/>
  <c r="X31" i="1"/>
  <c r="AD30" i="1"/>
  <c r="AC30" i="1"/>
  <c r="AB30" i="1"/>
  <c r="AA30" i="1"/>
  <c r="Z30" i="1"/>
  <c r="Y30" i="1"/>
  <c r="X30" i="1"/>
  <c r="AD29" i="1"/>
  <c r="AC29" i="1"/>
  <c r="AB29" i="1"/>
  <c r="AA29" i="1"/>
  <c r="Z29" i="1"/>
  <c r="Y29" i="1"/>
  <c r="X29" i="1"/>
  <c r="AD28" i="1"/>
  <c r="AC28" i="1"/>
  <c r="AB28" i="1"/>
  <c r="AA28" i="1"/>
  <c r="Z28" i="1"/>
  <c r="Y28" i="1"/>
  <c r="X28" i="1"/>
  <c r="AD27" i="1"/>
  <c r="AC27" i="1"/>
  <c r="AB27" i="1"/>
  <c r="AA27" i="1"/>
  <c r="Z27" i="1"/>
  <c r="Y27" i="1"/>
  <c r="X27" i="1"/>
  <c r="AD26" i="1"/>
  <c r="AC26" i="1"/>
  <c r="AB26" i="1"/>
  <c r="AA26" i="1"/>
  <c r="Z26" i="1"/>
  <c r="Y26" i="1"/>
  <c r="X26" i="1"/>
  <c r="AD25" i="1"/>
  <c r="AC25" i="1"/>
  <c r="AB25" i="1"/>
  <c r="AA25" i="1"/>
  <c r="Z25" i="1"/>
  <c r="Y25" i="1"/>
  <c r="X25" i="1"/>
  <c r="AD24" i="1"/>
  <c r="AC24" i="1"/>
  <c r="AB24" i="1"/>
  <c r="AA24" i="1"/>
  <c r="Z24" i="1"/>
  <c r="Y24" i="1"/>
  <c r="X24" i="1"/>
  <c r="AD23" i="1"/>
  <c r="AC23" i="1"/>
  <c r="AB23" i="1"/>
  <c r="AA23" i="1"/>
  <c r="Z23" i="1"/>
  <c r="Y23" i="1"/>
  <c r="X23" i="1"/>
  <c r="AD22" i="1"/>
  <c r="AC22" i="1"/>
  <c r="AB22" i="1"/>
  <c r="AA22" i="1"/>
  <c r="Z22" i="1"/>
  <c r="Y22" i="1"/>
  <c r="X22" i="1"/>
  <c r="AD21" i="1"/>
  <c r="AC21" i="1"/>
  <c r="AB21" i="1"/>
  <c r="AA21" i="1"/>
  <c r="Z21" i="1"/>
  <c r="Y21" i="1"/>
  <c r="X21" i="1"/>
  <c r="AD20" i="1"/>
  <c r="AC20" i="1"/>
  <c r="AB20" i="1"/>
  <c r="AA20" i="1"/>
  <c r="Z20" i="1"/>
  <c r="Y20" i="1"/>
  <c r="X20" i="1"/>
  <c r="AD19" i="1"/>
  <c r="AC19" i="1"/>
  <c r="AB19" i="1"/>
  <c r="AA19" i="1"/>
  <c r="Z19" i="1"/>
  <c r="Y19" i="1"/>
  <c r="X19" i="1"/>
  <c r="AD18" i="1"/>
  <c r="AC18" i="1"/>
  <c r="AB18" i="1"/>
  <c r="AA18" i="1"/>
  <c r="Z18" i="1"/>
  <c r="Y18" i="1"/>
  <c r="X18" i="1"/>
  <c r="AD17" i="1"/>
  <c r="AC17" i="1"/>
  <c r="AB17" i="1"/>
  <c r="AA17" i="1"/>
  <c r="Z17" i="1"/>
  <c r="Y17" i="1"/>
  <c r="X17" i="1"/>
  <c r="AD16" i="1"/>
  <c r="AC16" i="1"/>
  <c r="AB16" i="1"/>
  <c r="AA16" i="1"/>
  <c r="Z16" i="1"/>
  <c r="Y16" i="1"/>
  <c r="X16" i="1"/>
  <c r="AD15" i="1"/>
  <c r="AC15" i="1"/>
  <c r="AB15" i="1"/>
  <c r="AA15" i="1"/>
  <c r="Z15" i="1"/>
  <c r="Y15" i="1"/>
  <c r="X15" i="1"/>
  <c r="AD14" i="1"/>
  <c r="AC14" i="1"/>
  <c r="AB14" i="1"/>
  <c r="AA14" i="1"/>
  <c r="Z14" i="1"/>
  <c r="Y14" i="1"/>
  <c r="X14" i="1"/>
  <c r="AD13" i="1"/>
  <c r="AC13" i="1"/>
  <c r="AB13" i="1"/>
  <c r="AA13" i="1"/>
  <c r="Z13" i="1"/>
  <c r="Y13" i="1"/>
  <c r="X13" i="1"/>
  <c r="AD12" i="1"/>
  <c r="AC12" i="1"/>
  <c r="AB12" i="1"/>
  <c r="AA12" i="1"/>
  <c r="Z12" i="1"/>
  <c r="Y12" i="1"/>
  <c r="X12" i="1"/>
  <c r="AD11" i="1"/>
  <c r="AC11" i="1"/>
  <c r="AB11" i="1"/>
  <c r="AA11" i="1"/>
  <c r="Z11" i="1"/>
  <c r="Y11" i="1"/>
  <c r="X11" i="1"/>
  <c r="AD10" i="1"/>
  <c r="AC10" i="1"/>
  <c r="AB10" i="1"/>
  <c r="AA10" i="1"/>
  <c r="Z10" i="1"/>
  <c r="Y10" i="1"/>
  <c r="X10" i="1"/>
  <c r="AD9" i="1"/>
  <c r="AC9" i="1"/>
  <c r="AB9" i="1"/>
  <c r="AA9" i="1"/>
  <c r="Z9" i="1"/>
  <c r="Y9" i="1"/>
  <c r="X9" i="1"/>
  <c r="AD8" i="1"/>
  <c r="AC8" i="1"/>
  <c r="AB8" i="1"/>
  <c r="AA8" i="1"/>
  <c r="Z8" i="1"/>
  <c r="Y8" i="1"/>
  <c r="X8" i="1"/>
  <c r="AC7" i="1"/>
  <c r="AB7" i="1"/>
  <c r="AA7" i="1"/>
  <c r="Z7" i="1"/>
  <c r="Y7" i="1"/>
  <c r="X7" i="1"/>
  <c r="AD6" i="1"/>
  <c r="AC6" i="1"/>
  <c r="AB6" i="1"/>
  <c r="AA6" i="1"/>
  <c r="Z6" i="1"/>
  <c r="Y6" i="1"/>
  <c r="X6" i="1"/>
  <c r="AD5" i="1"/>
  <c r="AC5" i="1"/>
  <c r="AB5" i="1"/>
  <c r="AA5" i="1"/>
  <c r="Z5" i="1"/>
  <c r="Y5" i="1"/>
  <c r="X5" i="1"/>
  <c r="AD4" i="1"/>
  <c r="AC4" i="1"/>
  <c r="AB4" i="1"/>
  <c r="AA4" i="1"/>
  <c r="Z4" i="1"/>
  <c r="Y4" i="1"/>
  <c r="X4" i="1"/>
  <c r="AD3" i="1"/>
  <c r="AC3" i="1"/>
  <c r="AB3" i="1"/>
  <c r="AA3" i="1"/>
  <c r="Z3" i="1"/>
  <c r="Y3" i="1"/>
  <c r="X3" i="1"/>
  <c r="AD2" i="1"/>
  <c r="AC2" i="1"/>
  <c r="AB2" i="1"/>
  <c r="AA2" i="1"/>
  <c r="Z2" i="1"/>
  <c r="Y2" i="1"/>
  <c r="X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<sst xmlns="http://schemas.openxmlformats.org/spreadsheetml/2006/main" count="40973" uniqueCount="1794">
  <si>
    <t>DC_CODE</t>
  </si>
  <si>
    <t>PURCH_ORDER_NUMBER</t>
  </si>
  <si>
    <t>PURCH_ORDER_DATE</t>
  </si>
  <si>
    <t>EXPECTED_DATE</t>
  </si>
  <si>
    <t>SUPPLIER_CODE</t>
  </si>
  <si>
    <t>SUPPLIER NAME</t>
  </si>
  <si>
    <t>PURCH_ORDER_LINE</t>
  </si>
  <si>
    <t>EAN_NO</t>
  </si>
  <si>
    <t>PRODUCT_CODE</t>
  </si>
  <si>
    <t>PRODUCT_DESCRIPTION</t>
  </si>
  <si>
    <t>VENDOR_ITEM_CODE</t>
  </si>
  <si>
    <t>ORDERING_UNIT</t>
  </si>
  <si>
    <t>QTY_PER_PACK_OF_ORDERING_UOM</t>
  </si>
  <si>
    <t>NO_OF_PACKS_ORDERED</t>
  </si>
  <si>
    <t>TOTAL_QUANTITY</t>
  </si>
  <si>
    <t>CLOSING_STOCK</t>
  </si>
  <si>
    <t>MRP_PER_UNIT</t>
  </si>
  <si>
    <t>LANDING_COST_INCL_TAX_PER_UNIT</t>
  </si>
  <si>
    <t>SALES_TAX</t>
  </si>
  <si>
    <t>COST_PRICE_INCL_TAX_PER_PO_OU</t>
  </si>
  <si>
    <t>TAX_PER</t>
  </si>
  <si>
    <t>CURRENCY</t>
  </si>
  <si>
    <t>HSN</t>
  </si>
  <si>
    <t>MASTER PRODUCT CODE</t>
  </si>
  <si>
    <t>Order type</t>
  </si>
  <si>
    <t>S</t>
  </si>
  <si>
    <t>M</t>
  </si>
  <si>
    <t>L</t>
  </si>
  <si>
    <t>XL</t>
  </si>
  <si>
    <t>XXL</t>
  </si>
  <si>
    <t>SZAF</t>
  </si>
  <si>
    <t>5114202424</t>
  </si>
  <si>
    <t>01.05.2026</t>
  </si>
  <si>
    <t>23.07.2026</t>
  </si>
  <si>
    <t>10337044</t>
  </si>
  <si>
    <t>UNITED TEXTILE MILLS PRIVATE LIMITE</t>
  </si>
  <si>
    <t>1</t>
  </si>
  <si>
    <t>8909490134375</t>
  </si>
  <si>
    <t>441811508001</t>
  </si>
  <si>
    <t>KRTS-APWN26-GETKRTSFUT61, OFF WHITE, 2XL</t>
  </si>
  <si>
    <t>EA</t>
  </si>
  <si>
    <t xml:space="preserve"> </t>
  </si>
  <si>
    <t>INR</t>
  </si>
  <si>
    <t>2</t>
  </si>
  <si>
    <t>8909490134382</t>
  </si>
  <si>
    <t>441811508002</t>
  </si>
  <si>
    <t>KRTS-APWN26-GETKRTSFUT6125, OFF WHITE, L</t>
  </si>
  <si>
    <t>3</t>
  </si>
  <si>
    <t>8909490134399</t>
  </si>
  <si>
    <t>441811508003</t>
  </si>
  <si>
    <t>KRTS-APWN26-GETKRTSFUT6125, OFF WHITE, M</t>
  </si>
  <si>
    <t>4</t>
  </si>
  <si>
    <t>8909490134405</t>
  </si>
  <si>
    <t>441811508004</t>
  </si>
  <si>
    <t>KRTS-APWN26-GETKRTSFUT6125, OFF WHITE, S</t>
  </si>
  <si>
    <t>5</t>
  </si>
  <si>
    <t>8909490134412</t>
  </si>
  <si>
    <t>441811508005</t>
  </si>
  <si>
    <t>KRTS-APWN26-GETKRTSFUT612, OFF WHITE, XL</t>
  </si>
  <si>
    <t>SAEX</t>
  </si>
  <si>
    <t>5114202422</t>
  </si>
  <si>
    <t>S0EU</t>
  </si>
  <si>
    <t>5114202420</t>
  </si>
  <si>
    <t>5114202196</t>
  </si>
  <si>
    <t>30.04.2026</t>
  </si>
  <si>
    <t>8909284284156</t>
  </si>
  <si>
    <t>441811108001</t>
  </si>
  <si>
    <t>KRTS-APWN26-GETKRTSFUT6210, GOLD, 2XL</t>
  </si>
  <si>
    <t>8909284284163</t>
  </si>
  <si>
    <t>441811108002</t>
  </si>
  <si>
    <t>KRTS-APWN26-GETKRTSFUT6210, GOLD, L</t>
  </si>
  <si>
    <t>8909284284170</t>
  </si>
  <si>
    <t>441811108003</t>
  </si>
  <si>
    <t>KRTS-APWN26-GETKRTSFUT6210, GOLD, M</t>
  </si>
  <si>
    <t>8909284284187</t>
  </si>
  <si>
    <t>441811108004</t>
  </si>
  <si>
    <t>KRTS-APWN26-GETKRTSFUT6210, GOLD, S</t>
  </si>
  <si>
    <t>8909284284194</t>
  </si>
  <si>
    <t>441811108005</t>
  </si>
  <si>
    <t>KRTS-APWN26-GETKRTSFUT6210, GOLD, XL</t>
  </si>
  <si>
    <t>5114202195</t>
  </si>
  <si>
    <t>08.08.2026</t>
  </si>
  <si>
    <t>8909284284101</t>
  </si>
  <si>
    <t>441811107001</t>
  </si>
  <si>
    <t>KRTS-APWN26-GETKRTSFUT6205, GREEN, 2XL</t>
  </si>
  <si>
    <t>8909284284118</t>
  </si>
  <si>
    <t>441811107002</t>
  </si>
  <si>
    <t>KRTS-APWN26-GETKRTSFUT6205, GREEN, L</t>
  </si>
  <si>
    <t>8909284284125</t>
  </si>
  <si>
    <t>441811107003</t>
  </si>
  <si>
    <t>KRTS-APWN26-GETKRTSFUT6205, GREEN, M</t>
  </si>
  <si>
    <t>8909284284132</t>
  </si>
  <si>
    <t>441811107004</t>
  </si>
  <si>
    <t>KRTS-APWN26-GETKRTSFUT6205, GREEN, S</t>
  </si>
  <si>
    <t>8909284284149</t>
  </si>
  <si>
    <t>441811107005</t>
  </si>
  <si>
    <t>KRTS-APWN26-GETKRTSFUT6205, GREEN, XL</t>
  </si>
  <si>
    <t>5114202194</t>
  </si>
  <si>
    <t>28.07.2026</t>
  </si>
  <si>
    <t>8909284284057</t>
  </si>
  <si>
    <t>441811106001</t>
  </si>
  <si>
    <t>KRTS-APWN26-GETKRTSFUT6204, GREEN, 2XL</t>
  </si>
  <si>
    <t>8909284284064</t>
  </si>
  <si>
    <t>441811106002</t>
  </si>
  <si>
    <t>KRTS-APWN26-GETKRTSFUT6204, GREEN, L</t>
  </si>
  <si>
    <t>8909284284071</t>
  </si>
  <si>
    <t>441811106003</t>
  </si>
  <si>
    <t>KRTS-APWN26-GETKRTSFUT6204, GREEN, M</t>
  </si>
  <si>
    <t>8909284284088</t>
  </si>
  <si>
    <t>441811106004</t>
  </si>
  <si>
    <t>KRTS-APWN26-GETKRTSFUT6204, GREEN, S</t>
  </si>
  <si>
    <t>8909284284095</t>
  </si>
  <si>
    <t>441811106005</t>
  </si>
  <si>
    <t>KRTS-APWN26-GETKRTSFUT6204, GREEN, XL</t>
  </si>
  <si>
    <t>5114202193</t>
  </si>
  <si>
    <t>5114202192</t>
  </si>
  <si>
    <t>13.08.2026</t>
  </si>
  <si>
    <t>8909284284002</t>
  </si>
  <si>
    <t>441811105001</t>
  </si>
  <si>
    <t>KRTS-APWN26-GETKRTSFUT6203, BLACK, 2XL</t>
  </si>
  <si>
    <t>8909284284019</t>
  </si>
  <si>
    <t>441811105002</t>
  </si>
  <si>
    <t>KRTS-APWN26-GETKRTSFUT6203, BLACK, L</t>
  </si>
  <si>
    <t>8909284284026</t>
  </si>
  <si>
    <t>441811105003</t>
  </si>
  <si>
    <t>KRTS-APWN26-GETKRTSFUT6203, BLACK, M</t>
  </si>
  <si>
    <t>8909284284033</t>
  </si>
  <si>
    <t>441811105004</t>
  </si>
  <si>
    <t>KRTS-APWN26-GETKRTSFUT6203, BLACK, S</t>
  </si>
  <si>
    <t>8909284284040</t>
  </si>
  <si>
    <t>441811105005</t>
  </si>
  <si>
    <t>KRTS-APWN26-GETKRTSFUT6203, BLACK, XL</t>
  </si>
  <si>
    <t>5114202191</t>
  </si>
  <si>
    <t>5114202190</t>
  </si>
  <si>
    <t>5114202189</t>
  </si>
  <si>
    <t>8909284283951</t>
  </si>
  <si>
    <t>441811104001</t>
  </si>
  <si>
    <t>KRTS-APWN26-GETKRTSFUT6202, NAVY, 2XL</t>
  </si>
  <si>
    <t>8909284283968</t>
  </si>
  <si>
    <t>441811104002</t>
  </si>
  <si>
    <t>KRTS-APWN26-GETKRTSFUT6202, NAVY, L</t>
  </si>
  <si>
    <t>8909284283975</t>
  </si>
  <si>
    <t>441811104003</t>
  </si>
  <si>
    <t>KRTS-APWN26-GETKRTSFUT6202, NAVY, M</t>
  </si>
  <si>
    <t>8909284283982</t>
  </si>
  <si>
    <t>441811104004</t>
  </si>
  <si>
    <t>KRTS-APWN26-GETKRTSFUT6202, NAVY, S</t>
  </si>
  <si>
    <t>8909284283999</t>
  </si>
  <si>
    <t>441811104005</t>
  </si>
  <si>
    <t>KRTS-APWN26-GETKRTSFUT6202, NAVY, XL</t>
  </si>
  <si>
    <t>5114202188</t>
  </si>
  <si>
    <t>5114202187</t>
  </si>
  <si>
    <t>5114202186</t>
  </si>
  <si>
    <t>5114202185</t>
  </si>
  <si>
    <t>5114202184</t>
  </si>
  <si>
    <t>5114202183</t>
  </si>
  <si>
    <t>8909284283906</t>
  </si>
  <si>
    <t>441811103001</t>
  </si>
  <si>
    <t>8909284283913</t>
  </si>
  <si>
    <t>441811103002</t>
  </si>
  <si>
    <t>KRTS-APWN26-GETKRTSFUT6126, OFF WHITE, L</t>
  </si>
  <si>
    <t>8909284283920</t>
  </si>
  <si>
    <t>441811103003</t>
  </si>
  <si>
    <t>KRTS-APWN26-GETKRTSFUT6126, OFF WHITE, M</t>
  </si>
  <si>
    <t>8909284283937</t>
  </si>
  <si>
    <t>441811103004</t>
  </si>
  <si>
    <t>KRTS-APWN26-GETKRTSFUT6126, OFF WHITE, S</t>
  </si>
  <si>
    <t>8909284283944</t>
  </si>
  <si>
    <t>441811103005</t>
  </si>
  <si>
    <t>5114202182</t>
  </si>
  <si>
    <t>5114202181</t>
  </si>
  <si>
    <t>5114202180</t>
  </si>
  <si>
    <t>5114202179</t>
  </si>
  <si>
    <t>8909284283852</t>
  </si>
  <si>
    <t>441811102001</t>
  </si>
  <si>
    <t>KRTS-APWN26-GETKRTSFUT6105, MUSTARD, 2XL</t>
  </si>
  <si>
    <t>8909284283869</t>
  </si>
  <si>
    <t>441811102002</t>
  </si>
  <si>
    <t>KRTS-APWN26-GETKRTSFUT6105, MUSTARD, L</t>
  </si>
  <si>
    <t>8909284283876</t>
  </si>
  <si>
    <t>441811102003</t>
  </si>
  <si>
    <t>KRTS-APWN26-GETKRTSFUT6105, MUSTARD, M</t>
  </si>
  <si>
    <t>8909284283883</t>
  </si>
  <si>
    <t>441811102004</t>
  </si>
  <si>
    <t>KRTS-APWN26-GETKRTSFUT6105, MUSTARD, S</t>
  </si>
  <si>
    <t>8909284283890</t>
  </si>
  <si>
    <t>441811102005</t>
  </si>
  <si>
    <t>KRTS-APWN26-GETKRTSFUT6105, MUSTARD, XL</t>
  </si>
  <si>
    <t>5114202178</t>
  </si>
  <si>
    <t>8909284283807</t>
  </si>
  <si>
    <t>441811101001</t>
  </si>
  <si>
    <t>KRTS-APWN26-GETKRTSFUT6, LIME GREEN, 2XL</t>
  </si>
  <si>
    <t>8909284283814</t>
  </si>
  <si>
    <t>441811101002</t>
  </si>
  <si>
    <t>KRTS-APWN26-GETKRTSFUT610, LIME GREEN, L</t>
  </si>
  <si>
    <t>8909284283821</t>
  </si>
  <si>
    <t>441811101003</t>
  </si>
  <si>
    <t>KRTS-APWN26-GETKRTSFUT610, LIME GREEN, M</t>
  </si>
  <si>
    <t>8909284283838</t>
  </si>
  <si>
    <t>441811101004</t>
  </si>
  <si>
    <t>KRTS-APWN26-GETKRTSFUT610, LIME GREEN, S</t>
  </si>
  <si>
    <t>8909284283845</t>
  </si>
  <si>
    <t>441811101005</t>
  </si>
  <si>
    <t>KRTS-APWN26-GETKRTSFUT61, LIME GREEN, XL</t>
  </si>
  <si>
    <t>5114202177</t>
  </si>
  <si>
    <t>18.07.2026</t>
  </si>
  <si>
    <t>8909284283753</t>
  </si>
  <si>
    <t>441811100001</t>
  </si>
  <si>
    <t>8909284283760</t>
  </si>
  <si>
    <t>441811100002</t>
  </si>
  <si>
    <t>8909284283777</t>
  </si>
  <si>
    <t>441811100003</t>
  </si>
  <si>
    <t>8909284283784</t>
  </si>
  <si>
    <t>441811100004</t>
  </si>
  <si>
    <t>8909284283791</t>
  </si>
  <si>
    <t>441811100005</t>
  </si>
  <si>
    <t>5114202176</t>
  </si>
  <si>
    <t>5114202175</t>
  </si>
  <si>
    <t>02.08.2026</t>
  </si>
  <si>
    <t>8909284283708</t>
  </si>
  <si>
    <t>441811099001</t>
  </si>
  <si>
    <t>KRTS-APWN26-GETKRTSFUT6100, MUSTARD, 2XL</t>
  </si>
  <si>
    <t>8909284283715</t>
  </si>
  <si>
    <t>441811099002</t>
  </si>
  <si>
    <t>KRTS-APWN26-GETKRTSFUT6100, MUSTARD, L</t>
  </si>
  <si>
    <t>8909284283722</t>
  </si>
  <si>
    <t>441811099003</t>
  </si>
  <si>
    <t>KRTS-APWN26-GETKRTSFUT6100, MUSTARD, M</t>
  </si>
  <si>
    <t>8909284283739</t>
  </si>
  <si>
    <t>441811099004</t>
  </si>
  <si>
    <t>KRTS-APWN26-GETKRTSFUT6100, MUSTARD, S</t>
  </si>
  <si>
    <t>8909284283746</t>
  </si>
  <si>
    <t>441811099005</t>
  </si>
  <si>
    <t>KRTS-APWN26-GETKRTSFUT6100, MUSTARD, XL</t>
  </si>
  <si>
    <t>5114202174</t>
  </si>
  <si>
    <t>5114202173</t>
  </si>
  <si>
    <t>8909284283654</t>
  </si>
  <si>
    <t>441811098006</t>
  </si>
  <si>
    <t>KRTS-APWN26-GETKRTSFUT6098, MUSTARD, 2XL</t>
  </si>
  <si>
    <t>8909284283661</t>
  </si>
  <si>
    <t>441811098007</t>
  </si>
  <si>
    <t>KRTS-APWN26-GETKRTSFUT6098, MUSTARD, L</t>
  </si>
  <si>
    <t>8909284283678</t>
  </si>
  <si>
    <t>441811098008</t>
  </si>
  <si>
    <t>KRTS-APWN26-GETKRTSFUT6098, MUSTARD, M</t>
  </si>
  <si>
    <t>8909284283685</t>
  </si>
  <si>
    <t>441811098009</t>
  </si>
  <si>
    <t>KRTS-APWN26-GETKRTSFUT6098, MUSTARD, S</t>
  </si>
  <si>
    <t>8909284283692</t>
  </si>
  <si>
    <t>441811098010</t>
  </si>
  <si>
    <t>KRTS-APWN26-GETKRTSFUT6098, MUSTARD, XL</t>
  </si>
  <si>
    <t>5114202172</t>
  </si>
  <si>
    <t>5114202171</t>
  </si>
  <si>
    <t>8909284283609</t>
  </si>
  <si>
    <t>441811098001</t>
  </si>
  <si>
    <t>KRTS-APWN26-GETKRTSFUT6098, MAROON, 2XL</t>
  </si>
  <si>
    <t>8909284283616</t>
  </si>
  <si>
    <t>441811098002</t>
  </si>
  <si>
    <t>KRTS-APWN26-GETKRTSFUT6098, MAROON, L</t>
  </si>
  <si>
    <t>8909284283623</t>
  </si>
  <si>
    <t>441811098003</t>
  </si>
  <si>
    <t>KRTS-APWN26-GETKRTSFUT6098, MAROON, M</t>
  </si>
  <si>
    <t>8909284283630</t>
  </si>
  <si>
    <t>441811098004</t>
  </si>
  <si>
    <t>KRTS-APWN26-GETKRTSFUT6098, MAROON, S</t>
  </si>
  <si>
    <t>8909284283647</t>
  </si>
  <si>
    <t>441811098005</t>
  </si>
  <si>
    <t>KRTS-APWN26-GETKRTSFUT6098, MAROON, XL</t>
  </si>
  <si>
    <t>5114202170</t>
  </si>
  <si>
    <t>5114202169</t>
  </si>
  <si>
    <t>5114202168</t>
  </si>
  <si>
    <t>5114202167</t>
  </si>
  <si>
    <t>5114202166</t>
  </si>
  <si>
    <t>5114202165</t>
  </si>
  <si>
    <t>5114202164</t>
  </si>
  <si>
    <t>5114202163</t>
  </si>
  <si>
    <t>5114202162</t>
  </si>
  <si>
    <t>5114202161</t>
  </si>
  <si>
    <t>8909284283555</t>
  </si>
  <si>
    <t>441811097001</t>
  </si>
  <si>
    <t>KRTS-APWN26-GETKRTSFUT6089, PINK, 2XL</t>
  </si>
  <si>
    <t>8909284283562</t>
  </si>
  <si>
    <t>441811097002</t>
  </si>
  <si>
    <t>KRTS-APWN26-GETKRTSFUT6089, PINK, L</t>
  </si>
  <si>
    <t>8909284283579</t>
  </si>
  <si>
    <t>441811097003</t>
  </si>
  <si>
    <t>KRTS-APWN26-GETKRTSFUT6089, PINK, M</t>
  </si>
  <si>
    <t>8909284283586</t>
  </si>
  <si>
    <t>441811097004</t>
  </si>
  <si>
    <t>KRTS-APWN26-GETKRTSFUT6089, PINK, S</t>
  </si>
  <si>
    <t>8909284283593</t>
  </si>
  <si>
    <t>441811097005</t>
  </si>
  <si>
    <t>KRTS-APWN26-GETKRTSFUT6089, PINK, XL</t>
  </si>
  <si>
    <t>5114202160</t>
  </si>
  <si>
    <t>8909284283500</t>
  </si>
  <si>
    <t>441811096001</t>
  </si>
  <si>
    <t>KRTS-APWN26-GETKRTSFUT6087, CORAL, 2XL</t>
  </si>
  <si>
    <t>8909284283517</t>
  </si>
  <si>
    <t>441811096002</t>
  </si>
  <si>
    <t>KRTS-APWN26-GETKRTSFUT6087, CORAL, L</t>
  </si>
  <si>
    <t>8909284283524</t>
  </si>
  <si>
    <t>441811096003</t>
  </si>
  <si>
    <t>KRTS-APWN26-GETKRTSFUT6087, CORAL, M</t>
  </si>
  <si>
    <t>8909284283531</t>
  </si>
  <si>
    <t>441811096004</t>
  </si>
  <si>
    <t>KRTS-APWN26-GETKRTSFUT6087, CORAL, S</t>
  </si>
  <si>
    <t>8909284283548</t>
  </si>
  <si>
    <t>441811096005</t>
  </si>
  <si>
    <t>KRTS-APWN26-GETKRTSFUT6087, CORAL, XL</t>
  </si>
  <si>
    <t>5114202159</t>
  </si>
  <si>
    <t>8909284283456</t>
  </si>
  <si>
    <t>441811095001</t>
  </si>
  <si>
    <t>KRTS-APWN26-GETKRTSFUT6012, MAROON, 2XL</t>
  </si>
  <si>
    <t>8909284283463</t>
  </si>
  <si>
    <t>441811095002</t>
  </si>
  <si>
    <t>KRTS-APWN26-GETKRTSFUT6012, MAROON, L</t>
  </si>
  <si>
    <t>8909284283470</t>
  </si>
  <si>
    <t>441811095003</t>
  </si>
  <si>
    <t>KRTS-APWN26-GETKRTSFUT6012, MAROON, M</t>
  </si>
  <si>
    <t>8909284283487</t>
  </si>
  <si>
    <t>441811095004</t>
  </si>
  <si>
    <t>KRTS-APWN26-GETKRTSFUT6012, MAROON, S</t>
  </si>
  <si>
    <t>8909284283494</t>
  </si>
  <si>
    <t>441811095005</t>
  </si>
  <si>
    <t>KRTS-APWN26-GETKRTSFUT6012, MAROON, XL</t>
  </si>
  <si>
    <t>5114202158</t>
  </si>
  <si>
    <t>5114202157</t>
  </si>
  <si>
    <t>17.08.2026</t>
  </si>
  <si>
    <t>8909284283401</t>
  </si>
  <si>
    <t>441811094006</t>
  </si>
  <si>
    <t>KRTS-APWN26-GETKRTSFUT6002, MUSTARD, 2XL</t>
  </si>
  <si>
    <t>8909284283418</t>
  </si>
  <si>
    <t>441811094007</t>
  </si>
  <si>
    <t>KRTS-APWN26-GETKRTSFUT6002, MUSTARD, L</t>
  </si>
  <si>
    <t>8909284283425</t>
  </si>
  <si>
    <t>441811094008</t>
  </si>
  <si>
    <t>KRTS-APWN26-GETKRTSFUT6002, MUSTARD, M</t>
  </si>
  <si>
    <t>8909284283432</t>
  </si>
  <si>
    <t>441811094009</t>
  </si>
  <si>
    <t>KRTS-APWN26-GETKRTSFUT6002, MUSTARD, S</t>
  </si>
  <si>
    <t>8909284283449</t>
  </si>
  <si>
    <t>441811094010</t>
  </si>
  <si>
    <t>KRTS-APWN26-GETKRTSFUT6002, MUSTARD, XL</t>
  </si>
  <si>
    <t>5114202156</t>
  </si>
  <si>
    <t>8909284283357</t>
  </si>
  <si>
    <t>441811094001</t>
  </si>
  <si>
    <t>KRTS-APWN26-GETKRTSFUT6002, MAROON, 2XL</t>
  </si>
  <si>
    <t>8909284283364</t>
  </si>
  <si>
    <t>441811094002</t>
  </si>
  <si>
    <t>KRTS-APWN26-GETKRTSFUT6002, MAROON, L</t>
  </si>
  <si>
    <t>8909284283371</t>
  </si>
  <si>
    <t>441811094003</t>
  </si>
  <si>
    <t>KRTS-APWN26-GETKRTSFUT6002, MAROON, M</t>
  </si>
  <si>
    <t>8909284283388</t>
  </si>
  <si>
    <t>441811094004</t>
  </si>
  <si>
    <t>KRTS-APWN26-GETKRTSFUT6002, MAROON, S</t>
  </si>
  <si>
    <t>8909284283395</t>
  </si>
  <si>
    <t>441811094005</t>
  </si>
  <si>
    <t>KRTS-APWN26-GETKRTSFUT6002, MAROON, XL</t>
  </si>
  <si>
    <t>5114202155</t>
  </si>
  <si>
    <t>5114202154</t>
  </si>
  <si>
    <t>5114202152</t>
  </si>
  <si>
    <t>5114202151</t>
  </si>
  <si>
    <t>5114202150</t>
  </si>
  <si>
    <t>5114202149</t>
  </si>
  <si>
    <t>5114202148</t>
  </si>
  <si>
    <t>5114202146</t>
  </si>
  <si>
    <t>5114202145</t>
  </si>
  <si>
    <t>5114202091</t>
  </si>
  <si>
    <t>8909284220819</t>
  </si>
  <si>
    <t>441811012001</t>
  </si>
  <si>
    <t>SKD-APWN26-GETCRDSFUT62, ONION PINK, 2XL</t>
  </si>
  <si>
    <t>8909284220826</t>
  </si>
  <si>
    <t>441811012002</t>
  </si>
  <si>
    <t>SKD-APWN26-GETCRDSFUT6207, ONION PINK, L</t>
  </si>
  <si>
    <t>8909284220833</t>
  </si>
  <si>
    <t>441811012003</t>
  </si>
  <si>
    <t>SKD-APWN26-GETCRDSFUT6207, ONION PINK, M</t>
  </si>
  <si>
    <t>8909284220840</t>
  </si>
  <si>
    <t>441811012004</t>
  </si>
  <si>
    <t>SKD-APWN26-GETCRDSFUT6207, ONION PINK, S</t>
  </si>
  <si>
    <t>8909284220857</t>
  </si>
  <si>
    <t>441811012005</t>
  </si>
  <si>
    <t>SKD-APWN26-GETCRDSFUT620, ONION PINK, XL</t>
  </si>
  <si>
    <t>5114202090</t>
  </si>
  <si>
    <t>8909284220765</t>
  </si>
  <si>
    <t>441811011001</t>
  </si>
  <si>
    <t>SKD-APWN26-GETCRDSFUT6206, TEAL, 2XL</t>
  </si>
  <si>
    <t>8909284220772</t>
  </si>
  <si>
    <t>441811011002</t>
  </si>
  <si>
    <t>SKD-APWN26-GETCRDSFUT6206, TEAL, L</t>
  </si>
  <si>
    <t>8909284220789</t>
  </si>
  <si>
    <t>441811011003</t>
  </si>
  <si>
    <t>SKD-APWN26-GETCRDSFUT6206, TEAL, M</t>
  </si>
  <si>
    <t>8909284220796</t>
  </si>
  <si>
    <t>441811011004</t>
  </si>
  <si>
    <t>SKD-APWN26-GETCRDSFUT6206, TEAL, S</t>
  </si>
  <si>
    <t>8909284220802</t>
  </si>
  <si>
    <t>441811011005</t>
  </si>
  <si>
    <t>SKD-APWN26-GETCRDSFUT6206, TEAL, XL</t>
  </si>
  <si>
    <t>5114202088</t>
  </si>
  <si>
    <t>8909284220666</t>
  </si>
  <si>
    <t>441811009001</t>
  </si>
  <si>
    <t>SKD-APWN26-GETCRDSFUT60, LIME GREEN, 2XL</t>
  </si>
  <si>
    <t>8909284220673</t>
  </si>
  <si>
    <t>441811009002</t>
  </si>
  <si>
    <t>SKD-APWN26-GETCRDSFUT6099, LIME GREEN, L</t>
  </si>
  <si>
    <t>8909284220680</t>
  </si>
  <si>
    <t>441811009003</t>
  </si>
  <si>
    <t>SKD-APWN26-GETCRDSFUT6099, LIME GREEN, M</t>
  </si>
  <si>
    <t>8909284220697</t>
  </si>
  <si>
    <t>441811009004</t>
  </si>
  <si>
    <t>SKD-APWN26-GETCRDSFUT6099, LIME GREEN, S</t>
  </si>
  <si>
    <t>8909284220703</t>
  </si>
  <si>
    <t>441811009005</t>
  </si>
  <si>
    <t>SKD-APWN26-GETCRDSFUT609, LIME GREEN, XL</t>
  </si>
  <si>
    <t>5114202087</t>
  </si>
  <si>
    <t>5114202085</t>
  </si>
  <si>
    <t>5114202082</t>
  </si>
  <si>
    <t>5114202081</t>
  </si>
  <si>
    <t>5114202079</t>
  </si>
  <si>
    <t>5114202077</t>
  </si>
  <si>
    <t>5114077224</t>
  </si>
  <si>
    <t>22.04.2026</t>
  </si>
  <si>
    <t>05.08.2026</t>
  </si>
  <si>
    <t>8909284284828</t>
  </si>
  <si>
    <t>494520305</t>
  </si>
  <si>
    <t>441811012ONION PINK(RP)</t>
  </si>
  <si>
    <t>5114077223</t>
  </si>
  <si>
    <t>15.07.2026</t>
  </si>
  <si>
    <t>8909284284651</t>
  </si>
  <si>
    <t>494520288</t>
  </si>
  <si>
    <t>441811009LIME GREEN(RP)</t>
  </si>
  <si>
    <t>5114077222</t>
  </si>
  <si>
    <t>8909284310305</t>
  </si>
  <si>
    <t>494520773</t>
  </si>
  <si>
    <t>441811100LIME GREEN(RP)</t>
  </si>
  <si>
    <t>5114077221</t>
  </si>
  <si>
    <t>14.08.2026</t>
  </si>
  <si>
    <t>8909284284750</t>
  </si>
  <si>
    <t>494520298</t>
  </si>
  <si>
    <t>441811011TEAL(RP)</t>
  </si>
  <si>
    <t>5114077220</t>
  </si>
  <si>
    <t>8909284309972</t>
  </si>
  <si>
    <t>494520740</t>
  </si>
  <si>
    <t>441811094MUSTARD(RP)</t>
  </si>
  <si>
    <t>5114077219</t>
  </si>
  <si>
    <t>8909284310381</t>
  </si>
  <si>
    <t>494520781</t>
  </si>
  <si>
    <t>441811101LIME GREEN(RP)</t>
  </si>
  <si>
    <t>5114077218</t>
  </si>
  <si>
    <t>8909284310657</t>
  </si>
  <si>
    <t>494520808</t>
  </si>
  <si>
    <t>441811107GREEN(RP)</t>
  </si>
  <si>
    <t>5114077217</t>
  </si>
  <si>
    <t>30.07.2026</t>
  </si>
  <si>
    <t>8909284310138</t>
  </si>
  <si>
    <t>494520756</t>
  </si>
  <si>
    <t>441811097PINK(RP)</t>
  </si>
  <si>
    <t>5114077216</t>
  </si>
  <si>
    <t>8909284310503</t>
  </si>
  <si>
    <t>494520793</t>
  </si>
  <si>
    <t>441811104NAVY(RP)</t>
  </si>
  <si>
    <t>5114077215</t>
  </si>
  <si>
    <t>5114077214</t>
  </si>
  <si>
    <t>8909284309903</t>
  </si>
  <si>
    <t>494520733</t>
  </si>
  <si>
    <t>441811094MAROON(RP)</t>
  </si>
  <si>
    <t>5114077213</t>
  </si>
  <si>
    <t>5114077212</t>
  </si>
  <si>
    <t>5114077211</t>
  </si>
  <si>
    <t>5114077210</t>
  </si>
  <si>
    <t>5114076815</t>
  </si>
  <si>
    <t>5114076814</t>
  </si>
  <si>
    <t>5114076813</t>
  </si>
  <si>
    <t>5114076812</t>
  </si>
  <si>
    <t>5114076811</t>
  </si>
  <si>
    <t>5114076810</t>
  </si>
  <si>
    <t>5114076809</t>
  </si>
  <si>
    <t>5114076808</t>
  </si>
  <si>
    <t>5114076807</t>
  </si>
  <si>
    <t>5114076806</t>
  </si>
  <si>
    <t>5114076805</t>
  </si>
  <si>
    <t>5114076804</t>
  </si>
  <si>
    <t>5114076803</t>
  </si>
  <si>
    <t>5114076802</t>
  </si>
  <si>
    <t>5114076801</t>
  </si>
  <si>
    <t>5113994068</t>
  </si>
  <si>
    <t>16.04.2026</t>
  </si>
  <si>
    <t>10.08.2026</t>
  </si>
  <si>
    <t>8909284310558</t>
  </si>
  <si>
    <t>494520798</t>
  </si>
  <si>
    <t>441811105BLACK(RP)</t>
  </si>
  <si>
    <t>5113994067</t>
  </si>
  <si>
    <t>8909284310152</t>
  </si>
  <si>
    <t>494520758</t>
  </si>
  <si>
    <t>441811098MAROON(RP)</t>
  </si>
  <si>
    <t>5113994066</t>
  </si>
  <si>
    <t>8909284310220</t>
  </si>
  <si>
    <t>494520765</t>
  </si>
  <si>
    <t>441811098MUSTARD(RP)</t>
  </si>
  <si>
    <t>5113994065</t>
  </si>
  <si>
    <t>8909284310251</t>
  </si>
  <si>
    <t>494520768</t>
  </si>
  <si>
    <t>441811099MUSTARD(RP)</t>
  </si>
  <si>
    <t>5113994064</t>
  </si>
  <si>
    <t>25.07.2026</t>
  </si>
  <si>
    <t>8909284310640</t>
  </si>
  <si>
    <t>494520807</t>
  </si>
  <si>
    <t>441811106GREEN(RP)</t>
  </si>
  <si>
    <t>5113994063</t>
  </si>
  <si>
    <t>8909284310473</t>
  </si>
  <si>
    <t>494520790</t>
  </si>
  <si>
    <t>441811103OFF WHITE(RP)</t>
  </si>
  <si>
    <t>5113994062</t>
  </si>
  <si>
    <t>8909284310053</t>
  </si>
  <si>
    <t>494520748</t>
  </si>
  <si>
    <t>441811096CORAL(RP)</t>
  </si>
  <si>
    <t>5113994061</t>
  </si>
  <si>
    <t>20.07.2026</t>
  </si>
  <si>
    <t>8909490140475</t>
  </si>
  <si>
    <t>494525030</t>
  </si>
  <si>
    <t>441811508OFF WHITE(RP)</t>
  </si>
  <si>
    <t>5113994059</t>
  </si>
  <si>
    <t>8909284310404</t>
  </si>
  <si>
    <t>494520783</t>
  </si>
  <si>
    <t>441811102MUSTARD(RP)</t>
  </si>
  <si>
    <t>5113994058</t>
  </si>
  <si>
    <t>8909284310725</t>
  </si>
  <si>
    <t>494520815</t>
  </si>
  <si>
    <t>441811108GOLD(RP)</t>
  </si>
  <si>
    <t>5113994057</t>
  </si>
  <si>
    <t>8909284310008</t>
  </si>
  <si>
    <t>494520743</t>
  </si>
  <si>
    <t>441811095MAROON(RP)</t>
  </si>
  <si>
    <t>5113994049</t>
  </si>
  <si>
    <t>5113994048</t>
  </si>
  <si>
    <t>5113994047</t>
  </si>
  <si>
    <t>5113994046</t>
  </si>
  <si>
    <t>5113994045</t>
  </si>
  <si>
    <t>5113994044</t>
  </si>
  <si>
    <t>5113994043</t>
  </si>
  <si>
    <t>5113994042</t>
  </si>
  <si>
    <t>5113994041</t>
  </si>
  <si>
    <t>5113994040</t>
  </si>
  <si>
    <t>5113994039</t>
  </si>
  <si>
    <t>5113994030</t>
  </si>
  <si>
    <t>5113994029</t>
  </si>
  <si>
    <t>5113994028</t>
  </si>
  <si>
    <t>5113994027</t>
  </si>
  <si>
    <t>5113994026</t>
  </si>
  <si>
    <t>5113994025</t>
  </si>
  <si>
    <t>5113994024</t>
  </si>
  <si>
    <t>5113994023</t>
  </si>
  <si>
    <t>5113994022</t>
  </si>
  <si>
    <t>5113994021</t>
  </si>
  <si>
    <t>5113994020</t>
  </si>
  <si>
    <t>5113793958</t>
  </si>
  <si>
    <t>07.04.2026</t>
  </si>
  <si>
    <t>06.06.2026</t>
  </si>
  <si>
    <t>8909284093765</t>
  </si>
  <si>
    <t>441853915001</t>
  </si>
  <si>
    <t>KRTS-APSU26-YETKRTSCUT5004, MUSTARD, S</t>
  </si>
  <si>
    <t>8909284093758</t>
  </si>
  <si>
    <t>441853915002</t>
  </si>
  <si>
    <t>KRTS-APSU26-YETKRTSCUT5004, MUSTARD, M</t>
  </si>
  <si>
    <t>8909284093741</t>
  </si>
  <si>
    <t>441853915003</t>
  </si>
  <si>
    <t>KRTS-APSU26-YETKRTSCUT5004, MUSTARD, L</t>
  </si>
  <si>
    <t>8909284093734</t>
  </si>
  <si>
    <t>441853915004</t>
  </si>
  <si>
    <t>KRTS-APSU26-YETKRTSCUT5004, MUSTARD, XL</t>
  </si>
  <si>
    <t>8909284093727</t>
  </si>
  <si>
    <t>441853915005</t>
  </si>
  <si>
    <t>KRTS-APSU26-YETKRTSCUT5004, MUSTARD, 2XL</t>
  </si>
  <si>
    <t>5113793952</t>
  </si>
  <si>
    <t>5113793946</t>
  </si>
  <si>
    <t>5113197449</t>
  </si>
  <si>
    <t>17.02.2026</t>
  </si>
  <si>
    <t>20.05.2026</t>
  </si>
  <si>
    <t>8909284020068</t>
  </si>
  <si>
    <t>441857089001</t>
  </si>
  <si>
    <t>KRTS-APSU26-YETKRTSCUT5008, BLACK, S</t>
  </si>
  <si>
    <t>8909284020051</t>
  </si>
  <si>
    <t>441857089002</t>
  </si>
  <si>
    <t>KRTS-APSU26-YETKRTSCUT5008, BLACK, M</t>
  </si>
  <si>
    <t>8909284020044</t>
  </si>
  <si>
    <t>441857089003</t>
  </si>
  <si>
    <t>KRTS-APSU26-YETKRTSCUT5008, BLACK, L</t>
  </si>
  <si>
    <t>8909284020037</t>
  </si>
  <si>
    <t>441857089004</t>
  </si>
  <si>
    <t>KRTS-APSU26-YETKRTSCUT5008, BLACK, XL</t>
  </si>
  <si>
    <t>8909284020020</t>
  </si>
  <si>
    <t>441857089005</t>
  </si>
  <si>
    <t>KRTS-APSU26-YETKRTSCUT5008, BLACK, 2XL</t>
  </si>
  <si>
    <t>5113197439</t>
  </si>
  <si>
    <t>5113051698</t>
  </si>
  <si>
    <t>03.02.2026</t>
  </si>
  <si>
    <t>14.05.2026</t>
  </si>
  <si>
    <t>8909284126555</t>
  </si>
  <si>
    <t>441857193001</t>
  </si>
  <si>
    <t>KRTS-APSU26-RETKRTSFUT433, LIME GREEN, S</t>
  </si>
  <si>
    <t>8909284126548</t>
  </si>
  <si>
    <t>441857193002</t>
  </si>
  <si>
    <t>KRTS-APSU26-RETKRTSFUT433, LIME GREEN, M</t>
  </si>
  <si>
    <t>8909284126531</t>
  </si>
  <si>
    <t>441857193003</t>
  </si>
  <si>
    <t>KRTS-APSU26-RETKRTSFUT433, LIME GREEN, L</t>
  </si>
  <si>
    <t>8909284126524</t>
  </si>
  <si>
    <t>441857193004</t>
  </si>
  <si>
    <t>KRTS-APSU26-RETKRTSFUT43, LIME GREEN, XL</t>
  </si>
  <si>
    <t>8909284126517</t>
  </si>
  <si>
    <t>441857193005</t>
  </si>
  <si>
    <t>KRTS-APSU26-RETKRTSFUT4, LIME GREEN, 2XL</t>
  </si>
  <si>
    <t>5113051691</t>
  </si>
  <si>
    <t>5113051688</t>
  </si>
  <si>
    <t>5113051687</t>
  </si>
  <si>
    <t>8909284126609</t>
  </si>
  <si>
    <t>441857192001</t>
  </si>
  <si>
    <t>8909284126593</t>
  </si>
  <si>
    <t>441857192002</t>
  </si>
  <si>
    <t>8909284126586</t>
  </si>
  <si>
    <t>441857192003</t>
  </si>
  <si>
    <t>8909284126579</t>
  </si>
  <si>
    <t>441857192004</t>
  </si>
  <si>
    <t>8909284126562</t>
  </si>
  <si>
    <t>441857192005</t>
  </si>
  <si>
    <t>5113051686</t>
  </si>
  <si>
    <t>8909284126654</t>
  </si>
  <si>
    <t>441857191001</t>
  </si>
  <si>
    <t>KRTS-APSU26-RETKRTSFUT4330, MAGENTA, S</t>
  </si>
  <si>
    <t>8909284126647</t>
  </si>
  <si>
    <t>441857191002</t>
  </si>
  <si>
    <t>KRTS-APSU26-RETKRTSFUT4330, MAGENTA, M</t>
  </si>
  <si>
    <t>8909284126630</t>
  </si>
  <si>
    <t>441857191003</t>
  </si>
  <si>
    <t>KRTS-APSU26-RETKRTSFUT4330, MAGENTA, L</t>
  </si>
  <si>
    <t>8909284126623</t>
  </si>
  <si>
    <t>441857191004</t>
  </si>
  <si>
    <t>KRTS-APSU26-RETKRTSFUT4330, MAGENTA, XL</t>
  </si>
  <si>
    <t>8909284126616</t>
  </si>
  <si>
    <t>441857191005</t>
  </si>
  <si>
    <t>KRTS-APSU26-RETKRTSFUT4330, MAGENTA, 2XL</t>
  </si>
  <si>
    <t>5113051685</t>
  </si>
  <si>
    <t>8909284126708</t>
  </si>
  <si>
    <t>441857190001</t>
  </si>
  <si>
    <t>KRTS-APSU26-RETKRTSFUT4329, GREEN, S</t>
  </si>
  <si>
    <t>8909284126692</t>
  </si>
  <si>
    <t>441857190002</t>
  </si>
  <si>
    <t>KRTS-APSU26-RETKRTSFUT4329, GREEN, M</t>
  </si>
  <si>
    <t>8909284126685</t>
  </si>
  <si>
    <t>441857190003</t>
  </si>
  <si>
    <t>KRTS-APSU26-RETKRTSFUT4329, GREEN, L</t>
  </si>
  <si>
    <t>8909284126678</t>
  </si>
  <si>
    <t>441857190004</t>
  </si>
  <si>
    <t>KRTS-APSU26-RETKRTSFUT4329, GREEN, XL</t>
  </si>
  <si>
    <t>8909284126661</t>
  </si>
  <si>
    <t>441857190005</t>
  </si>
  <si>
    <t>KRTS-APSU26-RETKRTSFUT4329, GREEN, 2XL</t>
  </si>
  <si>
    <t>5113051684</t>
  </si>
  <si>
    <t>5113051683</t>
  </si>
  <si>
    <t>8909284126753</t>
  </si>
  <si>
    <t>441857189001</t>
  </si>
  <si>
    <t>KRTS-APSU26-RETKRTSFUT4322, SKY BLUE, S</t>
  </si>
  <si>
    <t>8909284126746</t>
  </si>
  <si>
    <t>441857189002</t>
  </si>
  <si>
    <t>KRTS-APSU26-RETKRTSFUT4322, SKY BLUE, M</t>
  </si>
  <si>
    <t>8909284126739</t>
  </si>
  <si>
    <t>441857189003</t>
  </si>
  <si>
    <t>KRTS-APSU26-RETKRTSFUT4322, SKY BLUE, L</t>
  </si>
  <si>
    <t>8909284126722</t>
  </si>
  <si>
    <t>441857189004</t>
  </si>
  <si>
    <t>KRTS-APSU26-RETKRTSFUT4322, SKY BLUE, XL</t>
  </si>
  <si>
    <t>8909284126715</t>
  </si>
  <si>
    <t>441857189005</t>
  </si>
  <si>
    <t>KRTS-APSU26-RETKRTSFUT432, SKY BLUE, 2XL</t>
  </si>
  <si>
    <t>5113051682</t>
  </si>
  <si>
    <t>8909284126807</t>
  </si>
  <si>
    <t>441857188001</t>
  </si>
  <si>
    <t>KRTS-APSU26-RETKRTSFUT432, LIME GREEN, S</t>
  </si>
  <si>
    <t>8909284126791</t>
  </si>
  <si>
    <t>441857188002</t>
  </si>
  <si>
    <t>KRTS-APSU26-RETKRTSFUT432, LIME GREEN, M</t>
  </si>
  <si>
    <t>8909284126784</t>
  </si>
  <si>
    <t>441857188003</t>
  </si>
  <si>
    <t>KRTS-APSU26-RETKRTSFUT432, LIME GREEN, L</t>
  </si>
  <si>
    <t>8909284126777</t>
  </si>
  <si>
    <t>441857188004</t>
  </si>
  <si>
    <t>8909284126760</t>
  </si>
  <si>
    <t>441857188005</t>
  </si>
  <si>
    <t>5113051681</t>
  </si>
  <si>
    <t>5113051680</t>
  </si>
  <si>
    <t>8909284126852</t>
  </si>
  <si>
    <t>441857187001</t>
  </si>
  <si>
    <t>KRTS-APSU26-RETKRTSFUT4316, FUCHSIA, S</t>
  </si>
  <si>
    <t>8909284126845</t>
  </si>
  <si>
    <t>441857187002</t>
  </si>
  <si>
    <t>KRTS-APSU26-RETKRTSFUT4316, FUCHSIA, M</t>
  </si>
  <si>
    <t>8909284126838</t>
  </si>
  <si>
    <t>441857187003</t>
  </si>
  <si>
    <t>KRTS-APSU26-RETKRTSFUT4316, FUCHSIA, L</t>
  </si>
  <si>
    <t>8909284126821</t>
  </si>
  <si>
    <t>441857187004</t>
  </si>
  <si>
    <t>KRTS-APSU26-RETKRTSFUT4316, FUCHSIA, XL</t>
  </si>
  <si>
    <t>8909284126814</t>
  </si>
  <si>
    <t>441857187005</t>
  </si>
  <si>
    <t>KRTS-APSU26-RETKRTSFUT4316, FUCHSIA, 2XL</t>
  </si>
  <si>
    <t>5113051679</t>
  </si>
  <si>
    <t>5113051678</t>
  </si>
  <si>
    <t>5113051677</t>
  </si>
  <si>
    <t>5113051676</t>
  </si>
  <si>
    <t>5113051675</t>
  </si>
  <si>
    <t>5113051674</t>
  </si>
  <si>
    <t>5113051673</t>
  </si>
  <si>
    <t>5113051672</t>
  </si>
  <si>
    <t>5113051671</t>
  </si>
  <si>
    <t>5113051670</t>
  </si>
  <si>
    <t>5113051669</t>
  </si>
  <si>
    <t>8909284126906</t>
  </si>
  <si>
    <t>441857186001</t>
  </si>
  <si>
    <t>KRTS-APSU26-RETKRTSFUT4315, CREAM, S</t>
  </si>
  <si>
    <t>8909284126890</t>
  </si>
  <si>
    <t>441857186002</t>
  </si>
  <si>
    <t>KRTS-APSU26-RETKRTSFUT4315, CREAM, M</t>
  </si>
  <si>
    <t>8909284126883</t>
  </si>
  <si>
    <t>441857186003</t>
  </si>
  <si>
    <t>KRTS-APSU26-RETKRTSFUT4315, CREAM, L</t>
  </si>
  <si>
    <t>8909284126876</t>
  </si>
  <si>
    <t>441857186004</t>
  </si>
  <si>
    <t>KRTS-APSU26-RETKRTSFUT4315, CREAM, XL</t>
  </si>
  <si>
    <t>8909284126869</t>
  </si>
  <si>
    <t>441857186005</t>
  </si>
  <si>
    <t>KRTS-APSU26-RETKRTSFUT4315, CREAM, 2XL</t>
  </si>
  <si>
    <t>5113051668</t>
  </si>
  <si>
    <t>8909284126951</t>
  </si>
  <si>
    <t>441857185001</t>
  </si>
  <si>
    <t>KRTS-APSU26-RETKRTSFUT4314, BLUE, S</t>
  </si>
  <si>
    <t>8909284126944</t>
  </si>
  <si>
    <t>441857185002</t>
  </si>
  <si>
    <t>KRTS-APSU26-RETKRTSFUT4314, BLUE, M</t>
  </si>
  <si>
    <t>8909284126937</t>
  </si>
  <si>
    <t>441857185003</t>
  </si>
  <si>
    <t>KRTS-APSU26-RETKRTSFUT4314, BLUE, L</t>
  </si>
  <si>
    <t>8909284126920</t>
  </si>
  <si>
    <t>441857185004</t>
  </si>
  <si>
    <t>KRTS-APSU26-RETKRTSFUT4314, BLUE, XL</t>
  </si>
  <si>
    <t>8909284126913</t>
  </si>
  <si>
    <t>441857185005</t>
  </si>
  <si>
    <t>KRTS-APSU26-RETKRTSFUT4314, BLUE, 2XL</t>
  </si>
  <si>
    <t>5113051667</t>
  </si>
  <si>
    <t>8909284127002</t>
  </si>
  <si>
    <t>441857184001</t>
  </si>
  <si>
    <t>KRTS-APSU26-RETKRTSF04311, CORAL, S</t>
  </si>
  <si>
    <t>8909284126999</t>
  </si>
  <si>
    <t>441857184002</t>
  </si>
  <si>
    <t>KRTS-APSU26-RETKRTSF04311, CORAL, M</t>
  </si>
  <si>
    <t>8909284126982</t>
  </si>
  <si>
    <t>441857184003</t>
  </si>
  <si>
    <t>KRTS-APSU26-RETKRTSF04311, CORAL, L</t>
  </si>
  <si>
    <t>8909284126975</t>
  </si>
  <si>
    <t>441857184004</t>
  </si>
  <si>
    <t>KRTS-APSU26-RETKRTSF04311, CORAL, XL</t>
  </si>
  <si>
    <t>8909284126968</t>
  </si>
  <si>
    <t>441857184005</t>
  </si>
  <si>
    <t>KRTS-APSU26-RETKRTSF04311, CORAL, 2XL</t>
  </si>
  <si>
    <t>5113051666</t>
  </si>
  <si>
    <t>8909284127057</t>
  </si>
  <si>
    <t>441857183001</t>
  </si>
  <si>
    <t>KRTS-APSU26-RETKRTSF04310, LT. PINK, S</t>
  </si>
  <si>
    <t>8909284127040</t>
  </si>
  <si>
    <t>441857183002</t>
  </si>
  <si>
    <t>KRTS-APSU26-RETKRTSF04310, LT. PINK, M</t>
  </si>
  <si>
    <t>8909284127033</t>
  </si>
  <si>
    <t>441857183003</t>
  </si>
  <si>
    <t>KRTS-APSU26-RETKRTSF04310, LT. PINK, L</t>
  </si>
  <si>
    <t>8909284127026</t>
  </si>
  <si>
    <t>441857183004</t>
  </si>
  <si>
    <t>KRTS-APSU26-RETKRTSF04310, LT. PINK, XL</t>
  </si>
  <si>
    <t>8909284127019</t>
  </si>
  <si>
    <t>441857183005</t>
  </si>
  <si>
    <t>KRTS-APSU26-RETKRTSF04310, LT. PINK, 2XL</t>
  </si>
  <si>
    <t>5113051665</t>
  </si>
  <si>
    <t>5113051663</t>
  </si>
  <si>
    <t>5113051661</t>
  </si>
  <si>
    <t>5113051660</t>
  </si>
  <si>
    <t>5113051659</t>
  </si>
  <si>
    <t>5113051657</t>
  </si>
  <si>
    <t>5113051655</t>
  </si>
  <si>
    <t>5113051654</t>
  </si>
  <si>
    <t>5113051559</t>
  </si>
  <si>
    <t>8909103992545</t>
  </si>
  <si>
    <t>441857089008</t>
  </si>
  <si>
    <t>KRTS-APSU26-YETKRTSCUT500, SAGE GREEN, L</t>
  </si>
  <si>
    <t>8909103992538</t>
  </si>
  <si>
    <t>441857089009</t>
  </si>
  <si>
    <t>KRTS-APSU26-YETKRTSCUT500, SAGE GREEN, M</t>
  </si>
  <si>
    <t>5113051558</t>
  </si>
  <si>
    <t>30.06.2026</t>
  </si>
  <si>
    <t>8909103992514</t>
  </si>
  <si>
    <t>441857089011</t>
  </si>
  <si>
    <t>KRTS-APSU26-YETKRTSCUT5008, RUST, 2XL</t>
  </si>
  <si>
    <t>8909103992507</t>
  </si>
  <si>
    <t>441857089012</t>
  </si>
  <si>
    <t>KRTS-APSU26-YETKRTSCUT5008, RUST, XL</t>
  </si>
  <si>
    <t>8909103992491</t>
  </si>
  <si>
    <t>441857089013</t>
  </si>
  <si>
    <t>KRTS-APSU26-YETKRTSCUT5008, RUST, L</t>
  </si>
  <si>
    <t>8909103992484</t>
  </si>
  <si>
    <t>441857089014</t>
  </si>
  <si>
    <t>KRTS-APSU26-YETKRTSCUT5008, RUST, M</t>
  </si>
  <si>
    <t>8909103992477</t>
  </si>
  <si>
    <t>441857089015</t>
  </si>
  <si>
    <t>KRTS-APSU26-YETKRTSCUT5008, RUST, S</t>
  </si>
  <si>
    <t>5113051557</t>
  </si>
  <si>
    <t>8909103992460</t>
  </si>
  <si>
    <t>441857089016</t>
  </si>
  <si>
    <t>KRTS-APSU26-YETKRTSCUT50, OFF WHITE, 2XL</t>
  </si>
  <si>
    <t>8909103992453</t>
  </si>
  <si>
    <t>441857089017</t>
  </si>
  <si>
    <t>KRTS-APSU26-YETKRTSCUT500, OFF WHITE, XL</t>
  </si>
  <si>
    <t>8909103992446</t>
  </si>
  <si>
    <t>441857089018</t>
  </si>
  <si>
    <t>KRTS-APSU26-YETKRTSCUT5008, OFF WHITE, L</t>
  </si>
  <si>
    <t>8909103992439</t>
  </si>
  <si>
    <t>441857089019</t>
  </si>
  <si>
    <t>KRTS-APSU26-YETKRTSCUT5008, OFF WHITE, M</t>
  </si>
  <si>
    <t>8909103992422</t>
  </si>
  <si>
    <t>441857089020</t>
  </si>
  <si>
    <t>KRTS-APSU26-YETKRTSCUT5008, OFF WHITE, S</t>
  </si>
  <si>
    <t>5113051556</t>
  </si>
  <si>
    <t>8909103992415</t>
  </si>
  <si>
    <t>441857089021</t>
  </si>
  <si>
    <t>KRTS-APSU26-YETKRTSCUT5008, MUSTARD, 2XL</t>
  </si>
  <si>
    <t>8909103992408</t>
  </si>
  <si>
    <t>441857089022</t>
  </si>
  <si>
    <t>KRTS-APSU26-YETKRTSCUT5008, MUSTARD, XL</t>
  </si>
  <si>
    <t>8909103992392</t>
  </si>
  <si>
    <t>441857089023</t>
  </si>
  <si>
    <t>KRTS-APSU26-YETKRTSCUT5008, MUSTARD, L</t>
  </si>
  <si>
    <t>8909103992385</t>
  </si>
  <si>
    <t>441857089024</t>
  </si>
  <si>
    <t>KRTS-APSU26-YETKRTSCUT5008, MUSTARD, M</t>
  </si>
  <si>
    <t>8909103992378</t>
  </si>
  <si>
    <t>441857089025</t>
  </si>
  <si>
    <t>KRTS-APSU26-YETKRTSCUT5008, MUSTARD, S</t>
  </si>
  <si>
    <t>5113051554</t>
  </si>
  <si>
    <t>8909103992361</t>
  </si>
  <si>
    <t>441857089026</t>
  </si>
  <si>
    <t>KRTS-APSU26-YETKRTSCUT5008, FUCHSIA, 2XL</t>
  </si>
  <si>
    <t>8909103992354</t>
  </si>
  <si>
    <t>441857089027</t>
  </si>
  <si>
    <t>KRTS-APSU26-YETKRTSCUT5008, FUCHSIA, XL</t>
  </si>
  <si>
    <t>8909103992347</t>
  </si>
  <si>
    <t>441857089028</t>
  </si>
  <si>
    <t>KRTS-APSU26-YETKRTSCUT5008, FUCHSIA, L</t>
  </si>
  <si>
    <t>8909103992330</t>
  </si>
  <si>
    <t>441857089029</t>
  </si>
  <si>
    <t>KRTS-APSU26-YETKRTSCUT5008, FUCHSIA, M</t>
  </si>
  <si>
    <t>8909103992323</t>
  </si>
  <si>
    <t>441857089030</t>
  </si>
  <si>
    <t>KRTS-APSU26-YETKRTSCUT5008, FUCHSIA, S</t>
  </si>
  <si>
    <t>5113051553</t>
  </si>
  <si>
    <t>5113051551</t>
  </si>
  <si>
    <t>5113051550</t>
  </si>
  <si>
    <t>5113051549</t>
  </si>
  <si>
    <t>8909103992569</t>
  </si>
  <si>
    <t>441857089006</t>
  </si>
  <si>
    <t>KRTS-APSU26-YETKRTSCUT5, SAGE GREEN, 2XL</t>
  </si>
  <si>
    <t>8909103992552</t>
  </si>
  <si>
    <t>441857089007</t>
  </si>
  <si>
    <t>KRTS-APSU26-YETKRTSCUT50, SAGE GREEN, XL</t>
  </si>
  <si>
    <t>8909103992521</t>
  </si>
  <si>
    <t>441857089010</t>
  </si>
  <si>
    <t>KRTS-APSU26-YETKRTSCUT500, SAGE GREEN, S</t>
  </si>
  <si>
    <t>5113051548</t>
  </si>
  <si>
    <t>5113051547</t>
  </si>
  <si>
    <t>5113051545</t>
  </si>
  <si>
    <t>5113051544</t>
  </si>
  <si>
    <t>5113051543</t>
  </si>
  <si>
    <t>5112963769</t>
  </si>
  <si>
    <t>30.01.2026</t>
  </si>
  <si>
    <t>8909103992606</t>
  </si>
  <si>
    <t>494758189</t>
  </si>
  <si>
    <t>441857089 RUST(RP)</t>
  </si>
  <si>
    <t>6</t>
  </si>
  <si>
    <t>5112963768</t>
  </si>
  <si>
    <t>8909103992590</t>
  </si>
  <si>
    <t>494758188</t>
  </si>
  <si>
    <t>441857089 OFF WHITE(RP)</t>
  </si>
  <si>
    <t>5112963767</t>
  </si>
  <si>
    <t>8909103992583</t>
  </si>
  <si>
    <t>494758187</t>
  </si>
  <si>
    <t>441857089 MUSTARD(RP)</t>
  </si>
  <si>
    <t>5112963766</t>
  </si>
  <si>
    <t>8909103992576</t>
  </si>
  <si>
    <t>494758186</t>
  </si>
  <si>
    <t>441857089 FUCHSIA(RP)</t>
  </si>
  <si>
    <t>5112963749</t>
  </si>
  <si>
    <t>5112963748</t>
  </si>
  <si>
    <t>5112963747</t>
  </si>
  <si>
    <t>5112963746</t>
  </si>
  <si>
    <t>5112963728</t>
  </si>
  <si>
    <t>5112963727</t>
  </si>
  <si>
    <t>5112963726</t>
  </si>
  <si>
    <t>8909103992613</t>
  </si>
  <si>
    <t>494758190</t>
  </si>
  <si>
    <t>441857089 SAGE GREEN(RP)</t>
  </si>
  <si>
    <t>5112963725</t>
  </si>
  <si>
    <t>5112963724</t>
  </si>
  <si>
    <t>5112793037</t>
  </si>
  <si>
    <t>14.01.2026</t>
  </si>
  <si>
    <t>8909284019864</t>
  </si>
  <si>
    <t>441857093001</t>
  </si>
  <si>
    <t>KRTS-APSU26-RETKRTSCUT5007, BLACK, S</t>
  </si>
  <si>
    <t>8909284019857</t>
  </si>
  <si>
    <t>441857093002</t>
  </si>
  <si>
    <t>KRTS-APSU26-RETKRTSCUT5007, BLACK, M</t>
  </si>
  <si>
    <t>8909284019840</t>
  </si>
  <si>
    <t>441857093003</t>
  </si>
  <si>
    <t>KRTS-APSU26-RETKRTSCUT5007, BLACK, L</t>
  </si>
  <si>
    <t>8909284019833</t>
  </si>
  <si>
    <t>441857093004</t>
  </si>
  <si>
    <t>KRTS-APSU26-RETKRTSCUT5007, BLACK, XL</t>
  </si>
  <si>
    <t>8909284019826</t>
  </si>
  <si>
    <t>441857093005</t>
  </si>
  <si>
    <t>KRTS-APSU26-RETKRTSCUT5007, BLACK, 2XL</t>
  </si>
  <si>
    <t>5112793031</t>
  </si>
  <si>
    <t>5112793025</t>
  </si>
  <si>
    <t>5112793021</t>
  </si>
  <si>
    <t>5112793016</t>
  </si>
  <si>
    <t>5112793010</t>
  </si>
  <si>
    <t>5112792074</t>
  </si>
  <si>
    <t>8909284126449</t>
  </si>
  <si>
    <t>494522083</t>
  </si>
  <si>
    <t>441857193LIME GREEN(RP)</t>
  </si>
  <si>
    <t>5112792073</t>
  </si>
  <si>
    <t>8909284126425</t>
  </si>
  <si>
    <t>494522081</t>
  </si>
  <si>
    <t>441857191MAGENTA(RP)</t>
  </si>
  <si>
    <t>5112792072</t>
  </si>
  <si>
    <t>8909284126388</t>
  </si>
  <si>
    <t>494522077</t>
  </si>
  <si>
    <t>441857187FUCHSIA(RP)</t>
  </si>
  <si>
    <t>5112792071</t>
  </si>
  <si>
    <t>8909284126395</t>
  </si>
  <si>
    <t>494522078</t>
  </si>
  <si>
    <t>441857188LIME GREEN(RP)</t>
  </si>
  <si>
    <t>5112792070</t>
  </si>
  <si>
    <t>8909284126401</t>
  </si>
  <si>
    <t>494522079</t>
  </si>
  <si>
    <t>441857189SKY BLUE(RP)</t>
  </si>
  <si>
    <t>5112792069</t>
  </si>
  <si>
    <t>5112792068</t>
  </si>
  <si>
    <t>8909284126371</t>
  </si>
  <si>
    <t>494522076</t>
  </si>
  <si>
    <t>441857186CREAM(RP)</t>
  </si>
  <si>
    <t>5112792067</t>
  </si>
  <si>
    <t>5112792066</t>
  </si>
  <si>
    <t>8909284126357</t>
  </si>
  <si>
    <t>494522074</t>
  </si>
  <si>
    <t>441857184CORAL(RP)</t>
  </si>
  <si>
    <t>5112792065</t>
  </si>
  <si>
    <t>5112792064</t>
  </si>
  <si>
    <t>8909284126364</t>
  </si>
  <si>
    <t>494522075</t>
  </si>
  <si>
    <t>441857185BLUE(RP)</t>
  </si>
  <si>
    <t>5112792063</t>
  </si>
  <si>
    <t>8909284126432</t>
  </si>
  <si>
    <t>494522082</t>
  </si>
  <si>
    <t>441857192LIME GREEN(RP)</t>
  </si>
  <si>
    <t>5112792062</t>
  </si>
  <si>
    <t>5112792061</t>
  </si>
  <si>
    <t>8909284126418</t>
  </si>
  <si>
    <t>494522080</t>
  </si>
  <si>
    <t>441857190GREEN(RP)</t>
  </si>
  <si>
    <t>5112792060</t>
  </si>
  <si>
    <t>5112791159</t>
  </si>
  <si>
    <t>5112791158</t>
  </si>
  <si>
    <t>5112791157</t>
  </si>
  <si>
    <t>5112791156</t>
  </si>
  <si>
    <t>5112791155</t>
  </si>
  <si>
    <t>5112791154</t>
  </si>
  <si>
    <t>5112791153</t>
  </si>
  <si>
    <t>8909284126340</t>
  </si>
  <si>
    <t>494522073</t>
  </si>
  <si>
    <t>441857183LT. PINK(RP)</t>
  </si>
  <si>
    <t>5112791152</t>
  </si>
  <si>
    <t>5112791151</t>
  </si>
  <si>
    <t>5112791150</t>
  </si>
  <si>
    <t>5112791149</t>
  </si>
  <si>
    <t>5112791148</t>
  </si>
  <si>
    <t>5112791147</t>
  </si>
  <si>
    <t>5112791146</t>
  </si>
  <si>
    <t>5112791145</t>
  </si>
  <si>
    <t>5112791144</t>
  </si>
  <si>
    <t>5112791143</t>
  </si>
  <si>
    <t>5112791142</t>
  </si>
  <si>
    <t>5112767999</t>
  </si>
  <si>
    <t>30.05.2026</t>
  </si>
  <si>
    <t>8909284434414</t>
  </si>
  <si>
    <t>441856924002</t>
  </si>
  <si>
    <t>SKD-APSU26-RETCRDSFUT4340, BLACK, M</t>
  </si>
  <si>
    <t>8909284434407</t>
  </si>
  <si>
    <t>441856924003</t>
  </si>
  <si>
    <t>SKD-APSU26-RETCRDSFUT4340, BLACK, L</t>
  </si>
  <si>
    <t>8909284434391</t>
  </si>
  <si>
    <t>441856924004</t>
  </si>
  <si>
    <t>SKD-APSU26-RETCRDSFUT4340, BLACK, XL</t>
  </si>
  <si>
    <t>8909284434384</t>
  </si>
  <si>
    <t>441856924005</t>
  </si>
  <si>
    <t>SKD-APSU26-RETCRDSFUT4340, BLACK, 2XL</t>
  </si>
  <si>
    <t>5112767992</t>
  </si>
  <si>
    <t>8909284434421</t>
  </si>
  <si>
    <t>441856924001</t>
  </si>
  <si>
    <t>SKD-APSU26-RETCRDSFUT4340, BLACK, S</t>
  </si>
  <si>
    <t>5112767987</t>
  </si>
  <si>
    <t>5112678620</t>
  </si>
  <si>
    <t>06.01.2026</t>
  </si>
  <si>
    <t>8909284192826</t>
  </si>
  <si>
    <t>441853990026</t>
  </si>
  <si>
    <t>KRTS-APSU26-YETKRTSCUT5009, PEACH, S</t>
  </si>
  <si>
    <t>8909284192819</t>
  </si>
  <si>
    <t>441853990027</t>
  </si>
  <si>
    <t>KRTS-APSU26-YETKRTSCUT5009, PEACH, M</t>
  </si>
  <si>
    <t>8909284192802</t>
  </si>
  <si>
    <t>441853990028</t>
  </si>
  <si>
    <t>KRTS-APSU26-YETKRTSCUT5009, PEACH, L</t>
  </si>
  <si>
    <t>8909284192796</t>
  </si>
  <si>
    <t>441853990029</t>
  </si>
  <si>
    <t>KRTS-APSU26-YETKRTSCUT5009, PEACH, XL</t>
  </si>
  <si>
    <t>8909284192789</t>
  </si>
  <si>
    <t>441853990030</t>
  </si>
  <si>
    <t>KRTS-APSU26-YETKRTSCUT5009, PEACH, 2XL</t>
  </si>
  <si>
    <t>5112678617</t>
  </si>
  <si>
    <t>8909284192864</t>
  </si>
  <si>
    <t>441853990022</t>
  </si>
  <si>
    <t>KRTS-APSU26-YETKRTSCUT5009, MINT, M</t>
  </si>
  <si>
    <t>8909284192857</t>
  </si>
  <si>
    <t>441853990023</t>
  </si>
  <si>
    <t>KRTS-APSU26-YETKRTSCUT5009, MINT, L</t>
  </si>
  <si>
    <t>8909284192840</t>
  </si>
  <si>
    <t>441853990024</t>
  </si>
  <si>
    <t>KRTS-APSU26-YETKRTSCUT5009, MINT, XL</t>
  </si>
  <si>
    <t>8909284192833</t>
  </si>
  <si>
    <t>441853990025</t>
  </si>
  <si>
    <t>KRTS-APSU26-YETKRTSCUT5009, MINT, 2XL</t>
  </si>
  <si>
    <t>5112678615</t>
  </si>
  <si>
    <t>8909284192925</t>
  </si>
  <si>
    <t>441853990016</t>
  </si>
  <si>
    <t>KRTS-APSU26-YETKRTSCUT500, LT. YELLOW, S</t>
  </si>
  <si>
    <t>8909284192918</t>
  </si>
  <si>
    <t>441853990017</t>
  </si>
  <si>
    <t>KRTS-APSU26-YETKRTSCUT500, LT. YELLOW, M</t>
  </si>
  <si>
    <t>8909284192901</t>
  </si>
  <si>
    <t>441853990018</t>
  </si>
  <si>
    <t>KRTS-APSU26-YETKRTSCUT500, LT. YELLOW, L</t>
  </si>
  <si>
    <t>8909284192895</t>
  </si>
  <si>
    <t>441853990019</t>
  </si>
  <si>
    <t>KRTS-APSU26-YETKRTSCUT50, LT. YELLOW, XL</t>
  </si>
  <si>
    <t>8909284192888</t>
  </si>
  <si>
    <t>441853990020</t>
  </si>
  <si>
    <t>KRTS-APSU26-YETKRTSCUT5, LT. YELLOW, 2XL</t>
  </si>
  <si>
    <t>5112678612</t>
  </si>
  <si>
    <t>8909284192970</t>
  </si>
  <si>
    <t>441853990011</t>
  </si>
  <si>
    <t>KRTS-APSU26-YETKRTSCUT5009, CREAM, S</t>
  </si>
  <si>
    <t>8909284192963</t>
  </si>
  <si>
    <t>441853990012</t>
  </si>
  <si>
    <t>KRTS-APSU26-YETKRTSCUT5009, CREAM, M</t>
  </si>
  <si>
    <t>8909284192956</t>
  </si>
  <si>
    <t>441853990013</t>
  </si>
  <si>
    <t>KRTS-APSU26-YETKRTSCUT5009, CREAM, L</t>
  </si>
  <si>
    <t>8909284192949</t>
  </si>
  <si>
    <t>441853990014</t>
  </si>
  <si>
    <t>KRTS-APSU26-YETKRTSCUT5009, CREAM, XL</t>
  </si>
  <si>
    <t>8909284192932</t>
  </si>
  <si>
    <t>441853990015</t>
  </si>
  <si>
    <t>KRTS-APSU26-YETKRTSCUT5009, CREAM, 2XL</t>
  </si>
  <si>
    <t>5112678611</t>
  </si>
  <si>
    <t>5112678610</t>
  </si>
  <si>
    <t>8909284193021</t>
  </si>
  <si>
    <t>441853990006</t>
  </si>
  <si>
    <t>KRTS-APSU26-YETKRTSCUT5009, BLUE, S</t>
  </si>
  <si>
    <t>8909284193014</t>
  </si>
  <si>
    <t>441853990007</t>
  </si>
  <si>
    <t>KRTS-APSU26-YETKRTSCUT5009, BLUE, M</t>
  </si>
  <si>
    <t>8909284193007</t>
  </si>
  <si>
    <t>441853990008</t>
  </si>
  <si>
    <t>KRTS-APSU26-YETKRTSCUT5009, BLUE, L</t>
  </si>
  <si>
    <t>8909284192994</t>
  </si>
  <si>
    <t>441853990009</t>
  </si>
  <si>
    <t>KRTS-APSU26-YETKRTSCUT5009, BLUE, XL</t>
  </si>
  <si>
    <t>8909284192987</t>
  </si>
  <si>
    <t>441853990010</t>
  </si>
  <si>
    <t>KRTS-APSU26-YETKRTSCUT5009, BLUE, 2XL</t>
  </si>
  <si>
    <t>5112678609</t>
  </si>
  <si>
    <t>5112678608</t>
  </si>
  <si>
    <t>5112678607</t>
  </si>
  <si>
    <t>5112678606</t>
  </si>
  <si>
    <t>5112678605</t>
  </si>
  <si>
    <t>5112678604</t>
  </si>
  <si>
    <t>8909284192871</t>
  </si>
  <si>
    <t>441853990021</t>
  </si>
  <si>
    <t>KRTS-APSU26-YETKRTSCUT5009, MINT, S</t>
  </si>
  <si>
    <t>5112678603</t>
  </si>
  <si>
    <t>5112678602</t>
  </si>
  <si>
    <t>5112678601</t>
  </si>
  <si>
    <t>5112678600</t>
  </si>
  <si>
    <t>8909284193076</t>
  </si>
  <si>
    <t>441853990001</t>
  </si>
  <si>
    <t>KRTS-APSU26-YETKRTSCUT5009, BLACK, S</t>
  </si>
  <si>
    <t>8909284193069</t>
  </si>
  <si>
    <t>441853990002</t>
  </si>
  <si>
    <t>KRTS-APSU26-YETKRTSCUT5009, BLACK, M</t>
  </si>
  <si>
    <t>8909284193052</t>
  </si>
  <si>
    <t>441853990003</t>
  </si>
  <si>
    <t>KRTS-APSU26-YETKRTSCUT5009, BLACK, L</t>
  </si>
  <si>
    <t>8909284193045</t>
  </si>
  <si>
    <t>441853990004</t>
  </si>
  <si>
    <t>KRTS-APSU26-YETKRTSCUT5009, BLACK, XL</t>
  </si>
  <si>
    <t>8909284193038</t>
  </si>
  <si>
    <t>441853990005</t>
  </si>
  <si>
    <t>KRTS-APSU26-YETKRTSCUT5009, BLACK, 2XL</t>
  </si>
  <si>
    <t>5112678599</t>
  </si>
  <si>
    <t>5112678598</t>
  </si>
  <si>
    <t>15.05.2026</t>
  </si>
  <si>
    <t>8909284195520</t>
  </si>
  <si>
    <t>441853967001</t>
  </si>
  <si>
    <t>KRTS-APSU26-YETKRTSCUT5060, BLUE, S</t>
  </si>
  <si>
    <t>8909284195513</t>
  </si>
  <si>
    <t>441853967002</t>
  </si>
  <si>
    <t>KRTS-APSU26-YETKRTSCUT5060, BLUE, M</t>
  </si>
  <si>
    <t>8909284195506</t>
  </si>
  <si>
    <t>441853967003</t>
  </si>
  <si>
    <t>KRTS-APSU26-YETKRTSCUT5060, BLUE, L</t>
  </si>
  <si>
    <t>8909284195490</t>
  </si>
  <si>
    <t>441853967004</t>
  </si>
  <si>
    <t>KRTS-APSU26-YETKRTSCUT5060, BLUE, XL</t>
  </si>
  <si>
    <t>8909284195483</t>
  </si>
  <si>
    <t>441853967005</t>
  </si>
  <si>
    <t>KRTS-APSU26-YETKRTSCUT5060, BLUE, 2XL</t>
  </si>
  <si>
    <t>5112678597</t>
  </si>
  <si>
    <t>8909284195575</t>
  </si>
  <si>
    <t>441853966001</t>
  </si>
  <si>
    <t>KRTS-APSU26-YETKRTSCUT5059, CREAM, S</t>
  </si>
  <si>
    <t>8909284195568</t>
  </si>
  <si>
    <t>441853966002</t>
  </si>
  <si>
    <t>KRTS-APSU26-YETKRTSCUT5059, CREAM, M</t>
  </si>
  <si>
    <t>8909284195551</t>
  </si>
  <si>
    <t>441853966003</t>
  </si>
  <si>
    <t>KRTS-APSU26-YETKRTSCUT5059, CREAM, L</t>
  </si>
  <si>
    <t>5112678595</t>
  </si>
  <si>
    <t>5112678594</t>
  </si>
  <si>
    <t>8909284195674</t>
  </si>
  <si>
    <t>441853964001</t>
  </si>
  <si>
    <t>KRTS-APSU26-YETKRTSCUT5057, BLUE, S</t>
  </si>
  <si>
    <t>8909284195667</t>
  </si>
  <si>
    <t>441853964002</t>
  </si>
  <si>
    <t>KRTS-APSU26-YETKRTSCUT5057, BLUE, M</t>
  </si>
  <si>
    <t>8909284195650</t>
  </si>
  <si>
    <t>441853964003</t>
  </si>
  <si>
    <t>KRTS-APSU26-YETKRTSCUT5057, BLUE, L</t>
  </si>
  <si>
    <t>8909284195643</t>
  </si>
  <si>
    <t>441853964004</t>
  </si>
  <si>
    <t>KRTS-APSU26-YETKRTSCUT5057, BLUE, XL</t>
  </si>
  <si>
    <t>8909284195636</t>
  </si>
  <si>
    <t>441853964005</t>
  </si>
  <si>
    <t>KRTS-APSU26-YETKRTSCUT5057, BLUE, 2XL</t>
  </si>
  <si>
    <t>5112678593</t>
  </si>
  <si>
    <t>5112678592</t>
  </si>
  <si>
    <t>8909284195728</t>
  </si>
  <si>
    <t>441853963001</t>
  </si>
  <si>
    <t>KRTS-APSU26-YETKRTSCUT5056, BLUE, S</t>
  </si>
  <si>
    <t>8909284195711</t>
  </si>
  <si>
    <t>441853963002</t>
  </si>
  <si>
    <t>KRTS-APSU26-YETKRTSCUT5056, BLUE, M</t>
  </si>
  <si>
    <t>8909284195704</t>
  </si>
  <si>
    <t>441853963003</t>
  </si>
  <si>
    <t>KRTS-APSU26-YETKRTSCUT5056, BLUE, L</t>
  </si>
  <si>
    <t>8909284195698</t>
  </si>
  <si>
    <t>441853963004</t>
  </si>
  <si>
    <t>KRTS-APSU26-YETKRTSCUT5056, BLUE, XL</t>
  </si>
  <si>
    <t>8909284195681</t>
  </si>
  <si>
    <t>441853963005</t>
  </si>
  <si>
    <t>KRTS-APSU26-YETKRTSCUT5056, BLUE, 2XL</t>
  </si>
  <si>
    <t>5112678591</t>
  </si>
  <si>
    <t>5112678589</t>
  </si>
  <si>
    <t>5112678588</t>
  </si>
  <si>
    <t>5112678587</t>
  </si>
  <si>
    <t>5112678586</t>
  </si>
  <si>
    <t>8909284195537</t>
  </si>
  <si>
    <t>441853966005</t>
  </si>
  <si>
    <t>KRTS-APSU26-YETKRTSCUT5059, CREAM, 2XL</t>
  </si>
  <si>
    <t>5112678584</t>
  </si>
  <si>
    <t>19.05.2026</t>
  </si>
  <si>
    <t>5112678583</t>
  </si>
  <si>
    <t>5112678500</t>
  </si>
  <si>
    <t>8909284093710</t>
  </si>
  <si>
    <t>441853916001</t>
  </si>
  <si>
    <t>KRTS-APSU26-YETKRTSCUT5005, PEACH, S</t>
  </si>
  <si>
    <t>8909284093703</t>
  </si>
  <si>
    <t>441853916002</t>
  </si>
  <si>
    <t>KRTS-APSU26-YETKRTSCUT5005, PEACH, M</t>
  </si>
  <si>
    <t>8909284093697</t>
  </si>
  <si>
    <t>441853916003</t>
  </si>
  <si>
    <t>KRTS-APSU26-YETKRTSCUT5005, PEACH, L</t>
  </si>
  <si>
    <t>8909284093680</t>
  </si>
  <si>
    <t>441853916004</t>
  </si>
  <si>
    <t>KRTS-APSU26-YETKRTSCUT5005, PEACH, XL</t>
  </si>
  <si>
    <t>8909284093673</t>
  </si>
  <si>
    <t>441853916005</t>
  </si>
  <si>
    <t>KRTS-APSU26-YETKRTSCUT5005, PEACH, 2XL</t>
  </si>
  <si>
    <t>5112671826</t>
  </si>
  <si>
    <t>07.01.2026</t>
  </si>
  <si>
    <t>8909284195773</t>
  </si>
  <si>
    <t>441853962001</t>
  </si>
  <si>
    <t>KRTS-APSU26-YETKRTSCUT5055, BLUE, S</t>
  </si>
  <si>
    <t>8909284195766</t>
  </si>
  <si>
    <t>441853962002</t>
  </si>
  <si>
    <t>KRTS-APSU26-YETKRTSCUT5055, BLUE, M</t>
  </si>
  <si>
    <t>8909284195759</t>
  </si>
  <si>
    <t>441853962003</t>
  </si>
  <si>
    <t>KRTS-APSU26-YETKRTSCUT5055, BLUE, L</t>
  </si>
  <si>
    <t>8909284195742</t>
  </si>
  <si>
    <t>441853962004</t>
  </si>
  <si>
    <t>KRTS-APSU26-YETKRTSCUT5055, BLUE, XL</t>
  </si>
  <si>
    <t>8909284195735</t>
  </si>
  <si>
    <t>441853962005</t>
  </si>
  <si>
    <t>KRTS-APSU26-YETKRTSCUT5055, BLUE, 2XL</t>
  </si>
  <si>
    <t>5112671825</t>
  </si>
  <si>
    <t>8909284195872</t>
  </si>
  <si>
    <t>441853960001</t>
  </si>
  <si>
    <t>KRTS-APSU26-YETKRTSCUT5053, BLUE, S</t>
  </si>
  <si>
    <t>8909284195858</t>
  </si>
  <si>
    <t>441853960003</t>
  </si>
  <si>
    <t>KRTS-APSU26-YETKRTSCUT5053, BLUE, L</t>
  </si>
  <si>
    <t>8909284195841</t>
  </si>
  <si>
    <t>441853960004</t>
  </si>
  <si>
    <t>KRTS-APSU26-YETKRTSCUT5053, BLUE, XL</t>
  </si>
  <si>
    <t>8909284195834</t>
  </si>
  <si>
    <t>441853960005</t>
  </si>
  <si>
    <t>KRTS-APSU26-YETKRTSCUT5053, BLUE, 2XL</t>
  </si>
  <si>
    <t>5112671824</t>
  </si>
  <si>
    <t>5112671822</t>
  </si>
  <si>
    <t>5112671821</t>
  </si>
  <si>
    <t>5112671819</t>
  </si>
  <si>
    <t>5112639495</t>
  </si>
  <si>
    <t>5112639491</t>
  </si>
  <si>
    <t>5112489249</t>
  </si>
  <si>
    <t>24.12.2025</t>
  </si>
  <si>
    <t>8909284192772</t>
  </si>
  <si>
    <t>494550472</t>
  </si>
  <si>
    <t>441853990PEACH(RP)</t>
  </si>
  <si>
    <t>5112489248</t>
  </si>
  <si>
    <t>8909284192758</t>
  </si>
  <si>
    <t>494550470</t>
  </si>
  <si>
    <t>441853990LT. YELLOW(RP)</t>
  </si>
  <si>
    <t>5112489247</t>
  </si>
  <si>
    <t>8909284192741</t>
  </si>
  <si>
    <t>494550469</t>
  </si>
  <si>
    <t>441853990CREAM(RP)</t>
  </si>
  <si>
    <t>5112489246</t>
  </si>
  <si>
    <t>8909284192727</t>
  </si>
  <si>
    <t>494550467</t>
  </si>
  <si>
    <t>441853990BLACK(RP)</t>
  </si>
  <si>
    <t>5112489242</t>
  </si>
  <si>
    <t>5112489241</t>
  </si>
  <si>
    <t>5112489239</t>
  </si>
  <si>
    <t>5112489238</t>
  </si>
  <si>
    <t>5112477874</t>
  </si>
  <si>
    <t>8909284192765</t>
  </si>
  <si>
    <t>494550471</t>
  </si>
  <si>
    <t>441853990MINT(RP)</t>
  </si>
  <si>
    <t>5112477873</t>
  </si>
  <si>
    <t>8909284192734</t>
  </si>
  <si>
    <t>494550468</t>
  </si>
  <si>
    <t>441853990BLUE(RP)</t>
  </si>
  <si>
    <t>5112477872</t>
  </si>
  <si>
    <t>5112477871</t>
  </si>
  <si>
    <t>5112477869</t>
  </si>
  <si>
    <t>5112477868</t>
  </si>
  <si>
    <t>5112477867</t>
  </si>
  <si>
    <t>5112477866</t>
  </si>
  <si>
    <t>5112477865</t>
  </si>
  <si>
    <t>5112428031</t>
  </si>
  <si>
    <t>19.12.2025</t>
  </si>
  <si>
    <t>8909284192208</t>
  </si>
  <si>
    <t>494550415</t>
  </si>
  <si>
    <t>441853964BLUE(RP)</t>
  </si>
  <si>
    <t>5112428030</t>
  </si>
  <si>
    <t>8909284192192</t>
  </si>
  <si>
    <t>494550414</t>
  </si>
  <si>
    <t>441853963BLUE(RP)</t>
  </si>
  <si>
    <t>5112428025</t>
  </si>
  <si>
    <t>8909284192185</t>
  </si>
  <si>
    <t>494548781</t>
  </si>
  <si>
    <t>441853962BLUE(RP)</t>
  </si>
  <si>
    <t>5112428021</t>
  </si>
  <si>
    <t>8909284192161</t>
  </si>
  <si>
    <t>494548779</t>
  </si>
  <si>
    <t>441853960BLUE(RP)</t>
  </si>
  <si>
    <t>5112421402</t>
  </si>
  <si>
    <t>8909284192239</t>
  </si>
  <si>
    <t>494550418</t>
  </si>
  <si>
    <t>441853967BLUE(RP)</t>
  </si>
  <si>
    <t>5112421401</t>
  </si>
  <si>
    <t>5112421400</t>
  </si>
  <si>
    <t>8909284451626</t>
  </si>
  <si>
    <t>494548685</t>
  </si>
  <si>
    <t>441853916PEACH(RP)</t>
  </si>
  <si>
    <t>5112421394</t>
  </si>
  <si>
    <t>5112231009</t>
  </si>
  <si>
    <t>04.12.2025</t>
  </si>
  <si>
    <t>8909284094519</t>
  </si>
  <si>
    <t>441853900001</t>
  </si>
  <si>
    <t>KRTS-APSU26-YETKRTSFUT4254, BLACK, S</t>
  </si>
  <si>
    <t>8909284094502</t>
  </si>
  <si>
    <t>441853900002</t>
  </si>
  <si>
    <t>KRTS-APSU26-YETKRTSFUT4254, BLACK, M</t>
  </si>
  <si>
    <t>8909284094496</t>
  </si>
  <si>
    <t>441853900003</t>
  </si>
  <si>
    <t>KRTS-APSU26-YETKRTSFUT4254, BLACK, L</t>
  </si>
  <si>
    <t>8909284094489</t>
  </si>
  <si>
    <t>441853900004</t>
  </si>
  <si>
    <t>KRTS-APSU26-YETKRTSFUT4254, BLACK, XL</t>
  </si>
  <si>
    <t>8909284094472</t>
  </si>
  <si>
    <t>441853900005</t>
  </si>
  <si>
    <t>KRTS-APSU26-YETKRTSFUT4254, BLACK, 2XL</t>
  </si>
  <si>
    <t>5112231008</t>
  </si>
  <si>
    <t>8909284094564</t>
  </si>
  <si>
    <t>441853899001</t>
  </si>
  <si>
    <t>KRTS-APSU26-RETKRTSFUT42, OLIVE GREEN, S</t>
  </si>
  <si>
    <t>8909284094557</t>
  </si>
  <si>
    <t>441853899002</t>
  </si>
  <si>
    <t>KRTS-APSU26-RETKRTSFUT42, OLIVE GREEN, M</t>
  </si>
  <si>
    <t>8909284094540</t>
  </si>
  <si>
    <t>441853899003</t>
  </si>
  <si>
    <t>KRTS-APSU26-RETKRTSFUT42, OLIVE GREEN, L</t>
  </si>
  <si>
    <t>8909284094533</t>
  </si>
  <si>
    <t>441853899004</t>
  </si>
  <si>
    <t>KRTS-APSU26-RETKRTSFUT4, OLIVE GREEN, XL</t>
  </si>
  <si>
    <t>8909284094526</t>
  </si>
  <si>
    <t>441853899005</t>
  </si>
  <si>
    <t>KRTS-APSU26-RETKRTSFUT, OLIVE GREEN, 2XL</t>
  </si>
  <si>
    <t>5112231006</t>
  </si>
  <si>
    <t>8909284094618</t>
  </si>
  <si>
    <t>441853898001</t>
  </si>
  <si>
    <t>KRTS-APSU26-YETKRTSFUT4252, MUSTARD, S</t>
  </si>
  <si>
    <t>8909284094601</t>
  </si>
  <si>
    <t>441853898002</t>
  </si>
  <si>
    <t>KRTS-APSU26-YETKRTSFUT4252, MUSTARD, M</t>
  </si>
  <si>
    <t>8909284094595</t>
  </si>
  <si>
    <t>441853898003</t>
  </si>
  <si>
    <t>KRTS-APSU26-YETKRTSFUT4252, MUSTARD, L</t>
  </si>
  <si>
    <t>8909284094588</t>
  </si>
  <si>
    <t>441853898004</t>
  </si>
  <si>
    <t>KRTS-APSU26-YETKRTSFUT4252, MUSTARD, XL</t>
  </si>
  <si>
    <t>8909284094571</t>
  </si>
  <si>
    <t>441853898005</t>
  </si>
  <si>
    <t>KRTS-APSU26-YETKRTSFUT4252, MUSTARD, 2XL</t>
  </si>
  <si>
    <t>5112231003</t>
  </si>
  <si>
    <t>5112231002</t>
  </si>
  <si>
    <t>5112231000</t>
  </si>
  <si>
    <t>5112223299</t>
  </si>
  <si>
    <t>8909284451459</t>
  </si>
  <si>
    <t>494548668</t>
  </si>
  <si>
    <t>441853899OLIVE GREEN(RP)</t>
  </si>
  <si>
    <t>5112223298</t>
  </si>
  <si>
    <t>8909284451442</t>
  </si>
  <si>
    <t>494548667</t>
  </si>
  <si>
    <t>441853898MUSTARD(RP)</t>
  </si>
  <si>
    <t>5112223283</t>
  </si>
  <si>
    <t>8909284451893</t>
  </si>
  <si>
    <t>494548712</t>
  </si>
  <si>
    <t>441853743NAVY(RP)</t>
  </si>
  <si>
    <t>8909284092362</t>
  </si>
  <si>
    <t>441853743001</t>
  </si>
  <si>
    <t>SKD-APSU26-YETCRDSFUT4017, NAVY, S</t>
  </si>
  <si>
    <t>8909284092355</t>
  </si>
  <si>
    <t>441853743002</t>
  </si>
  <si>
    <t>SKD-APSU26-YETCRDSFUT4017, NAVY, M</t>
  </si>
  <si>
    <t>8909284092348</t>
  </si>
  <si>
    <t>441853743003</t>
  </si>
  <si>
    <t>SKD-APSU26-YETCRDSFUT4017, NAVY, L</t>
  </si>
  <si>
    <t>8909284092331</t>
  </si>
  <si>
    <t>441853743004</t>
  </si>
  <si>
    <t>SKD-APSU26-YETCRDSFUT4017, NAVY, XL</t>
  </si>
  <si>
    <t>8909284092324</t>
  </si>
  <si>
    <t>441853743005</t>
  </si>
  <si>
    <t>SKD-APSU26-YETCRDSFUT4017, NAVY, 2XL</t>
  </si>
  <si>
    <t>5112223278</t>
  </si>
  <si>
    <t>5112223276</t>
  </si>
  <si>
    <t>5112223260</t>
  </si>
  <si>
    <t>5112223258</t>
  </si>
  <si>
    <t>5112223255</t>
  </si>
  <si>
    <t>02.05.2026</t>
  </si>
  <si>
    <t>8909284450537</t>
  </si>
  <si>
    <t>494548576</t>
  </si>
  <si>
    <t>441853807SEA GREEN(RP)</t>
  </si>
  <si>
    <t>5112223248</t>
  </si>
  <si>
    <t>8909284450490</t>
  </si>
  <si>
    <t>494548572</t>
  </si>
  <si>
    <t>441853803BLACK(RP)</t>
  </si>
  <si>
    <t>5112223245</t>
  </si>
  <si>
    <t>5112220901</t>
  </si>
  <si>
    <t>8909284451466</t>
  </si>
  <si>
    <t>494548669</t>
  </si>
  <si>
    <t>441853900BLACK(RP)</t>
  </si>
  <si>
    <t>5112220890</t>
  </si>
  <si>
    <t>5112220887</t>
  </si>
  <si>
    <t>5112220875</t>
  </si>
  <si>
    <t>5112220874</t>
  </si>
  <si>
    <t>5112220871</t>
  </si>
  <si>
    <t>5112198997</t>
  </si>
  <si>
    <t>5112198996</t>
  </si>
  <si>
    <t>5112198995</t>
  </si>
  <si>
    <t>5112198975</t>
  </si>
  <si>
    <t>12.05.2026</t>
  </si>
  <si>
    <t>8909284365404</t>
  </si>
  <si>
    <t>441853807001</t>
  </si>
  <si>
    <t>KRTS-APSU26-RETKRTSFUT4114, Sea Green, S</t>
  </si>
  <si>
    <t>8909284365398</t>
  </si>
  <si>
    <t>441853807002</t>
  </si>
  <si>
    <t>KRTS-APSU26-RETKRTSFUT4114, Sea Green, M</t>
  </si>
  <si>
    <t>8909284365381</t>
  </si>
  <si>
    <t>441853807003</t>
  </si>
  <si>
    <t>KRTS-APSU26-RETKRTSFUT4114, Sea Green, L</t>
  </si>
  <si>
    <t>8909284365374</t>
  </si>
  <si>
    <t>441853807004</t>
  </si>
  <si>
    <t>KRTS-APSU26-RETKRTSFUT411, Sea Green, XL</t>
  </si>
  <si>
    <t>8909284365367</t>
  </si>
  <si>
    <t>441853807005</t>
  </si>
  <si>
    <t>KRTS-APSU26-RETKRTSFUT41, Sea Green, 2XL</t>
  </si>
  <si>
    <t>5112198974</t>
  </si>
  <si>
    <t>8909284365459</t>
  </si>
  <si>
    <t>441853806001</t>
  </si>
  <si>
    <t>KRTS-APSU26-YETKRTSFUT4114, MUSTARD, S</t>
  </si>
  <si>
    <t>8909284365442</t>
  </si>
  <si>
    <t>441853806002</t>
  </si>
  <si>
    <t>KRTS-APSU26-YETKRTSFUT4114, MUSTARD, M</t>
  </si>
  <si>
    <t>8909284365435</t>
  </si>
  <si>
    <t>441853806003</t>
  </si>
  <si>
    <t>KRTS-APSU26-YETKRTSFUT4114, MUSTARD, L</t>
  </si>
  <si>
    <t>8909284365428</t>
  </si>
  <si>
    <t>441853806004</t>
  </si>
  <si>
    <t>KRTS-APSU26-YETKRTSFUT4114, MUSTARD, XL</t>
  </si>
  <si>
    <t>8909284365411</t>
  </si>
  <si>
    <t>441853806005</t>
  </si>
  <si>
    <t>KRTS-APSU26-YETKRTSFUT4114, MUSTARD, 2XL</t>
  </si>
  <si>
    <t>5112198970</t>
  </si>
  <si>
    <t>8909284365602</t>
  </si>
  <si>
    <t>441853803001</t>
  </si>
  <si>
    <t>SKD-APSU26-YETCRDSFUT4111, BLACK, S</t>
  </si>
  <si>
    <t>8909284365596</t>
  </si>
  <si>
    <t>441853803002</t>
  </si>
  <si>
    <t>SKD-APSU26-YETCRDSFUT4111, BLACK, M</t>
  </si>
  <si>
    <t>8909284365589</t>
  </si>
  <si>
    <t>441853803003</t>
  </si>
  <si>
    <t>SKD-APSU26-YETCRDSFUT4111, BLACK, L</t>
  </si>
  <si>
    <t>8909284365572</t>
  </si>
  <si>
    <t>441853803004</t>
  </si>
  <si>
    <t>SKD-APSU26-YETCRDSFUT4111, BLACK, XL</t>
  </si>
  <si>
    <t>8909284365565</t>
  </si>
  <si>
    <t>441853803005</t>
  </si>
  <si>
    <t>SKD-APSU26-YETCRDSFUT4111, BLACK, 2XL</t>
  </si>
  <si>
    <t>5112198968</t>
  </si>
  <si>
    <t>8909284365701</t>
  </si>
  <si>
    <t>441853801001</t>
  </si>
  <si>
    <t>SKD-APSU26-RETCRDSFUT4109, LT. PEACH, S</t>
  </si>
  <si>
    <t>8909284365695</t>
  </si>
  <si>
    <t>441853801002</t>
  </si>
  <si>
    <t>SKD-APSU26-RETCRDSFUT4109, LT. PEACH, M</t>
  </si>
  <si>
    <t>8909284365688</t>
  </si>
  <si>
    <t>441853801003</t>
  </si>
  <si>
    <t>SKD-APSU26-RETCRDSFUT4109, LT. PEACH, L</t>
  </si>
  <si>
    <t>8909284365671</t>
  </si>
  <si>
    <t>441853801004</t>
  </si>
  <si>
    <t>SKD-APSU26-RETCRDSFUT4109, LT. PEACH, XL</t>
  </si>
  <si>
    <t>8909284365664</t>
  </si>
  <si>
    <t>441853801005</t>
  </si>
  <si>
    <t>SKD-APSU26-RETCRDSFUT410, LT. PEACH, 2XL</t>
  </si>
  <si>
    <t>5112198965</t>
  </si>
  <si>
    <t>5112198964</t>
  </si>
  <si>
    <t>5112198963</t>
  </si>
  <si>
    <t>5112198959</t>
  </si>
  <si>
    <t>5112198958</t>
  </si>
  <si>
    <t>5112198956</t>
  </si>
  <si>
    <t>15.06.2026</t>
  </si>
  <si>
    <t>8909284365800</t>
  </si>
  <si>
    <t>441853799001</t>
  </si>
  <si>
    <t>SKD-APSU26-RETCRDSFUT4107, LT. PINK, S</t>
  </si>
  <si>
    <t>8909284365794</t>
  </si>
  <si>
    <t>441853799002</t>
  </si>
  <si>
    <t>SKD-APSU26-RETCRDSFUT4107, LT. PINK, M</t>
  </si>
  <si>
    <t>8909284365787</t>
  </si>
  <si>
    <t>441853799003</t>
  </si>
  <si>
    <t>SKD-APSU26-RETCRDSFUT4107, LT. PINK, L</t>
  </si>
  <si>
    <t>8909284365770</t>
  </si>
  <si>
    <t>441853799004</t>
  </si>
  <si>
    <t>SKD-APSU26-RETCRDSFUT4107, LT. PINK, XL</t>
  </si>
  <si>
    <t>8909284365763</t>
  </si>
  <si>
    <t>441853799005</t>
  </si>
  <si>
    <t>SKD-APSU26-RETCRDSFUT4107, LT. PINK, 2XL</t>
  </si>
  <si>
    <t>5112198955</t>
  </si>
  <si>
    <t>8909284365855</t>
  </si>
  <si>
    <t>441853798001</t>
  </si>
  <si>
    <t>KRTS-APSU26-RETKRTSFUT4106, LT. PINK, S</t>
  </si>
  <si>
    <t>8909284365848</t>
  </si>
  <si>
    <t>441853798002</t>
  </si>
  <si>
    <t>KRTS-APSU26-RETKRTSFUT4106, LT. PINK, M</t>
  </si>
  <si>
    <t>8909284365831</t>
  </si>
  <si>
    <t>441853798003</t>
  </si>
  <si>
    <t>KRTS-APSU26-RETKRTSFUT4106, LT. PINK, L</t>
  </si>
  <si>
    <t>8909284365824</t>
  </si>
  <si>
    <t>441853798004</t>
  </si>
  <si>
    <t>KRTS-APSU26-RETKRTSFUT4106, LT. PINK, XL</t>
  </si>
  <si>
    <t>8909284365817</t>
  </si>
  <si>
    <t>441853798005</t>
  </si>
  <si>
    <t>KRTS-APSU26-RETKRTSFUT410, LT. PINK, 2XL</t>
  </si>
  <si>
    <t>5112198949</t>
  </si>
  <si>
    <t>5112198943</t>
  </si>
  <si>
    <t>5112198919</t>
  </si>
  <si>
    <t>8909284453583</t>
  </si>
  <si>
    <t>441853757001</t>
  </si>
  <si>
    <t>KRTS-APSU26-YETKRTSFUT4031, BLACK, S</t>
  </si>
  <si>
    <t>8909284453576</t>
  </si>
  <si>
    <t>441853757002</t>
  </si>
  <si>
    <t>KRTS-APSU26-YETKRTSFUT4031, BLACK, M</t>
  </si>
  <si>
    <t>8909284453569</t>
  </si>
  <si>
    <t>441853757003</t>
  </si>
  <si>
    <t>KRTS-APSU26-YETKRTSFUT4031, BLACK, L</t>
  </si>
  <si>
    <t>8909284453552</t>
  </si>
  <si>
    <t>441853757004</t>
  </si>
  <si>
    <t>KRTS-APSU26-YETKRTSFUT4031, BLACK, XL</t>
  </si>
  <si>
    <t>8909284453545</t>
  </si>
  <si>
    <t>441853757005</t>
  </si>
  <si>
    <t>KRTS-APSU26-YETKRTSFUT4031, BLACK, 2XL</t>
  </si>
  <si>
    <t>5112198917</t>
  </si>
  <si>
    <t>5112198913</t>
  </si>
  <si>
    <t>5112198911</t>
  </si>
  <si>
    <t>5112198905</t>
  </si>
  <si>
    <t>SKU</t>
  </si>
  <si>
    <t>Colour</t>
  </si>
  <si>
    <t>Invoice No.</t>
  </si>
  <si>
    <t>RR PO No.</t>
  </si>
  <si>
    <t>Invoice Date</t>
  </si>
  <si>
    <t>Delivery Date</t>
  </si>
  <si>
    <t>RR PO Line No.</t>
  </si>
  <si>
    <t>SKU Code</t>
  </si>
  <si>
    <t>EAN/UPC Code</t>
  </si>
  <si>
    <t>HSN/SAC Code</t>
  </si>
  <si>
    <t>RR SKU Code</t>
  </si>
  <si>
    <t>Vendor_Batch</t>
  </si>
  <si>
    <t>Qty in Base UOM</t>
  </si>
  <si>
    <t>RR Internal No.</t>
  </si>
  <si>
    <t>Mfg/Pkd Date</t>
  </si>
  <si>
    <t>Expiry/BBD Date</t>
  </si>
  <si>
    <t>MRP per Piece</t>
  </si>
  <si>
    <t>Base Amt</t>
  </si>
  <si>
    <t>Tax Amt</t>
  </si>
  <si>
    <t>Landed Cost</t>
  </si>
  <si>
    <t>No. of Packages</t>
  </si>
  <si>
    <t>Free SKU Flag</t>
  </si>
  <si>
    <t>Invoice Line No.</t>
  </si>
  <si>
    <t>PO Open Qty</t>
  </si>
  <si>
    <t>SKU Description</t>
  </si>
  <si>
    <t>DC Code</t>
  </si>
  <si>
    <t>DC Name</t>
  </si>
  <si>
    <t/>
  </si>
  <si>
    <t>5114434866</t>
  </si>
  <si>
    <t>YETKRTSCUT5059</t>
  </si>
  <si>
    <t>297</t>
  </si>
  <si>
    <t>RRL VF-Bangalore Soukya Road A</t>
  </si>
  <si>
    <t>418</t>
  </si>
  <si>
    <t>408</t>
  </si>
  <si>
    <t>8909284195544</t>
  </si>
  <si>
    <t>441853966004</t>
  </si>
  <si>
    <t>KRTS-APSU26-YETKRTSCUT5059, CREAM, XL</t>
  </si>
  <si>
    <t>316</t>
  </si>
  <si>
    <t>5114434865</t>
  </si>
  <si>
    <t>167</t>
  </si>
  <si>
    <t>RRL VF APPAREL DC HR Jhajjar</t>
  </si>
  <si>
    <t>235</t>
  </si>
  <si>
    <t>230</t>
  </si>
  <si>
    <t>177</t>
  </si>
  <si>
    <t>5114434864</t>
  </si>
  <si>
    <t>176</t>
  </si>
  <si>
    <t>RRL VF WB Serampore Apparel DC</t>
  </si>
  <si>
    <t>248</t>
  </si>
  <si>
    <t>242</t>
  </si>
  <si>
    <t>187</t>
  </si>
  <si>
    <t>GETKRTSFUT6125</t>
  </si>
  <si>
    <t>30</t>
  </si>
  <si>
    <t>257</t>
  </si>
  <si>
    <t>217</t>
  </si>
  <si>
    <t>156</t>
  </si>
  <si>
    <t>132</t>
  </si>
  <si>
    <t>186</t>
  </si>
  <si>
    <t>157</t>
  </si>
  <si>
    <t>GETKRTSFUT6210</t>
  </si>
  <si>
    <t>GETKRTSFUT6205</t>
  </si>
  <si>
    <t>158</t>
  </si>
  <si>
    <t>GETKRTSFUT6204</t>
  </si>
  <si>
    <t>GETKRTSFUT6203</t>
  </si>
  <si>
    <t>113</t>
  </si>
  <si>
    <t>95</t>
  </si>
  <si>
    <t>GETKRTSFUT6202</t>
  </si>
  <si>
    <t>135</t>
  </si>
  <si>
    <t>114</t>
  </si>
  <si>
    <t>GETKRTSFUT6126</t>
  </si>
  <si>
    <t>GETKRTSFUT6105</t>
  </si>
  <si>
    <t>GETKRTSFUT6103</t>
  </si>
  <si>
    <t>GETKRTSFUT6101</t>
  </si>
  <si>
    <t>197</t>
  </si>
  <si>
    <t>166</t>
  </si>
  <si>
    <t>GETKRTSFUT6100</t>
  </si>
  <si>
    <t>GETKRTSFUT6098</t>
  </si>
  <si>
    <t>119</t>
  </si>
  <si>
    <t>100</t>
  </si>
  <si>
    <t>142</t>
  </si>
  <si>
    <t>120</t>
  </si>
  <si>
    <t>GETKRTSFUT6089</t>
  </si>
  <si>
    <t>GETKRTSFUT6087</t>
  </si>
  <si>
    <t>GETKRTSFUT6012</t>
  </si>
  <si>
    <t>GETKRTSFUT6002</t>
  </si>
  <si>
    <t>GETCRDSFUT6207</t>
  </si>
  <si>
    <t>36</t>
  </si>
  <si>
    <t>GETCRDSFUT6206</t>
  </si>
  <si>
    <t>GETCRDSFUT6099</t>
  </si>
  <si>
    <t>32</t>
  </si>
  <si>
    <t>71</t>
  </si>
  <si>
    <t>75</t>
  </si>
  <si>
    <t>105</t>
  </si>
  <si>
    <t>31</t>
  </si>
  <si>
    <t>168</t>
  </si>
  <si>
    <t>45</t>
  </si>
  <si>
    <t>253</t>
  </si>
  <si>
    <t>241</t>
  </si>
  <si>
    <t>146</t>
  </si>
  <si>
    <t>153</t>
  </si>
  <si>
    <t>174</t>
  </si>
  <si>
    <t>147</t>
  </si>
  <si>
    <t>28</t>
  </si>
  <si>
    <t>182</t>
  </si>
  <si>
    <t>39</t>
  </si>
  <si>
    <t>332</t>
  </si>
  <si>
    <t>208</t>
  </si>
  <si>
    <t>231</t>
  </si>
  <si>
    <t>YETKRTSCUT5004</t>
  </si>
  <si>
    <t>222</t>
  </si>
  <si>
    <t>312</t>
  </si>
  <si>
    <t>305</t>
  </si>
  <si>
    <t>243</t>
  </si>
  <si>
    <t>190</t>
  </si>
  <si>
    <t>148</t>
  </si>
  <si>
    <t>124</t>
  </si>
  <si>
    <t>175</t>
  </si>
  <si>
    <t>136</t>
  </si>
  <si>
    <t>171</t>
  </si>
  <si>
    <t>YETKRTSCUT5008</t>
  </si>
  <si>
    <t>25</t>
  </si>
  <si>
    <t>42</t>
  </si>
  <si>
    <t>41</t>
  </si>
  <si>
    <t>94</t>
  </si>
  <si>
    <t>10</t>
  </si>
  <si>
    <t>0</t>
  </si>
  <si>
    <t>RETKRTSFUT4332</t>
  </si>
  <si>
    <t>189</t>
  </si>
  <si>
    <t>220</t>
  </si>
  <si>
    <t>107</t>
  </si>
  <si>
    <t>125</t>
  </si>
  <si>
    <t>97</t>
  </si>
  <si>
    <t>109</t>
  </si>
  <si>
    <t>127</t>
  </si>
  <si>
    <t>RETKRTSFUT4331</t>
  </si>
  <si>
    <t>250</t>
  </si>
  <si>
    <t>292</t>
  </si>
  <si>
    <t>56</t>
  </si>
  <si>
    <t>RETKRTSFUT4330</t>
  </si>
  <si>
    <t>RETKRTSFUT4329</t>
  </si>
  <si>
    <t>112</t>
  </si>
  <si>
    <t>126</t>
  </si>
  <si>
    <t>RETKRTSFUT4322</t>
  </si>
  <si>
    <t>RETKRTSFUT4321</t>
  </si>
  <si>
    <t>RETKRTSFUT4316</t>
  </si>
  <si>
    <t>106</t>
  </si>
  <si>
    <t>139</t>
  </si>
  <si>
    <t>RETKRTSFUT4315</t>
  </si>
  <si>
    <t>RETKRTSFUT4314</t>
  </si>
  <si>
    <t>RETKRTSF04311</t>
  </si>
  <si>
    <t>RETKRTSF04310</t>
  </si>
  <si>
    <t>81</t>
  </si>
  <si>
    <t>425</t>
  </si>
  <si>
    <t>364</t>
  </si>
  <si>
    <t>324</t>
  </si>
  <si>
    <t>8</t>
  </si>
  <si>
    <t>17</t>
  </si>
  <si>
    <t>214</t>
  </si>
  <si>
    <t>183</t>
  </si>
  <si>
    <t>163</t>
  </si>
  <si>
    <t>202</t>
  </si>
  <si>
    <t>173</t>
  </si>
  <si>
    <t>154</t>
  </si>
  <si>
    <t>X</t>
  </si>
  <si>
    <t>566</t>
  </si>
  <si>
    <t>284</t>
  </si>
  <si>
    <t>269</t>
  </si>
  <si>
    <t>RETKRTSCUT5007</t>
  </si>
  <si>
    <t>14</t>
  </si>
  <si>
    <t>51</t>
  </si>
  <si>
    <t>50</t>
  </si>
  <si>
    <t>83</t>
  </si>
  <si>
    <t>13</t>
  </si>
  <si>
    <t>54</t>
  </si>
  <si>
    <t>48</t>
  </si>
  <si>
    <t>40</t>
  </si>
  <si>
    <t>38</t>
  </si>
  <si>
    <t>294</t>
  </si>
  <si>
    <t>359</t>
  </si>
  <si>
    <t>203</t>
  </si>
  <si>
    <t>170</t>
  </si>
  <si>
    <t>RETCRDSFUT4340</t>
  </si>
  <si>
    <t>YETKRTSCUT5055</t>
  </si>
  <si>
    <t>66</t>
  </si>
  <si>
    <t>89</t>
  </si>
  <si>
    <t>YETKRTSCUT5053</t>
  </si>
  <si>
    <t>33</t>
  </si>
  <si>
    <t>23</t>
  </si>
  <si>
    <t>26</t>
  </si>
  <si>
    <t>12</t>
  </si>
  <si>
    <t>24</t>
  </si>
  <si>
    <t>15</t>
  </si>
  <si>
    <t>YETKRTSCUT5009</t>
  </si>
  <si>
    <t>339</t>
  </si>
  <si>
    <t>382</t>
  </si>
  <si>
    <t>445</t>
  </si>
  <si>
    <t>84</t>
  </si>
  <si>
    <t>29</t>
  </si>
  <si>
    <t>7</t>
  </si>
  <si>
    <t>49</t>
  </si>
  <si>
    <t>9</t>
  </si>
  <si>
    <t>20</t>
  </si>
  <si>
    <t>16</t>
  </si>
  <si>
    <t>192</t>
  </si>
  <si>
    <t>224</t>
  </si>
  <si>
    <t>161</t>
  </si>
  <si>
    <t>212</t>
  </si>
  <si>
    <t>YETKRTSCUT5060</t>
  </si>
  <si>
    <t>67</t>
  </si>
  <si>
    <t>YETKRTSCUT5057</t>
  </si>
  <si>
    <t>102</t>
  </si>
  <si>
    <t>46</t>
  </si>
  <si>
    <t>YETKRTSCUT5056</t>
  </si>
  <si>
    <t>82</t>
  </si>
  <si>
    <t>76</t>
  </si>
  <si>
    <t>55</t>
  </si>
  <si>
    <t>35</t>
  </si>
  <si>
    <t>YETKRTSCUT5005</t>
  </si>
  <si>
    <t>21</t>
  </si>
  <si>
    <t>53</t>
  </si>
  <si>
    <t>19</t>
  </si>
  <si>
    <t>595</t>
  </si>
  <si>
    <t>299</t>
  </si>
  <si>
    <t>283</t>
  </si>
  <si>
    <t>22</t>
  </si>
  <si>
    <t>59</t>
  </si>
  <si>
    <t>47</t>
  </si>
  <si>
    <t>85</t>
  </si>
  <si>
    <t>YETKRTSFUT4254</t>
  </si>
  <si>
    <t>RETKRTSFUT4253</t>
  </si>
  <si>
    <t>YETKRTSFUT4252</t>
  </si>
  <si>
    <t>YETCRDSFUT4017</t>
  </si>
  <si>
    <t>RETKRTSFUT4114</t>
  </si>
  <si>
    <t>YETCRDSFUT4111</t>
  </si>
  <si>
    <t>91</t>
  </si>
  <si>
    <t>196</t>
  </si>
  <si>
    <t>111</t>
  </si>
  <si>
    <t>YETKRTSFUT4114</t>
  </si>
  <si>
    <t>123</t>
  </si>
  <si>
    <t>144</t>
  </si>
  <si>
    <t>RETCRDSFUT4109</t>
  </si>
  <si>
    <t>70</t>
  </si>
  <si>
    <t>11</t>
  </si>
  <si>
    <t>73</t>
  </si>
  <si>
    <t>RETCRDSFUT4107</t>
  </si>
  <si>
    <t>RETKRTSFUT4106</t>
  </si>
  <si>
    <t>YETKRTSFUT4031</t>
  </si>
  <si>
    <t>98</t>
  </si>
  <si>
    <t>116</t>
  </si>
  <si>
    <t>101</t>
  </si>
  <si>
    <t>57</t>
  </si>
  <si>
    <t>58</t>
  </si>
  <si>
    <t>location</t>
  </si>
  <si>
    <t>RP DESCRPTION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</si>
</sst>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93C3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8F0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9" fillId="3" borderId="2" xfId="0" applyFont="1" applyFill="1" applyBorder="1" applyAlignment="1">
      <alignment vertical="top" wrapText="1"/>
    </xf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5" fillId="2" borderId="1" xfId="0" applyFont="1" applyFill="1" applyBorder="1" applyAlignment="1">
      <alignment horizontal="center"/>
    </xf>
    <xf numFmtId="0" fontId="4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3" fillId="0" borderId="0" xfId="0" applyFont="1"/>
    <xf numFmtId="0" fontId="10" fillId="0" borderId="0" xfId="0" applyFont="1"/>
    <xf numFmtId="0" fontId="2" fillId="0" borderId="0" xfId="0" applyFon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30A20B-2D6E-D649-9FF1-9A8BA8637232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7fce303b-089b-4b20-9121-e433580fa1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74"/>
  <sheetViews>
    <sheetView tabSelected="1" topLeftCell="AB345" workbookViewId="0">
      <selection activeCell="AI365" sqref="AI365"/>
    </sheetView>
  </sheetViews>
  <sheetFormatPr baseColWidth="10" defaultColWidth="11.1640625" defaultRowHeight="15" customHeight="1" x14ac:dyDescent="0.2"/>
  <cols>
    <col min="1" max="1" width="8.6640625" style="3" customWidth="1"/>
    <col min="2" max="2" width="20.83203125" style="3" customWidth="1"/>
    <col min="3" max="3" width="18.6640625" style="3" customWidth="1"/>
    <col min="4" max="5" width="15.33203125" style="3" customWidth="1"/>
    <col min="6" max="6" width="39.6640625" style="3" customWidth="1"/>
    <col min="7" max="7" width="18.6640625" style="3" customWidth="1"/>
    <col min="8" max="8" width="15.33203125" style="3" customWidth="1"/>
    <col min="9" max="9" width="14.1640625" style="3" customWidth="1"/>
    <col min="10" max="10" width="45.1640625" style="3" customWidth="1"/>
    <col min="11" max="11" width="18.6640625" style="3" customWidth="1"/>
    <col min="12" max="12" width="15.33203125" style="3" customWidth="1"/>
    <col min="13" max="13" width="31.83203125" style="3" customWidth="1"/>
    <col min="14" max="14" width="22" style="3" customWidth="1"/>
    <col min="15" max="15" width="16.5" style="3" customWidth="1"/>
    <col min="16" max="16" width="15.33203125" style="3" customWidth="1"/>
    <col min="17" max="17" width="14.1640625" style="3" customWidth="1"/>
    <col min="18" max="18" width="34.1640625" style="3" customWidth="1"/>
    <col min="19" max="19" width="11" style="3" customWidth="1"/>
    <col min="20" max="20" width="33" style="3" customWidth="1"/>
    <col min="21" max="21" width="8.6640625" style="3" customWidth="1"/>
    <col min="22" max="22" width="9.83203125" style="3" customWidth="1"/>
    <col min="23" max="23" width="4.33203125" style="3" customWidth="1"/>
    <col min="24" max="24" width="22" customWidth="1"/>
    <col min="25" max="30" width="8.6640625" customWidth="1"/>
    <col min="31" max="31" width="34.1640625" customWidth="1"/>
    <col min="32" max="33" width="33" customWidth="1"/>
    <col min="34" max="16384" width="11.1640625" style="3"/>
  </cols>
  <sheetData>
    <row r="1" spans="1:36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1541</v>
      </c>
      <c r="AF1" s="6" t="s">
        <v>1542</v>
      </c>
      <c r="AG1" s="6" t="s">
        <v>1792</v>
      </c>
      <c r="AH1" s="3" t="s">
        <v>1793</v>
      </c>
      <c r="AJ1"/>
    </row>
    <row r="2" spans="1:36" ht="15.75" customHeight="1" x14ac:dyDescent="0.2">
      <c r="A2" s="4" t="s">
        <v>30</v>
      </c>
      <c r="B2" s="13">
        <v>5114202424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L2" s="4" t="s">
        <v>40</v>
      </c>
      <c r="M2" s="4">
        <v>1</v>
      </c>
      <c r="N2" s="4">
        <v>30</v>
      </c>
      <c r="O2" s="4">
        <v>30</v>
      </c>
      <c r="P2" s="4" t="s">
        <v>41</v>
      </c>
      <c r="Q2" s="4">
        <v>314.7</v>
      </c>
      <c r="R2" s="4">
        <v>314.7</v>
      </c>
      <c r="S2" s="4">
        <v>472.05</v>
      </c>
      <c r="T2" s="4">
        <v>9441</v>
      </c>
      <c r="U2" s="4">
        <v>5</v>
      </c>
      <c r="V2" s="4" t="s">
        <v>42</v>
      </c>
      <c r="X2" s="7" t="str">
        <f t="shared" ref="X2:X256" si="0">IF(ISNUMBER(VALUE(LEFT(J2,1))),LEFT(J2,MIN(IFERROR(FIND("A",UPPER(J2)),LEN(J2)+1),IFERROR(FIND("B",UPPER(J2)),LEN(J2)+1),IFERROR(FIND("C",UPPER(J2)),LEN(J2)+1),IFERROR(FIND("D",UPPER(J2)),LEN(J2)+1),IFERROR(FIND("E",UPPER(J2)),LEN(J2)+1),IFERROR(FIND("F",UPPER(J2)),LEN(J2)+1),IFERROR(FIND("G",UPPER(J2)),LEN(J2)+1),IFERROR(FIND("H",UPPER(J2)),LEN(J2)+1),IFERROR(FIND("I",UPPER(J2)),LEN(J2)+1),IFERROR(FIND("J",UPPER(J2)),LEN(J2)+1),IFERROR(FIND("K",UPPER(J2)),LEN(J2)+1),IFERROR(FIND("L",UPPER(J2)),LEN(J2)+1),IFERROR(FIND("M",UPPER(J2)),LEN(J2)+1),IFERROR(FIND("N",UPPER(J2)),LEN(J2)+1),IFERROR(FIND("O",UPPER(J2)),LEN(J2)+1),IFERROR(FIND("P",UPPER(J2)),LEN(J2)+1),IFERROR(FIND("Q",UPPER(J2)),LEN(J2)+1),IFERROR(FIND("R",UPPER(J2)),LEN(J2)+1),IFERROR(FIND("S",UPPER(J2)),LEN(J2)+1),IFERROR(FIND("T",UPPER(J2)),LEN(J2)+1),IFERROR(FIND("U",UPPER(J2)),LEN(J2)+1),IFERROR(FIND("V",UPPER(J2)),LEN(J2)+1),IFERROR(FIND("W",UPPER(J2)),LEN(J2)+1),IFERROR(FIND("X",UPPER(J2)),LEN(J2)+1),IFERROR(FIND("Y",UPPER(J2)),LEN(J2)+1),IFERROR(FIND("Z",UPPER(J2)),LEN(J2)+1))-1),LEFT(TEXT(I2,"0"),LEN(TEXT(I2,"0"))-3))</f>
        <v>441811508</v>
      </c>
      <c r="Y2" s="8" t="str">
        <f t="shared" ref="Y2:Y256" si="1">IF(ISNUMBER(SEARCH("(RP)",J2)),"RP","DC")</f>
        <v>DC</v>
      </c>
      <c r="Z2" s="8">
        <f t="shared" ref="Z2:Z256" si="2">IF(ISNUMBER(SEARCH("(RP)",J2)),O2,IF(RIGHT(TRIM(J2),3)=", S",O2,0))</f>
        <v>0</v>
      </c>
      <c r="AA2" s="8">
        <f t="shared" ref="AA2:AA256" si="3">IF(ISNUMBER(SEARCH("(RP)",J2)),O2,IF(RIGHT(TRIM(J2),3)=", M",O2,0))</f>
        <v>0</v>
      </c>
      <c r="AB2" s="8">
        <f t="shared" ref="AB2:AB256" si="4">IF(ISNUMBER(SEARCH("(RP)",J2)),O2,IF(RIGHT(TRIM(J2),3)=", L",O2,0))</f>
        <v>0</v>
      </c>
      <c r="AC2" s="8">
        <f t="shared" ref="AC2:AC256" si="5">IF(ISNUMBER(SEARCH("(RP)",J2)),O2,IF(RIGHT(TRIM(J2),4)=", XL",O2,0))</f>
        <v>0</v>
      </c>
      <c r="AD2" s="8">
        <f t="shared" ref="AD2:AD256" si="6">IF(ISNUMBER(SEARCH("(RP)",J2)),O2,IF(OR(RIGHT(TRIM(J2),5)=", XXL",RIGHT(TRIM(J2),5)=", 2XL"),O2,0))</f>
        <v>30</v>
      </c>
      <c r="AE2" s="9" t="str" cm="1">
        <f t="array" ref="AE2">IFERROR(_xlfn.XLOOKUP(H2,Sheet1!$G:$G,Sheet1!$F:$F),IFERROR(_xlfn.XLOOKUP(1,(--($X$2:$X$1074=X2))*(--ISNUMBER(MATCH($H$2:$H$1074,Sheet1!$G:$G,0))),_xlfn.XLOOKUP($H$2:$H$1074,Sheet1!$G:$G,Sheet1!$F:$F,"")),"NOT FOUND"))</f>
        <v>GETKRTSFUT6125</v>
      </c>
      <c r="AF2" s="10" t="str">
        <f>IFERROR(IF(ISNUMBER(SEARCH("(RP)",J2)),TRIM(SUBSTITUTE(MID(J2,10,LEN(J2)),"(RP)","")),TRIM(MID(J2,FIND(",",J2)+1,FIND(",",J2,FIND(",",J2)+1)-FIND(",",J2)-1))),"")</f>
        <v>OFF WHITE</v>
      </c>
      <c r="AG2" s="11" t="str">
        <f>IF(A2="SZAF","Bangalore",IF(A2="SAEX","JHAJJAR",IF(A2="S0EU","HARIPAL","")))</f>
        <v>Bangalore</v>
      </c>
      <c r="AH2" s="9" t="str">
        <f>IF(OR(J2="",AE2="",AE2="NOT FOUND"),"",IF(Y2="RP",IFERROR(LEFT(_xlfn.XLOOKUP(AE2,Sheet1!$F:$F,Sheet1!$W:$W),FIND("-",_xlfn.XLOOKUP(AE2,Sheet1!$F:$F,Sheet1!$W:$W),FIND("-",_xlfn.XLOOKUP(AE2,Sheet1!$F:$F,Sheet1!$W:$W))+1))&amp;AE2,"NOT FOUND"),LEFT(J2,FIND("-",J2,FIND("-",J2)+1))&amp;AE2))</f>
        <v>KRTS-APWN26-GETKRTSFUT6125</v>
      </c>
      <c r="AJ2"/>
    </row>
    <row r="3" spans="1:36" ht="15.75" customHeight="1" x14ac:dyDescent="0.2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43</v>
      </c>
      <c r="H3" s="4" t="s">
        <v>44</v>
      </c>
      <c r="I3" s="4" t="s">
        <v>45</v>
      </c>
      <c r="J3" s="4" t="s">
        <v>46</v>
      </c>
      <c r="L3" s="4" t="s">
        <v>40</v>
      </c>
      <c r="M3" s="4">
        <v>1</v>
      </c>
      <c r="N3" s="4">
        <v>257</v>
      </c>
      <c r="O3" s="4">
        <v>257</v>
      </c>
      <c r="P3" s="4" t="s">
        <v>41</v>
      </c>
      <c r="Q3" s="4">
        <v>314.7</v>
      </c>
      <c r="R3" s="4">
        <v>314.7</v>
      </c>
      <c r="S3" s="4">
        <v>4043.9</v>
      </c>
      <c r="T3" s="4">
        <v>80877.899999999994</v>
      </c>
      <c r="U3" s="4">
        <v>5</v>
      </c>
      <c r="V3" s="4" t="s">
        <v>42</v>
      </c>
      <c r="X3" s="7" t="str">
        <f t="shared" si="0"/>
        <v>441811508</v>
      </c>
      <c r="Y3" s="8" t="str">
        <f t="shared" si="1"/>
        <v>DC</v>
      </c>
      <c r="Z3" s="8">
        <f t="shared" si="2"/>
        <v>0</v>
      </c>
      <c r="AA3" s="8">
        <f t="shared" si="3"/>
        <v>0</v>
      </c>
      <c r="AB3" s="8">
        <f t="shared" si="4"/>
        <v>257</v>
      </c>
      <c r="AC3" s="8">
        <f t="shared" si="5"/>
        <v>0</v>
      </c>
      <c r="AD3" s="8">
        <f t="shared" si="6"/>
        <v>0</v>
      </c>
      <c r="AE3" s="9" t="str" cm="1">
        <f t="array" ref="AE3">IFERROR(_xlfn.XLOOKUP(H3,Sheet1!$G:$G,Sheet1!$F:$F),IFERROR(_xlfn.XLOOKUP(1,(--($X$2:$X$1074=X3))*(--ISNUMBER(MATCH($H$2:$H$1074,Sheet1!$G:$G,0))),_xlfn.XLOOKUP($H$2:$H$1074,Sheet1!$G:$G,Sheet1!$F:$F,"")),"NOT FOUND"))</f>
        <v>GETKRTSFUT6125</v>
      </c>
      <c r="AF3" s="10" t="str">
        <f t="shared" ref="AF3:AF66" si="7">IFERROR(IF(ISNUMBER(SEARCH("(RP)",J3)),TRIM(SUBSTITUTE(MID(J3,10,LEN(J3)),"(RP)","")),TRIM(MID(J3,FIND(",",J3)+1,FIND(",",J3,FIND(",",J3)+1)-FIND(",",J3)-1))),"")</f>
        <v>OFF WHITE</v>
      </c>
      <c r="AG3" s="11" t="str">
        <f t="shared" ref="AG3:AG66" si="8">IF(A3="SZAF","Bangalore",IF(A3="SAEX","JHAJJAR",IF(A3="S0EU","HARIPAL","")))</f>
        <v>Bangalore</v>
      </c>
      <c r="AH3" s="9" t="str">
        <f>IF(OR(J3="",AE3="",AE3="NOT FOUND"),"",IF(Y3="RP",IFERROR(LEFT(_xlfn.XLOOKUP(AE3,Sheet1!$F:$F,Sheet1!$W:$W),FIND("-",_xlfn.XLOOKUP(AE3,Sheet1!$F:$F,Sheet1!$W:$W),FIND("-",_xlfn.XLOOKUP(AE3,Sheet1!$F:$F,Sheet1!$W:$W))+1))&amp;AE3,"NOT FOUND"),LEFT(J3,FIND("-",J3,FIND("-",J3)+1))&amp;AE3))</f>
        <v>KRTS-APWN26-GETKRTSFUT6125</v>
      </c>
      <c r="AJ3"/>
    </row>
    <row r="4" spans="1:36" ht="15.75" customHeight="1" x14ac:dyDescent="0.2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47</v>
      </c>
      <c r="H4" s="4" t="s">
        <v>48</v>
      </c>
      <c r="I4" s="4" t="s">
        <v>49</v>
      </c>
      <c r="J4" s="4" t="s">
        <v>50</v>
      </c>
      <c r="L4" s="4" t="s">
        <v>40</v>
      </c>
      <c r="M4" s="4">
        <v>1</v>
      </c>
      <c r="N4" s="4">
        <v>257</v>
      </c>
      <c r="O4" s="4">
        <v>257</v>
      </c>
      <c r="P4" s="4" t="s">
        <v>41</v>
      </c>
      <c r="Q4" s="4">
        <v>314.7</v>
      </c>
      <c r="R4" s="4">
        <v>314.7</v>
      </c>
      <c r="S4" s="4">
        <v>4043.9</v>
      </c>
      <c r="T4" s="4">
        <v>80877.899999999994</v>
      </c>
      <c r="U4" s="4">
        <v>5</v>
      </c>
      <c r="V4" s="4" t="s">
        <v>42</v>
      </c>
      <c r="X4" s="7" t="str">
        <f t="shared" si="0"/>
        <v>441811508</v>
      </c>
      <c r="Y4" s="8" t="str">
        <f t="shared" si="1"/>
        <v>DC</v>
      </c>
      <c r="Z4" s="8">
        <f t="shared" si="2"/>
        <v>0</v>
      </c>
      <c r="AA4" s="8">
        <f t="shared" si="3"/>
        <v>257</v>
      </c>
      <c r="AB4" s="8">
        <f t="shared" si="4"/>
        <v>0</v>
      </c>
      <c r="AC4" s="8">
        <f t="shared" si="5"/>
        <v>0</v>
      </c>
      <c r="AD4" s="8">
        <f t="shared" si="6"/>
        <v>0</v>
      </c>
      <c r="AE4" s="9" t="str" cm="1">
        <f t="array" ref="AE4">IFERROR(_xlfn.XLOOKUP(H4,Sheet1!$G:$G,Sheet1!$F:$F),IFERROR(_xlfn.XLOOKUP(1,(--($X$2:$X$1074=X4))*(--ISNUMBER(MATCH($H$2:$H$1074,Sheet1!$G:$G,0))),_xlfn.XLOOKUP($H$2:$H$1074,Sheet1!$G:$G,Sheet1!$F:$F,"")),"NOT FOUND"))</f>
        <v>GETKRTSFUT6125</v>
      </c>
      <c r="AF4" s="10" t="str">
        <f t="shared" si="7"/>
        <v>OFF WHITE</v>
      </c>
      <c r="AG4" s="11" t="str">
        <f t="shared" si="8"/>
        <v>Bangalore</v>
      </c>
      <c r="AH4" s="9" t="str">
        <f>IF(OR(J4="",AE4="",AE4="NOT FOUND"),"",IF(Y4="RP",IFERROR(LEFT(_xlfn.XLOOKUP(AE4,Sheet1!$F:$F,Sheet1!$W:$W),FIND("-",_xlfn.XLOOKUP(AE4,Sheet1!$F:$F,Sheet1!$W:$W),FIND("-",_xlfn.XLOOKUP(AE4,Sheet1!$F:$F,Sheet1!$W:$W))+1))&amp;AE4,"NOT FOUND"),LEFT(J4,FIND("-",J4,FIND("-",J4)+1))&amp;AE4))</f>
        <v>KRTS-APWN26-GETKRTSFUT6125</v>
      </c>
      <c r="AJ4"/>
    </row>
    <row r="5" spans="1:36" ht="15.75" customHeight="1" x14ac:dyDescent="0.2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51</v>
      </c>
      <c r="H5" s="4" t="s">
        <v>52</v>
      </c>
      <c r="I5" s="4" t="s">
        <v>53</v>
      </c>
      <c r="J5" s="4" t="s">
        <v>54</v>
      </c>
      <c r="L5" s="4" t="s">
        <v>40</v>
      </c>
      <c r="M5" s="4">
        <v>1</v>
      </c>
      <c r="N5" s="4">
        <v>30</v>
      </c>
      <c r="O5" s="4">
        <v>30</v>
      </c>
      <c r="P5" s="4" t="s">
        <v>41</v>
      </c>
      <c r="Q5" s="4">
        <v>314.7</v>
      </c>
      <c r="R5" s="4">
        <v>314.7</v>
      </c>
      <c r="S5" s="4">
        <v>472.05</v>
      </c>
      <c r="T5" s="4">
        <v>9441</v>
      </c>
      <c r="U5" s="4">
        <v>5</v>
      </c>
      <c r="V5" s="4" t="s">
        <v>42</v>
      </c>
      <c r="X5" s="7" t="str">
        <f t="shared" si="0"/>
        <v>441811508</v>
      </c>
      <c r="Y5" s="8" t="str">
        <f t="shared" si="1"/>
        <v>DC</v>
      </c>
      <c r="Z5" s="8">
        <f t="shared" si="2"/>
        <v>30</v>
      </c>
      <c r="AA5" s="8">
        <f t="shared" si="3"/>
        <v>0</v>
      </c>
      <c r="AB5" s="8">
        <f t="shared" si="4"/>
        <v>0</v>
      </c>
      <c r="AC5" s="8">
        <f t="shared" si="5"/>
        <v>0</v>
      </c>
      <c r="AD5" s="8">
        <f t="shared" si="6"/>
        <v>0</v>
      </c>
      <c r="AE5" s="9" t="str" cm="1">
        <f t="array" ref="AE5">IFERROR(_xlfn.XLOOKUP(H5,Sheet1!$G:$G,Sheet1!$F:$F),IFERROR(_xlfn.XLOOKUP(1,(--($X$2:$X$1074=X5))*(--ISNUMBER(MATCH($H$2:$H$1074,Sheet1!$G:$G,0))),_xlfn.XLOOKUP($H$2:$H$1074,Sheet1!$G:$G,Sheet1!$F:$F,"")),"NOT FOUND"))</f>
        <v>GETKRTSFUT6125</v>
      </c>
      <c r="AF5" s="10" t="str">
        <f t="shared" si="7"/>
        <v>OFF WHITE</v>
      </c>
      <c r="AG5" s="11" t="str">
        <f t="shared" si="8"/>
        <v>Bangalore</v>
      </c>
      <c r="AH5" s="9" t="str">
        <f>IF(OR(J5="",AE5="",AE5="NOT FOUND"),"",IF(Y5="RP",IFERROR(LEFT(_xlfn.XLOOKUP(AE5,Sheet1!$F:$F,Sheet1!$W:$W),FIND("-",_xlfn.XLOOKUP(AE5,Sheet1!$F:$F,Sheet1!$W:$W),FIND("-",_xlfn.XLOOKUP(AE5,Sheet1!$F:$F,Sheet1!$W:$W))+1))&amp;AE5,"NOT FOUND"),LEFT(J5,FIND("-",J5,FIND("-",J5)+1))&amp;AE5))</f>
        <v>KRTS-APWN26-GETKRTSFUT6125</v>
      </c>
      <c r="AJ5"/>
    </row>
    <row r="6" spans="1:36" ht="15.75" customHeight="1" x14ac:dyDescent="0.2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55</v>
      </c>
      <c r="H6" s="4" t="s">
        <v>56</v>
      </c>
      <c r="I6" s="4" t="s">
        <v>57</v>
      </c>
      <c r="J6" s="4" t="s">
        <v>58</v>
      </c>
      <c r="L6" s="4" t="s">
        <v>40</v>
      </c>
      <c r="M6" s="4">
        <v>1</v>
      </c>
      <c r="N6" s="4">
        <v>217</v>
      </c>
      <c r="O6" s="4">
        <v>217</v>
      </c>
      <c r="P6" s="4" t="s">
        <v>41</v>
      </c>
      <c r="Q6" s="4">
        <v>314.7</v>
      </c>
      <c r="R6" s="4">
        <v>314.7</v>
      </c>
      <c r="S6" s="4">
        <v>3414.5</v>
      </c>
      <c r="T6" s="4">
        <v>68289.899999999994</v>
      </c>
      <c r="U6" s="4">
        <v>5</v>
      </c>
      <c r="V6" s="4" t="s">
        <v>42</v>
      </c>
      <c r="X6" s="7" t="str">
        <f t="shared" si="0"/>
        <v>441811508</v>
      </c>
      <c r="Y6" s="8" t="str">
        <f t="shared" si="1"/>
        <v>DC</v>
      </c>
      <c r="Z6" s="8">
        <f t="shared" si="2"/>
        <v>0</v>
      </c>
      <c r="AA6" s="8">
        <f t="shared" si="3"/>
        <v>0</v>
      </c>
      <c r="AB6" s="8">
        <f t="shared" si="4"/>
        <v>0</v>
      </c>
      <c r="AC6" s="8">
        <f t="shared" si="5"/>
        <v>217</v>
      </c>
      <c r="AD6" s="8">
        <f t="shared" si="6"/>
        <v>0</v>
      </c>
      <c r="AE6" s="9" t="str" cm="1">
        <f t="array" ref="AE6">IFERROR(_xlfn.XLOOKUP(H6,Sheet1!$G:$G,Sheet1!$F:$F),IFERROR(_xlfn.XLOOKUP(1,(--($X$2:$X$1074=X6))*(--ISNUMBER(MATCH($H$2:$H$1074,Sheet1!$G:$G,0))),_xlfn.XLOOKUP($H$2:$H$1074,Sheet1!$G:$G,Sheet1!$F:$F,"")),"NOT FOUND"))</f>
        <v>GETKRTSFUT6125</v>
      </c>
      <c r="AF6" s="10" t="str">
        <f t="shared" si="7"/>
        <v>OFF WHITE</v>
      </c>
      <c r="AG6" s="11" t="str">
        <f t="shared" si="8"/>
        <v>Bangalore</v>
      </c>
      <c r="AH6" s="9" t="str">
        <f>IF(OR(J6="",AE6="",AE6="NOT FOUND"),"",IF(Y6="RP",IFERROR(LEFT(_xlfn.XLOOKUP(AE6,Sheet1!$F:$F,Sheet1!$W:$W),FIND("-",_xlfn.XLOOKUP(AE6,Sheet1!$F:$F,Sheet1!$W:$W),FIND("-",_xlfn.XLOOKUP(AE6,Sheet1!$F:$F,Sheet1!$W:$W))+1))&amp;AE6,"NOT FOUND"),LEFT(J6,FIND("-",J6,FIND("-",J6)+1))&amp;AE6))</f>
        <v>KRTS-APWN26-GETKRTSFUT6125</v>
      </c>
      <c r="AJ6"/>
    </row>
    <row r="7" spans="1:36" ht="15.75" customHeight="1" x14ac:dyDescent="0.2">
      <c r="A7" s="4" t="s">
        <v>59</v>
      </c>
      <c r="B7" s="4" t="s">
        <v>60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  <c r="I7" s="4" t="s">
        <v>38</v>
      </c>
      <c r="J7" s="4" t="s">
        <v>39</v>
      </c>
      <c r="L7" s="4" t="s">
        <v>40</v>
      </c>
      <c r="M7" s="4">
        <v>1</v>
      </c>
      <c r="N7" s="4">
        <v>30</v>
      </c>
      <c r="O7" s="4">
        <v>30</v>
      </c>
      <c r="P7" s="4" t="s">
        <v>41</v>
      </c>
      <c r="Q7" s="4">
        <v>314.7</v>
      </c>
      <c r="R7" s="4">
        <v>314.7</v>
      </c>
      <c r="S7" s="4">
        <v>472.05</v>
      </c>
      <c r="T7" s="4">
        <v>9441</v>
      </c>
      <c r="U7" s="4">
        <v>5</v>
      </c>
      <c r="V7" s="12" t="s">
        <v>42</v>
      </c>
      <c r="X7" s="7" t="str">
        <f t="shared" si="0"/>
        <v>441811508</v>
      </c>
      <c r="Y7" s="8" t="str">
        <f t="shared" si="1"/>
        <v>DC</v>
      </c>
      <c r="Z7" s="8">
        <f t="shared" si="2"/>
        <v>0</v>
      </c>
      <c r="AA7" s="8">
        <f t="shared" si="3"/>
        <v>0</v>
      </c>
      <c r="AB7" s="8">
        <f t="shared" si="4"/>
        <v>0</v>
      </c>
      <c r="AC7" s="8">
        <f t="shared" si="5"/>
        <v>0</v>
      </c>
      <c r="AD7" s="8">
        <f>IF(ISNUMBER(SEARCH("(RP)",J7)),O7,IF(OR(RIGHT(TRIM(J7),5)=", XXL",RIGHT(TRIM(J7),5)=", 2XL"),O7,0))</f>
        <v>30</v>
      </c>
      <c r="AE7" s="9" t="str" cm="1">
        <f t="array" ref="AE7">IFERROR(_xlfn.XLOOKUP(H7,Sheet1!$G:$G,Sheet1!$F:$F),IFERROR(_xlfn.XLOOKUP(1,(--($X$2:$X$1074=X7))*(--ISNUMBER(MATCH($H$2:$H$1074,Sheet1!$G:$G,0))),_xlfn.XLOOKUP($H$2:$H$1074,Sheet1!$G:$G,Sheet1!$F:$F,"")),"NOT FOUND"))</f>
        <v>GETKRTSFUT6125</v>
      </c>
      <c r="AF7" s="10" t="str">
        <f t="shared" si="7"/>
        <v>OFF WHITE</v>
      </c>
      <c r="AG7" s="11" t="str">
        <f t="shared" si="8"/>
        <v>JHAJJAR</v>
      </c>
      <c r="AH7" s="9" t="str">
        <f>IF(OR(J7="",AE7="",AE7="NOT FOUND"),"",IF(Y7="RP",IFERROR(LEFT(_xlfn.XLOOKUP(AE7,Sheet1!$F:$F,Sheet1!$W:$W),FIND("-",_xlfn.XLOOKUP(AE7,Sheet1!$F:$F,Sheet1!$W:$W),FIND("-",_xlfn.XLOOKUP(AE7,Sheet1!$F:$F,Sheet1!$W:$W))+1))&amp;AE7,"NOT FOUND"),LEFT(J7,FIND("-",J7,FIND("-",J7)+1))&amp;AE7))</f>
        <v>KRTS-APWN26-GETKRTSFUT6125</v>
      </c>
    </row>
    <row r="8" spans="1:36" ht="15.75" customHeight="1" x14ac:dyDescent="0.2">
      <c r="A8" s="4" t="s">
        <v>59</v>
      </c>
      <c r="B8" s="4" t="s">
        <v>60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43</v>
      </c>
      <c r="H8" s="4" t="s">
        <v>44</v>
      </c>
      <c r="I8" s="4" t="s">
        <v>45</v>
      </c>
      <c r="J8" s="4" t="s">
        <v>46</v>
      </c>
      <c r="L8" s="4" t="s">
        <v>40</v>
      </c>
      <c r="M8" s="4">
        <v>1</v>
      </c>
      <c r="N8" s="4">
        <v>156</v>
      </c>
      <c r="O8" s="4">
        <v>156</v>
      </c>
      <c r="P8" s="4" t="s">
        <v>41</v>
      </c>
      <c r="Q8" s="4">
        <v>314.7</v>
      </c>
      <c r="R8" s="4">
        <v>314.7</v>
      </c>
      <c r="S8" s="4">
        <v>2454.66</v>
      </c>
      <c r="T8" s="4">
        <v>49093.2</v>
      </c>
      <c r="U8" s="4">
        <v>5</v>
      </c>
      <c r="V8" s="4" t="s">
        <v>42</v>
      </c>
      <c r="X8" s="7" t="str">
        <f t="shared" si="0"/>
        <v>441811508</v>
      </c>
      <c r="Y8" s="8" t="str">
        <f t="shared" si="1"/>
        <v>DC</v>
      </c>
      <c r="Z8" s="8">
        <f t="shared" si="2"/>
        <v>0</v>
      </c>
      <c r="AA8" s="8">
        <f t="shared" si="3"/>
        <v>0</v>
      </c>
      <c r="AB8" s="8">
        <f t="shared" si="4"/>
        <v>156</v>
      </c>
      <c r="AC8" s="8">
        <f t="shared" si="5"/>
        <v>0</v>
      </c>
      <c r="AD8" s="8">
        <f t="shared" si="6"/>
        <v>0</v>
      </c>
      <c r="AE8" s="9" t="str" cm="1">
        <f t="array" ref="AE8">IFERROR(_xlfn.XLOOKUP(H8,Sheet1!$G:$G,Sheet1!$F:$F),IFERROR(_xlfn.XLOOKUP(1,(--($X$2:$X$1074=X8))*(--ISNUMBER(MATCH($H$2:$H$1074,Sheet1!$G:$G,0))),_xlfn.XLOOKUP($H$2:$H$1074,Sheet1!$G:$G,Sheet1!$F:$F,"")),"NOT FOUND"))</f>
        <v>GETKRTSFUT6125</v>
      </c>
      <c r="AF8" s="10" t="str">
        <f t="shared" si="7"/>
        <v>OFF WHITE</v>
      </c>
      <c r="AG8" s="11" t="str">
        <f t="shared" si="8"/>
        <v>JHAJJAR</v>
      </c>
      <c r="AH8" s="9" t="str">
        <f>IF(OR(J8="",AE8="",AE8="NOT FOUND"),"",IF(Y8="RP",IFERROR(LEFT(_xlfn.XLOOKUP(AE8,Sheet1!$F:$F,Sheet1!$W:$W),FIND("-",_xlfn.XLOOKUP(AE8,Sheet1!$F:$F,Sheet1!$W:$W),FIND("-",_xlfn.XLOOKUP(AE8,Sheet1!$F:$F,Sheet1!$W:$W))+1))&amp;AE8,"NOT FOUND"),LEFT(J8,FIND("-",J8,FIND("-",J8)+1))&amp;AE8))</f>
        <v>KRTS-APWN26-GETKRTSFUT6125</v>
      </c>
    </row>
    <row r="9" spans="1:36" ht="15.75" customHeight="1" x14ac:dyDescent="0.2">
      <c r="A9" s="4" t="s">
        <v>59</v>
      </c>
      <c r="B9" s="4" t="s">
        <v>60</v>
      </c>
      <c r="C9" s="4" t="s">
        <v>32</v>
      </c>
      <c r="D9" s="4" t="s">
        <v>33</v>
      </c>
      <c r="E9" s="4" t="s">
        <v>34</v>
      </c>
      <c r="F9" s="4" t="s">
        <v>35</v>
      </c>
      <c r="G9" s="4" t="s">
        <v>47</v>
      </c>
      <c r="H9" s="4" t="s">
        <v>48</v>
      </c>
      <c r="I9" s="4" t="s">
        <v>49</v>
      </c>
      <c r="J9" s="4" t="s">
        <v>50</v>
      </c>
      <c r="L9" s="4" t="s">
        <v>40</v>
      </c>
      <c r="M9" s="4">
        <v>1</v>
      </c>
      <c r="N9" s="4">
        <v>156</v>
      </c>
      <c r="O9" s="4">
        <v>156</v>
      </c>
      <c r="P9" s="4" t="s">
        <v>41</v>
      </c>
      <c r="Q9" s="4">
        <v>314.7</v>
      </c>
      <c r="R9" s="4">
        <v>314.7</v>
      </c>
      <c r="S9" s="4">
        <v>2454.66</v>
      </c>
      <c r="T9" s="4">
        <v>49093.2</v>
      </c>
      <c r="U9" s="4">
        <v>5</v>
      </c>
      <c r="V9" s="4" t="s">
        <v>42</v>
      </c>
      <c r="X9" s="7" t="str">
        <f t="shared" si="0"/>
        <v>441811508</v>
      </c>
      <c r="Y9" s="8" t="str">
        <f t="shared" si="1"/>
        <v>DC</v>
      </c>
      <c r="Z9" s="8">
        <f t="shared" si="2"/>
        <v>0</v>
      </c>
      <c r="AA9" s="8">
        <f t="shared" si="3"/>
        <v>156</v>
      </c>
      <c r="AB9" s="8">
        <f t="shared" si="4"/>
        <v>0</v>
      </c>
      <c r="AC9" s="8">
        <f t="shared" si="5"/>
        <v>0</v>
      </c>
      <c r="AD9" s="8">
        <f t="shared" si="6"/>
        <v>0</v>
      </c>
      <c r="AE9" s="9" t="str" cm="1">
        <f t="array" ref="AE9">IFERROR(_xlfn.XLOOKUP(H9,Sheet1!$G:$G,Sheet1!$F:$F),IFERROR(_xlfn.XLOOKUP(1,(--($X$2:$X$1074=X9))*(--ISNUMBER(MATCH($H$2:$H$1074,Sheet1!$G:$G,0))),_xlfn.XLOOKUP($H$2:$H$1074,Sheet1!$G:$G,Sheet1!$F:$F,"")),"NOT FOUND"))</f>
        <v>GETKRTSFUT6125</v>
      </c>
      <c r="AF9" s="10" t="str">
        <f t="shared" si="7"/>
        <v>OFF WHITE</v>
      </c>
      <c r="AG9" s="11" t="str">
        <f t="shared" si="8"/>
        <v>JHAJJAR</v>
      </c>
      <c r="AH9" s="9" t="str">
        <f>IF(OR(J9="",AE9="",AE9="NOT FOUND"),"",IF(Y9="RP",IFERROR(LEFT(_xlfn.XLOOKUP(AE9,Sheet1!$F:$F,Sheet1!$W:$W),FIND("-",_xlfn.XLOOKUP(AE9,Sheet1!$F:$F,Sheet1!$W:$W),FIND("-",_xlfn.XLOOKUP(AE9,Sheet1!$F:$F,Sheet1!$W:$W))+1))&amp;AE9,"NOT FOUND"),LEFT(J9,FIND("-",J9,FIND("-",J9)+1))&amp;AE9))</f>
        <v>KRTS-APWN26-GETKRTSFUT6125</v>
      </c>
    </row>
    <row r="10" spans="1:36" ht="15.75" customHeight="1" x14ac:dyDescent="0.2">
      <c r="A10" s="4" t="s">
        <v>59</v>
      </c>
      <c r="B10" s="4" t="s">
        <v>60</v>
      </c>
      <c r="C10" s="4" t="s">
        <v>32</v>
      </c>
      <c r="D10" s="4" t="s">
        <v>33</v>
      </c>
      <c r="E10" s="4" t="s">
        <v>34</v>
      </c>
      <c r="F10" s="4" t="s">
        <v>35</v>
      </c>
      <c r="G10" s="4" t="s">
        <v>51</v>
      </c>
      <c r="H10" s="4" t="s">
        <v>52</v>
      </c>
      <c r="I10" s="4" t="s">
        <v>53</v>
      </c>
      <c r="J10" s="4" t="s">
        <v>54</v>
      </c>
      <c r="L10" s="4" t="s">
        <v>40</v>
      </c>
      <c r="M10" s="4">
        <v>1</v>
      </c>
      <c r="N10" s="4">
        <v>30</v>
      </c>
      <c r="O10" s="4">
        <v>30</v>
      </c>
      <c r="P10" s="4" t="s">
        <v>41</v>
      </c>
      <c r="Q10" s="4">
        <v>314.7</v>
      </c>
      <c r="R10" s="4">
        <v>314.7</v>
      </c>
      <c r="S10" s="4">
        <v>472.05</v>
      </c>
      <c r="T10" s="4">
        <v>9441</v>
      </c>
      <c r="U10" s="4">
        <v>5</v>
      </c>
      <c r="V10" s="4" t="s">
        <v>42</v>
      </c>
      <c r="X10" s="7" t="str">
        <f t="shared" si="0"/>
        <v>441811508</v>
      </c>
      <c r="Y10" s="8" t="str">
        <f t="shared" si="1"/>
        <v>DC</v>
      </c>
      <c r="Z10" s="8">
        <f t="shared" si="2"/>
        <v>30</v>
      </c>
      <c r="AA10" s="8">
        <f t="shared" si="3"/>
        <v>0</v>
      </c>
      <c r="AB10" s="8">
        <f t="shared" si="4"/>
        <v>0</v>
      </c>
      <c r="AC10" s="8">
        <f t="shared" si="5"/>
        <v>0</v>
      </c>
      <c r="AD10" s="8">
        <f t="shared" si="6"/>
        <v>0</v>
      </c>
      <c r="AE10" s="9" t="str" cm="1">
        <f t="array" ref="AE10">IFERROR(_xlfn.XLOOKUP(H10,Sheet1!$G:$G,Sheet1!$F:$F),IFERROR(_xlfn.XLOOKUP(1,(--($X$2:$X$1074=X10))*(--ISNUMBER(MATCH($H$2:$H$1074,Sheet1!$G:$G,0))),_xlfn.XLOOKUP($H$2:$H$1074,Sheet1!$G:$G,Sheet1!$F:$F,"")),"NOT FOUND"))</f>
        <v>GETKRTSFUT6125</v>
      </c>
      <c r="AF10" s="10" t="str">
        <f t="shared" si="7"/>
        <v>OFF WHITE</v>
      </c>
      <c r="AG10" s="11" t="str">
        <f t="shared" si="8"/>
        <v>JHAJJAR</v>
      </c>
      <c r="AH10" s="9" t="str">
        <f>IF(OR(J10="",AE10="",AE10="NOT FOUND"),"",IF(Y10="RP",IFERROR(LEFT(_xlfn.XLOOKUP(AE10,Sheet1!$F:$F,Sheet1!$W:$W),FIND("-",_xlfn.XLOOKUP(AE10,Sheet1!$F:$F,Sheet1!$W:$W),FIND("-",_xlfn.XLOOKUP(AE10,Sheet1!$F:$F,Sheet1!$W:$W))+1))&amp;AE10,"NOT FOUND"),LEFT(J10,FIND("-",J10,FIND("-",J10)+1))&amp;AE10))</f>
        <v>KRTS-APWN26-GETKRTSFUT6125</v>
      </c>
    </row>
    <row r="11" spans="1:36" ht="15.75" customHeight="1" x14ac:dyDescent="0.2">
      <c r="A11" s="4" t="s">
        <v>59</v>
      </c>
      <c r="B11" s="4" t="s">
        <v>60</v>
      </c>
      <c r="C11" s="4" t="s">
        <v>32</v>
      </c>
      <c r="D11" s="4" t="s">
        <v>33</v>
      </c>
      <c r="E11" s="4" t="s">
        <v>34</v>
      </c>
      <c r="F11" s="4" t="s">
        <v>35</v>
      </c>
      <c r="G11" s="4" t="s">
        <v>55</v>
      </c>
      <c r="H11" s="4" t="s">
        <v>56</v>
      </c>
      <c r="I11" s="4" t="s">
        <v>57</v>
      </c>
      <c r="J11" s="4" t="s">
        <v>58</v>
      </c>
      <c r="L11" s="4" t="s">
        <v>40</v>
      </c>
      <c r="M11" s="4">
        <v>1</v>
      </c>
      <c r="N11" s="4">
        <v>132</v>
      </c>
      <c r="O11" s="4">
        <v>132</v>
      </c>
      <c r="P11" s="4" t="s">
        <v>41</v>
      </c>
      <c r="Q11" s="4">
        <v>314.7</v>
      </c>
      <c r="R11" s="4">
        <v>314.7</v>
      </c>
      <c r="S11" s="4">
        <v>2077.02</v>
      </c>
      <c r="T11" s="4">
        <v>41540.400000000001</v>
      </c>
      <c r="U11" s="4">
        <v>5</v>
      </c>
      <c r="V11" s="4" t="s">
        <v>42</v>
      </c>
      <c r="X11" s="7" t="str">
        <f t="shared" si="0"/>
        <v>441811508</v>
      </c>
      <c r="Y11" s="8" t="str">
        <f t="shared" si="1"/>
        <v>DC</v>
      </c>
      <c r="Z11" s="8">
        <f t="shared" si="2"/>
        <v>0</v>
      </c>
      <c r="AA11" s="8">
        <f t="shared" si="3"/>
        <v>0</v>
      </c>
      <c r="AB11" s="8">
        <f t="shared" si="4"/>
        <v>0</v>
      </c>
      <c r="AC11" s="8">
        <f t="shared" si="5"/>
        <v>132</v>
      </c>
      <c r="AD11" s="8">
        <f t="shared" si="6"/>
        <v>0</v>
      </c>
      <c r="AE11" s="9" t="str" cm="1">
        <f t="array" ref="AE11">IFERROR(_xlfn.XLOOKUP(H11,Sheet1!$G:$G,Sheet1!$F:$F),IFERROR(_xlfn.XLOOKUP(1,(--($X$2:$X$1074=X11))*(--ISNUMBER(MATCH($H$2:$H$1074,Sheet1!$G:$G,0))),_xlfn.XLOOKUP($H$2:$H$1074,Sheet1!$G:$G,Sheet1!$F:$F,"")),"NOT FOUND"))</f>
        <v>GETKRTSFUT6125</v>
      </c>
      <c r="AF11" s="10" t="str">
        <f t="shared" si="7"/>
        <v>OFF WHITE</v>
      </c>
      <c r="AG11" s="11" t="str">
        <f t="shared" si="8"/>
        <v>JHAJJAR</v>
      </c>
      <c r="AH11" s="9" t="str">
        <f>IF(OR(J11="",AE11="",AE11="NOT FOUND"),"",IF(Y11="RP",IFERROR(LEFT(_xlfn.XLOOKUP(AE11,Sheet1!$F:$F,Sheet1!$W:$W),FIND("-",_xlfn.XLOOKUP(AE11,Sheet1!$F:$F,Sheet1!$W:$W),FIND("-",_xlfn.XLOOKUP(AE11,Sheet1!$F:$F,Sheet1!$W:$W))+1))&amp;AE11,"NOT FOUND"),LEFT(J11,FIND("-",J11,FIND("-",J11)+1))&amp;AE11))</f>
        <v>KRTS-APWN26-GETKRTSFUT6125</v>
      </c>
    </row>
    <row r="12" spans="1:36" ht="15.75" customHeight="1" x14ac:dyDescent="0.2">
      <c r="A12" s="4" t="s">
        <v>61</v>
      </c>
      <c r="B12" s="4" t="s">
        <v>62</v>
      </c>
      <c r="C12" s="4" t="s">
        <v>32</v>
      </c>
      <c r="D12" s="4" t="s">
        <v>33</v>
      </c>
      <c r="E12" s="4" t="s">
        <v>34</v>
      </c>
      <c r="F12" s="4" t="s">
        <v>35</v>
      </c>
      <c r="G12" s="4" t="s">
        <v>36</v>
      </c>
      <c r="H12" s="4" t="s">
        <v>37</v>
      </c>
      <c r="I12" s="4" t="s">
        <v>38</v>
      </c>
      <c r="J12" s="4" t="s">
        <v>39</v>
      </c>
      <c r="L12" s="4" t="s">
        <v>40</v>
      </c>
      <c r="M12" s="4">
        <v>1</v>
      </c>
      <c r="N12" s="4">
        <v>30</v>
      </c>
      <c r="O12" s="4">
        <v>30</v>
      </c>
      <c r="P12" s="4" t="s">
        <v>41</v>
      </c>
      <c r="Q12" s="4">
        <v>314.7</v>
      </c>
      <c r="R12" s="4">
        <v>314.7</v>
      </c>
      <c r="S12" s="4">
        <v>472.05</v>
      </c>
      <c r="T12" s="4">
        <v>9441</v>
      </c>
      <c r="U12" s="4">
        <v>5</v>
      </c>
      <c r="V12" s="4" t="s">
        <v>42</v>
      </c>
      <c r="X12" s="7" t="str">
        <f t="shared" si="0"/>
        <v>441811508</v>
      </c>
      <c r="Y12" s="8" t="str">
        <f t="shared" si="1"/>
        <v>DC</v>
      </c>
      <c r="Z12" s="8">
        <f t="shared" si="2"/>
        <v>0</v>
      </c>
      <c r="AA12" s="8">
        <f t="shared" si="3"/>
        <v>0</v>
      </c>
      <c r="AB12" s="8">
        <f t="shared" si="4"/>
        <v>0</v>
      </c>
      <c r="AC12" s="8">
        <f t="shared" si="5"/>
        <v>0</v>
      </c>
      <c r="AD12" s="8">
        <f t="shared" si="6"/>
        <v>30</v>
      </c>
      <c r="AE12" s="9" t="str" cm="1">
        <f t="array" ref="AE12">IFERROR(_xlfn.XLOOKUP(H12,Sheet1!$G:$G,Sheet1!$F:$F),IFERROR(_xlfn.XLOOKUP(1,(--($X$2:$X$1074=X12))*(--ISNUMBER(MATCH($H$2:$H$1074,Sheet1!$G:$G,0))),_xlfn.XLOOKUP($H$2:$H$1074,Sheet1!$G:$G,Sheet1!$F:$F,"")),"NOT FOUND"))</f>
        <v>GETKRTSFUT6125</v>
      </c>
      <c r="AF12" s="10" t="str">
        <f t="shared" si="7"/>
        <v>OFF WHITE</v>
      </c>
      <c r="AG12" s="11" t="str">
        <f t="shared" si="8"/>
        <v>HARIPAL</v>
      </c>
      <c r="AH12" s="9" t="str">
        <f>IF(OR(J12="",AE12="",AE12="NOT FOUND"),"",IF(Y12="RP",IFERROR(LEFT(_xlfn.XLOOKUP(AE12,Sheet1!$F:$F,Sheet1!$W:$W),FIND("-",_xlfn.XLOOKUP(AE12,Sheet1!$F:$F,Sheet1!$W:$W),FIND("-",_xlfn.XLOOKUP(AE12,Sheet1!$F:$F,Sheet1!$W:$W))+1))&amp;AE12,"NOT FOUND"),LEFT(J12,FIND("-",J12,FIND("-",J12)+1))&amp;AE12))</f>
        <v>KRTS-APWN26-GETKRTSFUT6125</v>
      </c>
    </row>
    <row r="13" spans="1:36" ht="15.75" customHeight="1" x14ac:dyDescent="0.2">
      <c r="A13" s="4" t="s">
        <v>61</v>
      </c>
      <c r="B13" s="4" t="s">
        <v>62</v>
      </c>
      <c r="C13" s="4" t="s">
        <v>32</v>
      </c>
      <c r="D13" s="4" t="s">
        <v>33</v>
      </c>
      <c r="E13" s="4" t="s">
        <v>34</v>
      </c>
      <c r="F13" s="4" t="s">
        <v>35</v>
      </c>
      <c r="G13" s="4" t="s">
        <v>43</v>
      </c>
      <c r="H13" s="4" t="s">
        <v>44</v>
      </c>
      <c r="I13" s="4" t="s">
        <v>45</v>
      </c>
      <c r="J13" s="4" t="s">
        <v>46</v>
      </c>
      <c r="L13" s="4" t="s">
        <v>40</v>
      </c>
      <c r="M13" s="4">
        <v>1</v>
      </c>
      <c r="N13" s="4">
        <v>186</v>
      </c>
      <c r="O13" s="4">
        <v>186</v>
      </c>
      <c r="P13" s="4" t="s">
        <v>41</v>
      </c>
      <c r="Q13" s="4">
        <v>314.7</v>
      </c>
      <c r="R13" s="4">
        <v>314.7</v>
      </c>
      <c r="S13" s="4">
        <v>2926.71</v>
      </c>
      <c r="T13" s="4">
        <v>58534.2</v>
      </c>
      <c r="U13" s="4">
        <v>5</v>
      </c>
      <c r="V13" s="4" t="s">
        <v>42</v>
      </c>
      <c r="X13" s="7" t="str">
        <f t="shared" si="0"/>
        <v>441811508</v>
      </c>
      <c r="Y13" s="8" t="str">
        <f t="shared" si="1"/>
        <v>DC</v>
      </c>
      <c r="Z13" s="8">
        <f t="shared" si="2"/>
        <v>0</v>
      </c>
      <c r="AA13" s="8">
        <f t="shared" si="3"/>
        <v>0</v>
      </c>
      <c r="AB13" s="8">
        <f t="shared" si="4"/>
        <v>186</v>
      </c>
      <c r="AC13" s="8">
        <f t="shared" si="5"/>
        <v>0</v>
      </c>
      <c r="AD13" s="8">
        <f t="shared" si="6"/>
        <v>0</v>
      </c>
      <c r="AE13" s="9" t="str" cm="1">
        <f t="array" ref="AE13">IFERROR(_xlfn.XLOOKUP(H13,Sheet1!$G:$G,Sheet1!$F:$F),IFERROR(_xlfn.XLOOKUP(1,(--($X$2:$X$1074=X13))*(--ISNUMBER(MATCH($H$2:$H$1074,Sheet1!$G:$G,0))),_xlfn.XLOOKUP($H$2:$H$1074,Sheet1!$G:$G,Sheet1!$F:$F,"")),"NOT FOUND"))</f>
        <v>GETKRTSFUT6125</v>
      </c>
      <c r="AF13" s="10" t="str">
        <f t="shared" si="7"/>
        <v>OFF WHITE</v>
      </c>
      <c r="AG13" s="11" t="str">
        <f t="shared" si="8"/>
        <v>HARIPAL</v>
      </c>
      <c r="AH13" s="9" t="str">
        <f>IF(OR(J13="",AE13="",AE13="NOT FOUND"),"",IF(Y13="RP",IFERROR(LEFT(_xlfn.XLOOKUP(AE13,Sheet1!$F:$F,Sheet1!$W:$W),FIND("-",_xlfn.XLOOKUP(AE13,Sheet1!$F:$F,Sheet1!$W:$W),FIND("-",_xlfn.XLOOKUP(AE13,Sheet1!$F:$F,Sheet1!$W:$W))+1))&amp;AE13,"NOT FOUND"),LEFT(J13,FIND("-",J13,FIND("-",J13)+1))&amp;AE13))</f>
        <v>KRTS-APWN26-GETKRTSFUT6125</v>
      </c>
    </row>
    <row r="14" spans="1:36" ht="15.75" customHeight="1" x14ac:dyDescent="0.2">
      <c r="A14" s="4" t="s">
        <v>61</v>
      </c>
      <c r="B14" s="4" t="s">
        <v>62</v>
      </c>
      <c r="C14" s="4" t="s">
        <v>32</v>
      </c>
      <c r="D14" s="4" t="s">
        <v>33</v>
      </c>
      <c r="E14" s="4" t="s">
        <v>34</v>
      </c>
      <c r="F14" s="4" t="s">
        <v>35</v>
      </c>
      <c r="G14" s="4" t="s">
        <v>47</v>
      </c>
      <c r="H14" s="4" t="s">
        <v>48</v>
      </c>
      <c r="I14" s="4" t="s">
        <v>49</v>
      </c>
      <c r="J14" s="4" t="s">
        <v>50</v>
      </c>
      <c r="L14" s="4" t="s">
        <v>40</v>
      </c>
      <c r="M14" s="4">
        <v>1</v>
      </c>
      <c r="N14" s="4">
        <v>186</v>
      </c>
      <c r="O14" s="4">
        <v>186</v>
      </c>
      <c r="P14" s="4" t="s">
        <v>41</v>
      </c>
      <c r="Q14" s="4">
        <v>314.7</v>
      </c>
      <c r="R14" s="4">
        <v>314.7</v>
      </c>
      <c r="S14" s="4">
        <v>2926.71</v>
      </c>
      <c r="T14" s="4">
        <v>58534.2</v>
      </c>
      <c r="U14" s="4">
        <v>5</v>
      </c>
      <c r="V14" s="4" t="s">
        <v>42</v>
      </c>
      <c r="X14" s="7" t="str">
        <f t="shared" si="0"/>
        <v>441811508</v>
      </c>
      <c r="Y14" s="8" t="str">
        <f t="shared" si="1"/>
        <v>DC</v>
      </c>
      <c r="Z14" s="8">
        <f t="shared" si="2"/>
        <v>0</v>
      </c>
      <c r="AA14" s="8">
        <f t="shared" si="3"/>
        <v>186</v>
      </c>
      <c r="AB14" s="8">
        <f t="shared" si="4"/>
        <v>0</v>
      </c>
      <c r="AC14" s="8">
        <f t="shared" si="5"/>
        <v>0</v>
      </c>
      <c r="AD14" s="8">
        <f t="shared" si="6"/>
        <v>0</v>
      </c>
      <c r="AE14" s="9" t="str" cm="1">
        <f t="array" ref="AE14">IFERROR(_xlfn.XLOOKUP(H14,Sheet1!$G:$G,Sheet1!$F:$F),IFERROR(_xlfn.XLOOKUP(1,(--($X$2:$X$1074=X14))*(--ISNUMBER(MATCH($H$2:$H$1074,Sheet1!$G:$G,0))),_xlfn.XLOOKUP($H$2:$H$1074,Sheet1!$G:$G,Sheet1!$F:$F,"")),"NOT FOUND"))</f>
        <v>GETKRTSFUT6125</v>
      </c>
      <c r="AF14" s="10" t="str">
        <f t="shared" si="7"/>
        <v>OFF WHITE</v>
      </c>
      <c r="AG14" s="11" t="str">
        <f t="shared" si="8"/>
        <v>HARIPAL</v>
      </c>
      <c r="AH14" s="9" t="str">
        <f>IF(OR(J14="",AE14="",AE14="NOT FOUND"),"",IF(Y14="RP",IFERROR(LEFT(_xlfn.XLOOKUP(AE14,Sheet1!$F:$F,Sheet1!$W:$W),FIND("-",_xlfn.XLOOKUP(AE14,Sheet1!$F:$F,Sheet1!$W:$W),FIND("-",_xlfn.XLOOKUP(AE14,Sheet1!$F:$F,Sheet1!$W:$W))+1))&amp;AE14,"NOT FOUND"),LEFT(J14,FIND("-",J14,FIND("-",J14)+1))&amp;AE14))</f>
        <v>KRTS-APWN26-GETKRTSFUT6125</v>
      </c>
    </row>
    <row r="15" spans="1:36" ht="15.75" customHeight="1" x14ac:dyDescent="0.2">
      <c r="A15" s="4" t="s">
        <v>61</v>
      </c>
      <c r="B15" s="4" t="s">
        <v>62</v>
      </c>
      <c r="C15" s="4" t="s">
        <v>32</v>
      </c>
      <c r="D15" s="4" t="s">
        <v>33</v>
      </c>
      <c r="E15" s="4" t="s">
        <v>34</v>
      </c>
      <c r="F15" s="4" t="s">
        <v>35</v>
      </c>
      <c r="G15" s="4" t="s">
        <v>51</v>
      </c>
      <c r="H15" s="4" t="s">
        <v>52</v>
      </c>
      <c r="I15" s="4" t="s">
        <v>53</v>
      </c>
      <c r="J15" s="4" t="s">
        <v>54</v>
      </c>
      <c r="L15" s="4" t="s">
        <v>40</v>
      </c>
      <c r="M15" s="4">
        <v>1</v>
      </c>
      <c r="N15" s="4">
        <v>30</v>
      </c>
      <c r="O15" s="4">
        <v>30</v>
      </c>
      <c r="P15" s="4" t="s">
        <v>41</v>
      </c>
      <c r="Q15" s="4">
        <v>314.7</v>
      </c>
      <c r="R15" s="4">
        <v>314.7</v>
      </c>
      <c r="S15" s="4">
        <v>472.05</v>
      </c>
      <c r="T15" s="4">
        <v>9441</v>
      </c>
      <c r="U15" s="4">
        <v>5</v>
      </c>
      <c r="V15" s="4" t="s">
        <v>42</v>
      </c>
      <c r="X15" s="7" t="str">
        <f t="shared" si="0"/>
        <v>441811508</v>
      </c>
      <c r="Y15" s="8" t="str">
        <f t="shared" si="1"/>
        <v>DC</v>
      </c>
      <c r="Z15" s="8">
        <f t="shared" si="2"/>
        <v>30</v>
      </c>
      <c r="AA15" s="8">
        <f t="shared" si="3"/>
        <v>0</v>
      </c>
      <c r="AB15" s="8">
        <f t="shared" si="4"/>
        <v>0</v>
      </c>
      <c r="AC15" s="8">
        <f t="shared" si="5"/>
        <v>0</v>
      </c>
      <c r="AD15" s="8">
        <f t="shared" si="6"/>
        <v>0</v>
      </c>
      <c r="AE15" s="9" t="str" cm="1">
        <f t="array" ref="AE15">IFERROR(_xlfn.XLOOKUP(H15,Sheet1!$G:$G,Sheet1!$F:$F),IFERROR(_xlfn.XLOOKUP(1,(--($X$2:$X$1074=X15))*(--ISNUMBER(MATCH($H$2:$H$1074,Sheet1!$G:$G,0))),_xlfn.XLOOKUP($H$2:$H$1074,Sheet1!$G:$G,Sheet1!$F:$F,"")),"NOT FOUND"))</f>
        <v>GETKRTSFUT6125</v>
      </c>
      <c r="AF15" s="10" t="str">
        <f t="shared" si="7"/>
        <v>OFF WHITE</v>
      </c>
      <c r="AG15" s="11" t="str">
        <f t="shared" si="8"/>
        <v>HARIPAL</v>
      </c>
      <c r="AH15" s="9" t="str">
        <f>IF(OR(J15="",AE15="",AE15="NOT FOUND"),"",IF(Y15="RP",IFERROR(LEFT(_xlfn.XLOOKUP(AE15,Sheet1!$F:$F,Sheet1!$W:$W),FIND("-",_xlfn.XLOOKUP(AE15,Sheet1!$F:$F,Sheet1!$W:$W),FIND("-",_xlfn.XLOOKUP(AE15,Sheet1!$F:$F,Sheet1!$W:$W))+1))&amp;AE15,"NOT FOUND"),LEFT(J15,FIND("-",J15,FIND("-",J15)+1))&amp;AE15))</f>
        <v>KRTS-APWN26-GETKRTSFUT6125</v>
      </c>
    </row>
    <row r="16" spans="1:36" ht="15.75" customHeight="1" x14ac:dyDescent="0.2">
      <c r="A16" s="4" t="s">
        <v>61</v>
      </c>
      <c r="B16" s="4" t="s">
        <v>62</v>
      </c>
      <c r="C16" s="4" t="s">
        <v>32</v>
      </c>
      <c r="D16" s="4" t="s">
        <v>33</v>
      </c>
      <c r="E16" s="4" t="s">
        <v>34</v>
      </c>
      <c r="F16" s="4" t="s">
        <v>35</v>
      </c>
      <c r="G16" s="4" t="s">
        <v>55</v>
      </c>
      <c r="H16" s="4" t="s">
        <v>56</v>
      </c>
      <c r="I16" s="4" t="s">
        <v>57</v>
      </c>
      <c r="J16" s="4" t="s">
        <v>58</v>
      </c>
      <c r="L16" s="4" t="s">
        <v>40</v>
      </c>
      <c r="M16" s="4">
        <v>1</v>
      </c>
      <c r="N16" s="4">
        <v>157</v>
      </c>
      <c r="O16" s="4">
        <v>157</v>
      </c>
      <c r="P16" s="4" t="s">
        <v>41</v>
      </c>
      <c r="Q16" s="4">
        <v>314.7</v>
      </c>
      <c r="R16" s="4">
        <v>314.7</v>
      </c>
      <c r="S16" s="4">
        <v>2470.4</v>
      </c>
      <c r="T16" s="4">
        <v>49407.9</v>
      </c>
      <c r="U16" s="4">
        <v>5</v>
      </c>
      <c r="V16" s="4" t="s">
        <v>42</v>
      </c>
      <c r="X16" s="7" t="str">
        <f t="shared" si="0"/>
        <v>441811508</v>
      </c>
      <c r="Y16" s="8" t="str">
        <f t="shared" si="1"/>
        <v>DC</v>
      </c>
      <c r="Z16" s="8">
        <f t="shared" si="2"/>
        <v>0</v>
      </c>
      <c r="AA16" s="8">
        <f t="shared" si="3"/>
        <v>0</v>
      </c>
      <c r="AB16" s="8">
        <f t="shared" si="4"/>
        <v>0</v>
      </c>
      <c r="AC16" s="8">
        <f t="shared" si="5"/>
        <v>157</v>
      </c>
      <c r="AD16" s="8">
        <f t="shared" si="6"/>
        <v>0</v>
      </c>
      <c r="AE16" s="9" t="str" cm="1">
        <f t="array" ref="AE16">IFERROR(_xlfn.XLOOKUP(H16,Sheet1!$G:$G,Sheet1!$F:$F),IFERROR(_xlfn.XLOOKUP(1,(--($X$2:$X$1074=X16))*(--ISNUMBER(MATCH($H$2:$H$1074,Sheet1!$G:$G,0))),_xlfn.XLOOKUP($H$2:$H$1074,Sheet1!$G:$G,Sheet1!$F:$F,"")),"NOT FOUND"))</f>
        <v>GETKRTSFUT6125</v>
      </c>
      <c r="AF16" s="10" t="str">
        <f t="shared" si="7"/>
        <v>OFF WHITE</v>
      </c>
      <c r="AG16" s="11" t="str">
        <f t="shared" si="8"/>
        <v>HARIPAL</v>
      </c>
      <c r="AH16" s="9" t="str">
        <f>IF(OR(J16="",AE16="",AE16="NOT FOUND"),"",IF(Y16="RP",IFERROR(LEFT(_xlfn.XLOOKUP(AE16,Sheet1!$F:$F,Sheet1!$W:$W),FIND("-",_xlfn.XLOOKUP(AE16,Sheet1!$F:$F,Sheet1!$W:$W),FIND("-",_xlfn.XLOOKUP(AE16,Sheet1!$F:$F,Sheet1!$W:$W))+1))&amp;AE16,"NOT FOUND"),LEFT(J16,FIND("-",J16,FIND("-",J16)+1))&amp;AE16))</f>
        <v>KRTS-APWN26-GETKRTSFUT6125</v>
      </c>
    </row>
    <row r="17" spans="1:34" ht="15.75" customHeight="1" x14ac:dyDescent="0.2">
      <c r="A17" s="4" t="s">
        <v>30</v>
      </c>
      <c r="B17" s="4" t="s">
        <v>63</v>
      </c>
      <c r="C17" s="4" t="s">
        <v>64</v>
      </c>
      <c r="D17" s="4" t="s">
        <v>33</v>
      </c>
      <c r="E17" s="4" t="s">
        <v>34</v>
      </c>
      <c r="F17" s="4" t="s">
        <v>35</v>
      </c>
      <c r="G17" s="4" t="s">
        <v>36</v>
      </c>
      <c r="H17" s="4" t="s">
        <v>65</v>
      </c>
      <c r="I17" s="4" t="s">
        <v>66</v>
      </c>
      <c r="J17" s="4" t="s">
        <v>67</v>
      </c>
      <c r="L17" s="4" t="s">
        <v>40</v>
      </c>
      <c r="M17" s="4">
        <v>1</v>
      </c>
      <c r="N17" s="4">
        <v>30</v>
      </c>
      <c r="O17" s="4">
        <v>30</v>
      </c>
      <c r="P17" s="4" t="s">
        <v>41</v>
      </c>
      <c r="Q17" s="4">
        <v>312.7</v>
      </c>
      <c r="R17" s="4">
        <v>312.7</v>
      </c>
      <c r="S17" s="4">
        <v>469.05</v>
      </c>
      <c r="T17" s="4">
        <v>9381</v>
      </c>
      <c r="U17" s="4">
        <v>5</v>
      </c>
      <c r="V17" s="4" t="s">
        <v>42</v>
      </c>
      <c r="X17" s="7" t="str">
        <f t="shared" si="0"/>
        <v>441811108</v>
      </c>
      <c r="Y17" s="8" t="str">
        <f t="shared" si="1"/>
        <v>DC</v>
      </c>
      <c r="Z17" s="8">
        <f t="shared" si="2"/>
        <v>0</v>
      </c>
      <c r="AA17" s="8">
        <f t="shared" si="3"/>
        <v>0</v>
      </c>
      <c r="AB17" s="8">
        <f t="shared" si="4"/>
        <v>0</v>
      </c>
      <c r="AC17" s="8">
        <f t="shared" si="5"/>
        <v>0</v>
      </c>
      <c r="AD17" s="8">
        <f t="shared" si="6"/>
        <v>30</v>
      </c>
      <c r="AE17" s="9" t="str" cm="1">
        <f t="array" ref="AE17">IFERROR(_xlfn.XLOOKUP(H17,Sheet1!$G:$G,Sheet1!$F:$F),IFERROR(_xlfn.XLOOKUP(1,(--($X$2:$X$1074=X17))*(--ISNUMBER(MATCH($H$2:$H$1074,Sheet1!$G:$G,0))),_xlfn.XLOOKUP($H$2:$H$1074,Sheet1!$G:$G,Sheet1!$F:$F,"")),"NOT FOUND"))</f>
        <v>GETKRTSFUT6210</v>
      </c>
      <c r="AF17" s="10" t="str">
        <f t="shared" si="7"/>
        <v>GOLD</v>
      </c>
      <c r="AG17" s="11" t="str">
        <f t="shared" si="8"/>
        <v>Bangalore</v>
      </c>
      <c r="AH17" s="9" t="str">
        <f>IF(OR(J17="",AE17="",AE17="NOT FOUND"),"",IF(Y17="RP",IFERROR(LEFT(_xlfn.XLOOKUP(AE17,Sheet1!$F:$F,Sheet1!$W:$W),FIND("-",_xlfn.XLOOKUP(AE17,Sheet1!$F:$F,Sheet1!$W:$W),FIND("-",_xlfn.XLOOKUP(AE17,Sheet1!$F:$F,Sheet1!$W:$W))+1))&amp;AE17,"NOT FOUND"),LEFT(J17,FIND("-",J17,FIND("-",J17)+1))&amp;AE17))</f>
        <v>KRTS-APWN26-GETKRTSFUT6210</v>
      </c>
    </row>
    <row r="18" spans="1:34" ht="15.75" customHeight="1" x14ac:dyDescent="0.2">
      <c r="A18" s="4" t="s">
        <v>30</v>
      </c>
      <c r="B18" s="4" t="s">
        <v>63</v>
      </c>
      <c r="C18" s="4" t="s">
        <v>64</v>
      </c>
      <c r="D18" s="4" t="s">
        <v>33</v>
      </c>
      <c r="E18" s="4" t="s">
        <v>34</v>
      </c>
      <c r="F18" s="4" t="s">
        <v>35</v>
      </c>
      <c r="G18" s="4" t="s">
        <v>43</v>
      </c>
      <c r="H18" s="4" t="s">
        <v>68</v>
      </c>
      <c r="I18" s="4" t="s">
        <v>69</v>
      </c>
      <c r="J18" s="4" t="s">
        <v>70</v>
      </c>
      <c r="L18" s="4" t="s">
        <v>40</v>
      </c>
      <c r="M18" s="4">
        <v>1</v>
      </c>
      <c r="N18" s="4">
        <v>257</v>
      </c>
      <c r="O18" s="4">
        <v>257</v>
      </c>
      <c r="P18" s="4" t="s">
        <v>41</v>
      </c>
      <c r="Q18" s="4">
        <v>312.7</v>
      </c>
      <c r="R18" s="4">
        <v>312.7</v>
      </c>
      <c r="S18" s="4">
        <v>4018.2</v>
      </c>
      <c r="T18" s="4">
        <v>80363.899999999994</v>
      </c>
      <c r="U18" s="4">
        <v>5</v>
      </c>
      <c r="V18" s="4" t="s">
        <v>42</v>
      </c>
      <c r="X18" s="7" t="str">
        <f t="shared" si="0"/>
        <v>441811108</v>
      </c>
      <c r="Y18" s="8" t="str">
        <f t="shared" si="1"/>
        <v>DC</v>
      </c>
      <c r="Z18" s="8">
        <f t="shared" si="2"/>
        <v>0</v>
      </c>
      <c r="AA18" s="8">
        <f t="shared" si="3"/>
        <v>0</v>
      </c>
      <c r="AB18" s="8">
        <f t="shared" si="4"/>
        <v>257</v>
      </c>
      <c r="AC18" s="8">
        <f t="shared" si="5"/>
        <v>0</v>
      </c>
      <c r="AD18" s="8">
        <f t="shared" si="6"/>
        <v>0</v>
      </c>
      <c r="AE18" s="9" t="str" cm="1">
        <f t="array" ref="AE18">IFERROR(_xlfn.XLOOKUP(H18,Sheet1!$G:$G,Sheet1!$F:$F),IFERROR(_xlfn.XLOOKUP(1,(--($X$2:$X$1074=X18))*(--ISNUMBER(MATCH($H$2:$H$1074,Sheet1!$G:$G,0))),_xlfn.XLOOKUP($H$2:$H$1074,Sheet1!$G:$G,Sheet1!$F:$F,"")),"NOT FOUND"))</f>
        <v>GETKRTSFUT6210</v>
      </c>
      <c r="AF18" s="10" t="str">
        <f t="shared" si="7"/>
        <v>GOLD</v>
      </c>
      <c r="AG18" s="11" t="str">
        <f t="shared" si="8"/>
        <v>Bangalore</v>
      </c>
      <c r="AH18" s="9" t="str">
        <f>IF(OR(J18="",AE18="",AE18="NOT FOUND"),"",IF(Y18="RP",IFERROR(LEFT(_xlfn.XLOOKUP(AE18,Sheet1!$F:$F,Sheet1!$W:$W),FIND("-",_xlfn.XLOOKUP(AE18,Sheet1!$F:$F,Sheet1!$W:$W),FIND("-",_xlfn.XLOOKUP(AE18,Sheet1!$F:$F,Sheet1!$W:$W))+1))&amp;AE18,"NOT FOUND"),LEFT(J18,FIND("-",J18,FIND("-",J18)+1))&amp;AE18))</f>
        <v>KRTS-APWN26-GETKRTSFUT6210</v>
      </c>
    </row>
    <row r="19" spans="1:34" ht="15.75" customHeight="1" x14ac:dyDescent="0.2">
      <c r="A19" s="4" t="s">
        <v>30</v>
      </c>
      <c r="B19" s="4" t="s">
        <v>63</v>
      </c>
      <c r="C19" s="4" t="s">
        <v>64</v>
      </c>
      <c r="D19" s="4" t="s">
        <v>33</v>
      </c>
      <c r="E19" s="4" t="s">
        <v>34</v>
      </c>
      <c r="F19" s="4" t="s">
        <v>35</v>
      </c>
      <c r="G19" s="4" t="s">
        <v>47</v>
      </c>
      <c r="H19" s="4" t="s">
        <v>71</v>
      </c>
      <c r="I19" s="4" t="s">
        <v>72</v>
      </c>
      <c r="J19" s="4" t="s">
        <v>73</v>
      </c>
      <c r="L19" s="4" t="s">
        <v>40</v>
      </c>
      <c r="M19" s="4">
        <v>1</v>
      </c>
      <c r="N19" s="4">
        <v>257</v>
      </c>
      <c r="O19" s="4">
        <v>257</v>
      </c>
      <c r="P19" s="4" t="s">
        <v>41</v>
      </c>
      <c r="Q19" s="4">
        <v>312.7</v>
      </c>
      <c r="R19" s="4">
        <v>312.7</v>
      </c>
      <c r="S19" s="4">
        <v>4018.2</v>
      </c>
      <c r="T19" s="4">
        <v>80363.899999999994</v>
      </c>
      <c r="U19" s="4">
        <v>5</v>
      </c>
      <c r="V19" s="4" t="s">
        <v>42</v>
      </c>
      <c r="X19" s="7" t="str">
        <f t="shared" si="0"/>
        <v>441811108</v>
      </c>
      <c r="Y19" s="8" t="str">
        <f t="shared" si="1"/>
        <v>DC</v>
      </c>
      <c r="Z19" s="8">
        <f t="shared" si="2"/>
        <v>0</v>
      </c>
      <c r="AA19" s="8">
        <f t="shared" si="3"/>
        <v>257</v>
      </c>
      <c r="AB19" s="8">
        <f t="shared" si="4"/>
        <v>0</v>
      </c>
      <c r="AC19" s="8">
        <f t="shared" si="5"/>
        <v>0</v>
      </c>
      <c r="AD19" s="8">
        <f t="shared" si="6"/>
        <v>0</v>
      </c>
      <c r="AE19" s="9" t="str" cm="1">
        <f t="array" ref="AE19">IFERROR(_xlfn.XLOOKUP(H19,Sheet1!$G:$G,Sheet1!$F:$F),IFERROR(_xlfn.XLOOKUP(1,(--($X$2:$X$1074=X19))*(--ISNUMBER(MATCH($H$2:$H$1074,Sheet1!$G:$G,0))),_xlfn.XLOOKUP($H$2:$H$1074,Sheet1!$G:$G,Sheet1!$F:$F,"")),"NOT FOUND"))</f>
        <v>GETKRTSFUT6210</v>
      </c>
      <c r="AF19" s="10" t="str">
        <f t="shared" si="7"/>
        <v>GOLD</v>
      </c>
      <c r="AG19" s="11" t="str">
        <f t="shared" si="8"/>
        <v>Bangalore</v>
      </c>
      <c r="AH19" s="9" t="str">
        <f>IF(OR(J19="",AE19="",AE19="NOT FOUND"),"",IF(Y19="RP",IFERROR(LEFT(_xlfn.XLOOKUP(AE19,Sheet1!$F:$F,Sheet1!$W:$W),FIND("-",_xlfn.XLOOKUP(AE19,Sheet1!$F:$F,Sheet1!$W:$W),FIND("-",_xlfn.XLOOKUP(AE19,Sheet1!$F:$F,Sheet1!$W:$W))+1))&amp;AE19,"NOT FOUND"),LEFT(J19,FIND("-",J19,FIND("-",J19)+1))&amp;AE19))</f>
        <v>KRTS-APWN26-GETKRTSFUT6210</v>
      </c>
    </row>
    <row r="20" spans="1:34" ht="15.75" customHeight="1" x14ac:dyDescent="0.2">
      <c r="A20" s="4" t="s">
        <v>30</v>
      </c>
      <c r="B20" s="4" t="s">
        <v>63</v>
      </c>
      <c r="C20" s="4" t="s">
        <v>64</v>
      </c>
      <c r="D20" s="4" t="s">
        <v>33</v>
      </c>
      <c r="E20" s="4" t="s">
        <v>34</v>
      </c>
      <c r="F20" s="4" t="s">
        <v>35</v>
      </c>
      <c r="G20" s="4" t="s">
        <v>51</v>
      </c>
      <c r="H20" s="4" t="s">
        <v>74</v>
      </c>
      <c r="I20" s="4" t="s">
        <v>75</v>
      </c>
      <c r="J20" s="4" t="s">
        <v>76</v>
      </c>
      <c r="L20" s="4" t="s">
        <v>40</v>
      </c>
      <c r="M20" s="4">
        <v>1</v>
      </c>
      <c r="N20" s="4">
        <v>30</v>
      </c>
      <c r="O20" s="4">
        <v>30</v>
      </c>
      <c r="P20" s="4" t="s">
        <v>41</v>
      </c>
      <c r="Q20" s="4">
        <v>312.7</v>
      </c>
      <c r="R20" s="4">
        <v>312.7</v>
      </c>
      <c r="S20" s="4">
        <v>469.05</v>
      </c>
      <c r="T20" s="4">
        <v>9381</v>
      </c>
      <c r="U20" s="4">
        <v>5</v>
      </c>
      <c r="V20" s="4" t="s">
        <v>42</v>
      </c>
      <c r="X20" s="7" t="str">
        <f t="shared" si="0"/>
        <v>441811108</v>
      </c>
      <c r="Y20" s="8" t="str">
        <f t="shared" si="1"/>
        <v>DC</v>
      </c>
      <c r="Z20" s="8">
        <f t="shared" si="2"/>
        <v>30</v>
      </c>
      <c r="AA20" s="8">
        <f t="shared" si="3"/>
        <v>0</v>
      </c>
      <c r="AB20" s="8">
        <f t="shared" si="4"/>
        <v>0</v>
      </c>
      <c r="AC20" s="8">
        <f t="shared" si="5"/>
        <v>0</v>
      </c>
      <c r="AD20" s="8">
        <f t="shared" si="6"/>
        <v>0</v>
      </c>
      <c r="AE20" s="9" t="str" cm="1">
        <f t="array" ref="AE20">IFERROR(_xlfn.XLOOKUP(H20,Sheet1!$G:$G,Sheet1!$F:$F),IFERROR(_xlfn.XLOOKUP(1,(--($X$2:$X$1074=X20))*(--ISNUMBER(MATCH($H$2:$H$1074,Sheet1!$G:$G,0))),_xlfn.XLOOKUP($H$2:$H$1074,Sheet1!$G:$G,Sheet1!$F:$F,"")),"NOT FOUND"))</f>
        <v>GETKRTSFUT6210</v>
      </c>
      <c r="AF20" s="10" t="str">
        <f t="shared" si="7"/>
        <v>GOLD</v>
      </c>
      <c r="AG20" s="11" t="str">
        <f t="shared" si="8"/>
        <v>Bangalore</v>
      </c>
      <c r="AH20" s="9" t="str">
        <f>IF(OR(J20="",AE20="",AE20="NOT FOUND"),"",IF(Y20="RP",IFERROR(LEFT(_xlfn.XLOOKUP(AE20,Sheet1!$F:$F,Sheet1!$W:$W),FIND("-",_xlfn.XLOOKUP(AE20,Sheet1!$F:$F,Sheet1!$W:$W),FIND("-",_xlfn.XLOOKUP(AE20,Sheet1!$F:$F,Sheet1!$W:$W))+1))&amp;AE20,"NOT FOUND"),LEFT(J20,FIND("-",J20,FIND("-",J20)+1))&amp;AE20))</f>
        <v>KRTS-APWN26-GETKRTSFUT6210</v>
      </c>
    </row>
    <row r="21" spans="1:34" ht="15.75" customHeight="1" x14ac:dyDescent="0.2">
      <c r="A21" s="4" t="s">
        <v>30</v>
      </c>
      <c r="B21" s="4" t="s">
        <v>63</v>
      </c>
      <c r="C21" s="4" t="s">
        <v>64</v>
      </c>
      <c r="D21" s="4" t="s">
        <v>33</v>
      </c>
      <c r="E21" s="4" t="s">
        <v>34</v>
      </c>
      <c r="F21" s="4" t="s">
        <v>35</v>
      </c>
      <c r="G21" s="4" t="s">
        <v>55</v>
      </c>
      <c r="H21" s="4" t="s">
        <v>77</v>
      </c>
      <c r="I21" s="4" t="s">
        <v>78</v>
      </c>
      <c r="J21" s="4" t="s">
        <v>79</v>
      </c>
      <c r="L21" s="4" t="s">
        <v>40</v>
      </c>
      <c r="M21" s="4">
        <v>1</v>
      </c>
      <c r="N21" s="4">
        <v>217</v>
      </c>
      <c r="O21" s="4">
        <v>217</v>
      </c>
      <c r="P21" s="4" t="s">
        <v>41</v>
      </c>
      <c r="Q21" s="4">
        <v>312.7</v>
      </c>
      <c r="R21" s="4">
        <v>312.7</v>
      </c>
      <c r="S21" s="4">
        <v>3392.8</v>
      </c>
      <c r="T21" s="4">
        <v>67855.899999999994</v>
      </c>
      <c r="U21" s="4">
        <v>5</v>
      </c>
      <c r="V21" s="4" t="s">
        <v>42</v>
      </c>
      <c r="X21" s="7" t="str">
        <f t="shared" si="0"/>
        <v>441811108</v>
      </c>
      <c r="Y21" s="8" t="str">
        <f t="shared" si="1"/>
        <v>DC</v>
      </c>
      <c r="Z21" s="8">
        <f t="shared" si="2"/>
        <v>0</v>
      </c>
      <c r="AA21" s="8">
        <f t="shared" si="3"/>
        <v>0</v>
      </c>
      <c r="AB21" s="8">
        <f t="shared" si="4"/>
        <v>0</v>
      </c>
      <c r="AC21" s="8">
        <f t="shared" si="5"/>
        <v>217</v>
      </c>
      <c r="AD21" s="8">
        <f t="shared" si="6"/>
        <v>0</v>
      </c>
      <c r="AE21" s="9" t="str" cm="1">
        <f t="array" ref="AE21">IFERROR(_xlfn.XLOOKUP(H21,Sheet1!$G:$G,Sheet1!$F:$F),IFERROR(_xlfn.XLOOKUP(1,(--($X$2:$X$1074=X21))*(--ISNUMBER(MATCH($H$2:$H$1074,Sheet1!$G:$G,0))),_xlfn.XLOOKUP($H$2:$H$1074,Sheet1!$G:$G,Sheet1!$F:$F,"")),"NOT FOUND"))</f>
        <v>GETKRTSFUT6210</v>
      </c>
      <c r="AF21" s="10" t="str">
        <f t="shared" si="7"/>
        <v>GOLD</v>
      </c>
      <c r="AG21" s="11" t="str">
        <f t="shared" si="8"/>
        <v>Bangalore</v>
      </c>
      <c r="AH21" s="9" t="str">
        <f>IF(OR(J21="",AE21="",AE21="NOT FOUND"),"",IF(Y21="RP",IFERROR(LEFT(_xlfn.XLOOKUP(AE21,Sheet1!$F:$F,Sheet1!$W:$W),FIND("-",_xlfn.XLOOKUP(AE21,Sheet1!$F:$F,Sheet1!$W:$W),FIND("-",_xlfn.XLOOKUP(AE21,Sheet1!$F:$F,Sheet1!$W:$W))+1))&amp;AE21,"NOT FOUND"),LEFT(J21,FIND("-",J21,FIND("-",J21)+1))&amp;AE21))</f>
        <v>KRTS-APWN26-GETKRTSFUT6210</v>
      </c>
    </row>
    <row r="22" spans="1:34" ht="15.75" customHeight="1" x14ac:dyDescent="0.2">
      <c r="A22" s="4" t="s">
        <v>30</v>
      </c>
      <c r="B22" s="4" t="s">
        <v>80</v>
      </c>
      <c r="C22" s="4" t="s">
        <v>64</v>
      </c>
      <c r="D22" s="4" t="s">
        <v>81</v>
      </c>
      <c r="E22" s="4" t="s">
        <v>34</v>
      </c>
      <c r="F22" s="4" t="s">
        <v>35</v>
      </c>
      <c r="G22" s="4" t="s">
        <v>36</v>
      </c>
      <c r="H22" s="4" t="s">
        <v>82</v>
      </c>
      <c r="I22" s="4" t="s">
        <v>83</v>
      </c>
      <c r="J22" s="4" t="s">
        <v>84</v>
      </c>
      <c r="L22" s="4" t="s">
        <v>40</v>
      </c>
      <c r="M22" s="4">
        <v>1</v>
      </c>
      <c r="N22" s="4">
        <v>30</v>
      </c>
      <c r="O22" s="4">
        <v>30</v>
      </c>
      <c r="P22" s="4" t="s">
        <v>41</v>
      </c>
      <c r="Q22" s="4">
        <v>419.7</v>
      </c>
      <c r="R22" s="4">
        <v>419.7</v>
      </c>
      <c r="S22" s="4">
        <v>629.54999999999995</v>
      </c>
      <c r="T22" s="4">
        <v>12591</v>
      </c>
      <c r="U22" s="4">
        <v>5</v>
      </c>
      <c r="V22" s="4" t="s">
        <v>42</v>
      </c>
      <c r="X22" s="7" t="str">
        <f t="shared" si="0"/>
        <v>441811107</v>
      </c>
      <c r="Y22" s="8" t="str">
        <f t="shared" si="1"/>
        <v>DC</v>
      </c>
      <c r="Z22" s="8">
        <f t="shared" si="2"/>
        <v>0</v>
      </c>
      <c r="AA22" s="8">
        <f t="shared" si="3"/>
        <v>0</v>
      </c>
      <c r="AB22" s="8">
        <f t="shared" si="4"/>
        <v>0</v>
      </c>
      <c r="AC22" s="8">
        <f t="shared" si="5"/>
        <v>0</v>
      </c>
      <c r="AD22" s="8">
        <f t="shared" si="6"/>
        <v>30</v>
      </c>
      <c r="AE22" s="9" t="str" cm="1">
        <f t="array" ref="AE22">IFERROR(_xlfn.XLOOKUP(H22,Sheet1!$G:$G,Sheet1!$F:$F),IFERROR(_xlfn.XLOOKUP(1,(--($X$2:$X$1074=X22))*(--ISNUMBER(MATCH($H$2:$H$1074,Sheet1!$G:$G,0))),_xlfn.XLOOKUP($H$2:$H$1074,Sheet1!$G:$G,Sheet1!$F:$F,"")),"NOT FOUND"))</f>
        <v>GETKRTSFUT6205</v>
      </c>
      <c r="AF22" s="10" t="str">
        <f t="shared" si="7"/>
        <v>GREEN</v>
      </c>
      <c r="AG22" s="11" t="str">
        <f t="shared" si="8"/>
        <v>Bangalore</v>
      </c>
      <c r="AH22" s="9" t="str">
        <f>IF(OR(J22="",AE22="",AE22="NOT FOUND"),"",IF(Y22="RP",IFERROR(LEFT(_xlfn.XLOOKUP(AE22,Sheet1!$F:$F,Sheet1!$W:$W),FIND("-",_xlfn.XLOOKUP(AE22,Sheet1!$F:$F,Sheet1!$W:$W),FIND("-",_xlfn.XLOOKUP(AE22,Sheet1!$F:$F,Sheet1!$W:$W))+1))&amp;AE22,"NOT FOUND"),LEFT(J22,FIND("-",J22,FIND("-",J22)+1))&amp;AE22))</f>
        <v>KRTS-APWN26-GETKRTSFUT6205</v>
      </c>
    </row>
    <row r="23" spans="1:34" ht="15.75" customHeight="1" x14ac:dyDescent="0.2">
      <c r="A23" s="4" t="s">
        <v>30</v>
      </c>
      <c r="B23" s="4" t="s">
        <v>80</v>
      </c>
      <c r="C23" s="4" t="s">
        <v>64</v>
      </c>
      <c r="D23" s="4" t="s">
        <v>81</v>
      </c>
      <c r="E23" s="4" t="s">
        <v>34</v>
      </c>
      <c r="F23" s="4" t="s">
        <v>35</v>
      </c>
      <c r="G23" s="4" t="s">
        <v>43</v>
      </c>
      <c r="H23" s="4" t="s">
        <v>85</v>
      </c>
      <c r="I23" s="4" t="s">
        <v>86</v>
      </c>
      <c r="J23" s="4" t="s">
        <v>87</v>
      </c>
      <c r="L23" s="4" t="s">
        <v>40</v>
      </c>
      <c r="M23" s="4">
        <v>1</v>
      </c>
      <c r="N23" s="4">
        <v>187</v>
      </c>
      <c r="O23" s="4">
        <v>187</v>
      </c>
      <c r="P23" s="4" t="s">
        <v>41</v>
      </c>
      <c r="Q23" s="4">
        <v>419.7</v>
      </c>
      <c r="R23" s="4">
        <v>419.7</v>
      </c>
      <c r="S23" s="4">
        <v>3924.2</v>
      </c>
      <c r="T23" s="4">
        <v>78483.899999999994</v>
      </c>
      <c r="U23" s="4">
        <v>5</v>
      </c>
      <c r="V23" s="4" t="s">
        <v>42</v>
      </c>
      <c r="X23" s="7" t="str">
        <f t="shared" si="0"/>
        <v>441811107</v>
      </c>
      <c r="Y23" s="8" t="str">
        <f t="shared" si="1"/>
        <v>DC</v>
      </c>
      <c r="Z23" s="8">
        <f t="shared" si="2"/>
        <v>0</v>
      </c>
      <c r="AA23" s="8">
        <f t="shared" si="3"/>
        <v>0</v>
      </c>
      <c r="AB23" s="8">
        <f t="shared" si="4"/>
        <v>187</v>
      </c>
      <c r="AC23" s="8">
        <f t="shared" si="5"/>
        <v>0</v>
      </c>
      <c r="AD23" s="8">
        <f t="shared" si="6"/>
        <v>0</v>
      </c>
      <c r="AE23" s="9" t="str" cm="1">
        <f t="array" ref="AE23">IFERROR(_xlfn.XLOOKUP(H23,Sheet1!$G:$G,Sheet1!$F:$F),IFERROR(_xlfn.XLOOKUP(1,(--($X$2:$X$1074=X23))*(--ISNUMBER(MATCH($H$2:$H$1074,Sheet1!$G:$G,0))),_xlfn.XLOOKUP($H$2:$H$1074,Sheet1!$G:$G,Sheet1!$F:$F,"")),"NOT FOUND"))</f>
        <v>GETKRTSFUT6205</v>
      </c>
      <c r="AF23" s="10" t="str">
        <f t="shared" si="7"/>
        <v>GREEN</v>
      </c>
      <c r="AG23" s="11" t="str">
        <f t="shared" si="8"/>
        <v>Bangalore</v>
      </c>
      <c r="AH23" s="9" t="str">
        <f>IF(OR(J23="",AE23="",AE23="NOT FOUND"),"",IF(Y23="RP",IFERROR(LEFT(_xlfn.XLOOKUP(AE23,Sheet1!$F:$F,Sheet1!$W:$W),FIND("-",_xlfn.XLOOKUP(AE23,Sheet1!$F:$F,Sheet1!$W:$W),FIND("-",_xlfn.XLOOKUP(AE23,Sheet1!$F:$F,Sheet1!$W:$W))+1))&amp;AE23,"NOT FOUND"),LEFT(J23,FIND("-",J23,FIND("-",J23)+1))&amp;AE23))</f>
        <v>KRTS-APWN26-GETKRTSFUT6205</v>
      </c>
    </row>
    <row r="24" spans="1:34" ht="15.75" customHeight="1" x14ac:dyDescent="0.2">
      <c r="A24" s="4" t="s">
        <v>30</v>
      </c>
      <c r="B24" s="4" t="s">
        <v>80</v>
      </c>
      <c r="C24" s="4" t="s">
        <v>64</v>
      </c>
      <c r="D24" s="4" t="s">
        <v>81</v>
      </c>
      <c r="E24" s="4" t="s">
        <v>34</v>
      </c>
      <c r="F24" s="4" t="s">
        <v>35</v>
      </c>
      <c r="G24" s="4" t="s">
        <v>47</v>
      </c>
      <c r="H24" s="4" t="s">
        <v>88</v>
      </c>
      <c r="I24" s="4" t="s">
        <v>89</v>
      </c>
      <c r="J24" s="4" t="s">
        <v>90</v>
      </c>
      <c r="L24" s="4" t="s">
        <v>40</v>
      </c>
      <c r="M24" s="4">
        <v>1</v>
      </c>
      <c r="N24" s="4">
        <v>187</v>
      </c>
      <c r="O24" s="4">
        <v>187</v>
      </c>
      <c r="P24" s="4" t="s">
        <v>41</v>
      </c>
      <c r="Q24" s="4">
        <v>419.7</v>
      </c>
      <c r="R24" s="4">
        <v>419.7</v>
      </c>
      <c r="S24" s="4">
        <v>3924.2</v>
      </c>
      <c r="T24" s="4">
        <v>78483.899999999994</v>
      </c>
      <c r="U24" s="4">
        <v>5</v>
      </c>
      <c r="V24" s="4" t="s">
        <v>42</v>
      </c>
      <c r="X24" s="7" t="str">
        <f t="shared" si="0"/>
        <v>441811107</v>
      </c>
      <c r="Y24" s="8" t="str">
        <f t="shared" si="1"/>
        <v>DC</v>
      </c>
      <c r="Z24" s="8">
        <f t="shared" si="2"/>
        <v>0</v>
      </c>
      <c r="AA24" s="8">
        <f t="shared" si="3"/>
        <v>187</v>
      </c>
      <c r="AB24" s="8">
        <f t="shared" si="4"/>
        <v>0</v>
      </c>
      <c r="AC24" s="8">
        <f t="shared" si="5"/>
        <v>0</v>
      </c>
      <c r="AD24" s="8">
        <f t="shared" si="6"/>
        <v>0</v>
      </c>
      <c r="AE24" s="9" t="str" cm="1">
        <f t="array" ref="AE24">IFERROR(_xlfn.XLOOKUP(H24,Sheet1!$G:$G,Sheet1!$F:$F),IFERROR(_xlfn.XLOOKUP(1,(--($X$2:$X$1074=X24))*(--ISNUMBER(MATCH($H$2:$H$1074,Sheet1!$G:$G,0))),_xlfn.XLOOKUP($H$2:$H$1074,Sheet1!$G:$G,Sheet1!$F:$F,"")),"NOT FOUND"))</f>
        <v>GETKRTSFUT6205</v>
      </c>
      <c r="AF24" s="10" t="str">
        <f t="shared" si="7"/>
        <v>GREEN</v>
      </c>
      <c r="AG24" s="11" t="str">
        <f t="shared" si="8"/>
        <v>Bangalore</v>
      </c>
      <c r="AH24" s="9" t="str">
        <f>IF(OR(J24="",AE24="",AE24="NOT FOUND"),"",IF(Y24="RP",IFERROR(LEFT(_xlfn.XLOOKUP(AE24,Sheet1!$F:$F,Sheet1!$W:$W),FIND("-",_xlfn.XLOOKUP(AE24,Sheet1!$F:$F,Sheet1!$W:$W),FIND("-",_xlfn.XLOOKUP(AE24,Sheet1!$F:$F,Sheet1!$W:$W))+1))&amp;AE24,"NOT FOUND"),LEFT(J24,FIND("-",J24,FIND("-",J24)+1))&amp;AE24))</f>
        <v>KRTS-APWN26-GETKRTSFUT6205</v>
      </c>
    </row>
    <row r="25" spans="1:34" ht="15.75" customHeight="1" x14ac:dyDescent="0.2">
      <c r="A25" s="4" t="s">
        <v>30</v>
      </c>
      <c r="B25" s="4" t="s">
        <v>80</v>
      </c>
      <c r="C25" s="4" t="s">
        <v>64</v>
      </c>
      <c r="D25" s="4" t="s">
        <v>81</v>
      </c>
      <c r="E25" s="4" t="s">
        <v>34</v>
      </c>
      <c r="F25" s="4" t="s">
        <v>35</v>
      </c>
      <c r="G25" s="4" t="s">
        <v>51</v>
      </c>
      <c r="H25" s="4" t="s">
        <v>91</v>
      </c>
      <c r="I25" s="4" t="s">
        <v>92</v>
      </c>
      <c r="J25" s="4" t="s">
        <v>93</v>
      </c>
      <c r="L25" s="4" t="s">
        <v>40</v>
      </c>
      <c r="M25" s="4">
        <v>1</v>
      </c>
      <c r="N25" s="4">
        <v>30</v>
      </c>
      <c r="O25" s="4">
        <v>30</v>
      </c>
      <c r="P25" s="4" t="s">
        <v>41</v>
      </c>
      <c r="Q25" s="4">
        <v>419.7</v>
      </c>
      <c r="R25" s="4">
        <v>419.7</v>
      </c>
      <c r="S25" s="4">
        <v>629.54999999999995</v>
      </c>
      <c r="T25" s="4">
        <v>12591</v>
      </c>
      <c r="U25" s="4">
        <v>5</v>
      </c>
      <c r="V25" s="4" t="s">
        <v>42</v>
      </c>
      <c r="X25" s="7" t="str">
        <f t="shared" si="0"/>
        <v>441811107</v>
      </c>
      <c r="Y25" s="8" t="str">
        <f t="shared" si="1"/>
        <v>DC</v>
      </c>
      <c r="Z25" s="8">
        <f t="shared" si="2"/>
        <v>30</v>
      </c>
      <c r="AA25" s="8">
        <f t="shared" si="3"/>
        <v>0</v>
      </c>
      <c r="AB25" s="8">
        <f t="shared" si="4"/>
        <v>0</v>
      </c>
      <c r="AC25" s="8">
        <f t="shared" si="5"/>
        <v>0</v>
      </c>
      <c r="AD25" s="8">
        <f t="shared" si="6"/>
        <v>0</v>
      </c>
      <c r="AE25" s="9" t="str" cm="1">
        <f t="array" ref="AE25">IFERROR(_xlfn.XLOOKUP(H25,Sheet1!$G:$G,Sheet1!$F:$F),IFERROR(_xlfn.XLOOKUP(1,(--($X$2:$X$1074=X25))*(--ISNUMBER(MATCH($H$2:$H$1074,Sheet1!$G:$G,0))),_xlfn.XLOOKUP($H$2:$H$1074,Sheet1!$G:$G,Sheet1!$F:$F,"")),"NOT FOUND"))</f>
        <v>GETKRTSFUT6205</v>
      </c>
      <c r="AF25" s="10" t="str">
        <f t="shared" si="7"/>
        <v>GREEN</v>
      </c>
      <c r="AG25" s="11" t="str">
        <f t="shared" si="8"/>
        <v>Bangalore</v>
      </c>
      <c r="AH25" s="9" t="str">
        <f>IF(OR(J25="",AE25="",AE25="NOT FOUND"),"",IF(Y25="RP",IFERROR(LEFT(_xlfn.XLOOKUP(AE25,Sheet1!$F:$F,Sheet1!$W:$W),FIND("-",_xlfn.XLOOKUP(AE25,Sheet1!$F:$F,Sheet1!$W:$W),FIND("-",_xlfn.XLOOKUP(AE25,Sheet1!$F:$F,Sheet1!$W:$W))+1))&amp;AE25,"NOT FOUND"),LEFT(J25,FIND("-",J25,FIND("-",J25)+1))&amp;AE25))</f>
        <v>KRTS-APWN26-GETKRTSFUT6205</v>
      </c>
    </row>
    <row r="26" spans="1:34" ht="15.75" customHeight="1" x14ac:dyDescent="0.2">
      <c r="A26" s="4" t="s">
        <v>30</v>
      </c>
      <c r="B26" s="4" t="s">
        <v>80</v>
      </c>
      <c r="C26" s="4" t="s">
        <v>64</v>
      </c>
      <c r="D26" s="4" t="s">
        <v>81</v>
      </c>
      <c r="E26" s="4" t="s">
        <v>34</v>
      </c>
      <c r="F26" s="4" t="s">
        <v>35</v>
      </c>
      <c r="G26" s="4" t="s">
        <v>55</v>
      </c>
      <c r="H26" s="4" t="s">
        <v>94</v>
      </c>
      <c r="I26" s="4" t="s">
        <v>95</v>
      </c>
      <c r="J26" s="4" t="s">
        <v>96</v>
      </c>
      <c r="L26" s="4" t="s">
        <v>40</v>
      </c>
      <c r="M26" s="4">
        <v>1</v>
      </c>
      <c r="N26" s="4">
        <v>158</v>
      </c>
      <c r="O26" s="4">
        <v>158</v>
      </c>
      <c r="P26" s="4" t="s">
        <v>41</v>
      </c>
      <c r="Q26" s="4">
        <v>419.7</v>
      </c>
      <c r="R26" s="4">
        <v>419.7</v>
      </c>
      <c r="S26" s="4">
        <v>3315.63</v>
      </c>
      <c r="T26" s="4">
        <v>66312.600000000006</v>
      </c>
      <c r="U26" s="4">
        <v>5</v>
      </c>
      <c r="V26" s="4" t="s">
        <v>42</v>
      </c>
      <c r="X26" s="7" t="str">
        <f t="shared" si="0"/>
        <v>441811107</v>
      </c>
      <c r="Y26" s="8" t="str">
        <f t="shared" si="1"/>
        <v>DC</v>
      </c>
      <c r="Z26" s="8">
        <f t="shared" si="2"/>
        <v>0</v>
      </c>
      <c r="AA26" s="8">
        <f t="shared" si="3"/>
        <v>0</v>
      </c>
      <c r="AB26" s="8">
        <f t="shared" si="4"/>
        <v>0</v>
      </c>
      <c r="AC26" s="8">
        <f t="shared" si="5"/>
        <v>158</v>
      </c>
      <c r="AD26" s="8">
        <f t="shared" si="6"/>
        <v>0</v>
      </c>
      <c r="AE26" s="9" t="str" cm="1">
        <f t="array" ref="AE26">IFERROR(_xlfn.XLOOKUP(H26,Sheet1!$G:$G,Sheet1!$F:$F),IFERROR(_xlfn.XLOOKUP(1,(--($X$2:$X$1074=X26))*(--ISNUMBER(MATCH($H$2:$H$1074,Sheet1!$G:$G,0))),_xlfn.XLOOKUP($H$2:$H$1074,Sheet1!$G:$G,Sheet1!$F:$F,"")),"NOT FOUND"))</f>
        <v>GETKRTSFUT6205</v>
      </c>
      <c r="AF26" s="10" t="str">
        <f t="shared" si="7"/>
        <v>GREEN</v>
      </c>
      <c r="AG26" s="11" t="str">
        <f t="shared" si="8"/>
        <v>Bangalore</v>
      </c>
      <c r="AH26" s="9" t="str">
        <f>IF(OR(J26="",AE26="",AE26="NOT FOUND"),"",IF(Y26="RP",IFERROR(LEFT(_xlfn.XLOOKUP(AE26,Sheet1!$F:$F,Sheet1!$W:$W),FIND("-",_xlfn.XLOOKUP(AE26,Sheet1!$F:$F,Sheet1!$W:$W),FIND("-",_xlfn.XLOOKUP(AE26,Sheet1!$F:$F,Sheet1!$W:$W))+1))&amp;AE26,"NOT FOUND"),LEFT(J26,FIND("-",J26,FIND("-",J26)+1))&amp;AE26))</f>
        <v>KRTS-APWN26-GETKRTSFUT6205</v>
      </c>
    </row>
    <row r="27" spans="1:34" ht="15.75" customHeight="1" x14ac:dyDescent="0.2">
      <c r="A27" s="4" t="s">
        <v>30</v>
      </c>
      <c r="B27" s="4" t="s">
        <v>97</v>
      </c>
      <c r="C27" s="4" t="s">
        <v>64</v>
      </c>
      <c r="D27" s="4" t="s">
        <v>98</v>
      </c>
      <c r="E27" s="4" t="s">
        <v>34</v>
      </c>
      <c r="F27" s="4" t="s">
        <v>35</v>
      </c>
      <c r="G27" s="4" t="s">
        <v>36</v>
      </c>
      <c r="H27" s="4" t="s">
        <v>99</v>
      </c>
      <c r="I27" s="4" t="s">
        <v>100</v>
      </c>
      <c r="J27" s="4" t="s">
        <v>101</v>
      </c>
      <c r="L27" s="4" t="s">
        <v>40</v>
      </c>
      <c r="M27" s="4">
        <v>1</v>
      </c>
      <c r="N27" s="4">
        <v>30</v>
      </c>
      <c r="O27" s="4">
        <v>30</v>
      </c>
      <c r="P27" s="4" t="s">
        <v>41</v>
      </c>
      <c r="Q27" s="4">
        <v>314.7</v>
      </c>
      <c r="R27" s="4">
        <v>314.7</v>
      </c>
      <c r="S27" s="4">
        <v>472.05</v>
      </c>
      <c r="T27" s="4">
        <v>9441</v>
      </c>
      <c r="U27" s="4">
        <v>5</v>
      </c>
      <c r="V27" s="4" t="s">
        <v>42</v>
      </c>
      <c r="X27" s="7" t="str">
        <f t="shared" si="0"/>
        <v>441811106</v>
      </c>
      <c r="Y27" s="8" t="str">
        <f t="shared" si="1"/>
        <v>DC</v>
      </c>
      <c r="Z27" s="8">
        <f t="shared" si="2"/>
        <v>0</v>
      </c>
      <c r="AA27" s="8">
        <f t="shared" si="3"/>
        <v>0</v>
      </c>
      <c r="AB27" s="8">
        <f t="shared" si="4"/>
        <v>0</v>
      </c>
      <c r="AC27" s="8">
        <f t="shared" si="5"/>
        <v>0</v>
      </c>
      <c r="AD27" s="8">
        <f t="shared" si="6"/>
        <v>30</v>
      </c>
      <c r="AE27" s="9" t="str" cm="1">
        <f t="array" ref="AE27">IFERROR(_xlfn.XLOOKUP(H27,Sheet1!$G:$G,Sheet1!$F:$F),IFERROR(_xlfn.XLOOKUP(1,(--($X$2:$X$1074=X27))*(--ISNUMBER(MATCH($H$2:$H$1074,Sheet1!$G:$G,0))),_xlfn.XLOOKUP($H$2:$H$1074,Sheet1!$G:$G,Sheet1!$F:$F,"")),"NOT FOUND"))</f>
        <v>GETKRTSFUT6204</v>
      </c>
      <c r="AF27" s="10" t="str">
        <f t="shared" si="7"/>
        <v>GREEN</v>
      </c>
      <c r="AG27" s="11" t="str">
        <f t="shared" si="8"/>
        <v>Bangalore</v>
      </c>
      <c r="AH27" s="9" t="str">
        <f>IF(OR(J27="",AE27="",AE27="NOT FOUND"),"",IF(Y27="RP",IFERROR(LEFT(_xlfn.XLOOKUP(AE27,Sheet1!$F:$F,Sheet1!$W:$W),FIND("-",_xlfn.XLOOKUP(AE27,Sheet1!$F:$F,Sheet1!$W:$W),FIND("-",_xlfn.XLOOKUP(AE27,Sheet1!$F:$F,Sheet1!$W:$W))+1))&amp;AE27,"NOT FOUND"),LEFT(J27,FIND("-",J27,FIND("-",J27)+1))&amp;AE27))</f>
        <v>KRTS-APWN26-GETKRTSFUT6204</v>
      </c>
    </row>
    <row r="28" spans="1:34" ht="15.75" customHeight="1" x14ac:dyDescent="0.2">
      <c r="A28" s="4" t="s">
        <v>30</v>
      </c>
      <c r="B28" s="4" t="s">
        <v>97</v>
      </c>
      <c r="C28" s="4" t="s">
        <v>64</v>
      </c>
      <c r="D28" s="4" t="s">
        <v>98</v>
      </c>
      <c r="E28" s="4" t="s">
        <v>34</v>
      </c>
      <c r="F28" s="4" t="s">
        <v>35</v>
      </c>
      <c r="G28" s="4" t="s">
        <v>43</v>
      </c>
      <c r="H28" s="4" t="s">
        <v>102</v>
      </c>
      <c r="I28" s="4" t="s">
        <v>103</v>
      </c>
      <c r="J28" s="4" t="s">
        <v>104</v>
      </c>
      <c r="L28" s="4" t="s">
        <v>40</v>
      </c>
      <c r="M28" s="4">
        <v>1</v>
      </c>
      <c r="N28" s="4">
        <v>257</v>
      </c>
      <c r="O28" s="4">
        <v>257</v>
      </c>
      <c r="P28" s="4" t="s">
        <v>41</v>
      </c>
      <c r="Q28" s="4">
        <v>314.7</v>
      </c>
      <c r="R28" s="4">
        <v>314.7</v>
      </c>
      <c r="S28" s="4">
        <v>4043.9</v>
      </c>
      <c r="T28" s="4">
        <v>80877.899999999994</v>
      </c>
      <c r="U28" s="4">
        <v>5</v>
      </c>
      <c r="V28" s="4" t="s">
        <v>42</v>
      </c>
      <c r="X28" s="7" t="str">
        <f t="shared" si="0"/>
        <v>441811106</v>
      </c>
      <c r="Y28" s="8" t="str">
        <f t="shared" si="1"/>
        <v>DC</v>
      </c>
      <c r="Z28" s="8">
        <f t="shared" si="2"/>
        <v>0</v>
      </c>
      <c r="AA28" s="8">
        <f t="shared" si="3"/>
        <v>0</v>
      </c>
      <c r="AB28" s="8">
        <f t="shared" si="4"/>
        <v>257</v>
      </c>
      <c r="AC28" s="8">
        <f t="shared" si="5"/>
        <v>0</v>
      </c>
      <c r="AD28" s="8">
        <f t="shared" si="6"/>
        <v>0</v>
      </c>
      <c r="AE28" s="9" t="str" cm="1">
        <f t="array" ref="AE28">IFERROR(_xlfn.XLOOKUP(H28,Sheet1!$G:$G,Sheet1!$F:$F),IFERROR(_xlfn.XLOOKUP(1,(--($X$2:$X$1074=X28))*(--ISNUMBER(MATCH($H$2:$H$1074,Sheet1!$G:$G,0))),_xlfn.XLOOKUP($H$2:$H$1074,Sheet1!$G:$G,Sheet1!$F:$F,"")),"NOT FOUND"))</f>
        <v>GETKRTSFUT6204</v>
      </c>
      <c r="AF28" s="10" t="str">
        <f t="shared" si="7"/>
        <v>GREEN</v>
      </c>
      <c r="AG28" s="11" t="str">
        <f t="shared" si="8"/>
        <v>Bangalore</v>
      </c>
      <c r="AH28" s="9" t="str">
        <f>IF(OR(J28="",AE28="",AE28="NOT FOUND"),"",IF(Y28="RP",IFERROR(LEFT(_xlfn.XLOOKUP(AE28,Sheet1!$F:$F,Sheet1!$W:$W),FIND("-",_xlfn.XLOOKUP(AE28,Sheet1!$F:$F,Sheet1!$W:$W),FIND("-",_xlfn.XLOOKUP(AE28,Sheet1!$F:$F,Sheet1!$W:$W))+1))&amp;AE28,"NOT FOUND"),LEFT(J28,FIND("-",J28,FIND("-",J28)+1))&amp;AE28))</f>
        <v>KRTS-APWN26-GETKRTSFUT6204</v>
      </c>
    </row>
    <row r="29" spans="1:34" ht="15.75" customHeight="1" x14ac:dyDescent="0.2">
      <c r="A29" s="4" t="s">
        <v>30</v>
      </c>
      <c r="B29" s="4" t="s">
        <v>97</v>
      </c>
      <c r="C29" s="4" t="s">
        <v>64</v>
      </c>
      <c r="D29" s="4" t="s">
        <v>98</v>
      </c>
      <c r="E29" s="4" t="s">
        <v>34</v>
      </c>
      <c r="F29" s="4" t="s">
        <v>35</v>
      </c>
      <c r="G29" s="4" t="s">
        <v>47</v>
      </c>
      <c r="H29" s="4" t="s">
        <v>105</v>
      </c>
      <c r="I29" s="4" t="s">
        <v>106</v>
      </c>
      <c r="J29" s="4" t="s">
        <v>107</v>
      </c>
      <c r="L29" s="4" t="s">
        <v>40</v>
      </c>
      <c r="M29" s="4">
        <v>1</v>
      </c>
      <c r="N29" s="4">
        <v>257</v>
      </c>
      <c r="O29" s="4">
        <v>257</v>
      </c>
      <c r="P29" s="4" t="s">
        <v>41</v>
      </c>
      <c r="Q29" s="4">
        <v>314.7</v>
      </c>
      <c r="R29" s="4">
        <v>314.7</v>
      </c>
      <c r="S29" s="4">
        <v>4043.9</v>
      </c>
      <c r="T29" s="4">
        <v>80877.899999999994</v>
      </c>
      <c r="U29" s="4">
        <v>5</v>
      </c>
      <c r="V29" s="4" t="s">
        <v>42</v>
      </c>
      <c r="X29" s="7" t="str">
        <f t="shared" si="0"/>
        <v>441811106</v>
      </c>
      <c r="Y29" s="8" t="str">
        <f t="shared" si="1"/>
        <v>DC</v>
      </c>
      <c r="Z29" s="8">
        <f t="shared" si="2"/>
        <v>0</v>
      </c>
      <c r="AA29" s="8">
        <f t="shared" si="3"/>
        <v>257</v>
      </c>
      <c r="AB29" s="8">
        <f t="shared" si="4"/>
        <v>0</v>
      </c>
      <c r="AC29" s="8">
        <f t="shared" si="5"/>
        <v>0</v>
      </c>
      <c r="AD29" s="8">
        <f t="shared" si="6"/>
        <v>0</v>
      </c>
      <c r="AE29" s="9" t="str" cm="1">
        <f t="array" ref="AE29">IFERROR(_xlfn.XLOOKUP(H29,Sheet1!$G:$G,Sheet1!$F:$F),IFERROR(_xlfn.XLOOKUP(1,(--($X$2:$X$1074=X29))*(--ISNUMBER(MATCH($H$2:$H$1074,Sheet1!$G:$G,0))),_xlfn.XLOOKUP($H$2:$H$1074,Sheet1!$G:$G,Sheet1!$F:$F,"")),"NOT FOUND"))</f>
        <v>GETKRTSFUT6204</v>
      </c>
      <c r="AF29" s="10" t="str">
        <f t="shared" si="7"/>
        <v>GREEN</v>
      </c>
      <c r="AG29" s="11" t="str">
        <f t="shared" si="8"/>
        <v>Bangalore</v>
      </c>
      <c r="AH29" s="9" t="str">
        <f>IF(OR(J29="",AE29="",AE29="NOT FOUND"),"",IF(Y29="RP",IFERROR(LEFT(_xlfn.XLOOKUP(AE29,Sheet1!$F:$F,Sheet1!$W:$W),FIND("-",_xlfn.XLOOKUP(AE29,Sheet1!$F:$F,Sheet1!$W:$W),FIND("-",_xlfn.XLOOKUP(AE29,Sheet1!$F:$F,Sheet1!$W:$W))+1))&amp;AE29,"NOT FOUND"),LEFT(J29,FIND("-",J29,FIND("-",J29)+1))&amp;AE29))</f>
        <v>KRTS-APWN26-GETKRTSFUT6204</v>
      </c>
    </row>
    <row r="30" spans="1:34" ht="15.75" customHeight="1" x14ac:dyDescent="0.2">
      <c r="A30" s="4" t="s">
        <v>30</v>
      </c>
      <c r="B30" s="4" t="s">
        <v>97</v>
      </c>
      <c r="C30" s="4" t="s">
        <v>64</v>
      </c>
      <c r="D30" s="4" t="s">
        <v>98</v>
      </c>
      <c r="E30" s="4" t="s">
        <v>34</v>
      </c>
      <c r="F30" s="4" t="s">
        <v>35</v>
      </c>
      <c r="G30" s="4" t="s">
        <v>51</v>
      </c>
      <c r="H30" s="4" t="s">
        <v>108</v>
      </c>
      <c r="I30" s="4" t="s">
        <v>109</v>
      </c>
      <c r="J30" s="4" t="s">
        <v>110</v>
      </c>
      <c r="L30" s="4" t="s">
        <v>40</v>
      </c>
      <c r="M30" s="4">
        <v>1</v>
      </c>
      <c r="N30" s="4">
        <v>30</v>
      </c>
      <c r="O30" s="4">
        <v>30</v>
      </c>
      <c r="P30" s="4" t="s">
        <v>41</v>
      </c>
      <c r="Q30" s="4">
        <v>314.7</v>
      </c>
      <c r="R30" s="4">
        <v>314.7</v>
      </c>
      <c r="S30" s="4">
        <v>472.05</v>
      </c>
      <c r="T30" s="4">
        <v>9441</v>
      </c>
      <c r="U30" s="4">
        <v>5</v>
      </c>
      <c r="V30" s="4" t="s">
        <v>42</v>
      </c>
      <c r="X30" s="7" t="str">
        <f t="shared" si="0"/>
        <v>441811106</v>
      </c>
      <c r="Y30" s="8" t="str">
        <f t="shared" si="1"/>
        <v>DC</v>
      </c>
      <c r="Z30" s="8">
        <f t="shared" si="2"/>
        <v>30</v>
      </c>
      <c r="AA30" s="8">
        <f t="shared" si="3"/>
        <v>0</v>
      </c>
      <c r="AB30" s="8">
        <f t="shared" si="4"/>
        <v>0</v>
      </c>
      <c r="AC30" s="8">
        <f t="shared" si="5"/>
        <v>0</v>
      </c>
      <c r="AD30" s="8">
        <f t="shared" si="6"/>
        <v>0</v>
      </c>
      <c r="AE30" s="9" t="str" cm="1">
        <f t="array" ref="AE30">IFERROR(_xlfn.XLOOKUP(H30,Sheet1!$G:$G,Sheet1!$F:$F),IFERROR(_xlfn.XLOOKUP(1,(--($X$2:$X$1074=X30))*(--ISNUMBER(MATCH($H$2:$H$1074,Sheet1!$G:$G,0))),_xlfn.XLOOKUP($H$2:$H$1074,Sheet1!$G:$G,Sheet1!$F:$F,"")),"NOT FOUND"))</f>
        <v>GETKRTSFUT6204</v>
      </c>
      <c r="AF30" s="10" t="str">
        <f t="shared" si="7"/>
        <v>GREEN</v>
      </c>
      <c r="AG30" s="11" t="str">
        <f t="shared" si="8"/>
        <v>Bangalore</v>
      </c>
      <c r="AH30" s="9" t="str">
        <f>IF(OR(J30="",AE30="",AE30="NOT FOUND"),"",IF(Y30="RP",IFERROR(LEFT(_xlfn.XLOOKUP(AE30,Sheet1!$F:$F,Sheet1!$W:$W),FIND("-",_xlfn.XLOOKUP(AE30,Sheet1!$F:$F,Sheet1!$W:$W),FIND("-",_xlfn.XLOOKUP(AE30,Sheet1!$F:$F,Sheet1!$W:$W))+1))&amp;AE30,"NOT FOUND"),LEFT(J30,FIND("-",J30,FIND("-",J30)+1))&amp;AE30))</f>
        <v>KRTS-APWN26-GETKRTSFUT6204</v>
      </c>
    </row>
    <row r="31" spans="1:34" ht="15.75" customHeight="1" x14ac:dyDescent="0.2">
      <c r="A31" s="4" t="s">
        <v>30</v>
      </c>
      <c r="B31" s="4" t="s">
        <v>97</v>
      </c>
      <c r="C31" s="4" t="s">
        <v>64</v>
      </c>
      <c r="D31" s="4" t="s">
        <v>98</v>
      </c>
      <c r="E31" s="4" t="s">
        <v>34</v>
      </c>
      <c r="F31" s="4" t="s">
        <v>35</v>
      </c>
      <c r="G31" s="4" t="s">
        <v>55</v>
      </c>
      <c r="H31" s="4" t="s">
        <v>111</v>
      </c>
      <c r="I31" s="4" t="s">
        <v>112</v>
      </c>
      <c r="J31" s="4" t="s">
        <v>113</v>
      </c>
      <c r="L31" s="4" t="s">
        <v>40</v>
      </c>
      <c r="M31" s="4">
        <v>1</v>
      </c>
      <c r="N31" s="4">
        <v>217</v>
      </c>
      <c r="O31" s="4">
        <v>217</v>
      </c>
      <c r="P31" s="4" t="s">
        <v>41</v>
      </c>
      <c r="Q31" s="4">
        <v>314.7</v>
      </c>
      <c r="R31" s="4">
        <v>314.7</v>
      </c>
      <c r="S31" s="4">
        <v>3414.5</v>
      </c>
      <c r="T31" s="4">
        <v>68289.899999999994</v>
      </c>
      <c r="U31" s="4">
        <v>5</v>
      </c>
      <c r="V31" s="4" t="s">
        <v>42</v>
      </c>
      <c r="X31" s="7" t="str">
        <f t="shared" si="0"/>
        <v>441811106</v>
      </c>
      <c r="Y31" s="8" t="str">
        <f t="shared" si="1"/>
        <v>DC</v>
      </c>
      <c r="Z31" s="8">
        <f t="shared" si="2"/>
        <v>0</v>
      </c>
      <c r="AA31" s="8">
        <f t="shared" si="3"/>
        <v>0</v>
      </c>
      <c r="AB31" s="8">
        <f t="shared" si="4"/>
        <v>0</v>
      </c>
      <c r="AC31" s="8">
        <f t="shared" si="5"/>
        <v>217</v>
      </c>
      <c r="AD31" s="8">
        <f t="shared" si="6"/>
        <v>0</v>
      </c>
      <c r="AE31" s="9" t="str" cm="1">
        <f t="array" ref="AE31">IFERROR(_xlfn.XLOOKUP(H31,Sheet1!$G:$G,Sheet1!$F:$F),IFERROR(_xlfn.XLOOKUP(1,(--($X$2:$X$1074=X31))*(--ISNUMBER(MATCH($H$2:$H$1074,Sheet1!$G:$G,0))),_xlfn.XLOOKUP($H$2:$H$1074,Sheet1!$G:$G,Sheet1!$F:$F,"")),"NOT FOUND"))</f>
        <v>GETKRTSFUT6204</v>
      </c>
      <c r="AF31" s="10" t="str">
        <f t="shared" si="7"/>
        <v>GREEN</v>
      </c>
      <c r="AG31" s="11" t="str">
        <f t="shared" si="8"/>
        <v>Bangalore</v>
      </c>
      <c r="AH31" s="9" t="str">
        <f>IF(OR(J31="",AE31="",AE31="NOT FOUND"),"",IF(Y31="RP",IFERROR(LEFT(_xlfn.XLOOKUP(AE31,Sheet1!$F:$F,Sheet1!$W:$W),FIND("-",_xlfn.XLOOKUP(AE31,Sheet1!$F:$F,Sheet1!$W:$W),FIND("-",_xlfn.XLOOKUP(AE31,Sheet1!$F:$F,Sheet1!$W:$W))+1))&amp;AE31,"NOT FOUND"),LEFT(J31,FIND("-",J31,FIND("-",J31)+1))&amp;AE31))</f>
        <v>KRTS-APWN26-GETKRTSFUT6204</v>
      </c>
    </row>
    <row r="32" spans="1:34" ht="15.75" customHeight="1" x14ac:dyDescent="0.2">
      <c r="A32" s="4" t="s">
        <v>59</v>
      </c>
      <c r="B32" s="4" t="s">
        <v>114</v>
      </c>
      <c r="C32" s="4" t="s">
        <v>64</v>
      </c>
      <c r="D32" s="4" t="s">
        <v>33</v>
      </c>
      <c r="E32" s="4" t="s">
        <v>34</v>
      </c>
      <c r="F32" s="4" t="s">
        <v>35</v>
      </c>
      <c r="G32" s="4" t="s">
        <v>36</v>
      </c>
      <c r="H32" s="4" t="s">
        <v>65</v>
      </c>
      <c r="I32" s="4" t="s">
        <v>66</v>
      </c>
      <c r="J32" s="4" t="s">
        <v>67</v>
      </c>
      <c r="L32" s="4" t="s">
        <v>40</v>
      </c>
      <c r="M32" s="4">
        <v>1</v>
      </c>
      <c r="N32" s="4">
        <v>30</v>
      </c>
      <c r="O32" s="4">
        <v>30</v>
      </c>
      <c r="P32" s="4" t="s">
        <v>41</v>
      </c>
      <c r="Q32" s="4">
        <v>312.7</v>
      </c>
      <c r="R32" s="4">
        <v>312.7</v>
      </c>
      <c r="S32" s="4">
        <v>469.05</v>
      </c>
      <c r="T32" s="4">
        <v>9381</v>
      </c>
      <c r="U32" s="4">
        <v>5</v>
      </c>
      <c r="V32" s="4" t="s">
        <v>42</v>
      </c>
      <c r="X32" s="7" t="str">
        <f t="shared" si="0"/>
        <v>441811108</v>
      </c>
      <c r="Y32" s="8" t="str">
        <f t="shared" si="1"/>
        <v>DC</v>
      </c>
      <c r="Z32" s="8">
        <f t="shared" si="2"/>
        <v>0</v>
      </c>
      <c r="AA32" s="8">
        <f t="shared" si="3"/>
        <v>0</v>
      </c>
      <c r="AB32" s="8">
        <f t="shared" si="4"/>
        <v>0</v>
      </c>
      <c r="AC32" s="8">
        <f t="shared" si="5"/>
        <v>0</v>
      </c>
      <c r="AD32" s="8">
        <f t="shared" si="6"/>
        <v>30</v>
      </c>
      <c r="AE32" s="9" t="str" cm="1">
        <f t="array" ref="AE32">IFERROR(_xlfn.XLOOKUP(H32,Sheet1!$G:$G,Sheet1!$F:$F),IFERROR(_xlfn.XLOOKUP(1,(--($X$2:$X$1074=X32))*(--ISNUMBER(MATCH($H$2:$H$1074,Sheet1!$G:$G,0))),_xlfn.XLOOKUP($H$2:$H$1074,Sheet1!$G:$G,Sheet1!$F:$F,"")),"NOT FOUND"))</f>
        <v>GETKRTSFUT6210</v>
      </c>
      <c r="AF32" s="10" t="str">
        <f t="shared" si="7"/>
        <v>GOLD</v>
      </c>
      <c r="AG32" s="11" t="str">
        <f t="shared" si="8"/>
        <v>JHAJJAR</v>
      </c>
      <c r="AH32" s="9" t="str">
        <f>IF(OR(J32="",AE32="",AE32="NOT FOUND"),"",IF(Y32="RP",IFERROR(LEFT(_xlfn.XLOOKUP(AE32,Sheet1!$F:$F,Sheet1!$W:$W),FIND("-",_xlfn.XLOOKUP(AE32,Sheet1!$F:$F,Sheet1!$W:$W),FIND("-",_xlfn.XLOOKUP(AE32,Sheet1!$F:$F,Sheet1!$W:$W))+1))&amp;AE32,"NOT FOUND"),LEFT(J32,FIND("-",J32,FIND("-",J32)+1))&amp;AE32))</f>
        <v>KRTS-APWN26-GETKRTSFUT6210</v>
      </c>
    </row>
    <row r="33" spans="1:34" ht="15.75" customHeight="1" x14ac:dyDescent="0.2">
      <c r="A33" s="4" t="s">
        <v>59</v>
      </c>
      <c r="B33" s="4" t="s">
        <v>114</v>
      </c>
      <c r="C33" s="4" t="s">
        <v>64</v>
      </c>
      <c r="D33" s="4" t="s">
        <v>33</v>
      </c>
      <c r="E33" s="4" t="s">
        <v>34</v>
      </c>
      <c r="F33" s="4" t="s">
        <v>35</v>
      </c>
      <c r="G33" s="4" t="s">
        <v>43</v>
      </c>
      <c r="H33" s="4" t="s">
        <v>68</v>
      </c>
      <c r="I33" s="4" t="s">
        <v>69</v>
      </c>
      <c r="J33" s="4" t="s">
        <v>70</v>
      </c>
      <c r="L33" s="4" t="s">
        <v>40</v>
      </c>
      <c r="M33" s="4">
        <v>1</v>
      </c>
      <c r="N33" s="4">
        <v>156</v>
      </c>
      <c r="O33" s="4">
        <v>156</v>
      </c>
      <c r="P33" s="4" t="s">
        <v>41</v>
      </c>
      <c r="Q33" s="4">
        <v>312.7</v>
      </c>
      <c r="R33" s="4">
        <v>312.7</v>
      </c>
      <c r="S33" s="4">
        <v>2439.06</v>
      </c>
      <c r="T33" s="4">
        <v>48781.2</v>
      </c>
      <c r="U33" s="4">
        <v>5</v>
      </c>
      <c r="V33" s="4" t="s">
        <v>42</v>
      </c>
      <c r="X33" s="7" t="str">
        <f t="shared" si="0"/>
        <v>441811108</v>
      </c>
      <c r="Y33" s="8" t="str">
        <f t="shared" si="1"/>
        <v>DC</v>
      </c>
      <c r="Z33" s="8">
        <f t="shared" si="2"/>
        <v>0</v>
      </c>
      <c r="AA33" s="8">
        <f t="shared" si="3"/>
        <v>0</v>
      </c>
      <c r="AB33" s="8">
        <f t="shared" si="4"/>
        <v>156</v>
      </c>
      <c r="AC33" s="8">
        <f t="shared" si="5"/>
        <v>0</v>
      </c>
      <c r="AD33" s="8">
        <f t="shared" si="6"/>
        <v>0</v>
      </c>
      <c r="AE33" s="9" t="str" cm="1">
        <f t="array" ref="AE33">IFERROR(_xlfn.XLOOKUP(H33,Sheet1!$G:$G,Sheet1!$F:$F),IFERROR(_xlfn.XLOOKUP(1,(--($X$2:$X$1074=X33))*(--ISNUMBER(MATCH($H$2:$H$1074,Sheet1!$G:$G,0))),_xlfn.XLOOKUP($H$2:$H$1074,Sheet1!$G:$G,Sheet1!$F:$F,"")),"NOT FOUND"))</f>
        <v>GETKRTSFUT6210</v>
      </c>
      <c r="AF33" s="10" t="str">
        <f t="shared" si="7"/>
        <v>GOLD</v>
      </c>
      <c r="AG33" s="11" t="str">
        <f t="shared" si="8"/>
        <v>JHAJJAR</v>
      </c>
      <c r="AH33" s="9" t="str">
        <f>IF(OR(J33="",AE33="",AE33="NOT FOUND"),"",IF(Y33="RP",IFERROR(LEFT(_xlfn.XLOOKUP(AE33,Sheet1!$F:$F,Sheet1!$W:$W),FIND("-",_xlfn.XLOOKUP(AE33,Sheet1!$F:$F,Sheet1!$W:$W),FIND("-",_xlfn.XLOOKUP(AE33,Sheet1!$F:$F,Sheet1!$W:$W))+1))&amp;AE33,"NOT FOUND"),LEFT(J33,FIND("-",J33,FIND("-",J33)+1))&amp;AE33))</f>
        <v>KRTS-APWN26-GETKRTSFUT6210</v>
      </c>
    </row>
    <row r="34" spans="1:34" ht="15.75" customHeight="1" x14ac:dyDescent="0.2">
      <c r="A34" s="4" t="s">
        <v>59</v>
      </c>
      <c r="B34" s="4" t="s">
        <v>114</v>
      </c>
      <c r="C34" s="4" t="s">
        <v>64</v>
      </c>
      <c r="D34" s="4" t="s">
        <v>33</v>
      </c>
      <c r="E34" s="4" t="s">
        <v>34</v>
      </c>
      <c r="F34" s="4" t="s">
        <v>35</v>
      </c>
      <c r="G34" s="4" t="s">
        <v>47</v>
      </c>
      <c r="H34" s="4" t="s">
        <v>71</v>
      </c>
      <c r="I34" s="4" t="s">
        <v>72</v>
      </c>
      <c r="J34" s="4" t="s">
        <v>73</v>
      </c>
      <c r="L34" s="4" t="s">
        <v>40</v>
      </c>
      <c r="M34" s="4">
        <v>1</v>
      </c>
      <c r="N34" s="4">
        <v>156</v>
      </c>
      <c r="O34" s="4">
        <v>156</v>
      </c>
      <c r="P34" s="4" t="s">
        <v>41</v>
      </c>
      <c r="Q34" s="4">
        <v>312.7</v>
      </c>
      <c r="R34" s="4">
        <v>312.7</v>
      </c>
      <c r="S34" s="4">
        <v>2439.06</v>
      </c>
      <c r="T34" s="4">
        <v>48781.2</v>
      </c>
      <c r="U34" s="4">
        <v>5</v>
      </c>
      <c r="V34" s="4" t="s">
        <v>42</v>
      </c>
      <c r="X34" s="7" t="str">
        <f t="shared" si="0"/>
        <v>441811108</v>
      </c>
      <c r="Y34" s="8" t="str">
        <f t="shared" si="1"/>
        <v>DC</v>
      </c>
      <c r="Z34" s="8">
        <f t="shared" si="2"/>
        <v>0</v>
      </c>
      <c r="AA34" s="8">
        <f t="shared" si="3"/>
        <v>156</v>
      </c>
      <c r="AB34" s="8">
        <f t="shared" si="4"/>
        <v>0</v>
      </c>
      <c r="AC34" s="8">
        <f t="shared" si="5"/>
        <v>0</v>
      </c>
      <c r="AD34" s="8">
        <f t="shared" si="6"/>
        <v>0</v>
      </c>
      <c r="AE34" s="9" t="str" cm="1">
        <f t="array" ref="AE34">IFERROR(_xlfn.XLOOKUP(H34,Sheet1!$G:$G,Sheet1!$F:$F),IFERROR(_xlfn.XLOOKUP(1,(--($X$2:$X$1074=X34))*(--ISNUMBER(MATCH($H$2:$H$1074,Sheet1!$G:$G,0))),_xlfn.XLOOKUP($H$2:$H$1074,Sheet1!$G:$G,Sheet1!$F:$F,"")),"NOT FOUND"))</f>
        <v>GETKRTSFUT6210</v>
      </c>
      <c r="AF34" s="10" t="str">
        <f t="shared" si="7"/>
        <v>GOLD</v>
      </c>
      <c r="AG34" s="11" t="str">
        <f t="shared" si="8"/>
        <v>JHAJJAR</v>
      </c>
      <c r="AH34" s="9" t="str">
        <f>IF(OR(J34="",AE34="",AE34="NOT FOUND"),"",IF(Y34="RP",IFERROR(LEFT(_xlfn.XLOOKUP(AE34,Sheet1!$F:$F,Sheet1!$W:$W),FIND("-",_xlfn.XLOOKUP(AE34,Sheet1!$F:$F,Sheet1!$W:$W),FIND("-",_xlfn.XLOOKUP(AE34,Sheet1!$F:$F,Sheet1!$W:$W))+1))&amp;AE34,"NOT FOUND"),LEFT(J34,FIND("-",J34,FIND("-",J34)+1))&amp;AE34))</f>
        <v>KRTS-APWN26-GETKRTSFUT6210</v>
      </c>
    </row>
    <row r="35" spans="1:34" ht="15.75" customHeight="1" x14ac:dyDescent="0.2">
      <c r="A35" s="4" t="s">
        <v>59</v>
      </c>
      <c r="B35" s="4" t="s">
        <v>114</v>
      </c>
      <c r="C35" s="4" t="s">
        <v>64</v>
      </c>
      <c r="D35" s="4" t="s">
        <v>33</v>
      </c>
      <c r="E35" s="4" t="s">
        <v>34</v>
      </c>
      <c r="F35" s="4" t="s">
        <v>35</v>
      </c>
      <c r="G35" s="4" t="s">
        <v>51</v>
      </c>
      <c r="H35" s="4" t="s">
        <v>74</v>
      </c>
      <c r="I35" s="4" t="s">
        <v>75</v>
      </c>
      <c r="J35" s="4" t="s">
        <v>76</v>
      </c>
      <c r="L35" s="4" t="s">
        <v>40</v>
      </c>
      <c r="M35" s="4">
        <v>1</v>
      </c>
      <c r="N35" s="4">
        <v>30</v>
      </c>
      <c r="O35" s="4">
        <v>30</v>
      </c>
      <c r="P35" s="4" t="s">
        <v>41</v>
      </c>
      <c r="Q35" s="4">
        <v>312.7</v>
      </c>
      <c r="R35" s="4">
        <v>312.7</v>
      </c>
      <c r="S35" s="4">
        <v>469.05</v>
      </c>
      <c r="T35" s="4">
        <v>9381</v>
      </c>
      <c r="U35" s="4">
        <v>5</v>
      </c>
      <c r="V35" s="4" t="s">
        <v>42</v>
      </c>
      <c r="X35" s="7" t="str">
        <f t="shared" si="0"/>
        <v>441811108</v>
      </c>
      <c r="Y35" s="8" t="str">
        <f t="shared" si="1"/>
        <v>DC</v>
      </c>
      <c r="Z35" s="8">
        <f t="shared" si="2"/>
        <v>30</v>
      </c>
      <c r="AA35" s="8">
        <f t="shared" si="3"/>
        <v>0</v>
      </c>
      <c r="AB35" s="8">
        <f t="shared" si="4"/>
        <v>0</v>
      </c>
      <c r="AC35" s="8">
        <f t="shared" si="5"/>
        <v>0</v>
      </c>
      <c r="AD35" s="8">
        <f t="shared" si="6"/>
        <v>0</v>
      </c>
      <c r="AE35" s="9" t="str" cm="1">
        <f t="array" ref="AE35">IFERROR(_xlfn.XLOOKUP(H35,Sheet1!$G:$G,Sheet1!$F:$F),IFERROR(_xlfn.XLOOKUP(1,(--($X$2:$X$1074=X35))*(--ISNUMBER(MATCH($H$2:$H$1074,Sheet1!$G:$G,0))),_xlfn.XLOOKUP($H$2:$H$1074,Sheet1!$G:$G,Sheet1!$F:$F,"")),"NOT FOUND"))</f>
        <v>GETKRTSFUT6210</v>
      </c>
      <c r="AF35" s="10" t="str">
        <f t="shared" si="7"/>
        <v>GOLD</v>
      </c>
      <c r="AG35" s="11" t="str">
        <f t="shared" si="8"/>
        <v>JHAJJAR</v>
      </c>
      <c r="AH35" s="9" t="str">
        <f>IF(OR(J35="",AE35="",AE35="NOT FOUND"),"",IF(Y35="RP",IFERROR(LEFT(_xlfn.XLOOKUP(AE35,Sheet1!$F:$F,Sheet1!$W:$W),FIND("-",_xlfn.XLOOKUP(AE35,Sheet1!$F:$F,Sheet1!$W:$W),FIND("-",_xlfn.XLOOKUP(AE35,Sheet1!$F:$F,Sheet1!$W:$W))+1))&amp;AE35,"NOT FOUND"),LEFT(J35,FIND("-",J35,FIND("-",J35)+1))&amp;AE35))</f>
        <v>KRTS-APWN26-GETKRTSFUT6210</v>
      </c>
    </row>
    <row r="36" spans="1:34" ht="15.75" customHeight="1" x14ac:dyDescent="0.2">
      <c r="A36" s="4" t="s">
        <v>59</v>
      </c>
      <c r="B36" s="4" t="s">
        <v>114</v>
      </c>
      <c r="C36" s="4" t="s">
        <v>64</v>
      </c>
      <c r="D36" s="4" t="s">
        <v>33</v>
      </c>
      <c r="E36" s="4" t="s">
        <v>34</v>
      </c>
      <c r="F36" s="4" t="s">
        <v>35</v>
      </c>
      <c r="G36" s="4" t="s">
        <v>55</v>
      </c>
      <c r="H36" s="4" t="s">
        <v>77</v>
      </c>
      <c r="I36" s="4" t="s">
        <v>78</v>
      </c>
      <c r="J36" s="4" t="s">
        <v>79</v>
      </c>
      <c r="L36" s="4" t="s">
        <v>40</v>
      </c>
      <c r="M36" s="4">
        <v>1</v>
      </c>
      <c r="N36" s="4">
        <v>132</v>
      </c>
      <c r="O36" s="4">
        <v>132</v>
      </c>
      <c r="P36" s="4" t="s">
        <v>41</v>
      </c>
      <c r="Q36" s="4">
        <v>312.7</v>
      </c>
      <c r="R36" s="4">
        <v>312.7</v>
      </c>
      <c r="S36" s="4">
        <v>2063.8200000000002</v>
      </c>
      <c r="T36" s="4">
        <v>41276.400000000001</v>
      </c>
      <c r="U36" s="4">
        <v>5</v>
      </c>
      <c r="V36" s="4" t="s">
        <v>42</v>
      </c>
      <c r="X36" s="7" t="str">
        <f t="shared" si="0"/>
        <v>441811108</v>
      </c>
      <c r="Y36" s="8" t="str">
        <f t="shared" si="1"/>
        <v>DC</v>
      </c>
      <c r="Z36" s="8">
        <f t="shared" si="2"/>
        <v>0</v>
      </c>
      <c r="AA36" s="8">
        <f t="shared" si="3"/>
        <v>0</v>
      </c>
      <c r="AB36" s="8">
        <f t="shared" si="4"/>
        <v>0</v>
      </c>
      <c r="AC36" s="8">
        <f t="shared" si="5"/>
        <v>132</v>
      </c>
      <c r="AD36" s="8">
        <f t="shared" si="6"/>
        <v>0</v>
      </c>
      <c r="AE36" s="9" t="str" cm="1">
        <f t="array" ref="AE36">IFERROR(_xlfn.XLOOKUP(H36,Sheet1!$G:$G,Sheet1!$F:$F),IFERROR(_xlfn.XLOOKUP(1,(--($X$2:$X$1074=X36))*(--ISNUMBER(MATCH($H$2:$H$1074,Sheet1!$G:$G,0))),_xlfn.XLOOKUP($H$2:$H$1074,Sheet1!$G:$G,Sheet1!$F:$F,"")),"NOT FOUND"))</f>
        <v>GETKRTSFUT6210</v>
      </c>
      <c r="AF36" s="10" t="str">
        <f t="shared" si="7"/>
        <v>GOLD</v>
      </c>
      <c r="AG36" s="11" t="str">
        <f t="shared" si="8"/>
        <v>JHAJJAR</v>
      </c>
      <c r="AH36" s="9" t="str">
        <f>IF(OR(J36="",AE36="",AE36="NOT FOUND"),"",IF(Y36="RP",IFERROR(LEFT(_xlfn.XLOOKUP(AE36,Sheet1!$F:$F,Sheet1!$W:$W),FIND("-",_xlfn.XLOOKUP(AE36,Sheet1!$F:$F,Sheet1!$W:$W),FIND("-",_xlfn.XLOOKUP(AE36,Sheet1!$F:$F,Sheet1!$W:$W))+1))&amp;AE36,"NOT FOUND"),LEFT(J36,FIND("-",J36,FIND("-",J36)+1))&amp;AE36))</f>
        <v>KRTS-APWN26-GETKRTSFUT6210</v>
      </c>
    </row>
    <row r="37" spans="1:34" ht="15.75" customHeight="1" x14ac:dyDescent="0.2">
      <c r="A37" s="4" t="s">
        <v>30</v>
      </c>
      <c r="B37" s="4" t="s">
        <v>115</v>
      </c>
      <c r="C37" s="4" t="s">
        <v>64</v>
      </c>
      <c r="D37" s="4" t="s">
        <v>116</v>
      </c>
      <c r="E37" s="4" t="s">
        <v>34</v>
      </c>
      <c r="F37" s="4" t="s">
        <v>35</v>
      </c>
      <c r="G37" s="4" t="s">
        <v>36</v>
      </c>
      <c r="H37" s="4" t="s">
        <v>117</v>
      </c>
      <c r="I37" s="4" t="s">
        <v>118</v>
      </c>
      <c r="J37" s="4" t="s">
        <v>119</v>
      </c>
      <c r="L37" s="4" t="s">
        <v>40</v>
      </c>
      <c r="M37" s="4">
        <v>1</v>
      </c>
      <c r="N37" s="4">
        <v>30</v>
      </c>
      <c r="O37" s="4">
        <v>30</v>
      </c>
      <c r="P37" s="4" t="s">
        <v>41</v>
      </c>
      <c r="Q37" s="4">
        <v>319.7</v>
      </c>
      <c r="R37" s="4">
        <v>319.7</v>
      </c>
      <c r="S37" s="4">
        <v>479.55</v>
      </c>
      <c r="T37" s="4">
        <v>9591</v>
      </c>
      <c r="U37" s="4">
        <v>5</v>
      </c>
      <c r="V37" s="4" t="s">
        <v>42</v>
      </c>
      <c r="X37" s="7" t="str">
        <f t="shared" si="0"/>
        <v>441811105</v>
      </c>
      <c r="Y37" s="8" t="str">
        <f t="shared" si="1"/>
        <v>DC</v>
      </c>
      <c r="Z37" s="8">
        <f t="shared" si="2"/>
        <v>0</v>
      </c>
      <c r="AA37" s="8">
        <f t="shared" si="3"/>
        <v>0</v>
      </c>
      <c r="AB37" s="8">
        <f t="shared" si="4"/>
        <v>0</v>
      </c>
      <c r="AC37" s="8">
        <f t="shared" si="5"/>
        <v>0</v>
      </c>
      <c r="AD37" s="8">
        <f t="shared" si="6"/>
        <v>30</v>
      </c>
      <c r="AE37" s="9" t="str" cm="1">
        <f t="array" ref="AE37">IFERROR(_xlfn.XLOOKUP(H37,Sheet1!$G:$G,Sheet1!$F:$F),IFERROR(_xlfn.XLOOKUP(1,(--($X$2:$X$1074=X37))*(--ISNUMBER(MATCH($H$2:$H$1074,Sheet1!$G:$G,0))),_xlfn.XLOOKUP($H$2:$H$1074,Sheet1!$G:$G,Sheet1!$F:$F,"")),"NOT FOUND"))</f>
        <v>GETKRTSFUT6203</v>
      </c>
      <c r="AF37" s="10" t="str">
        <f t="shared" si="7"/>
        <v>BLACK</v>
      </c>
      <c r="AG37" s="11" t="str">
        <f t="shared" si="8"/>
        <v>Bangalore</v>
      </c>
      <c r="AH37" s="9" t="str">
        <f>IF(OR(J37="",AE37="",AE37="NOT FOUND"),"",IF(Y37="RP",IFERROR(LEFT(_xlfn.XLOOKUP(AE37,Sheet1!$F:$F,Sheet1!$W:$W),FIND("-",_xlfn.XLOOKUP(AE37,Sheet1!$F:$F,Sheet1!$W:$W),FIND("-",_xlfn.XLOOKUP(AE37,Sheet1!$F:$F,Sheet1!$W:$W))+1))&amp;AE37,"NOT FOUND"),LEFT(J37,FIND("-",J37,FIND("-",J37)+1))&amp;AE37))</f>
        <v>KRTS-APWN26-GETKRTSFUT6203</v>
      </c>
    </row>
    <row r="38" spans="1:34" ht="15.75" customHeight="1" x14ac:dyDescent="0.2">
      <c r="A38" s="4" t="s">
        <v>30</v>
      </c>
      <c r="B38" s="4" t="s">
        <v>115</v>
      </c>
      <c r="C38" s="4" t="s">
        <v>64</v>
      </c>
      <c r="D38" s="4" t="s">
        <v>116</v>
      </c>
      <c r="E38" s="4" t="s">
        <v>34</v>
      </c>
      <c r="F38" s="4" t="s">
        <v>35</v>
      </c>
      <c r="G38" s="4" t="s">
        <v>43</v>
      </c>
      <c r="H38" s="4" t="s">
        <v>120</v>
      </c>
      <c r="I38" s="4" t="s">
        <v>121</v>
      </c>
      <c r="J38" s="4" t="s">
        <v>122</v>
      </c>
      <c r="L38" s="4" t="s">
        <v>40</v>
      </c>
      <c r="M38" s="4">
        <v>1</v>
      </c>
      <c r="N38" s="4">
        <v>257</v>
      </c>
      <c r="O38" s="4">
        <v>257</v>
      </c>
      <c r="P38" s="4" t="s">
        <v>41</v>
      </c>
      <c r="Q38" s="4">
        <v>319.7</v>
      </c>
      <c r="R38" s="4">
        <v>319.7</v>
      </c>
      <c r="S38" s="4">
        <v>4108.1499999999996</v>
      </c>
      <c r="T38" s="4">
        <v>82162.899999999994</v>
      </c>
      <c r="U38" s="4">
        <v>5</v>
      </c>
      <c r="V38" s="4" t="s">
        <v>42</v>
      </c>
      <c r="X38" s="7" t="str">
        <f t="shared" si="0"/>
        <v>441811105</v>
      </c>
      <c r="Y38" s="8" t="str">
        <f t="shared" si="1"/>
        <v>DC</v>
      </c>
      <c r="Z38" s="8">
        <f t="shared" si="2"/>
        <v>0</v>
      </c>
      <c r="AA38" s="8">
        <f t="shared" si="3"/>
        <v>0</v>
      </c>
      <c r="AB38" s="8">
        <f t="shared" si="4"/>
        <v>257</v>
      </c>
      <c r="AC38" s="8">
        <f t="shared" si="5"/>
        <v>0</v>
      </c>
      <c r="AD38" s="8">
        <f t="shared" si="6"/>
        <v>0</v>
      </c>
      <c r="AE38" s="9" t="str" cm="1">
        <f t="array" ref="AE38">IFERROR(_xlfn.XLOOKUP(H38,Sheet1!$G:$G,Sheet1!$F:$F),IFERROR(_xlfn.XLOOKUP(1,(--($X$2:$X$1074=X38))*(--ISNUMBER(MATCH($H$2:$H$1074,Sheet1!$G:$G,0))),_xlfn.XLOOKUP($H$2:$H$1074,Sheet1!$G:$G,Sheet1!$F:$F,"")),"NOT FOUND"))</f>
        <v>GETKRTSFUT6203</v>
      </c>
      <c r="AF38" s="10" t="str">
        <f t="shared" si="7"/>
        <v>BLACK</v>
      </c>
      <c r="AG38" s="11" t="str">
        <f t="shared" si="8"/>
        <v>Bangalore</v>
      </c>
      <c r="AH38" s="9" t="str">
        <f>IF(OR(J38="",AE38="",AE38="NOT FOUND"),"",IF(Y38="RP",IFERROR(LEFT(_xlfn.XLOOKUP(AE38,Sheet1!$F:$F,Sheet1!$W:$W),FIND("-",_xlfn.XLOOKUP(AE38,Sheet1!$F:$F,Sheet1!$W:$W),FIND("-",_xlfn.XLOOKUP(AE38,Sheet1!$F:$F,Sheet1!$W:$W))+1))&amp;AE38,"NOT FOUND"),LEFT(J38,FIND("-",J38,FIND("-",J38)+1))&amp;AE38))</f>
        <v>KRTS-APWN26-GETKRTSFUT6203</v>
      </c>
    </row>
    <row r="39" spans="1:34" ht="15.75" customHeight="1" x14ac:dyDescent="0.2">
      <c r="A39" s="4" t="s">
        <v>30</v>
      </c>
      <c r="B39" s="4" t="s">
        <v>115</v>
      </c>
      <c r="C39" s="4" t="s">
        <v>64</v>
      </c>
      <c r="D39" s="4" t="s">
        <v>116</v>
      </c>
      <c r="E39" s="4" t="s">
        <v>34</v>
      </c>
      <c r="F39" s="4" t="s">
        <v>35</v>
      </c>
      <c r="G39" s="4" t="s">
        <v>47</v>
      </c>
      <c r="H39" s="4" t="s">
        <v>123</v>
      </c>
      <c r="I39" s="4" t="s">
        <v>124</v>
      </c>
      <c r="J39" s="4" t="s">
        <v>125</v>
      </c>
      <c r="L39" s="4" t="s">
        <v>40</v>
      </c>
      <c r="M39" s="4">
        <v>1</v>
      </c>
      <c r="N39" s="4">
        <v>257</v>
      </c>
      <c r="O39" s="4">
        <v>257</v>
      </c>
      <c r="P39" s="4" t="s">
        <v>41</v>
      </c>
      <c r="Q39" s="4">
        <v>319.7</v>
      </c>
      <c r="R39" s="4">
        <v>319.7</v>
      </c>
      <c r="S39" s="4">
        <v>4108.1499999999996</v>
      </c>
      <c r="T39" s="4">
        <v>82162.899999999994</v>
      </c>
      <c r="U39" s="4">
        <v>5</v>
      </c>
      <c r="V39" s="4" t="s">
        <v>42</v>
      </c>
      <c r="X39" s="7" t="str">
        <f t="shared" si="0"/>
        <v>441811105</v>
      </c>
      <c r="Y39" s="8" t="str">
        <f t="shared" si="1"/>
        <v>DC</v>
      </c>
      <c r="Z39" s="8">
        <f t="shared" si="2"/>
        <v>0</v>
      </c>
      <c r="AA39" s="8">
        <f t="shared" si="3"/>
        <v>257</v>
      </c>
      <c r="AB39" s="8">
        <f t="shared" si="4"/>
        <v>0</v>
      </c>
      <c r="AC39" s="8">
        <f t="shared" si="5"/>
        <v>0</v>
      </c>
      <c r="AD39" s="8">
        <f t="shared" si="6"/>
        <v>0</v>
      </c>
      <c r="AE39" s="9" t="str" cm="1">
        <f t="array" ref="AE39">IFERROR(_xlfn.XLOOKUP(H39,Sheet1!$G:$G,Sheet1!$F:$F),IFERROR(_xlfn.XLOOKUP(1,(--($X$2:$X$1074=X39))*(--ISNUMBER(MATCH($H$2:$H$1074,Sheet1!$G:$G,0))),_xlfn.XLOOKUP($H$2:$H$1074,Sheet1!$G:$G,Sheet1!$F:$F,"")),"NOT FOUND"))</f>
        <v>GETKRTSFUT6203</v>
      </c>
      <c r="AF39" s="10" t="str">
        <f t="shared" si="7"/>
        <v>BLACK</v>
      </c>
      <c r="AG39" s="11" t="str">
        <f t="shared" si="8"/>
        <v>Bangalore</v>
      </c>
      <c r="AH39" s="9" t="str">
        <f>IF(OR(J39="",AE39="",AE39="NOT FOUND"),"",IF(Y39="RP",IFERROR(LEFT(_xlfn.XLOOKUP(AE39,Sheet1!$F:$F,Sheet1!$W:$W),FIND("-",_xlfn.XLOOKUP(AE39,Sheet1!$F:$F,Sheet1!$W:$W),FIND("-",_xlfn.XLOOKUP(AE39,Sheet1!$F:$F,Sheet1!$W:$W))+1))&amp;AE39,"NOT FOUND"),LEFT(J39,FIND("-",J39,FIND("-",J39)+1))&amp;AE39))</f>
        <v>KRTS-APWN26-GETKRTSFUT6203</v>
      </c>
    </row>
    <row r="40" spans="1:34" ht="15.75" customHeight="1" x14ac:dyDescent="0.2">
      <c r="A40" s="4" t="s">
        <v>30</v>
      </c>
      <c r="B40" s="4" t="s">
        <v>115</v>
      </c>
      <c r="C40" s="4" t="s">
        <v>64</v>
      </c>
      <c r="D40" s="4" t="s">
        <v>116</v>
      </c>
      <c r="E40" s="4" t="s">
        <v>34</v>
      </c>
      <c r="F40" s="4" t="s">
        <v>35</v>
      </c>
      <c r="G40" s="4" t="s">
        <v>51</v>
      </c>
      <c r="H40" s="4" t="s">
        <v>126</v>
      </c>
      <c r="I40" s="4" t="s">
        <v>127</v>
      </c>
      <c r="J40" s="4" t="s">
        <v>128</v>
      </c>
      <c r="L40" s="4" t="s">
        <v>40</v>
      </c>
      <c r="M40" s="4">
        <v>1</v>
      </c>
      <c r="N40" s="4">
        <v>30</v>
      </c>
      <c r="O40" s="4">
        <v>30</v>
      </c>
      <c r="P40" s="4" t="s">
        <v>41</v>
      </c>
      <c r="Q40" s="4">
        <v>319.7</v>
      </c>
      <c r="R40" s="4">
        <v>319.7</v>
      </c>
      <c r="S40" s="4">
        <v>479.55</v>
      </c>
      <c r="T40" s="4">
        <v>9591</v>
      </c>
      <c r="U40" s="4">
        <v>5</v>
      </c>
      <c r="V40" s="4" t="s">
        <v>42</v>
      </c>
      <c r="X40" s="7" t="str">
        <f t="shared" si="0"/>
        <v>441811105</v>
      </c>
      <c r="Y40" s="8" t="str">
        <f t="shared" si="1"/>
        <v>DC</v>
      </c>
      <c r="Z40" s="8">
        <f t="shared" si="2"/>
        <v>30</v>
      </c>
      <c r="AA40" s="8">
        <f t="shared" si="3"/>
        <v>0</v>
      </c>
      <c r="AB40" s="8">
        <f t="shared" si="4"/>
        <v>0</v>
      </c>
      <c r="AC40" s="8">
        <f t="shared" si="5"/>
        <v>0</v>
      </c>
      <c r="AD40" s="8">
        <f t="shared" si="6"/>
        <v>0</v>
      </c>
      <c r="AE40" s="9" t="str" cm="1">
        <f t="array" ref="AE40">IFERROR(_xlfn.XLOOKUP(H40,Sheet1!$G:$G,Sheet1!$F:$F),IFERROR(_xlfn.XLOOKUP(1,(--($X$2:$X$1074=X40))*(--ISNUMBER(MATCH($H$2:$H$1074,Sheet1!$G:$G,0))),_xlfn.XLOOKUP($H$2:$H$1074,Sheet1!$G:$G,Sheet1!$F:$F,"")),"NOT FOUND"))</f>
        <v>GETKRTSFUT6203</v>
      </c>
      <c r="AF40" s="10" t="str">
        <f t="shared" si="7"/>
        <v>BLACK</v>
      </c>
      <c r="AG40" s="11" t="str">
        <f t="shared" si="8"/>
        <v>Bangalore</v>
      </c>
      <c r="AH40" s="9" t="str">
        <f>IF(OR(J40="",AE40="",AE40="NOT FOUND"),"",IF(Y40="RP",IFERROR(LEFT(_xlfn.XLOOKUP(AE40,Sheet1!$F:$F,Sheet1!$W:$W),FIND("-",_xlfn.XLOOKUP(AE40,Sheet1!$F:$F,Sheet1!$W:$W),FIND("-",_xlfn.XLOOKUP(AE40,Sheet1!$F:$F,Sheet1!$W:$W))+1))&amp;AE40,"NOT FOUND"),LEFT(J40,FIND("-",J40,FIND("-",J40)+1))&amp;AE40))</f>
        <v>KRTS-APWN26-GETKRTSFUT6203</v>
      </c>
    </row>
    <row r="41" spans="1:34" ht="15.75" customHeight="1" x14ac:dyDescent="0.2">
      <c r="A41" s="4" t="s">
        <v>30</v>
      </c>
      <c r="B41" s="4" t="s">
        <v>115</v>
      </c>
      <c r="C41" s="4" t="s">
        <v>64</v>
      </c>
      <c r="D41" s="4" t="s">
        <v>116</v>
      </c>
      <c r="E41" s="4" t="s">
        <v>34</v>
      </c>
      <c r="F41" s="4" t="s">
        <v>35</v>
      </c>
      <c r="G41" s="4" t="s">
        <v>55</v>
      </c>
      <c r="H41" s="4" t="s">
        <v>129</v>
      </c>
      <c r="I41" s="4" t="s">
        <v>130</v>
      </c>
      <c r="J41" s="4" t="s">
        <v>131</v>
      </c>
      <c r="L41" s="4" t="s">
        <v>40</v>
      </c>
      <c r="M41" s="4">
        <v>1</v>
      </c>
      <c r="N41" s="4">
        <v>217</v>
      </c>
      <c r="O41" s="4">
        <v>217</v>
      </c>
      <c r="P41" s="4" t="s">
        <v>41</v>
      </c>
      <c r="Q41" s="4">
        <v>319.7</v>
      </c>
      <c r="R41" s="4">
        <v>319.7</v>
      </c>
      <c r="S41" s="4">
        <v>3468.75</v>
      </c>
      <c r="T41" s="4">
        <v>69374.899999999994</v>
      </c>
      <c r="U41" s="4">
        <v>5</v>
      </c>
      <c r="V41" s="4" t="s">
        <v>42</v>
      </c>
      <c r="X41" s="7" t="str">
        <f t="shared" si="0"/>
        <v>441811105</v>
      </c>
      <c r="Y41" s="8" t="str">
        <f t="shared" si="1"/>
        <v>DC</v>
      </c>
      <c r="Z41" s="8">
        <f t="shared" si="2"/>
        <v>0</v>
      </c>
      <c r="AA41" s="8">
        <f t="shared" si="3"/>
        <v>0</v>
      </c>
      <c r="AB41" s="8">
        <f t="shared" si="4"/>
        <v>0</v>
      </c>
      <c r="AC41" s="8">
        <f t="shared" si="5"/>
        <v>217</v>
      </c>
      <c r="AD41" s="8">
        <f t="shared" si="6"/>
        <v>0</v>
      </c>
      <c r="AE41" s="9" t="str" cm="1">
        <f t="array" ref="AE41">IFERROR(_xlfn.XLOOKUP(H41,Sheet1!$G:$G,Sheet1!$F:$F),IFERROR(_xlfn.XLOOKUP(1,(--($X$2:$X$1074=X41))*(--ISNUMBER(MATCH($H$2:$H$1074,Sheet1!$G:$G,0))),_xlfn.XLOOKUP($H$2:$H$1074,Sheet1!$G:$G,Sheet1!$F:$F,"")),"NOT FOUND"))</f>
        <v>GETKRTSFUT6203</v>
      </c>
      <c r="AF41" s="10" t="str">
        <f t="shared" si="7"/>
        <v>BLACK</v>
      </c>
      <c r="AG41" s="11" t="str">
        <f t="shared" si="8"/>
        <v>Bangalore</v>
      </c>
      <c r="AH41" s="9" t="str">
        <f>IF(OR(J41="",AE41="",AE41="NOT FOUND"),"",IF(Y41="RP",IFERROR(LEFT(_xlfn.XLOOKUP(AE41,Sheet1!$F:$F,Sheet1!$W:$W),FIND("-",_xlfn.XLOOKUP(AE41,Sheet1!$F:$F,Sheet1!$W:$W),FIND("-",_xlfn.XLOOKUP(AE41,Sheet1!$F:$F,Sheet1!$W:$W))+1))&amp;AE41,"NOT FOUND"),LEFT(J41,FIND("-",J41,FIND("-",J41)+1))&amp;AE41))</f>
        <v>KRTS-APWN26-GETKRTSFUT6203</v>
      </c>
    </row>
    <row r="42" spans="1:34" ht="15.75" customHeight="1" x14ac:dyDescent="0.2">
      <c r="A42" s="4" t="s">
        <v>59</v>
      </c>
      <c r="B42" s="4" t="s">
        <v>132</v>
      </c>
      <c r="C42" s="4" t="s">
        <v>64</v>
      </c>
      <c r="D42" s="4" t="s">
        <v>81</v>
      </c>
      <c r="E42" s="4" t="s">
        <v>34</v>
      </c>
      <c r="F42" s="4" t="s">
        <v>35</v>
      </c>
      <c r="G42" s="4" t="s">
        <v>36</v>
      </c>
      <c r="H42" s="4" t="s">
        <v>82</v>
      </c>
      <c r="I42" s="4" t="s">
        <v>83</v>
      </c>
      <c r="J42" s="4" t="s">
        <v>84</v>
      </c>
      <c r="L42" s="4" t="s">
        <v>40</v>
      </c>
      <c r="M42" s="4">
        <v>1</v>
      </c>
      <c r="N42" s="4">
        <v>30</v>
      </c>
      <c r="O42" s="4">
        <v>30</v>
      </c>
      <c r="P42" s="4" t="s">
        <v>41</v>
      </c>
      <c r="Q42" s="4">
        <v>419.7</v>
      </c>
      <c r="R42" s="4">
        <v>419.7</v>
      </c>
      <c r="S42" s="4">
        <v>629.54999999999995</v>
      </c>
      <c r="T42" s="4">
        <v>12591</v>
      </c>
      <c r="U42" s="4">
        <v>5</v>
      </c>
      <c r="V42" s="4" t="s">
        <v>42</v>
      </c>
      <c r="X42" s="7" t="str">
        <f t="shared" si="0"/>
        <v>441811107</v>
      </c>
      <c r="Y42" s="8" t="str">
        <f t="shared" si="1"/>
        <v>DC</v>
      </c>
      <c r="Z42" s="8">
        <f t="shared" si="2"/>
        <v>0</v>
      </c>
      <c r="AA42" s="8">
        <f t="shared" si="3"/>
        <v>0</v>
      </c>
      <c r="AB42" s="8">
        <f t="shared" si="4"/>
        <v>0</v>
      </c>
      <c r="AC42" s="8">
        <f t="shared" si="5"/>
        <v>0</v>
      </c>
      <c r="AD42" s="8">
        <f t="shared" si="6"/>
        <v>30</v>
      </c>
      <c r="AE42" s="9" t="str" cm="1">
        <f t="array" ref="AE42">IFERROR(_xlfn.XLOOKUP(H42,Sheet1!$G:$G,Sheet1!$F:$F),IFERROR(_xlfn.XLOOKUP(1,(--($X$2:$X$1074=X42))*(--ISNUMBER(MATCH($H$2:$H$1074,Sheet1!$G:$G,0))),_xlfn.XLOOKUP($H$2:$H$1074,Sheet1!$G:$G,Sheet1!$F:$F,"")),"NOT FOUND"))</f>
        <v>GETKRTSFUT6205</v>
      </c>
      <c r="AF42" s="10" t="str">
        <f t="shared" si="7"/>
        <v>GREEN</v>
      </c>
      <c r="AG42" s="11" t="str">
        <f t="shared" si="8"/>
        <v>JHAJJAR</v>
      </c>
      <c r="AH42" s="9" t="str">
        <f>IF(OR(J42="",AE42="",AE42="NOT FOUND"),"",IF(Y42="RP",IFERROR(LEFT(_xlfn.XLOOKUP(AE42,Sheet1!$F:$F,Sheet1!$W:$W),FIND("-",_xlfn.XLOOKUP(AE42,Sheet1!$F:$F,Sheet1!$W:$W),FIND("-",_xlfn.XLOOKUP(AE42,Sheet1!$F:$F,Sheet1!$W:$W))+1))&amp;AE42,"NOT FOUND"),LEFT(J42,FIND("-",J42,FIND("-",J42)+1))&amp;AE42))</f>
        <v>KRTS-APWN26-GETKRTSFUT6205</v>
      </c>
    </row>
    <row r="43" spans="1:34" ht="15.75" customHeight="1" x14ac:dyDescent="0.2">
      <c r="A43" s="4" t="s">
        <v>59</v>
      </c>
      <c r="B43" s="4" t="s">
        <v>132</v>
      </c>
      <c r="C43" s="4" t="s">
        <v>64</v>
      </c>
      <c r="D43" s="4" t="s">
        <v>81</v>
      </c>
      <c r="E43" s="4" t="s">
        <v>34</v>
      </c>
      <c r="F43" s="4" t="s">
        <v>35</v>
      </c>
      <c r="G43" s="4" t="s">
        <v>43</v>
      </c>
      <c r="H43" s="4" t="s">
        <v>85</v>
      </c>
      <c r="I43" s="4" t="s">
        <v>86</v>
      </c>
      <c r="J43" s="4" t="s">
        <v>87</v>
      </c>
      <c r="L43" s="4" t="s">
        <v>40</v>
      </c>
      <c r="M43" s="4">
        <v>1</v>
      </c>
      <c r="N43" s="4">
        <v>113</v>
      </c>
      <c r="O43" s="4">
        <v>113</v>
      </c>
      <c r="P43" s="4" t="s">
        <v>41</v>
      </c>
      <c r="Q43" s="4">
        <v>419.7</v>
      </c>
      <c r="R43" s="4">
        <v>419.7</v>
      </c>
      <c r="S43" s="4">
        <v>2371.31</v>
      </c>
      <c r="T43" s="4">
        <v>47426.1</v>
      </c>
      <c r="U43" s="4">
        <v>5</v>
      </c>
      <c r="V43" s="4" t="s">
        <v>42</v>
      </c>
      <c r="X43" s="7" t="str">
        <f t="shared" si="0"/>
        <v>441811107</v>
      </c>
      <c r="Y43" s="8" t="str">
        <f t="shared" si="1"/>
        <v>DC</v>
      </c>
      <c r="Z43" s="8">
        <f t="shared" si="2"/>
        <v>0</v>
      </c>
      <c r="AA43" s="8">
        <f t="shared" si="3"/>
        <v>0</v>
      </c>
      <c r="AB43" s="8">
        <f t="shared" si="4"/>
        <v>113</v>
      </c>
      <c r="AC43" s="8">
        <f t="shared" si="5"/>
        <v>0</v>
      </c>
      <c r="AD43" s="8">
        <f t="shared" si="6"/>
        <v>0</v>
      </c>
      <c r="AE43" s="9" t="str" cm="1">
        <f t="array" ref="AE43">IFERROR(_xlfn.XLOOKUP(H43,Sheet1!$G:$G,Sheet1!$F:$F),IFERROR(_xlfn.XLOOKUP(1,(--($X$2:$X$1074=X43))*(--ISNUMBER(MATCH($H$2:$H$1074,Sheet1!$G:$G,0))),_xlfn.XLOOKUP($H$2:$H$1074,Sheet1!$G:$G,Sheet1!$F:$F,"")),"NOT FOUND"))</f>
        <v>GETKRTSFUT6205</v>
      </c>
      <c r="AF43" s="10" t="str">
        <f t="shared" si="7"/>
        <v>GREEN</v>
      </c>
      <c r="AG43" s="11" t="str">
        <f t="shared" si="8"/>
        <v>JHAJJAR</v>
      </c>
      <c r="AH43" s="9" t="str">
        <f>IF(OR(J43="",AE43="",AE43="NOT FOUND"),"",IF(Y43="RP",IFERROR(LEFT(_xlfn.XLOOKUP(AE43,Sheet1!$F:$F,Sheet1!$W:$W),FIND("-",_xlfn.XLOOKUP(AE43,Sheet1!$F:$F,Sheet1!$W:$W),FIND("-",_xlfn.XLOOKUP(AE43,Sheet1!$F:$F,Sheet1!$W:$W))+1))&amp;AE43,"NOT FOUND"),LEFT(J43,FIND("-",J43,FIND("-",J43)+1))&amp;AE43))</f>
        <v>KRTS-APWN26-GETKRTSFUT6205</v>
      </c>
    </row>
    <row r="44" spans="1:34" ht="15.75" customHeight="1" x14ac:dyDescent="0.2">
      <c r="A44" s="4" t="s">
        <v>59</v>
      </c>
      <c r="B44" s="4" t="s">
        <v>132</v>
      </c>
      <c r="C44" s="4" t="s">
        <v>64</v>
      </c>
      <c r="D44" s="4" t="s">
        <v>81</v>
      </c>
      <c r="E44" s="4" t="s">
        <v>34</v>
      </c>
      <c r="F44" s="4" t="s">
        <v>35</v>
      </c>
      <c r="G44" s="4" t="s">
        <v>47</v>
      </c>
      <c r="H44" s="4" t="s">
        <v>88</v>
      </c>
      <c r="I44" s="4" t="s">
        <v>89</v>
      </c>
      <c r="J44" s="4" t="s">
        <v>90</v>
      </c>
      <c r="L44" s="4" t="s">
        <v>40</v>
      </c>
      <c r="M44" s="4">
        <v>1</v>
      </c>
      <c r="N44" s="4">
        <v>113</v>
      </c>
      <c r="O44" s="4">
        <v>113</v>
      </c>
      <c r="P44" s="4" t="s">
        <v>41</v>
      </c>
      <c r="Q44" s="4">
        <v>419.7</v>
      </c>
      <c r="R44" s="4">
        <v>419.7</v>
      </c>
      <c r="S44" s="4">
        <v>2371.31</v>
      </c>
      <c r="T44" s="4">
        <v>47426.1</v>
      </c>
      <c r="U44" s="4">
        <v>5</v>
      </c>
      <c r="V44" s="4" t="s">
        <v>42</v>
      </c>
      <c r="X44" s="7" t="str">
        <f t="shared" si="0"/>
        <v>441811107</v>
      </c>
      <c r="Y44" s="8" t="str">
        <f t="shared" si="1"/>
        <v>DC</v>
      </c>
      <c r="Z44" s="8">
        <f t="shared" si="2"/>
        <v>0</v>
      </c>
      <c r="AA44" s="8">
        <f t="shared" si="3"/>
        <v>113</v>
      </c>
      <c r="AB44" s="8">
        <f t="shared" si="4"/>
        <v>0</v>
      </c>
      <c r="AC44" s="8">
        <f t="shared" si="5"/>
        <v>0</v>
      </c>
      <c r="AD44" s="8">
        <f t="shared" si="6"/>
        <v>0</v>
      </c>
      <c r="AE44" s="9" t="str" cm="1">
        <f t="array" ref="AE44">IFERROR(_xlfn.XLOOKUP(H44,Sheet1!$G:$G,Sheet1!$F:$F),IFERROR(_xlfn.XLOOKUP(1,(--($X$2:$X$1074=X44))*(--ISNUMBER(MATCH($H$2:$H$1074,Sheet1!$G:$G,0))),_xlfn.XLOOKUP($H$2:$H$1074,Sheet1!$G:$G,Sheet1!$F:$F,"")),"NOT FOUND"))</f>
        <v>GETKRTSFUT6205</v>
      </c>
      <c r="AF44" s="10" t="str">
        <f t="shared" si="7"/>
        <v>GREEN</v>
      </c>
      <c r="AG44" s="11" t="str">
        <f t="shared" si="8"/>
        <v>JHAJJAR</v>
      </c>
      <c r="AH44" s="9" t="str">
        <f>IF(OR(J44="",AE44="",AE44="NOT FOUND"),"",IF(Y44="RP",IFERROR(LEFT(_xlfn.XLOOKUP(AE44,Sheet1!$F:$F,Sheet1!$W:$W),FIND("-",_xlfn.XLOOKUP(AE44,Sheet1!$F:$F,Sheet1!$W:$W),FIND("-",_xlfn.XLOOKUP(AE44,Sheet1!$F:$F,Sheet1!$W:$W))+1))&amp;AE44,"NOT FOUND"),LEFT(J44,FIND("-",J44,FIND("-",J44)+1))&amp;AE44))</f>
        <v>KRTS-APWN26-GETKRTSFUT6205</v>
      </c>
    </row>
    <row r="45" spans="1:34" ht="15.75" customHeight="1" x14ac:dyDescent="0.2">
      <c r="A45" s="4" t="s">
        <v>59</v>
      </c>
      <c r="B45" s="4" t="s">
        <v>132</v>
      </c>
      <c r="C45" s="4" t="s">
        <v>64</v>
      </c>
      <c r="D45" s="4" t="s">
        <v>81</v>
      </c>
      <c r="E45" s="4" t="s">
        <v>34</v>
      </c>
      <c r="F45" s="4" t="s">
        <v>35</v>
      </c>
      <c r="G45" s="4" t="s">
        <v>51</v>
      </c>
      <c r="H45" s="4" t="s">
        <v>91</v>
      </c>
      <c r="I45" s="4" t="s">
        <v>92</v>
      </c>
      <c r="J45" s="4" t="s">
        <v>93</v>
      </c>
      <c r="L45" s="4" t="s">
        <v>40</v>
      </c>
      <c r="M45" s="4">
        <v>1</v>
      </c>
      <c r="N45" s="4">
        <v>30</v>
      </c>
      <c r="O45" s="4">
        <v>30</v>
      </c>
      <c r="P45" s="4" t="s">
        <v>41</v>
      </c>
      <c r="Q45" s="4">
        <v>419.7</v>
      </c>
      <c r="R45" s="4">
        <v>419.7</v>
      </c>
      <c r="S45" s="4">
        <v>629.54999999999995</v>
      </c>
      <c r="T45" s="4">
        <v>12591</v>
      </c>
      <c r="U45" s="4">
        <v>5</v>
      </c>
      <c r="V45" s="4" t="s">
        <v>42</v>
      </c>
      <c r="X45" s="7" t="str">
        <f t="shared" si="0"/>
        <v>441811107</v>
      </c>
      <c r="Y45" s="8" t="str">
        <f t="shared" si="1"/>
        <v>DC</v>
      </c>
      <c r="Z45" s="8">
        <f t="shared" si="2"/>
        <v>30</v>
      </c>
      <c r="AA45" s="8">
        <f t="shared" si="3"/>
        <v>0</v>
      </c>
      <c r="AB45" s="8">
        <f t="shared" si="4"/>
        <v>0</v>
      </c>
      <c r="AC45" s="8">
        <f t="shared" si="5"/>
        <v>0</v>
      </c>
      <c r="AD45" s="8">
        <f t="shared" si="6"/>
        <v>0</v>
      </c>
      <c r="AE45" s="9" t="str" cm="1">
        <f t="array" ref="AE45">IFERROR(_xlfn.XLOOKUP(H45,Sheet1!$G:$G,Sheet1!$F:$F),IFERROR(_xlfn.XLOOKUP(1,(--($X$2:$X$1074=X45))*(--ISNUMBER(MATCH($H$2:$H$1074,Sheet1!$G:$G,0))),_xlfn.XLOOKUP($H$2:$H$1074,Sheet1!$G:$G,Sheet1!$F:$F,"")),"NOT FOUND"))</f>
        <v>GETKRTSFUT6205</v>
      </c>
      <c r="AF45" s="10" t="str">
        <f t="shared" si="7"/>
        <v>GREEN</v>
      </c>
      <c r="AG45" s="11" t="str">
        <f t="shared" si="8"/>
        <v>JHAJJAR</v>
      </c>
      <c r="AH45" s="9" t="str">
        <f>IF(OR(J45="",AE45="",AE45="NOT FOUND"),"",IF(Y45="RP",IFERROR(LEFT(_xlfn.XLOOKUP(AE45,Sheet1!$F:$F,Sheet1!$W:$W),FIND("-",_xlfn.XLOOKUP(AE45,Sheet1!$F:$F,Sheet1!$W:$W),FIND("-",_xlfn.XLOOKUP(AE45,Sheet1!$F:$F,Sheet1!$W:$W))+1))&amp;AE45,"NOT FOUND"),LEFT(J45,FIND("-",J45,FIND("-",J45)+1))&amp;AE45))</f>
        <v>KRTS-APWN26-GETKRTSFUT6205</v>
      </c>
    </row>
    <row r="46" spans="1:34" ht="15.75" customHeight="1" x14ac:dyDescent="0.2">
      <c r="A46" s="4" t="s">
        <v>59</v>
      </c>
      <c r="B46" s="4" t="s">
        <v>132</v>
      </c>
      <c r="C46" s="4" t="s">
        <v>64</v>
      </c>
      <c r="D46" s="4" t="s">
        <v>81</v>
      </c>
      <c r="E46" s="4" t="s">
        <v>34</v>
      </c>
      <c r="F46" s="4" t="s">
        <v>35</v>
      </c>
      <c r="G46" s="4" t="s">
        <v>55</v>
      </c>
      <c r="H46" s="4" t="s">
        <v>94</v>
      </c>
      <c r="I46" s="4" t="s">
        <v>95</v>
      </c>
      <c r="J46" s="4" t="s">
        <v>96</v>
      </c>
      <c r="L46" s="4" t="s">
        <v>40</v>
      </c>
      <c r="M46" s="4">
        <v>1</v>
      </c>
      <c r="N46" s="4">
        <v>95</v>
      </c>
      <c r="O46" s="4">
        <v>95</v>
      </c>
      <c r="P46" s="4" t="s">
        <v>41</v>
      </c>
      <c r="Q46" s="4">
        <v>419.7</v>
      </c>
      <c r="R46" s="4">
        <v>419.7</v>
      </c>
      <c r="S46" s="4">
        <v>1993.58</v>
      </c>
      <c r="T46" s="4">
        <v>39871.5</v>
      </c>
      <c r="U46" s="4">
        <v>5</v>
      </c>
      <c r="V46" s="4" t="s">
        <v>42</v>
      </c>
      <c r="X46" s="7" t="str">
        <f t="shared" si="0"/>
        <v>441811107</v>
      </c>
      <c r="Y46" s="8" t="str">
        <f t="shared" si="1"/>
        <v>DC</v>
      </c>
      <c r="Z46" s="8">
        <f t="shared" si="2"/>
        <v>0</v>
      </c>
      <c r="AA46" s="8">
        <f t="shared" si="3"/>
        <v>0</v>
      </c>
      <c r="AB46" s="8">
        <f t="shared" si="4"/>
        <v>0</v>
      </c>
      <c r="AC46" s="8">
        <f t="shared" si="5"/>
        <v>95</v>
      </c>
      <c r="AD46" s="8">
        <f t="shared" si="6"/>
        <v>0</v>
      </c>
      <c r="AE46" s="9" t="str" cm="1">
        <f t="array" ref="AE46">IFERROR(_xlfn.XLOOKUP(H46,Sheet1!$G:$G,Sheet1!$F:$F),IFERROR(_xlfn.XLOOKUP(1,(--($X$2:$X$1074=X46))*(--ISNUMBER(MATCH($H$2:$H$1074,Sheet1!$G:$G,0))),_xlfn.XLOOKUP($H$2:$H$1074,Sheet1!$G:$G,Sheet1!$F:$F,"")),"NOT FOUND"))</f>
        <v>GETKRTSFUT6205</v>
      </c>
      <c r="AF46" s="10" t="str">
        <f t="shared" si="7"/>
        <v>GREEN</v>
      </c>
      <c r="AG46" s="11" t="str">
        <f t="shared" si="8"/>
        <v>JHAJJAR</v>
      </c>
      <c r="AH46" s="9" t="str">
        <f>IF(OR(J46="",AE46="",AE46="NOT FOUND"),"",IF(Y46="RP",IFERROR(LEFT(_xlfn.XLOOKUP(AE46,Sheet1!$F:$F,Sheet1!$W:$W),FIND("-",_xlfn.XLOOKUP(AE46,Sheet1!$F:$F,Sheet1!$W:$W),FIND("-",_xlfn.XLOOKUP(AE46,Sheet1!$F:$F,Sheet1!$W:$W))+1))&amp;AE46,"NOT FOUND"),LEFT(J46,FIND("-",J46,FIND("-",J46)+1))&amp;AE46))</f>
        <v>KRTS-APWN26-GETKRTSFUT6205</v>
      </c>
    </row>
    <row r="47" spans="1:34" ht="15.75" customHeight="1" x14ac:dyDescent="0.2">
      <c r="A47" s="4" t="s">
        <v>59</v>
      </c>
      <c r="B47" s="4" t="s">
        <v>133</v>
      </c>
      <c r="C47" s="4" t="s">
        <v>64</v>
      </c>
      <c r="D47" s="4" t="s">
        <v>98</v>
      </c>
      <c r="E47" s="4" t="s">
        <v>34</v>
      </c>
      <c r="F47" s="4" t="s">
        <v>35</v>
      </c>
      <c r="G47" s="4" t="s">
        <v>36</v>
      </c>
      <c r="H47" s="4" t="s">
        <v>99</v>
      </c>
      <c r="I47" s="4" t="s">
        <v>100</v>
      </c>
      <c r="J47" s="4" t="s">
        <v>101</v>
      </c>
      <c r="L47" s="4" t="s">
        <v>40</v>
      </c>
      <c r="M47" s="4">
        <v>1</v>
      </c>
      <c r="N47" s="4">
        <v>30</v>
      </c>
      <c r="O47" s="4">
        <v>30</v>
      </c>
      <c r="P47" s="4" t="s">
        <v>41</v>
      </c>
      <c r="Q47" s="4">
        <v>314.7</v>
      </c>
      <c r="R47" s="4">
        <v>314.7</v>
      </c>
      <c r="S47" s="4">
        <v>472.05</v>
      </c>
      <c r="T47" s="4">
        <v>9441</v>
      </c>
      <c r="U47" s="4">
        <v>5</v>
      </c>
      <c r="V47" s="4" t="s">
        <v>42</v>
      </c>
      <c r="X47" s="7" t="str">
        <f t="shared" si="0"/>
        <v>441811106</v>
      </c>
      <c r="Y47" s="8" t="str">
        <f t="shared" si="1"/>
        <v>DC</v>
      </c>
      <c r="Z47" s="8">
        <f t="shared" si="2"/>
        <v>0</v>
      </c>
      <c r="AA47" s="8">
        <f t="shared" si="3"/>
        <v>0</v>
      </c>
      <c r="AB47" s="8">
        <f t="shared" si="4"/>
        <v>0</v>
      </c>
      <c r="AC47" s="8">
        <f t="shared" si="5"/>
        <v>0</v>
      </c>
      <c r="AD47" s="8">
        <f t="shared" si="6"/>
        <v>30</v>
      </c>
      <c r="AE47" s="9" t="str" cm="1">
        <f t="array" ref="AE47">IFERROR(_xlfn.XLOOKUP(H47,Sheet1!$G:$G,Sheet1!$F:$F),IFERROR(_xlfn.XLOOKUP(1,(--($X$2:$X$1074=X47))*(--ISNUMBER(MATCH($H$2:$H$1074,Sheet1!$G:$G,0))),_xlfn.XLOOKUP($H$2:$H$1074,Sheet1!$G:$G,Sheet1!$F:$F,"")),"NOT FOUND"))</f>
        <v>GETKRTSFUT6204</v>
      </c>
      <c r="AF47" s="10" t="str">
        <f t="shared" si="7"/>
        <v>GREEN</v>
      </c>
      <c r="AG47" s="11" t="str">
        <f t="shared" si="8"/>
        <v>JHAJJAR</v>
      </c>
      <c r="AH47" s="9" t="str">
        <f>IF(OR(J47="",AE47="",AE47="NOT FOUND"),"",IF(Y47="RP",IFERROR(LEFT(_xlfn.XLOOKUP(AE47,Sheet1!$F:$F,Sheet1!$W:$W),FIND("-",_xlfn.XLOOKUP(AE47,Sheet1!$F:$F,Sheet1!$W:$W),FIND("-",_xlfn.XLOOKUP(AE47,Sheet1!$F:$F,Sheet1!$W:$W))+1))&amp;AE47,"NOT FOUND"),LEFT(J47,FIND("-",J47,FIND("-",J47)+1))&amp;AE47))</f>
        <v>KRTS-APWN26-GETKRTSFUT6204</v>
      </c>
    </row>
    <row r="48" spans="1:34" ht="15.75" customHeight="1" x14ac:dyDescent="0.2">
      <c r="A48" s="4" t="s">
        <v>59</v>
      </c>
      <c r="B48" s="4" t="s">
        <v>133</v>
      </c>
      <c r="C48" s="4" t="s">
        <v>64</v>
      </c>
      <c r="D48" s="4" t="s">
        <v>98</v>
      </c>
      <c r="E48" s="4" t="s">
        <v>34</v>
      </c>
      <c r="F48" s="4" t="s">
        <v>35</v>
      </c>
      <c r="G48" s="4" t="s">
        <v>43</v>
      </c>
      <c r="H48" s="4" t="s">
        <v>102</v>
      </c>
      <c r="I48" s="4" t="s">
        <v>103</v>
      </c>
      <c r="J48" s="4" t="s">
        <v>104</v>
      </c>
      <c r="L48" s="4" t="s">
        <v>40</v>
      </c>
      <c r="M48" s="4">
        <v>1</v>
      </c>
      <c r="N48" s="4">
        <v>156</v>
      </c>
      <c r="O48" s="4">
        <v>156</v>
      </c>
      <c r="P48" s="4" t="s">
        <v>41</v>
      </c>
      <c r="Q48" s="4">
        <v>314.7</v>
      </c>
      <c r="R48" s="4">
        <v>314.7</v>
      </c>
      <c r="S48" s="4">
        <v>2454.66</v>
      </c>
      <c r="T48" s="4">
        <v>49093.2</v>
      </c>
      <c r="U48" s="4">
        <v>5</v>
      </c>
      <c r="V48" s="4" t="s">
        <v>42</v>
      </c>
      <c r="X48" s="7" t="str">
        <f t="shared" si="0"/>
        <v>441811106</v>
      </c>
      <c r="Y48" s="8" t="str">
        <f t="shared" si="1"/>
        <v>DC</v>
      </c>
      <c r="Z48" s="8">
        <f t="shared" si="2"/>
        <v>0</v>
      </c>
      <c r="AA48" s="8">
        <f t="shared" si="3"/>
        <v>0</v>
      </c>
      <c r="AB48" s="8">
        <f t="shared" si="4"/>
        <v>156</v>
      </c>
      <c r="AC48" s="8">
        <f t="shared" si="5"/>
        <v>0</v>
      </c>
      <c r="AD48" s="8">
        <f t="shared" si="6"/>
        <v>0</v>
      </c>
      <c r="AE48" s="9" t="str" cm="1">
        <f t="array" ref="AE48">IFERROR(_xlfn.XLOOKUP(H48,Sheet1!$G:$G,Sheet1!$F:$F),IFERROR(_xlfn.XLOOKUP(1,(--($X$2:$X$1074=X48))*(--ISNUMBER(MATCH($H$2:$H$1074,Sheet1!$G:$G,0))),_xlfn.XLOOKUP($H$2:$H$1074,Sheet1!$G:$G,Sheet1!$F:$F,"")),"NOT FOUND"))</f>
        <v>GETKRTSFUT6204</v>
      </c>
      <c r="AF48" s="10" t="str">
        <f t="shared" si="7"/>
        <v>GREEN</v>
      </c>
      <c r="AG48" s="11" t="str">
        <f t="shared" si="8"/>
        <v>JHAJJAR</v>
      </c>
      <c r="AH48" s="9" t="str">
        <f>IF(OR(J48="",AE48="",AE48="NOT FOUND"),"",IF(Y48="RP",IFERROR(LEFT(_xlfn.XLOOKUP(AE48,Sheet1!$F:$F,Sheet1!$W:$W),FIND("-",_xlfn.XLOOKUP(AE48,Sheet1!$F:$F,Sheet1!$W:$W),FIND("-",_xlfn.XLOOKUP(AE48,Sheet1!$F:$F,Sheet1!$W:$W))+1))&amp;AE48,"NOT FOUND"),LEFT(J48,FIND("-",J48,FIND("-",J48)+1))&amp;AE48))</f>
        <v>KRTS-APWN26-GETKRTSFUT6204</v>
      </c>
    </row>
    <row r="49" spans="1:34" ht="15.75" customHeight="1" x14ac:dyDescent="0.2">
      <c r="A49" s="4" t="s">
        <v>59</v>
      </c>
      <c r="B49" s="4" t="s">
        <v>133</v>
      </c>
      <c r="C49" s="4" t="s">
        <v>64</v>
      </c>
      <c r="D49" s="4" t="s">
        <v>98</v>
      </c>
      <c r="E49" s="4" t="s">
        <v>34</v>
      </c>
      <c r="F49" s="4" t="s">
        <v>35</v>
      </c>
      <c r="G49" s="4" t="s">
        <v>47</v>
      </c>
      <c r="H49" s="4" t="s">
        <v>105</v>
      </c>
      <c r="I49" s="4" t="s">
        <v>106</v>
      </c>
      <c r="J49" s="4" t="s">
        <v>107</v>
      </c>
      <c r="L49" s="4" t="s">
        <v>40</v>
      </c>
      <c r="M49" s="4">
        <v>1</v>
      </c>
      <c r="N49" s="4">
        <v>156</v>
      </c>
      <c r="O49" s="4">
        <v>156</v>
      </c>
      <c r="P49" s="4" t="s">
        <v>41</v>
      </c>
      <c r="Q49" s="4">
        <v>314.7</v>
      </c>
      <c r="R49" s="4">
        <v>314.7</v>
      </c>
      <c r="S49" s="4">
        <v>2454.66</v>
      </c>
      <c r="T49" s="4">
        <v>49093.2</v>
      </c>
      <c r="U49" s="4">
        <v>5</v>
      </c>
      <c r="V49" s="4" t="s">
        <v>42</v>
      </c>
      <c r="X49" s="7" t="str">
        <f t="shared" si="0"/>
        <v>441811106</v>
      </c>
      <c r="Y49" s="8" t="str">
        <f t="shared" si="1"/>
        <v>DC</v>
      </c>
      <c r="Z49" s="8">
        <f t="shared" si="2"/>
        <v>0</v>
      </c>
      <c r="AA49" s="8">
        <f t="shared" si="3"/>
        <v>156</v>
      </c>
      <c r="AB49" s="8">
        <f t="shared" si="4"/>
        <v>0</v>
      </c>
      <c r="AC49" s="8">
        <f t="shared" si="5"/>
        <v>0</v>
      </c>
      <c r="AD49" s="8">
        <f t="shared" si="6"/>
        <v>0</v>
      </c>
      <c r="AE49" s="9" t="str" cm="1">
        <f t="array" ref="AE49">IFERROR(_xlfn.XLOOKUP(H49,Sheet1!$G:$G,Sheet1!$F:$F),IFERROR(_xlfn.XLOOKUP(1,(--($X$2:$X$1074=X49))*(--ISNUMBER(MATCH($H$2:$H$1074,Sheet1!$G:$G,0))),_xlfn.XLOOKUP($H$2:$H$1074,Sheet1!$G:$G,Sheet1!$F:$F,"")),"NOT FOUND"))</f>
        <v>GETKRTSFUT6204</v>
      </c>
      <c r="AF49" s="10" t="str">
        <f t="shared" si="7"/>
        <v>GREEN</v>
      </c>
      <c r="AG49" s="11" t="str">
        <f t="shared" si="8"/>
        <v>JHAJJAR</v>
      </c>
      <c r="AH49" s="9" t="str">
        <f>IF(OR(J49="",AE49="",AE49="NOT FOUND"),"",IF(Y49="RP",IFERROR(LEFT(_xlfn.XLOOKUP(AE49,Sheet1!$F:$F,Sheet1!$W:$W),FIND("-",_xlfn.XLOOKUP(AE49,Sheet1!$F:$F,Sheet1!$W:$W),FIND("-",_xlfn.XLOOKUP(AE49,Sheet1!$F:$F,Sheet1!$W:$W))+1))&amp;AE49,"NOT FOUND"),LEFT(J49,FIND("-",J49,FIND("-",J49)+1))&amp;AE49))</f>
        <v>KRTS-APWN26-GETKRTSFUT6204</v>
      </c>
    </row>
    <row r="50" spans="1:34" ht="15.75" customHeight="1" x14ac:dyDescent="0.2">
      <c r="A50" s="4" t="s">
        <v>59</v>
      </c>
      <c r="B50" s="4" t="s">
        <v>133</v>
      </c>
      <c r="C50" s="4" t="s">
        <v>64</v>
      </c>
      <c r="D50" s="4" t="s">
        <v>98</v>
      </c>
      <c r="E50" s="4" t="s">
        <v>34</v>
      </c>
      <c r="F50" s="4" t="s">
        <v>35</v>
      </c>
      <c r="G50" s="4" t="s">
        <v>51</v>
      </c>
      <c r="H50" s="4" t="s">
        <v>108</v>
      </c>
      <c r="I50" s="4" t="s">
        <v>109</v>
      </c>
      <c r="J50" s="4" t="s">
        <v>110</v>
      </c>
      <c r="L50" s="4" t="s">
        <v>40</v>
      </c>
      <c r="M50" s="4">
        <v>1</v>
      </c>
      <c r="N50" s="4">
        <v>30</v>
      </c>
      <c r="O50" s="4">
        <v>30</v>
      </c>
      <c r="P50" s="4" t="s">
        <v>41</v>
      </c>
      <c r="Q50" s="4">
        <v>314.7</v>
      </c>
      <c r="R50" s="4">
        <v>314.7</v>
      </c>
      <c r="S50" s="4">
        <v>472.05</v>
      </c>
      <c r="T50" s="4">
        <v>9441</v>
      </c>
      <c r="U50" s="4">
        <v>5</v>
      </c>
      <c r="V50" s="4" t="s">
        <v>42</v>
      </c>
      <c r="X50" s="7" t="str">
        <f t="shared" si="0"/>
        <v>441811106</v>
      </c>
      <c r="Y50" s="8" t="str">
        <f t="shared" si="1"/>
        <v>DC</v>
      </c>
      <c r="Z50" s="8">
        <f t="shared" si="2"/>
        <v>30</v>
      </c>
      <c r="AA50" s="8">
        <f t="shared" si="3"/>
        <v>0</v>
      </c>
      <c r="AB50" s="8">
        <f t="shared" si="4"/>
        <v>0</v>
      </c>
      <c r="AC50" s="8">
        <f t="shared" si="5"/>
        <v>0</v>
      </c>
      <c r="AD50" s="8">
        <f t="shared" si="6"/>
        <v>0</v>
      </c>
      <c r="AE50" s="9" t="str" cm="1">
        <f t="array" ref="AE50">IFERROR(_xlfn.XLOOKUP(H50,Sheet1!$G:$G,Sheet1!$F:$F),IFERROR(_xlfn.XLOOKUP(1,(--($X$2:$X$1074=X50))*(--ISNUMBER(MATCH($H$2:$H$1074,Sheet1!$G:$G,0))),_xlfn.XLOOKUP($H$2:$H$1074,Sheet1!$G:$G,Sheet1!$F:$F,"")),"NOT FOUND"))</f>
        <v>GETKRTSFUT6204</v>
      </c>
      <c r="AF50" s="10" t="str">
        <f t="shared" si="7"/>
        <v>GREEN</v>
      </c>
      <c r="AG50" s="11" t="str">
        <f t="shared" si="8"/>
        <v>JHAJJAR</v>
      </c>
      <c r="AH50" s="9" t="str">
        <f>IF(OR(J50="",AE50="",AE50="NOT FOUND"),"",IF(Y50="RP",IFERROR(LEFT(_xlfn.XLOOKUP(AE50,Sheet1!$F:$F,Sheet1!$W:$W),FIND("-",_xlfn.XLOOKUP(AE50,Sheet1!$F:$F,Sheet1!$W:$W),FIND("-",_xlfn.XLOOKUP(AE50,Sheet1!$F:$F,Sheet1!$W:$W))+1))&amp;AE50,"NOT FOUND"),LEFT(J50,FIND("-",J50,FIND("-",J50)+1))&amp;AE50))</f>
        <v>KRTS-APWN26-GETKRTSFUT6204</v>
      </c>
    </row>
    <row r="51" spans="1:34" ht="15.75" customHeight="1" x14ac:dyDescent="0.2">
      <c r="A51" s="4" t="s">
        <v>59</v>
      </c>
      <c r="B51" s="4" t="s">
        <v>133</v>
      </c>
      <c r="C51" s="4" t="s">
        <v>64</v>
      </c>
      <c r="D51" s="4" t="s">
        <v>98</v>
      </c>
      <c r="E51" s="4" t="s">
        <v>34</v>
      </c>
      <c r="F51" s="4" t="s">
        <v>35</v>
      </c>
      <c r="G51" s="4" t="s">
        <v>55</v>
      </c>
      <c r="H51" s="4" t="s">
        <v>111</v>
      </c>
      <c r="I51" s="4" t="s">
        <v>112</v>
      </c>
      <c r="J51" s="4" t="s">
        <v>113</v>
      </c>
      <c r="L51" s="4" t="s">
        <v>40</v>
      </c>
      <c r="M51" s="4">
        <v>1</v>
      </c>
      <c r="N51" s="4">
        <v>132</v>
      </c>
      <c r="O51" s="4">
        <v>132</v>
      </c>
      <c r="P51" s="4" t="s">
        <v>41</v>
      </c>
      <c r="Q51" s="4">
        <v>314.7</v>
      </c>
      <c r="R51" s="4">
        <v>314.7</v>
      </c>
      <c r="S51" s="4">
        <v>2077.02</v>
      </c>
      <c r="T51" s="4">
        <v>41540.400000000001</v>
      </c>
      <c r="U51" s="4">
        <v>5</v>
      </c>
      <c r="V51" s="4" t="s">
        <v>42</v>
      </c>
      <c r="X51" s="7" t="str">
        <f t="shared" si="0"/>
        <v>441811106</v>
      </c>
      <c r="Y51" s="8" t="str">
        <f t="shared" si="1"/>
        <v>DC</v>
      </c>
      <c r="Z51" s="8">
        <f t="shared" si="2"/>
        <v>0</v>
      </c>
      <c r="AA51" s="8">
        <f t="shared" si="3"/>
        <v>0</v>
      </c>
      <c r="AB51" s="8">
        <f t="shared" si="4"/>
        <v>0</v>
      </c>
      <c r="AC51" s="8">
        <f t="shared" si="5"/>
        <v>132</v>
      </c>
      <c r="AD51" s="8">
        <f t="shared" si="6"/>
        <v>0</v>
      </c>
      <c r="AE51" s="9" t="str" cm="1">
        <f t="array" ref="AE51">IFERROR(_xlfn.XLOOKUP(H51,Sheet1!$G:$G,Sheet1!$F:$F),IFERROR(_xlfn.XLOOKUP(1,(--($X$2:$X$1074=X51))*(--ISNUMBER(MATCH($H$2:$H$1074,Sheet1!$G:$G,0))),_xlfn.XLOOKUP($H$2:$H$1074,Sheet1!$G:$G,Sheet1!$F:$F,"")),"NOT FOUND"))</f>
        <v>GETKRTSFUT6204</v>
      </c>
      <c r="AF51" s="10" t="str">
        <f t="shared" si="7"/>
        <v>GREEN</v>
      </c>
      <c r="AG51" s="11" t="str">
        <f t="shared" si="8"/>
        <v>JHAJJAR</v>
      </c>
      <c r="AH51" s="9" t="str">
        <f>IF(OR(J51="",AE51="",AE51="NOT FOUND"),"",IF(Y51="RP",IFERROR(LEFT(_xlfn.XLOOKUP(AE51,Sheet1!$F:$F,Sheet1!$W:$W),FIND("-",_xlfn.XLOOKUP(AE51,Sheet1!$F:$F,Sheet1!$W:$W),FIND("-",_xlfn.XLOOKUP(AE51,Sheet1!$F:$F,Sheet1!$W:$W))+1))&amp;AE51,"NOT FOUND"),LEFT(J51,FIND("-",J51,FIND("-",J51)+1))&amp;AE51))</f>
        <v>KRTS-APWN26-GETKRTSFUT6204</v>
      </c>
    </row>
    <row r="52" spans="1:34" ht="15.75" customHeight="1" x14ac:dyDescent="0.2">
      <c r="A52" s="4" t="s">
        <v>30</v>
      </c>
      <c r="B52" s="4" t="s">
        <v>134</v>
      </c>
      <c r="C52" s="4" t="s">
        <v>64</v>
      </c>
      <c r="D52" s="4" t="s">
        <v>81</v>
      </c>
      <c r="E52" s="4" t="s">
        <v>34</v>
      </c>
      <c r="F52" s="4" t="s">
        <v>35</v>
      </c>
      <c r="G52" s="4" t="s">
        <v>36</v>
      </c>
      <c r="H52" s="4" t="s">
        <v>135</v>
      </c>
      <c r="I52" s="4" t="s">
        <v>136</v>
      </c>
      <c r="J52" s="4" t="s">
        <v>137</v>
      </c>
      <c r="L52" s="4" t="s">
        <v>40</v>
      </c>
      <c r="M52" s="4">
        <v>1</v>
      </c>
      <c r="N52" s="4">
        <v>30</v>
      </c>
      <c r="O52" s="4">
        <v>30</v>
      </c>
      <c r="P52" s="4" t="s">
        <v>41</v>
      </c>
      <c r="Q52" s="4">
        <v>394.7</v>
      </c>
      <c r="R52" s="4">
        <v>394.7</v>
      </c>
      <c r="S52" s="4">
        <v>592.04999999999995</v>
      </c>
      <c r="T52" s="4">
        <v>11841</v>
      </c>
      <c r="U52" s="4">
        <v>5</v>
      </c>
      <c r="V52" s="4" t="s">
        <v>42</v>
      </c>
      <c r="X52" s="7" t="str">
        <f t="shared" si="0"/>
        <v>441811104</v>
      </c>
      <c r="Y52" s="8" t="str">
        <f t="shared" si="1"/>
        <v>DC</v>
      </c>
      <c r="Z52" s="8">
        <f t="shared" si="2"/>
        <v>0</v>
      </c>
      <c r="AA52" s="8">
        <f t="shared" si="3"/>
        <v>0</v>
      </c>
      <c r="AB52" s="8">
        <f t="shared" si="4"/>
        <v>0</v>
      </c>
      <c r="AC52" s="8">
        <f t="shared" si="5"/>
        <v>0</v>
      </c>
      <c r="AD52" s="8">
        <f t="shared" si="6"/>
        <v>30</v>
      </c>
      <c r="AE52" s="9" t="str" cm="1">
        <f t="array" ref="AE52">IFERROR(_xlfn.XLOOKUP(H52,Sheet1!$G:$G,Sheet1!$F:$F),IFERROR(_xlfn.XLOOKUP(1,(--($X$2:$X$1074=X52))*(--ISNUMBER(MATCH($H$2:$H$1074,Sheet1!$G:$G,0))),_xlfn.XLOOKUP($H$2:$H$1074,Sheet1!$G:$G,Sheet1!$F:$F,"")),"NOT FOUND"))</f>
        <v>GETKRTSFUT6202</v>
      </c>
      <c r="AF52" s="10" t="str">
        <f t="shared" si="7"/>
        <v>NAVY</v>
      </c>
      <c r="AG52" s="11" t="str">
        <f t="shared" si="8"/>
        <v>Bangalore</v>
      </c>
      <c r="AH52" s="9" t="str">
        <f>IF(OR(J52="",AE52="",AE52="NOT FOUND"),"",IF(Y52="RP",IFERROR(LEFT(_xlfn.XLOOKUP(AE52,Sheet1!$F:$F,Sheet1!$W:$W),FIND("-",_xlfn.XLOOKUP(AE52,Sheet1!$F:$F,Sheet1!$W:$W),FIND("-",_xlfn.XLOOKUP(AE52,Sheet1!$F:$F,Sheet1!$W:$W))+1))&amp;AE52,"NOT FOUND"),LEFT(J52,FIND("-",J52,FIND("-",J52)+1))&amp;AE52))</f>
        <v>KRTS-APWN26-GETKRTSFUT6202</v>
      </c>
    </row>
    <row r="53" spans="1:34" ht="15.75" customHeight="1" x14ac:dyDescent="0.2">
      <c r="A53" s="4" t="s">
        <v>30</v>
      </c>
      <c r="B53" s="4" t="s">
        <v>134</v>
      </c>
      <c r="C53" s="4" t="s">
        <v>64</v>
      </c>
      <c r="D53" s="4" t="s">
        <v>81</v>
      </c>
      <c r="E53" s="4" t="s">
        <v>34</v>
      </c>
      <c r="F53" s="4" t="s">
        <v>35</v>
      </c>
      <c r="G53" s="4" t="s">
        <v>43</v>
      </c>
      <c r="H53" s="4" t="s">
        <v>138</v>
      </c>
      <c r="I53" s="4" t="s">
        <v>139</v>
      </c>
      <c r="J53" s="4" t="s">
        <v>140</v>
      </c>
      <c r="L53" s="4" t="s">
        <v>40</v>
      </c>
      <c r="M53" s="4">
        <v>1</v>
      </c>
      <c r="N53" s="4">
        <v>187</v>
      </c>
      <c r="O53" s="4">
        <v>187</v>
      </c>
      <c r="P53" s="4" t="s">
        <v>41</v>
      </c>
      <c r="Q53" s="4">
        <v>394.7</v>
      </c>
      <c r="R53" s="4">
        <v>394.7</v>
      </c>
      <c r="S53" s="4">
        <v>3690.45</v>
      </c>
      <c r="T53" s="4">
        <v>73808.899999999994</v>
      </c>
      <c r="U53" s="4">
        <v>5</v>
      </c>
      <c r="V53" s="4" t="s">
        <v>42</v>
      </c>
      <c r="X53" s="7" t="str">
        <f t="shared" si="0"/>
        <v>441811104</v>
      </c>
      <c r="Y53" s="8" t="str">
        <f t="shared" si="1"/>
        <v>DC</v>
      </c>
      <c r="Z53" s="8">
        <f t="shared" si="2"/>
        <v>0</v>
      </c>
      <c r="AA53" s="8">
        <f t="shared" si="3"/>
        <v>0</v>
      </c>
      <c r="AB53" s="8">
        <f t="shared" si="4"/>
        <v>187</v>
      </c>
      <c r="AC53" s="8">
        <f t="shared" si="5"/>
        <v>0</v>
      </c>
      <c r="AD53" s="8">
        <f t="shared" si="6"/>
        <v>0</v>
      </c>
      <c r="AE53" s="9" t="str" cm="1">
        <f t="array" ref="AE53">IFERROR(_xlfn.XLOOKUP(H53,Sheet1!$G:$G,Sheet1!$F:$F),IFERROR(_xlfn.XLOOKUP(1,(--($X$2:$X$1074=X53))*(--ISNUMBER(MATCH($H$2:$H$1074,Sheet1!$G:$G,0))),_xlfn.XLOOKUP($H$2:$H$1074,Sheet1!$G:$G,Sheet1!$F:$F,"")),"NOT FOUND"))</f>
        <v>GETKRTSFUT6202</v>
      </c>
      <c r="AF53" s="10" t="str">
        <f t="shared" si="7"/>
        <v>NAVY</v>
      </c>
      <c r="AG53" s="11" t="str">
        <f t="shared" si="8"/>
        <v>Bangalore</v>
      </c>
      <c r="AH53" s="9" t="str">
        <f>IF(OR(J53="",AE53="",AE53="NOT FOUND"),"",IF(Y53="RP",IFERROR(LEFT(_xlfn.XLOOKUP(AE53,Sheet1!$F:$F,Sheet1!$W:$W),FIND("-",_xlfn.XLOOKUP(AE53,Sheet1!$F:$F,Sheet1!$W:$W),FIND("-",_xlfn.XLOOKUP(AE53,Sheet1!$F:$F,Sheet1!$W:$W))+1))&amp;AE53,"NOT FOUND"),LEFT(J53,FIND("-",J53,FIND("-",J53)+1))&amp;AE53))</f>
        <v>KRTS-APWN26-GETKRTSFUT6202</v>
      </c>
    </row>
    <row r="54" spans="1:34" ht="15.75" customHeight="1" x14ac:dyDescent="0.2">
      <c r="A54" s="4" t="s">
        <v>30</v>
      </c>
      <c r="B54" s="4" t="s">
        <v>134</v>
      </c>
      <c r="C54" s="4" t="s">
        <v>64</v>
      </c>
      <c r="D54" s="4" t="s">
        <v>81</v>
      </c>
      <c r="E54" s="4" t="s">
        <v>34</v>
      </c>
      <c r="F54" s="4" t="s">
        <v>35</v>
      </c>
      <c r="G54" s="4" t="s">
        <v>47</v>
      </c>
      <c r="H54" s="4" t="s">
        <v>141</v>
      </c>
      <c r="I54" s="4" t="s">
        <v>142</v>
      </c>
      <c r="J54" s="4" t="s">
        <v>143</v>
      </c>
      <c r="L54" s="4" t="s">
        <v>40</v>
      </c>
      <c r="M54" s="4">
        <v>1</v>
      </c>
      <c r="N54" s="4">
        <v>187</v>
      </c>
      <c r="O54" s="4">
        <v>187</v>
      </c>
      <c r="P54" s="4" t="s">
        <v>41</v>
      </c>
      <c r="Q54" s="4">
        <v>394.7</v>
      </c>
      <c r="R54" s="4">
        <v>394.7</v>
      </c>
      <c r="S54" s="4">
        <v>3690.45</v>
      </c>
      <c r="T54" s="4">
        <v>73808.899999999994</v>
      </c>
      <c r="U54" s="4">
        <v>5</v>
      </c>
      <c r="V54" s="4" t="s">
        <v>42</v>
      </c>
      <c r="X54" s="7" t="str">
        <f t="shared" si="0"/>
        <v>441811104</v>
      </c>
      <c r="Y54" s="8" t="str">
        <f t="shared" si="1"/>
        <v>DC</v>
      </c>
      <c r="Z54" s="8">
        <f t="shared" si="2"/>
        <v>0</v>
      </c>
      <c r="AA54" s="8">
        <f t="shared" si="3"/>
        <v>187</v>
      </c>
      <c r="AB54" s="8">
        <f t="shared" si="4"/>
        <v>0</v>
      </c>
      <c r="AC54" s="8">
        <f t="shared" si="5"/>
        <v>0</v>
      </c>
      <c r="AD54" s="8">
        <f t="shared" si="6"/>
        <v>0</v>
      </c>
      <c r="AE54" s="9" t="str" cm="1">
        <f t="array" ref="AE54">IFERROR(_xlfn.XLOOKUP(H54,Sheet1!$G:$G,Sheet1!$F:$F),IFERROR(_xlfn.XLOOKUP(1,(--($X$2:$X$1074=X54))*(--ISNUMBER(MATCH($H$2:$H$1074,Sheet1!$G:$G,0))),_xlfn.XLOOKUP($H$2:$H$1074,Sheet1!$G:$G,Sheet1!$F:$F,"")),"NOT FOUND"))</f>
        <v>GETKRTSFUT6202</v>
      </c>
      <c r="AF54" s="10" t="str">
        <f t="shared" si="7"/>
        <v>NAVY</v>
      </c>
      <c r="AG54" s="11" t="str">
        <f t="shared" si="8"/>
        <v>Bangalore</v>
      </c>
      <c r="AH54" s="9" t="str">
        <f>IF(OR(J54="",AE54="",AE54="NOT FOUND"),"",IF(Y54="RP",IFERROR(LEFT(_xlfn.XLOOKUP(AE54,Sheet1!$F:$F,Sheet1!$W:$W),FIND("-",_xlfn.XLOOKUP(AE54,Sheet1!$F:$F,Sheet1!$W:$W),FIND("-",_xlfn.XLOOKUP(AE54,Sheet1!$F:$F,Sheet1!$W:$W))+1))&amp;AE54,"NOT FOUND"),LEFT(J54,FIND("-",J54,FIND("-",J54)+1))&amp;AE54))</f>
        <v>KRTS-APWN26-GETKRTSFUT6202</v>
      </c>
    </row>
    <row r="55" spans="1:34" ht="15.75" customHeight="1" x14ac:dyDescent="0.2">
      <c r="A55" s="4" t="s">
        <v>30</v>
      </c>
      <c r="B55" s="4" t="s">
        <v>134</v>
      </c>
      <c r="C55" s="4" t="s">
        <v>64</v>
      </c>
      <c r="D55" s="4" t="s">
        <v>81</v>
      </c>
      <c r="E55" s="4" t="s">
        <v>34</v>
      </c>
      <c r="F55" s="4" t="s">
        <v>35</v>
      </c>
      <c r="G55" s="4" t="s">
        <v>51</v>
      </c>
      <c r="H55" s="4" t="s">
        <v>144</v>
      </c>
      <c r="I55" s="4" t="s">
        <v>145</v>
      </c>
      <c r="J55" s="4" t="s">
        <v>146</v>
      </c>
      <c r="L55" s="4" t="s">
        <v>40</v>
      </c>
      <c r="M55" s="4">
        <v>1</v>
      </c>
      <c r="N55" s="4">
        <v>30</v>
      </c>
      <c r="O55" s="4">
        <v>30</v>
      </c>
      <c r="P55" s="4" t="s">
        <v>41</v>
      </c>
      <c r="Q55" s="4">
        <v>394.7</v>
      </c>
      <c r="R55" s="4">
        <v>394.7</v>
      </c>
      <c r="S55" s="4">
        <v>592.04999999999995</v>
      </c>
      <c r="T55" s="4">
        <v>11841</v>
      </c>
      <c r="U55" s="4">
        <v>5</v>
      </c>
      <c r="V55" s="4" t="s">
        <v>42</v>
      </c>
      <c r="X55" s="7" t="str">
        <f t="shared" si="0"/>
        <v>441811104</v>
      </c>
      <c r="Y55" s="8" t="str">
        <f t="shared" si="1"/>
        <v>DC</v>
      </c>
      <c r="Z55" s="8">
        <f t="shared" si="2"/>
        <v>30</v>
      </c>
      <c r="AA55" s="8">
        <f t="shared" si="3"/>
        <v>0</v>
      </c>
      <c r="AB55" s="8">
        <f t="shared" si="4"/>
        <v>0</v>
      </c>
      <c r="AC55" s="8">
        <f t="shared" si="5"/>
        <v>0</v>
      </c>
      <c r="AD55" s="8">
        <f t="shared" si="6"/>
        <v>0</v>
      </c>
      <c r="AE55" s="9" t="str" cm="1">
        <f t="array" ref="AE55">IFERROR(_xlfn.XLOOKUP(H55,Sheet1!$G:$G,Sheet1!$F:$F),IFERROR(_xlfn.XLOOKUP(1,(--($X$2:$X$1074=X55))*(--ISNUMBER(MATCH($H$2:$H$1074,Sheet1!$G:$G,0))),_xlfn.XLOOKUP($H$2:$H$1074,Sheet1!$G:$G,Sheet1!$F:$F,"")),"NOT FOUND"))</f>
        <v>GETKRTSFUT6202</v>
      </c>
      <c r="AF55" s="10" t="str">
        <f t="shared" si="7"/>
        <v>NAVY</v>
      </c>
      <c r="AG55" s="11" t="str">
        <f t="shared" si="8"/>
        <v>Bangalore</v>
      </c>
      <c r="AH55" s="9" t="str">
        <f>IF(OR(J55="",AE55="",AE55="NOT FOUND"),"",IF(Y55="RP",IFERROR(LEFT(_xlfn.XLOOKUP(AE55,Sheet1!$F:$F,Sheet1!$W:$W),FIND("-",_xlfn.XLOOKUP(AE55,Sheet1!$F:$F,Sheet1!$W:$W),FIND("-",_xlfn.XLOOKUP(AE55,Sheet1!$F:$F,Sheet1!$W:$W))+1))&amp;AE55,"NOT FOUND"),LEFT(J55,FIND("-",J55,FIND("-",J55)+1))&amp;AE55))</f>
        <v>KRTS-APWN26-GETKRTSFUT6202</v>
      </c>
    </row>
    <row r="56" spans="1:34" ht="15.75" customHeight="1" x14ac:dyDescent="0.2">
      <c r="A56" s="4" t="s">
        <v>30</v>
      </c>
      <c r="B56" s="4" t="s">
        <v>134</v>
      </c>
      <c r="C56" s="4" t="s">
        <v>64</v>
      </c>
      <c r="D56" s="4" t="s">
        <v>81</v>
      </c>
      <c r="E56" s="4" t="s">
        <v>34</v>
      </c>
      <c r="F56" s="4" t="s">
        <v>35</v>
      </c>
      <c r="G56" s="4" t="s">
        <v>55</v>
      </c>
      <c r="H56" s="4" t="s">
        <v>147</v>
      </c>
      <c r="I56" s="4" t="s">
        <v>148</v>
      </c>
      <c r="J56" s="4" t="s">
        <v>149</v>
      </c>
      <c r="L56" s="4" t="s">
        <v>40</v>
      </c>
      <c r="M56" s="4">
        <v>1</v>
      </c>
      <c r="N56" s="4">
        <v>158</v>
      </c>
      <c r="O56" s="4">
        <v>158</v>
      </c>
      <c r="P56" s="4" t="s">
        <v>41</v>
      </c>
      <c r="Q56" s="4">
        <v>394.7</v>
      </c>
      <c r="R56" s="4">
        <v>394.7</v>
      </c>
      <c r="S56" s="4">
        <v>3118.13</v>
      </c>
      <c r="T56" s="4">
        <v>62362.6</v>
      </c>
      <c r="U56" s="4">
        <v>5</v>
      </c>
      <c r="V56" s="4" t="s">
        <v>42</v>
      </c>
      <c r="X56" s="7" t="str">
        <f t="shared" si="0"/>
        <v>441811104</v>
      </c>
      <c r="Y56" s="8" t="str">
        <f t="shared" si="1"/>
        <v>DC</v>
      </c>
      <c r="Z56" s="8">
        <f t="shared" si="2"/>
        <v>0</v>
      </c>
      <c r="AA56" s="8">
        <f t="shared" si="3"/>
        <v>0</v>
      </c>
      <c r="AB56" s="8">
        <f t="shared" si="4"/>
        <v>0</v>
      </c>
      <c r="AC56" s="8">
        <f t="shared" si="5"/>
        <v>158</v>
      </c>
      <c r="AD56" s="8">
        <f t="shared" si="6"/>
        <v>0</v>
      </c>
      <c r="AE56" s="9" t="str" cm="1">
        <f t="array" ref="AE56">IFERROR(_xlfn.XLOOKUP(H56,Sheet1!$G:$G,Sheet1!$F:$F),IFERROR(_xlfn.XLOOKUP(1,(--($X$2:$X$1074=X56))*(--ISNUMBER(MATCH($H$2:$H$1074,Sheet1!$G:$G,0))),_xlfn.XLOOKUP($H$2:$H$1074,Sheet1!$G:$G,Sheet1!$F:$F,"")),"NOT FOUND"))</f>
        <v>GETKRTSFUT6202</v>
      </c>
      <c r="AF56" s="10" t="str">
        <f t="shared" si="7"/>
        <v>NAVY</v>
      </c>
      <c r="AG56" s="11" t="str">
        <f t="shared" si="8"/>
        <v>Bangalore</v>
      </c>
      <c r="AH56" s="9" t="str">
        <f>IF(OR(J56="",AE56="",AE56="NOT FOUND"),"",IF(Y56="RP",IFERROR(LEFT(_xlfn.XLOOKUP(AE56,Sheet1!$F:$F,Sheet1!$W:$W),FIND("-",_xlfn.XLOOKUP(AE56,Sheet1!$F:$F,Sheet1!$W:$W),FIND("-",_xlfn.XLOOKUP(AE56,Sheet1!$F:$F,Sheet1!$W:$W))+1))&amp;AE56,"NOT FOUND"),LEFT(J56,FIND("-",J56,FIND("-",J56)+1))&amp;AE56))</f>
        <v>KRTS-APWN26-GETKRTSFUT6202</v>
      </c>
    </row>
    <row r="57" spans="1:34" ht="15.75" customHeight="1" x14ac:dyDescent="0.2">
      <c r="A57" s="4" t="s">
        <v>61</v>
      </c>
      <c r="B57" s="4" t="s">
        <v>150</v>
      </c>
      <c r="C57" s="4" t="s">
        <v>64</v>
      </c>
      <c r="D57" s="4" t="s">
        <v>33</v>
      </c>
      <c r="E57" s="4" t="s">
        <v>34</v>
      </c>
      <c r="F57" s="4" t="s">
        <v>35</v>
      </c>
      <c r="G57" s="4" t="s">
        <v>36</v>
      </c>
      <c r="H57" s="4" t="s">
        <v>65</v>
      </c>
      <c r="I57" s="4" t="s">
        <v>66</v>
      </c>
      <c r="J57" s="4" t="s">
        <v>67</v>
      </c>
      <c r="L57" s="4" t="s">
        <v>40</v>
      </c>
      <c r="M57" s="4">
        <v>1</v>
      </c>
      <c r="N57" s="4">
        <v>30</v>
      </c>
      <c r="O57" s="4">
        <v>30</v>
      </c>
      <c r="P57" s="4" t="s">
        <v>41</v>
      </c>
      <c r="Q57" s="4">
        <v>312.7</v>
      </c>
      <c r="R57" s="4">
        <v>312.7</v>
      </c>
      <c r="S57" s="4">
        <v>469.05</v>
      </c>
      <c r="T57" s="4">
        <v>9381</v>
      </c>
      <c r="U57" s="4">
        <v>5</v>
      </c>
      <c r="V57" s="4" t="s">
        <v>42</v>
      </c>
      <c r="X57" s="7" t="str">
        <f t="shared" si="0"/>
        <v>441811108</v>
      </c>
      <c r="Y57" s="8" t="str">
        <f t="shared" si="1"/>
        <v>DC</v>
      </c>
      <c r="Z57" s="8">
        <f t="shared" si="2"/>
        <v>0</v>
      </c>
      <c r="AA57" s="8">
        <f t="shared" si="3"/>
        <v>0</v>
      </c>
      <c r="AB57" s="8">
        <f t="shared" si="4"/>
        <v>0</v>
      </c>
      <c r="AC57" s="8">
        <f t="shared" si="5"/>
        <v>0</v>
      </c>
      <c r="AD57" s="8">
        <f t="shared" si="6"/>
        <v>30</v>
      </c>
      <c r="AE57" s="9" t="str" cm="1">
        <f t="array" ref="AE57">IFERROR(_xlfn.XLOOKUP(H57,Sheet1!$G:$G,Sheet1!$F:$F),IFERROR(_xlfn.XLOOKUP(1,(--($X$2:$X$1074=X57))*(--ISNUMBER(MATCH($H$2:$H$1074,Sheet1!$G:$G,0))),_xlfn.XLOOKUP($H$2:$H$1074,Sheet1!$G:$G,Sheet1!$F:$F,"")),"NOT FOUND"))</f>
        <v>GETKRTSFUT6210</v>
      </c>
      <c r="AF57" s="10" t="str">
        <f t="shared" si="7"/>
        <v>GOLD</v>
      </c>
      <c r="AG57" s="11" t="str">
        <f t="shared" si="8"/>
        <v>HARIPAL</v>
      </c>
      <c r="AH57" s="9" t="str">
        <f>IF(OR(J57="",AE57="",AE57="NOT FOUND"),"",IF(Y57="RP",IFERROR(LEFT(_xlfn.XLOOKUP(AE57,Sheet1!$F:$F,Sheet1!$W:$W),FIND("-",_xlfn.XLOOKUP(AE57,Sheet1!$F:$F,Sheet1!$W:$W),FIND("-",_xlfn.XLOOKUP(AE57,Sheet1!$F:$F,Sheet1!$W:$W))+1))&amp;AE57,"NOT FOUND"),LEFT(J57,FIND("-",J57,FIND("-",J57)+1))&amp;AE57))</f>
        <v>KRTS-APWN26-GETKRTSFUT6210</v>
      </c>
    </row>
    <row r="58" spans="1:34" ht="15.75" customHeight="1" x14ac:dyDescent="0.2">
      <c r="A58" s="4" t="s">
        <v>61</v>
      </c>
      <c r="B58" s="4" t="s">
        <v>150</v>
      </c>
      <c r="C58" s="4" t="s">
        <v>64</v>
      </c>
      <c r="D58" s="4" t="s">
        <v>33</v>
      </c>
      <c r="E58" s="4" t="s">
        <v>34</v>
      </c>
      <c r="F58" s="4" t="s">
        <v>35</v>
      </c>
      <c r="G58" s="4" t="s">
        <v>43</v>
      </c>
      <c r="H58" s="4" t="s">
        <v>68</v>
      </c>
      <c r="I58" s="4" t="s">
        <v>69</v>
      </c>
      <c r="J58" s="4" t="s">
        <v>70</v>
      </c>
      <c r="L58" s="4" t="s">
        <v>40</v>
      </c>
      <c r="M58" s="4">
        <v>1</v>
      </c>
      <c r="N58" s="4">
        <v>186</v>
      </c>
      <c r="O58" s="4">
        <v>186</v>
      </c>
      <c r="P58" s="4" t="s">
        <v>41</v>
      </c>
      <c r="Q58" s="4">
        <v>312.7</v>
      </c>
      <c r="R58" s="4">
        <v>312.7</v>
      </c>
      <c r="S58" s="4">
        <v>2908.11</v>
      </c>
      <c r="T58" s="4">
        <v>58162.2</v>
      </c>
      <c r="U58" s="4">
        <v>5</v>
      </c>
      <c r="V58" s="4" t="s">
        <v>42</v>
      </c>
      <c r="X58" s="7" t="str">
        <f t="shared" si="0"/>
        <v>441811108</v>
      </c>
      <c r="Y58" s="8" t="str">
        <f t="shared" si="1"/>
        <v>DC</v>
      </c>
      <c r="Z58" s="8">
        <f t="shared" si="2"/>
        <v>0</v>
      </c>
      <c r="AA58" s="8">
        <f t="shared" si="3"/>
        <v>0</v>
      </c>
      <c r="AB58" s="8">
        <f t="shared" si="4"/>
        <v>186</v>
      </c>
      <c r="AC58" s="8">
        <f t="shared" si="5"/>
        <v>0</v>
      </c>
      <c r="AD58" s="8">
        <f t="shared" si="6"/>
        <v>0</v>
      </c>
      <c r="AE58" s="9" t="str" cm="1">
        <f t="array" ref="AE58">IFERROR(_xlfn.XLOOKUP(H58,Sheet1!$G:$G,Sheet1!$F:$F),IFERROR(_xlfn.XLOOKUP(1,(--($X$2:$X$1074=X58))*(--ISNUMBER(MATCH($H$2:$H$1074,Sheet1!$G:$G,0))),_xlfn.XLOOKUP($H$2:$H$1074,Sheet1!$G:$G,Sheet1!$F:$F,"")),"NOT FOUND"))</f>
        <v>GETKRTSFUT6210</v>
      </c>
      <c r="AF58" s="10" t="str">
        <f t="shared" si="7"/>
        <v>GOLD</v>
      </c>
      <c r="AG58" s="11" t="str">
        <f t="shared" si="8"/>
        <v>HARIPAL</v>
      </c>
      <c r="AH58" s="9" t="str">
        <f>IF(OR(J58="",AE58="",AE58="NOT FOUND"),"",IF(Y58="RP",IFERROR(LEFT(_xlfn.XLOOKUP(AE58,Sheet1!$F:$F,Sheet1!$W:$W),FIND("-",_xlfn.XLOOKUP(AE58,Sheet1!$F:$F,Sheet1!$W:$W),FIND("-",_xlfn.XLOOKUP(AE58,Sheet1!$F:$F,Sheet1!$W:$W))+1))&amp;AE58,"NOT FOUND"),LEFT(J58,FIND("-",J58,FIND("-",J58)+1))&amp;AE58))</f>
        <v>KRTS-APWN26-GETKRTSFUT6210</v>
      </c>
    </row>
    <row r="59" spans="1:34" ht="15.75" customHeight="1" x14ac:dyDescent="0.2">
      <c r="A59" s="4" t="s">
        <v>61</v>
      </c>
      <c r="B59" s="4" t="s">
        <v>150</v>
      </c>
      <c r="C59" s="4" t="s">
        <v>64</v>
      </c>
      <c r="D59" s="4" t="s">
        <v>33</v>
      </c>
      <c r="E59" s="4" t="s">
        <v>34</v>
      </c>
      <c r="F59" s="4" t="s">
        <v>35</v>
      </c>
      <c r="G59" s="4" t="s">
        <v>47</v>
      </c>
      <c r="H59" s="4" t="s">
        <v>71</v>
      </c>
      <c r="I59" s="4" t="s">
        <v>72</v>
      </c>
      <c r="J59" s="4" t="s">
        <v>73</v>
      </c>
      <c r="L59" s="4" t="s">
        <v>40</v>
      </c>
      <c r="M59" s="4">
        <v>1</v>
      </c>
      <c r="N59" s="4">
        <v>186</v>
      </c>
      <c r="O59" s="4">
        <v>186</v>
      </c>
      <c r="P59" s="4" t="s">
        <v>41</v>
      </c>
      <c r="Q59" s="4">
        <v>312.7</v>
      </c>
      <c r="R59" s="4">
        <v>312.7</v>
      </c>
      <c r="S59" s="4">
        <v>2908.11</v>
      </c>
      <c r="T59" s="4">
        <v>58162.2</v>
      </c>
      <c r="U59" s="4">
        <v>5</v>
      </c>
      <c r="V59" s="4" t="s">
        <v>42</v>
      </c>
      <c r="X59" s="7" t="str">
        <f t="shared" si="0"/>
        <v>441811108</v>
      </c>
      <c r="Y59" s="8" t="str">
        <f t="shared" si="1"/>
        <v>DC</v>
      </c>
      <c r="Z59" s="8">
        <f t="shared" si="2"/>
        <v>0</v>
      </c>
      <c r="AA59" s="8">
        <f t="shared" si="3"/>
        <v>186</v>
      </c>
      <c r="AB59" s="8">
        <f t="shared" si="4"/>
        <v>0</v>
      </c>
      <c r="AC59" s="8">
        <f t="shared" si="5"/>
        <v>0</v>
      </c>
      <c r="AD59" s="8">
        <f t="shared" si="6"/>
        <v>0</v>
      </c>
      <c r="AE59" s="9" t="str" cm="1">
        <f t="array" ref="AE59">IFERROR(_xlfn.XLOOKUP(H59,Sheet1!$G:$G,Sheet1!$F:$F),IFERROR(_xlfn.XLOOKUP(1,(--($X$2:$X$1074=X59))*(--ISNUMBER(MATCH($H$2:$H$1074,Sheet1!$G:$G,0))),_xlfn.XLOOKUP($H$2:$H$1074,Sheet1!$G:$G,Sheet1!$F:$F,"")),"NOT FOUND"))</f>
        <v>GETKRTSFUT6210</v>
      </c>
      <c r="AF59" s="10" t="str">
        <f t="shared" si="7"/>
        <v>GOLD</v>
      </c>
      <c r="AG59" s="11" t="str">
        <f t="shared" si="8"/>
        <v>HARIPAL</v>
      </c>
      <c r="AH59" s="9" t="str">
        <f>IF(OR(J59="",AE59="",AE59="NOT FOUND"),"",IF(Y59="RP",IFERROR(LEFT(_xlfn.XLOOKUP(AE59,Sheet1!$F:$F,Sheet1!$W:$W),FIND("-",_xlfn.XLOOKUP(AE59,Sheet1!$F:$F,Sheet1!$W:$W),FIND("-",_xlfn.XLOOKUP(AE59,Sheet1!$F:$F,Sheet1!$W:$W))+1))&amp;AE59,"NOT FOUND"),LEFT(J59,FIND("-",J59,FIND("-",J59)+1))&amp;AE59))</f>
        <v>KRTS-APWN26-GETKRTSFUT6210</v>
      </c>
    </row>
    <row r="60" spans="1:34" ht="15.75" customHeight="1" x14ac:dyDescent="0.2">
      <c r="A60" s="4" t="s">
        <v>61</v>
      </c>
      <c r="B60" s="4" t="s">
        <v>150</v>
      </c>
      <c r="C60" s="4" t="s">
        <v>64</v>
      </c>
      <c r="D60" s="4" t="s">
        <v>33</v>
      </c>
      <c r="E60" s="4" t="s">
        <v>34</v>
      </c>
      <c r="F60" s="4" t="s">
        <v>35</v>
      </c>
      <c r="G60" s="4" t="s">
        <v>51</v>
      </c>
      <c r="H60" s="4" t="s">
        <v>74</v>
      </c>
      <c r="I60" s="4" t="s">
        <v>75</v>
      </c>
      <c r="J60" s="4" t="s">
        <v>76</v>
      </c>
      <c r="L60" s="4" t="s">
        <v>40</v>
      </c>
      <c r="M60" s="4">
        <v>1</v>
      </c>
      <c r="N60" s="4">
        <v>30</v>
      </c>
      <c r="O60" s="4">
        <v>30</v>
      </c>
      <c r="P60" s="4" t="s">
        <v>41</v>
      </c>
      <c r="Q60" s="4">
        <v>312.7</v>
      </c>
      <c r="R60" s="4">
        <v>312.7</v>
      </c>
      <c r="S60" s="4">
        <v>469.05</v>
      </c>
      <c r="T60" s="4">
        <v>9381</v>
      </c>
      <c r="U60" s="4">
        <v>5</v>
      </c>
      <c r="V60" s="4" t="s">
        <v>42</v>
      </c>
      <c r="X60" s="7" t="str">
        <f t="shared" si="0"/>
        <v>441811108</v>
      </c>
      <c r="Y60" s="8" t="str">
        <f t="shared" si="1"/>
        <v>DC</v>
      </c>
      <c r="Z60" s="8">
        <f t="shared" si="2"/>
        <v>30</v>
      </c>
      <c r="AA60" s="8">
        <f t="shared" si="3"/>
        <v>0</v>
      </c>
      <c r="AB60" s="8">
        <f t="shared" si="4"/>
        <v>0</v>
      </c>
      <c r="AC60" s="8">
        <f t="shared" si="5"/>
        <v>0</v>
      </c>
      <c r="AD60" s="8">
        <f t="shared" si="6"/>
        <v>0</v>
      </c>
      <c r="AE60" s="9" t="str" cm="1">
        <f t="array" ref="AE60">IFERROR(_xlfn.XLOOKUP(H60,Sheet1!$G:$G,Sheet1!$F:$F),IFERROR(_xlfn.XLOOKUP(1,(--($X$2:$X$1074=X60))*(--ISNUMBER(MATCH($H$2:$H$1074,Sheet1!$G:$G,0))),_xlfn.XLOOKUP($H$2:$H$1074,Sheet1!$G:$G,Sheet1!$F:$F,"")),"NOT FOUND"))</f>
        <v>GETKRTSFUT6210</v>
      </c>
      <c r="AF60" s="10" t="str">
        <f t="shared" si="7"/>
        <v>GOLD</v>
      </c>
      <c r="AG60" s="11" t="str">
        <f t="shared" si="8"/>
        <v>HARIPAL</v>
      </c>
      <c r="AH60" s="9" t="str">
        <f>IF(OR(J60="",AE60="",AE60="NOT FOUND"),"",IF(Y60="RP",IFERROR(LEFT(_xlfn.XLOOKUP(AE60,Sheet1!$F:$F,Sheet1!$W:$W),FIND("-",_xlfn.XLOOKUP(AE60,Sheet1!$F:$F,Sheet1!$W:$W),FIND("-",_xlfn.XLOOKUP(AE60,Sheet1!$F:$F,Sheet1!$W:$W))+1))&amp;AE60,"NOT FOUND"),LEFT(J60,FIND("-",J60,FIND("-",J60)+1))&amp;AE60))</f>
        <v>KRTS-APWN26-GETKRTSFUT6210</v>
      </c>
    </row>
    <row r="61" spans="1:34" ht="15.75" customHeight="1" x14ac:dyDescent="0.2">
      <c r="A61" s="4" t="s">
        <v>61</v>
      </c>
      <c r="B61" s="4" t="s">
        <v>150</v>
      </c>
      <c r="C61" s="4" t="s">
        <v>64</v>
      </c>
      <c r="D61" s="4" t="s">
        <v>33</v>
      </c>
      <c r="E61" s="4" t="s">
        <v>34</v>
      </c>
      <c r="F61" s="4" t="s">
        <v>35</v>
      </c>
      <c r="G61" s="4" t="s">
        <v>55</v>
      </c>
      <c r="H61" s="4" t="s">
        <v>77</v>
      </c>
      <c r="I61" s="4" t="s">
        <v>78</v>
      </c>
      <c r="J61" s="4" t="s">
        <v>79</v>
      </c>
      <c r="L61" s="4" t="s">
        <v>40</v>
      </c>
      <c r="M61" s="4">
        <v>1</v>
      </c>
      <c r="N61" s="4">
        <v>157</v>
      </c>
      <c r="O61" s="4">
        <v>157</v>
      </c>
      <c r="P61" s="4" t="s">
        <v>41</v>
      </c>
      <c r="Q61" s="4">
        <v>312.7</v>
      </c>
      <c r="R61" s="4">
        <v>312.7</v>
      </c>
      <c r="S61" s="4">
        <v>2454.6999999999998</v>
      </c>
      <c r="T61" s="4">
        <v>49093.9</v>
      </c>
      <c r="U61" s="4">
        <v>5</v>
      </c>
      <c r="V61" s="4" t="s">
        <v>42</v>
      </c>
      <c r="X61" s="7" t="str">
        <f t="shared" si="0"/>
        <v>441811108</v>
      </c>
      <c r="Y61" s="8" t="str">
        <f t="shared" si="1"/>
        <v>DC</v>
      </c>
      <c r="Z61" s="8">
        <f t="shared" si="2"/>
        <v>0</v>
      </c>
      <c r="AA61" s="8">
        <f t="shared" si="3"/>
        <v>0</v>
      </c>
      <c r="AB61" s="8">
        <f t="shared" si="4"/>
        <v>0</v>
      </c>
      <c r="AC61" s="8">
        <f t="shared" si="5"/>
        <v>157</v>
      </c>
      <c r="AD61" s="8">
        <f t="shared" si="6"/>
        <v>0</v>
      </c>
      <c r="AE61" s="9" t="str" cm="1">
        <f t="array" ref="AE61">IFERROR(_xlfn.XLOOKUP(H61,Sheet1!$G:$G,Sheet1!$F:$F),IFERROR(_xlfn.XLOOKUP(1,(--($X$2:$X$1074=X61))*(--ISNUMBER(MATCH($H$2:$H$1074,Sheet1!$G:$G,0))),_xlfn.XLOOKUP($H$2:$H$1074,Sheet1!$G:$G,Sheet1!$F:$F,"")),"NOT FOUND"))</f>
        <v>GETKRTSFUT6210</v>
      </c>
      <c r="AF61" s="10" t="str">
        <f t="shared" si="7"/>
        <v>GOLD</v>
      </c>
      <c r="AG61" s="11" t="str">
        <f t="shared" si="8"/>
        <v>HARIPAL</v>
      </c>
      <c r="AH61" s="9" t="str">
        <f>IF(OR(J61="",AE61="",AE61="NOT FOUND"),"",IF(Y61="RP",IFERROR(LEFT(_xlfn.XLOOKUP(AE61,Sheet1!$F:$F,Sheet1!$W:$W),FIND("-",_xlfn.XLOOKUP(AE61,Sheet1!$F:$F,Sheet1!$W:$W),FIND("-",_xlfn.XLOOKUP(AE61,Sheet1!$F:$F,Sheet1!$W:$W))+1))&amp;AE61,"NOT FOUND"),LEFT(J61,FIND("-",J61,FIND("-",J61)+1))&amp;AE61))</f>
        <v>KRTS-APWN26-GETKRTSFUT6210</v>
      </c>
    </row>
    <row r="62" spans="1:34" ht="15.75" customHeight="1" x14ac:dyDescent="0.2">
      <c r="A62" s="4" t="s">
        <v>59</v>
      </c>
      <c r="B62" s="4" t="s">
        <v>151</v>
      </c>
      <c r="C62" s="4" t="s">
        <v>64</v>
      </c>
      <c r="D62" s="4" t="s">
        <v>116</v>
      </c>
      <c r="E62" s="4" t="s">
        <v>34</v>
      </c>
      <c r="F62" s="4" t="s">
        <v>35</v>
      </c>
      <c r="G62" s="4" t="s">
        <v>36</v>
      </c>
      <c r="H62" s="4" t="s">
        <v>117</v>
      </c>
      <c r="I62" s="4" t="s">
        <v>118</v>
      </c>
      <c r="J62" s="4" t="s">
        <v>119</v>
      </c>
      <c r="L62" s="4" t="s">
        <v>40</v>
      </c>
      <c r="M62" s="4">
        <v>1</v>
      </c>
      <c r="N62" s="4">
        <v>30</v>
      </c>
      <c r="O62" s="4">
        <v>30</v>
      </c>
      <c r="P62" s="4" t="s">
        <v>41</v>
      </c>
      <c r="Q62" s="4">
        <v>319.7</v>
      </c>
      <c r="R62" s="4">
        <v>319.7</v>
      </c>
      <c r="S62" s="4">
        <v>479.55</v>
      </c>
      <c r="T62" s="4">
        <v>9591</v>
      </c>
      <c r="U62" s="4">
        <v>5</v>
      </c>
      <c r="V62" s="4" t="s">
        <v>42</v>
      </c>
      <c r="X62" s="7" t="str">
        <f t="shared" si="0"/>
        <v>441811105</v>
      </c>
      <c r="Y62" s="8" t="str">
        <f t="shared" si="1"/>
        <v>DC</v>
      </c>
      <c r="Z62" s="8">
        <f t="shared" si="2"/>
        <v>0</v>
      </c>
      <c r="AA62" s="8">
        <f t="shared" si="3"/>
        <v>0</v>
      </c>
      <c r="AB62" s="8">
        <f t="shared" si="4"/>
        <v>0</v>
      </c>
      <c r="AC62" s="8">
        <f t="shared" si="5"/>
        <v>0</v>
      </c>
      <c r="AD62" s="8">
        <f t="shared" si="6"/>
        <v>30</v>
      </c>
      <c r="AE62" s="9" t="str" cm="1">
        <f t="array" ref="AE62">IFERROR(_xlfn.XLOOKUP(H62,Sheet1!$G:$G,Sheet1!$F:$F),IFERROR(_xlfn.XLOOKUP(1,(--($X$2:$X$1074=X62))*(--ISNUMBER(MATCH($H$2:$H$1074,Sheet1!$G:$G,0))),_xlfn.XLOOKUP($H$2:$H$1074,Sheet1!$G:$G,Sheet1!$F:$F,"")),"NOT FOUND"))</f>
        <v>GETKRTSFUT6203</v>
      </c>
      <c r="AF62" s="10" t="str">
        <f t="shared" si="7"/>
        <v>BLACK</v>
      </c>
      <c r="AG62" s="11" t="str">
        <f t="shared" si="8"/>
        <v>JHAJJAR</v>
      </c>
      <c r="AH62" s="9" t="str">
        <f>IF(OR(J62="",AE62="",AE62="NOT FOUND"),"",IF(Y62="RP",IFERROR(LEFT(_xlfn.XLOOKUP(AE62,Sheet1!$F:$F,Sheet1!$W:$W),FIND("-",_xlfn.XLOOKUP(AE62,Sheet1!$F:$F,Sheet1!$W:$W),FIND("-",_xlfn.XLOOKUP(AE62,Sheet1!$F:$F,Sheet1!$W:$W))+1))&amp;AE62,"NOT FOUND"),LEFT(J62,FIND("-",J62,FIND("-",J62)+1))&amp;AE62))</f>
        <v>KRTS-APWN26-GETKRTSFUT6203</v>
      </c>
    </row>
    <row r="63" spans="1:34" ht="15.75" customHeight="1" x14ac:dyDescent="0.2">
      <c r="A63" s="4" t="s">
        <v>59</v>
      </c>
      <c r="B63" s="4" t="s">
        <v>151</v>
      </c>
      <c r="C63" s="4" t="s">
        <v>64</v>
      </c>
      <c r="D63" s="4" t="s">
        <v>116</v>
      </c>
      <c r="E63" s="4" t="s">
        <v>34</v>
      </c>
      <c r="F63" s="4" t="s">
        <v>35</v>
      </c>
      <c r="G63" s="4" t="s">
        <v>43</v>
      </c>
      <c r="H63" s="4" t="s">
        <v>120</v>
      </c>
      <c r="I63" s="4" t="s">
        <v>121</v>
      </c>
      <c r="J63" s="4" t="s">
        <v>122</v>
      </c>
      <c r="L63" s="4" t="s">
        <v>40</v>
      </c>
      <c r="M63" s="4">
        <v>1</v>
      </c>
      <c r="N63" s="4">
        <v>156</v>
      </c>
      <c r="O63" s="4">
        <v>156</v>
      </c>
      <c r="P63" s="4" t="s">
        <v>41</v>
      </c>
      <c r="Q63" s="4">
        <v>319.7</v>
      </c>
      <c r="R63" s="4">
        <v>319.7</v>
      </c>
      <c r="S63" s="4">
        <v>2493.66</v>
      </c>
      <c r="T63" s="4">
        <v>49873.2</v>
      </c>
      <c r="U63" s="4">
        <v>5</v>
      </c>
      <c r="V63" s="4" t="s">
        <v>42</v>
      </c>
      <c r="X63" s="7" t="str">
        <f t="shared" si="0"/>
        <v>441811105</v>
      </c>
      <c r="Y63" s="8" t="str">
        <f t="shared" si="1"/>
        <v>DC</v>
      </c>
      <c r="Z63" s="8">
        <f t="shared" si="2"/>
        <v>0</v>
      </c>
      <c r="AA63" s="8">
        <f t="shared" si="3"/>
        <v>0</v>
      </c>
      <c r="AB63" s="8">
        <f t="shared" si="4"/>
        <v>156</v>
      </c>
      <c r="AC63" s="8">
        <f t="shared" si="5"/>
        <v>0</v>
      </c>
      <c r="AD63" s="8">
        <f t="shared" si="6"/>
        <v>0</v>
      </c>
      <c r="AE63" s="9" t="str" cm="1">
        <f t="array" ref="AE63">IFERROR(_xlfn.XLOOKUP(H63,Sheet1!$G:$G,Sheet1!$F:$F),IFERROR(_xlfn.XLOOKUP(1,(--($X$2:$X$1074=X63))*(--ISNUMBER(MATCH($H$2:$H$1074,Sheet1!$G:$G,0))),_xlfn.XLOOKUP($H$2:$H$1074,Sheet1!$G:$G,Sheet1!$F:$F,"")),"NOT FOUND"))</f>
        <v>GETKRTSFUT6203</v>
      </c>
      <c r="AF63" s="10" t="str">
        <f t="shared" si="7"/>
        <v>BLACK</v>
      </c>
      <c r="AG63" s="11" t="str">
        <f t="shared" si="8"/>
        <v>JHAJJAR</v>
      </c>
      <c r="AH63" s="9" t="str">
        <f>IF(OR(J63="",AE63="",AE63="NOT FOUND"),"",IF(Y63="RP",IFERROR(LEFT(_xlfn.XLOOKUP(AE63,Sheet1!$F:$F,Sheet1!$W:$W),FIND("-",_xlfn.XLOOKUP(AE63,Sheet1!$F:$F,Sheet1!$W:$W),FIND("-",_xlfn.XLOOKUP(AE63,Sheet1!$F:$F,Sheet1!$W:$W))+1))&amp;AE63,"NOT FOUND"),LEFT(J63,FIND("-",J63,FIND("-",J63)+1))&amp;AE63))</f>
        <v>KRTS-APWN26-GETKRTSFUT6203</v>
      </c>
    </row>
    <row r="64" spans="1:34" ht="15.75" customHeight="1" x14ac:dyDescent="0.2">
      <c r="A64" s="4" t="s">
        <v>59</v>
      </c>
      <c r="B64" s="4" t="s">
        <v>151</v>
      </c>
      <c r="C64" s="4" t="s">
        <v>64</v>
      </c>
      <c r="D64" s="4" t="s">
        <v>116</v>
      </c>
      <c r="E64" s="4" t="s">
        <v>34</v>
      </c>
      <c r="F64" s="4" t="s">
        <v>35</v>
      </c>
      <c r="G64" s="4" t="s">
        <v>47</v>
      </c>
      <c r="H64" s="4" t="s">
        <v>123</v>
      </c>
      <c r="I64" s="4" t="s">
        <v>124</v>
      </c>
      <c r="J64" s="4" t="s">
        <v>125</v>
      </c>
      <c r="L64" s="4" t="s">
        <v>40</v>
      </c>
      <c r="M64" s="4">
        <v>1</v>
      </c>
      <c r="N64" s="4">
        <v>156</v>
      </c>
      <c r="O64" s="4">
        <v>156</v>
      </c>
      <c r="P64" s="4" t="s">
        <v>41</v>
      </c>
      <c r="Q64" s="4">
        <v>319.7</v>
      </c>
      <c r="R64" s="4">
        <v>319.7</v>
      </c>
      <c r="S64" s="4">
        <v>2493.66</v>
      </c>
      <c r="T64" s="4">
        <v>49873.2</v>
      </c>
      <c r="U64" s="4">
        <v>5</v>
      </c>
      <c r="V64" s="4" t="s">
        <v>42</v>
      </c>
      <c r="X64" s="7" t="str">
        <f t="shared" si="0"/>
        <v>441811105</v>
      </c>
      <c r="Y64" s="8" t="str">
        <f t="shared" si="1"/>
        <v>DC</v>
      </c>
      <c r="Z64" s="8">
        <f t="shared" si="2"/>
        <v>0</v>
      </c>
      <c r="AA64" s="8">
        <f t="shared" si="3"/>
        <v>156</v>
      </c>
      <c r="AB64" s="8">
        <f t="shared" si="4"/>
        <v>0</v>
      </c>
      <c r="AC64" s="8">
        <f t="shared" si="5"/>
        <v>0</v>
      </c>
      <c r="AD64" s="8">
        <f t="shared" si="6"/>
        <v>0</v>
      </c>
      <c r="AE64" s="9" t="str" cm="1">
        <f t="array" ref="AE64">IFERROR(_xlfn.XLOOKUP(H64,Sheet1!$G:$G,Sheet1!$F:$F),IFERROR(_xlfn.XLOOKUP(1,(--($X$2:$X$1074=X64))*(--ISNUMBER(MATCH($H$2:$H$1074,Sheet1!$G:$G,0))),_xlfn.XLOOKUP($H$2:$H$1074,Sheet1!$G:$G,Sheet1!$F:$F,"")),"NOT FOUND"))</f>
        <v>GETKRTSFUT6203</v>
      </c>
      <c r="AF64" s="10" t="str">
        <f t="shared" si="7"/>
        <v>BLACK</v>
      </c>
      <c r="AG64" s="11" t="str">
        <f t="shared" si="8"/>
        <v>JHAJJAR</v>
      </c>
      <c r="AH64" s="9" t="str">
        <f>IF(OR(J64="",AE64="",AE64="NOT FOUND"),"",IF(Y64="RP",IFERROR(LEFT(_xlfn.XLOOKUP(AE64,Sheet1!$F:$F,Sheet1!$W:$W),FIND("-",_xlfn.XLOOKUP(AE64,Sheet1!$F:$F,Sheet1!$W:$W),FIND("-",_xlfn.XLOOKUP(AE64,Sheet1!$F:$F,Sheet1!$W:$W))+1))&amp;AE64,"NOT FOUND"),LEFT(J64,FIND("-",J64,FIND("-",J64)+1))&amp;AE64))</f>
        <v>KRTS-APWN26-GETKRTSFUT6203</v>
      </c>
    </row>
    <row r="65" spans="1:34" ht="15.75" customHeight="1" x14ac:dyDescent="0.2">
      <c r="A65" s="4" t="s">
        <v>59</v>
      </c>
      <c r="B65" s="4" t="s">
        <v>151</v>
      </c>
      <c r="C65" s="4" t="s">
        <v>64</v>
      </c>
      <c r="D65" s="4" t="s">
        <v>116</v>
      </c>
      <c r="E65" s="4" t="s">
        <v>34</v>
      </c>
      <c r="F65" s="4" t="s">
        <v>35</v>
      </c>
      <c r="G65" s="4" t="s">
        <v>51</v>
      </c>
      <c r="H65" s="4" t="s">
        <v>126</v>
      </c>
      <c r="I65" s="4" t="s">
        <v>127</v>
      </c>
      <c r="J65" s="4" t="s">
        <v>128</v>
      </c>
      <c r="L65" s="4" t="s">
        <v>40</v>
      </c>
      <c r="M65" s="4">
        <v>1</v>
      </c>
      <c r="N65" s="4">
        <v>30</v>
      </c>
      <c r="O65" s="4">
        <v>30</v>
      </c>
      <c r="P65" s="4" t="s">
        <v>41</v>
      </c>
      <c r="Q65" s="4">
        <v>319.7</v>
      </c>
      <c r="R65" s="4">
        <v>319.7</v>
      </c>
      <c r="S65" s="4">
        <v>479.55</v>
      </c>
      <c r="T65" s="4">
        <v>9591</v>
      </c>
      <c r="U65" s="4">
        <v>5</v>
      </c>
      <c r="V65" s="4" t="s">
        <v>42</v>
      </c>
      <c r="X65" s="7" t="str">
        <f t="shared" si="0"/>
        <v>441811105</v>
      </c>
      <c r="Y65" s="8" t="str">
        <f t="shared" si="1"/>
        <v>DC</v>
      </c>
      <c r="Z65" s="8">
        <f t="shared" si="2"/>
        <v>30</v>
      </c>
      <c r="AA65" s="8">
        <f t="shared" si="3"/>
        <v>0</v>
      </c>
      <c r="AB65" s="8">
        <f t="shared" si="4"/>
        <v>0</v>
      </c>
      <c r="AC65" s="8">
        <f t="shared" si="5"/>
        <v>0</v>
      </c>
      <c r="AD65" s="8">
        <f t="shared" si="6"/>
        <v>0</v>
      </c>
      <c r="AE65" s="9" t="str" cm="1">
        <f t="array" ref="AE65">IFERROR(_xlfn.XLOOKUP(H65,Sheet1!$G:$G,Sheet1!$F:$F),IFERROR(_xlfn.XLOOKUP(1,(--($X$2:$X$1074=X65))*(--ISNUMBER(MATCH($H$2:$H$1074,Sheet1!$G:$G,0))),_xlfn.XLOOKUP($H$2:$H$1074,Sheet1!$G:$G,Sheet1!$F:$F,"")),"NOT FOUND"))</f>
        <v>GETKRTSFUT6203</v>
      </c>
      <c r="AF65" s="10" t="str">
        <f t="shared" si="7"/>
        <v>BLACK</v>
      </c>
      <c r="AG65" s="11" t="str">
        <f t="shared" si="8"/>
        <v>JHAJJAR</v>
      </c>
      <c r="AH65" s="9" t="str">
        <f>IF(OR(J65="",AE65="",AE65="NOT FOUND"),"",IF(Y65="RP",IFERROR(LEFT(_xlfn.XLOOKUP(AE65,Sheet1!$F:$F,Sheet1!$W:$W),FIND("-",_xlfn.XLOOKUP(AE65,Sheet1!$F:$F,Sheet1!$W:$W),FIND("-",_xlfn.XLOOKUP(AE65,Sheet1!$F:$F,Sheet1!$W:$W))+1))&amp;AE65,"NOT FOUND"),LEFT(J65,FIND("-",J65,FIND("-",J65)+1))&amp;AE65))</f>
        <v>KRTS-APWN26-GETKRTSFUT6203</v>
      </c>
    </row>
    <row r="66" spans="1:34" ht="15.75" customHeight="1" x14ac:dyDescent="0.2">
      <c r="A66" s="4" t="s">
        <v>59</v>
      </c>
      <c r="B66" s="4" t="s">
        <v>151</v>
      </c>
      <c r="C66" s="4" t="s">
        <v>64</v>
      </c>
      <c r="D66" s="4" t="s">
        <v>116</v>
      </c>
      <c r="E66" s="4" t="s">
        <v>34</v>
      </c>
      <c r="F66" s="4" t="s">
        <v>35</v>
      </c>
      <c r="G66" s="4" t="s">
        <v>55</v>
      </c>
      <c r="H66" s="4" t="s">
        <v>129</v>
      </c>
      <c r="I66" s="4" t="s">
        <v>130</v>
      </c>
      <c r="J66" s="4" t="s">
        <v>131</v>
      </c>
      <c r="L66" s="4" t="s">
        <v>40</v>
      </c>
      <c r="M66" s="4">
        <v>1</v>
      </c>
      <c r="N66" s="4">
        <v>132</v>
      </c>
      <c r="O66" s="4">
        <v>132</v>
      </c>
      <c r="P66" s="4" t="s">
        <v>41</v>
      </c>
      <c r="Q66" s="4">
        <v>319.7</v>
      </c>
      <c r="R66" s="4">
        <v>319.7</v>
      </c>
      <c r="S66" s="4">
        <v>2110.02</v>
      </c>
      <c r="T66" s="4">
        <v>42200.4</v>
      </c>
      <c r="U66" s="4">
        <v>5</v>
      </c>
      <c r="V66" s="4" t="s">
        <v>42</v>
      </c>
      <c r="X66" s="7" t="str">
        <f t="shared" si="0"/>
        <v>441811105</v>
      </c>
      <c r="Y66" s="8" t="str">
        <f t="shared" si="1"/>
        <v>DC</v>
      </c>
      <c r="Z66" s="8">
        <f t="shared" si="2"/>
        <v>0</v>
      </c>
      <c r="AA66" s="8">
        <f t="shared" si="3"/>
        <v>0</v>
      </c>
      <c r="AB66" s="8">
        <f t="shared" si="4"/>
        <v>0</v>
      </c>
      <c r="AC66" s="8">
        <f t="shared" si="5"/>
        <v>132</v>
      </c>
      <c r="AD66" s="8">
        <f t="shared" si="6"/>
        <v>0</v>
      </c>
      <c r="AE66" s="9" t="str" cm="1">
        <f t="array" ref="AE66">IFERROR(_xlfn.XLOOKUP(H66,Sheet1!$G:$G,Sheet1!$F:$F),IFERROR(_xlfn.XLOOKUP(1,(--($X$2:$X$1074=X66))*(--ISNUMBER(MATCH($H$2:$H$1074,Sheet1!$G:$G,0))),_xlfn.XLOOKUP($H$2:$H$1074,Sheet1!$G:$G,Sheet1!$F:$F,"")),"NOT FOUND"))</f>
        <v>GETKRTSFUT6203</v>
      </c>
      <c r="AF66" s="10" t="str">
        <f t="shared" si="7"/>
        <v>BLACK</v>
      </c>
      <c r="AG66" s="11" t="str">
        <f t="shared" si="8"/>
        <v>JHAJJAR</v>
      </c>
      <c r="AH66" s="9" t="str">
        <f>IF(OR(J66="",AE66="",AE66="NOT FOUND"),"",IF(Y66="RP",IFERROR(LEFT(_xlfn.XLOOKUP(AE66,Sheet1!$F:$F,Sheet1!$W:$W),FIND("-",_xlfn.XLOOKUP(AE66,Sheet1!$F:$F,Sheet1!$W:$W),FIND("-",_xlfn.XLOOKUP(AE66,Sheet1!$F:$F,Sheet1!$W:$W))+1))&amp;AE66,"NOT FOUND"),LEFT(J66,FIND("-",J66,FIND("-",J66)+1))&amp;AE66))</f>
        <v>KRTS-APWN26-GETKRTSFUT6203</v>
      </c>
    </row>
    <row r="67" spans="1:34" ht="15.75" customHeight="1" x14ac:dyDescent="0.2">
      <c r="A67" s="4" t="s">
        <v>61</v>
      </c>
      <c r="B67" s="4" t="s">
        <v>152</v>
      </c>
      <c r="C67" s="4" t="s">
        <v>64</v>
      </c>
      <c r="D67" s="4" t="s">
        <v>81</v>
      </c>
      <c r="E67" s="4" t="s">
        <v>34</v>
      </c>
      <c r="F67" s="4" t="s">
        <v>35</v>
      </c>
      <c r="G67" s="4" t="s">
        <v>36</v>
      </c>
      <c r="H67" s="4" t="s">
        <v>82</v>
      </c>
      <c r="I67" s="4" t="s">
        <v>83</v>
      </c>
      <c r="J67" s="4" t="s">
        <v>84</v>
      </c>
      <c r="L67" s="4" t="s">
        <v>40</v>
      </c>
      <c r="M67" s="4">
        <v>1</v>
      </c>
      <c r="N67" s="4">
        <v>30</v>
      </c>
      <c r="O67" s="4">
        <v>30</v>
      </c>
      <c r="P67" s="4" t="s">
        <v>41</v>
      </c>
      <c r="Q67" s="4">
        <v>419.7</v>
      </c>
      <c r="R67" s="4">
        <v>419.7</v>
      </c>
      <c r="S67" s="4">
        <v>629.54999999999995</v>
      </c>
      <c r="T67" s="4">
        <v>12591</v>
      </c>
      <c r="U67" s="4">
        <v>5</v>
      </c>
      <c r="V67" s="4" t="s">
        <v>42</v>
      </c>
      <c r="X67" s="7" t="str">
        <f t="shared" si="0"/>
        <v>441811107</v>
      </c>
      <c r="Y67" s="8" t="str">
        <f t="shared" si="1"/>
        <v>DC</v>
      </c>
      <c r="Z67" s="8">
        <f t="shared" si="2"/>
        <v>0</v>
      </c>
      <c r="AA67" s="8">
        <f t="shared" si="3"/>
        <v>0</v>
      </c>
      <c r="AB67" s="8">
        <f t="shared" si="4"/>
        <v>0</v>
      </c>
      <c r="AC67" s="8">
        <f t="shared" si="5"/>
        <v>0</v>
      </c>
      <c r="AD67" s="8">
        <f t="shared" si="6"/>
        <v>30</v>
      </c>
      <c r="AE67" s="9" t="str" cm="1">
        <f t="array" ref="AE67">IFERROR(_xlfn.XLOOKUP(H67,Sheet1!$G:$G,Sheet1!$F:$F),IFERROR(_xlfn.XLOOKUP(1,(--($X$2:$X$1074=X67))*(--ISNUMBER(MATCH($H$2:$H$1074,Sheet1!$G:$G,0))),_xlfn.XLOOKUP($H$2:$H$1074,Sheet1!$G:$G,Sheet1!$F:$F,"")),"NOT FOUND"))</f>
        <v>GETKRTSFUT6205</v>
      </c>
      <c r="AF67" s="10" t="str">
        <f t="shared" ref="AF67:AF130" si="9">IFERROR(IF(ISNUMBER(SEARCH("(RP)",J67)),TRIM(SUBSTITUTE(MID(J67,10,LEN(J67)),"(RP)","")),TRIM(MID(J67,FIND(",",J67)+1,FIND(",",J67,FIND(",",J67)+1)-FIND(",",J67)-1))),"")</f>
        <v>GREEN</v>
      </c>
      <c r="AG67" s="11" t="str">
        <f t="shared" ref="AG67:AG130" si="10">IF(A67="SZAF","Bangalore",IF(A67="SAEX","JHAJJAR",IF(A67="S0EU","HARIPAL","")))</f>
        <v>HARIPAL</v>
      </c>
      <c r="AH67" s="9" t="str">
        <f>IF(OR(J67="",AE67="",AE67="NOT FOUND"),"",IF(Y67="RP",IFERROR(LEFT(_xlfn.XLOOKUP(AE67,Sheet1!$F:$F,Sheet1!$W:$W),FIND("-",_xlfn.XLOOKUP(AE67,Sheet1!$F:$F,Sheet1!$W:$W),FIND("-",_xlfn.XLOOKUP(AE67,Sheet1!$F:$F,Sheet1!$W:$W))+1))&amp;AE67,"NOT FOUND"),LEFT(J67,FIND("-",J67,FIND("-",J67)+1))&amp;AE67))</f>
        <v>KRTS-APWN26-GETKRTSFUT6205</v>
      </c>
    </row>
    <row r="68" spans="1:34" ht="15.75" customHeight="1" x14ac:dyDescent="0.2">
      <c r="A68" s="4" t="s">
        <v>61</v>
      </c>
      <c r="B68" s="4" t="s">
        <v>152</v>
      </c>
      <c r="C68" s="4" t="s">
        <v>64</v>
      </c>
      <c r="D68" s="4" t="s">
        <v>81</v>
      </c>
      <c r="E68" s="4" t="s">
        <v>34</v>
      </c>
      <c r="F68" s="4" t="s">
        <v>35</v>
      </c>
      <c r="G68" s="4" t="s">
        <v>43</v>
      </c>
      <c r="H68" s="4" t="s">
        <v>85</v>
      </c>
      <c r="I68" s="4" t="s">
        <v>86</v>
      </c>
      <c r="J68" s="4" t="s">
        <v>87</v>
      </c>
      <c r="L68" s="4" t="s">
        <v>40</v>
      </c>
      <c r="M68" s="4">
        <v>1</v>
      </c>
      <c r="N68" s="4">
        <v>135</v>
      </c>
      <c r="O68" s="4">
        <v>135</v>
      </c>
      <c r="P68" s="4" t="s">
        <v>41</v>
      </c>
      <c r="Q68" s="4">
        <v>419.7</v>
      </c>
      <c r="R68" s="4">
        <v>419.7</v>
      </c>
      <c r="S68" s="4">
        <v>2832.98</v>
      </c>
      <c r="T68" s="4">
        <v>56659.5</v>
      </c>
      <c r="U68" s="4">
        <v>5</v>
      </c>
      <c r="V68" s="4" t="s">
        <v>42</v>
      </c>
      <c r="X68" s="7" t="str">
        <f t="shared" si="0"/>
        <v>441811107</v>
      </c>
      <c r="Y68" s="8" t="str">
        <f t="shared" si="1"/>
        <v>DC</v>
      </c>
      <c r="Z68" s="8">
        <f t="shared" si="2"/>
        <v>0</v>
      </c>
      <c r="AA68" s="8">
        <f t="shared" si="3"/>
        <v>0</v>
      </c>
      <c r="AB68" s="8">
        <f t="shared" si="4"/>
        <v>135</v>
      </c>
      <c r="AC68" s="8">
        <f t="shared" si="5"/>
        <v>0</v>
      </c>
      <c r="AD68" s="8">
        <f t="shared" si="6"/>
        <v>0</v>
      </c>
      <c r="AE68" s="9" t="str" cm="1">
        <f t="array" ref="AE68">IFERROR(_xlfn.XLOOKUP(H68,Sheet1!$G:$G,Sheet1!$F:$F),IFERROR(_xlfn.XLOOKUP(1,(--($X$2:$X$1074=X68))*(--ISNUMBER(MATCH($H$2:$H$1074,Sheet1!$G:$G,0))),_xlfn.XLOOKUP($H$2:$H$1074,Sheet1!$G:$G,Sheet1!$F:$F,"")),"NOT FOUND"))</f>
        <v>GETKRTSFUT6205</v>
      </c>
      <c r="AF68" s="10" t="str">
        <f t="shared" si="9"/>
        <v>GREEN</v>
      </c>
      <c r="AG68" s="11" t="str">
        <f t="shared" si="10"/>
        <v>HARIPAL</v>
      </c>
      <c r="AH68" s="9" t="str">
        <f>IF(OR(J68="",AE68="",AE68="NOT FOUND"),"",IF(Y68="RP",IFERROR(LEFT(_xlfn.XLOOKUP(AE68,Sheet1!$F:$F,Sheet1!$W:$W),FIND("-",_xlfn.XLOOKUP(AE68,Sheet1!$F:$F,Sheet1!$W:$W),FIND("-",_xlfn.XLOOKUP(AE68,Sheet1!$F:$F,Sheet1!$W:$W))+1))&amp;AE68,"NOT FOUND"),LEFT(J68,FIND("-",J68,FIND("-",J68)+1))&amp;AE68))</f>
        <v>KRTS-APWN26-GETKRTSFUT6205</v>
      </c>
    </row>
    <row r="69" spans="1:34" ht="15.75" customHeight="1" x14ac:dyDescent="0.2">
      <c r="A69" s="4" t="s">
        <v>61</v>
      </c>
      <c r="B69" s="4" t="s">
        <v>152</v>
      </c>
      <c r="C69" s="4" t="s">
        <v>64</v>
      </c>
      <c r="D69" s="4" t="s">
        <v>81</v>
      </c>
      <c r="E69" s="4" t="s">
        <v>34</v>
      </c>
      <c r="F69" s="4" t="s">
        <v>35</v>
      </c>
      <c r="G69" s="4" t="s">
        <v>47</v>
      </c>
      <c r="H69" s="4" t="s">
        <v>88</v>
      </c>
      <c r="I69" s="4" t="s">
        <v>89</v>
      </c>
      <c r="J69" s="4" t="s">
        <v>90</v>
      </c>
      <c r="L69" s="4" t="s">
        <v>40</v>
      </c>
      <c r="M69" s="4">
        <v>1</v>
      </c>
      <c r="N69" s="4">
        <v>135</v>
      </c>
      <c r="O69" s="4">
        <v>135</v>
      </c>
      <c r="P69" s="4" t="s">
        <v>41</v>
      </c>
      <c r="Q69" s="4">
        <v>419.7</v>
      </c>
      <c r="R69" s="4">
        <v>419.7</v>
      </c>
      <c r="S69" s="4">
        <v>2832.98</v>
      </c>
      <c r="T69" s="4">
        <v>56659.5</v>
      </c>
      <c r="U69" s="4">
        <v>5</v>
      </c>
      <c r="V69" s="4" t="s">
        <v>42</v>
      </c>
      <c r="X69" s="7" t="str">
        <f t="shared" si="0"/>
        <v>441811107</v>
      </c>
      <c r="Y69" s="8" t="str">
        <f t="shared" si="1"/>
        <v>DC</v>
      </c>
      <c r="Z69" s="8">
        <f t="shared" si="2"/>
        <v>0</v>
      </c>
      <c r="AA69" s="8">
        <f t="shared" si="3"/>
        <v>135</v>
      </c>
      <c r="AB69" s="8">
        <f t="shared" si="4"/>
        <v>0</v>
      </c>
      <c r="AC69" s="8">
        <f t="shared" si="5"/>
        <v>0</v>
      </c>
      <c r="AD69" s="8">
        <f t="shared" si="6"/>
        <v>0</v>
      </c>
      <c r="AE69" s="9" t="str" cm="1">
        <f t="array" ref="AE69">IFERROR(_xlfn.XLOOKUP(H69,Sheet1!$G:$G,Sheet1!$F:$F),IFERROR(_xlfn.XLOOKUP(1,(--($X$2:$X$1074=X69))*(--ISNUMBER(MATCH($H$2:$H$1074,Sheet1!$G:$G,0))),_xlfn.XLOOKUP($H$2:$H$1074,Sheet1!$G:$G,Sheet1!$F:$F,"")),"NOT FOUND"))</f>
        <v>GETKRTSFUT6205</v>
      </c>
      <c r="AF69" s="10" t="str">
        <f t="shared" si="9"/>
        <v>GREEN</v>
      </c>
      <c r="AG69" s="11" t="str">
        <f t="shared" si="10"/>
        <v>HARIPAL</v>
      </c>
      <c r="AH69" s="9" t="str">
        <f>IF(OR(J69="",AE69="",AE69="NOT FOUND"),"",IF(Y69="RP",IFERROR(LEFT(_xlfn.XLOOKUP(AE69,Sheet1!$F:$F,Sheet1!$W:$W),FIND("-",_xlfn.XLOOKUP(AE69,Sheet1!$F:$F,Sheet1!$W:$W),FIND("-",_xlfn.XLOOKUP(AE69,Sheet1!$F:$F,Sheet1!$W:$W))+1))&amp;AE69,"NOT FOUND"),LEFT(J69,FIND("-",J69,FIND("-",J69)+1))&amp;AE69))</f>
        <v>KRTS-APWN26-GETKRTSFUT6205</v>
      </c>
    </row>
    <row r="70" spans="1:34" ht="15.75" customHeight="1" x14ac:dyDescent="0.2">
      <c r="A70" s="4" t="s">
        <v>61</v>
      </c>
      <c r="B70" s="4" t="s">
        <v>152</v>
      </c>
      <c r="C70" s="4" t="s">
        <v>64</v>
      </c>
      <c r="D70" s="4" t="s">
        <v>81</v>
      </c>
      <c r="E70" s="4" t="s">
        <v>34</v>
      </c>
      <c r="F70" s="4" t="s">
        <v>35</v>
      </c>
      <c r="G70" s="4" t="s">
        <v>51</v>
      </c>
      <c r="H70" s="4" t="s">
        <v>91</v>
      </c>
      <c r="I70" s="4" t="s">
        <v>92</v>
      </c>
      <c r="J70" s="4" t="s">
        <v>93</v>
      </c>
      <c r="L70" s="4" t="s">
        <v>40</v>
      </c>
      <c r="M70" s="4">
        <v>1</v>
      </c>
      <c r="N70" s="4">
        <v>30</v>
      </c>
      <c r="O70" s="4">
        <v>30</v>
      </c>
      <c r="P70" s="4" t="s">
        <v>41</v>
      </c>
      <c r="Q70" s="4">
        <v>419.7</v>
      </c>
      <c r="R70" s="4">
        <v>419.7</v>
      </c>
      <c r="S70" s="4">
        <v>629.54999999999995</v>
      </c>
      <c r="T70" s="4">
        <v>12591</v>
      </c>
      <c r="U70" s="4">
        <v>5</v>
      </c>
      <c r="V70" s="4" t="s">
        <v>42</v>
      </c>
      <c r="X70" s="7" t="str">
        <f t="shared" si="0"/>
        <v>441811107</v>
      </c>
      <c r="Y70" s="8" t="str">
        <f t="shared" si="1"/>
        <v>DC</v>
      </c>
      <c r="Z70" s="8">
        <f t="shared" si="2"/>
        <v>30</v>
      </c>
      <c r="AA70" s="8">
        <f t="shared" si="3"/>
        <v>0</v>
      </c>
      <c r="AB70" s="8">
        <f t="shared" si="4"/>
        <v>0</v>
      </c>
      <c r="AC70" s="8">
        <f t="shared" si="5"/>
        <v>0</v>
      </c>
      <c r="AD70" s="8">
        <f t="shared" si="6"/>
        <v>0</v>
      </c>
      <c r="AE70" s="9" t="str" cm="1">
        <f t="array" ref="AE70">IFERROR(_xlfn.XLOOKUP(H70,Sheet1!$G:$G,Sheet1!$F:$F),IFERROR(_xlfn.XLOOKUP(1,(--($X$2:$X$1074=X70))*(--ISNUMBER(MATCH($H$2:$H$1074,Sheet1!$G:$G,0))),_xlfn.XLOOKUP($H$2:$H$1074,Sheet1!$G:$G,Sheet1!$F:$F,"")),"NOT FOUND"))</f>
        <v>GETKRTSFUT6205</v>
      </c>
      <c r="AF70" s="10" t="str">
        <f t="shared" si="9"/>
        <v>GREEN</v>
      </c>
      <c r="AG70" s="11" t="str">
        <f t="shared" si="10"/>
        <v>HARIPAL</v>
      </c>
      <c r="AH70" s="9" t="str">
        <f>IF(OR(J70="",AE70="",AE70="NOT FOUND"),"",IF(Y70="RP",IFERROR(LEFT(_xlfn.XLOOKUP(AE70,Sheet1!$F:$F,Sheet1!$W:$W),FIND("-",_xlfn.XLOOKUP(AE70,Sheet1!$F:$F,Sheet1!$W:$W),FIND("-",_xlfn.XLOOKUP(AE70,Sheet1!$F:$F,Sheet1!$W:$W))+1))&amp;AE70,"NOT FOUND"),LEFT(J70,FIND("-",J70,FIND("-",J70)+1))&amp;AE70))</f>
        <v>KRTS-APWN26-GETKRTSFUT6205</v>
      </c>
    </row>
    <row r="71" spans="1:34" ht="15.75" customHeight="1" x14ac:dyDescent="0.2">
      <c r="A71" s="4" t="s">
        <v>61</v>
      </c>
      <c r="B71" s="4" t="s">
        <v>152</v>
      </c>
      <c r="C71" s="4" t="s">
        <v>64</v>
      </c>
      <c r="D71" s="4" t="s">
        <v>81</v>
      </c>
      <c r="E71" s="4" t="s">
        <v>34</v>
      </c>
      <c r="F71" s="4" t="s">
        <v>35</v>
      </c>
      <c r="G71" s="4" t="s">
        <v>55</v>
      </c>
      <c r="H71" s="4" t="s">
        <v>94</v>
      </c>
      <c r="I71" s="4" t="s">
        <v>95</v>
      </c>
      <c r="J71" s="4" t="s">
        <v>96</v>
      </c>
      <c r="L71" s="4" t="s">
        <v>40</v>
      </c>
      <c r="M71" s="4">
        <v>1</v>
      </c>
      <c r="N71" s="4">
        <v>114</v>
      </c>
      <c r="O71" s="4">
        <v>114</v>
      </c>
      <c r="P71" s="4" t="s">
        <v>41</v>
      </c>
      <c r="Q71" s="4">
        <v>419.7</v>
      </c>
      <c r="R71" s="4">
        <v>419.7</v>
      </c>
      <c r="S71" s="4">
        <v>2392.29</v>
      </c>
      <c r="T71" s="4">
        <v>47845.8</v>
      </c>
      <c r="U71" s="4">
        <v>5</v>
      </c>
      <c r="V71" s="4" t="s">
        <v>42</v>
      </c>
      <c r="X71" s="7" t="str">
        <f t="shared" si="0"/>
        <v>441811107</v>
      </c>
      <c r="Y71" s="8" t="str">
        <f t="shared" si="1"/>
        <v>DC</v>
      </c>
      <c r="Z71" s="8">
        <f t="shared" si="2"/>
        <v>0</v>
      </c>
      <c r="AA71" s="8">
        <f t="shared" si="3"/>
        <v>0</v>
      </c>
      <c r="AB71" s="8">
        <f t="shared" si="4"/>
        <v>0</v>
      </c>
      <c r="AC71" s="8">
        <f t="shared" si="5"/>
        <v>114</v>
      </c>
      <c r="AD71" s="8">
        <f t="shared" si="6"/>
        <v>0</v>
      </c>
      <c r="AE71" s="9" t="str" cm="1">
        <f t="array" ref="AE71">IFERROR(_xlfn.XLOOKUP(H71,Sheet1!$G:$G,Sheet1!$F:$F),IFERROR(_xlfn.XLOOKUP(1,(--($X$2:$X$1074=X71))*(--ISNUMBER(MATCH($H$2:$H$1074,Sheet1!$G:$G,0))),_xlfn.XLOOKUP($H$2:$H$1074,Sheet1!$G:$G,Sheet1!$F:$F,"")),"NOT FOUND"))</f>
        <v>GETKRTSFUT6205</v>
      </c>
      <c r="AF71" s="10" t="str">
        <f t="shared" si="9"/>
        <v>GREEN</v>
      </c>
      <c r="AG71" s="11" t="str">
        <f t="shared" si="10"/>
        <v>HARIPAL</v>
      </c>
      <c r="AH71" s="9" t="str">
        <f>IF(OR(J71="",AE71="",AE71="NOT FOUND"),"",IF(Y71="RP",IFERROR(LEFT(_xlfn.XLOOKUP(AE71,Sheet1!$F:$F,Sheet1!$W:$W),FIND("-",_xlfn.XLOOKUP(AE71,Sheet1!$F:$F,Sheet1!$W:$W),FIND("-",_xlfn.XLOOKUP(AE71,Sheet1!$F:$F,Sheet1!$W:$W))+1))&amp;AE71,"NOT FOUND"),LEFT(J71,FIND("-",J71,FIND("-",J71)+1))&amp;AE71))</f>
        <v>KRTS-APWN26-GETKRTSFUT6205</v>
      </c>
    </row>
    <row r="72" spans="1:34" ht="15.75" customHeight="1" x14ac:dyDescent="0.2">
      <c r="A72" s="4" t="s">
        <v>61</v>
      </c>
      <c r="B72" s="4" t="s">
        <v>153</v>
      </c>
      <c r="C72" s="4" t="s">
        <v>64</v>
      </c>
      <c r="D72" s="4" t="s">
        <v>98</v>
      </c>
      <c r="E72" s="4" t="s">
        <v>34</v>
      </c>
      <c r="F72" s="4" t="s">
        <v>35</v>
      </c>
      <c r="G72" s="4" t="s">
        <v>36</v>
      </c>
      <c r="H72" s="4" t="s">
        <v>99</v>
      </c>
      <c r="I72" s="4" t="s">
        <v>100</v>
      </c>
      <c r="J72" s="4" t="s">
        <v>101</v>
      </c>
      <c r="L72" s="4" t="s">
        <v>40</v>
      </c>
      <c r="M72" s="4">
        <v>1</v>
      </c>
      <c r="N72" s="4">
        <v>30</v>
      </c>
      <c r="O72" s="4">
        <v>30</v>
      </c>
      <c r="P72" s="4" t="s">
        <v>41</v>
      </c>
      <c r="Q72" s="4">
        <v>314.7</v>
      </c>
      <c r="R72" s="4">
        <v>314.7</v>
      </c>
      <c r="S72" s="4">
        <v>472.05</v>
      </c>
      <c r="T72" s="4">
        <v>9441</v>
      </c>
      <c r="U72" s="4">
        <v>5</v>
      </c>
      <c r="V72" s="4" t="s">
        <v>42</v>
      </c>
      <c r="X72" s="7" t="str">
        <f t="shared" si="0"/>
        <v>441811106</v>
      </c>
      <c r="Y72" s="8" t="str">
        <f t="shared" si="1"/>
        <v>DC</v>
      </c>
      <c r="Z72" s="8">
        <f t="shared" si="2"/>
        <v>0</v>
      </c>
      <c r="AA72" s="8">
        <f t="shared" si="3"/>
        <v>0</v>
      </c>
      <c r="AB72" s="8">
        <f t="shared" si="4"/>
        <v>0</v>
      </c>
      <c r="AC72" s="8">
        <f t="shared" si="5"/>
        <v>0</v>
      </c>
      <c r="AD72" s="8">
        <f t="shared" si="6"/>
        <v>30</v>
      </c>
      <c r="AE72" s="9" t="str" cm="1">
        <f t="array" ref="AE72">IFERROR(_xlfn.XLOOKUP(H72,Sheet1!$G:$G,Sheet1!$F:$F),IFERROR(_xlfn.XLOOKUP(1,(--($X$2:$X$1074=X72))*(--ISNUMBER(MATCH($H$2:$H$1074,Sheet1!$G:$G,0))),_xlfn.XLOOKUP($H$2:$H$1074,Sheet1!$G:$G,Sheet1!$F:$F,"")),"NOT FOUND"))</f>
        <v>GETKRTSFUT6204</v>
      </c>
      <c r="AF72" s="10" t="str">
        <f t="shared" si="9"/>
        <v>GREEN</v>
      </c>
      <c r="AG72" s="11" t="str">
        <f t="shared" si="10"/>
        <v>HARIPAL</v>
      </c>
      <c r="AH72" s="9" t="str">
        <f>IF(OR(J72="",AE72="",AE72="NOT FOUND"),"",IF(Y72="RP",IFERROR(LEFT(_xlfn.XLOOKUP(AE72,Sheet1!$F:$F,Sheet1!$W:$W),FIND("-",_xlfn.XLOOKUP(AE72,Sheet1!$F:$F,Sheet1!$W:$W),FIND("-",_xlfn.XLOOKUP(AE72,Sheet1!$F:$F,Sheet1!$W:$W))+1))&amp;AE72,"NOT FOUND"),LEFT(J72,FIND("-",J72,FIND("-",J72)+1))&amp;AE72))</f>
        <v>KRTS-APWN26-GETKRTSFUT6204</v>
      </c>
    </row>
    <row r="73" spans="1:34" ht="15.75" customHeight="1" x14ac:dyDescent="0.2">
      <c r="A73" s="4" t="s">
        <v>61</v>
      </c>
      <c r="B73" s="4" t="s">
        <v>153</v>
      </c>
      <c r="C73" s="4" t="s">
        <v>64</v>
      </c>
      <c r="D73" s="4" t="s">
        <v>98</v>
      </c>
      <c r="E73" s="4" t="s">
        <v>34</v>
      </c>
      <c r="F73" s="4" t="s">
        <v>35</v>
      </c>
      <c r="G73" s="4" t="s">
        <v>43</v>
      </c>
      <c r="H73" s="4" t="s">
        <v>102</v>
      </c>
      <c r="I73" s="4" t="s">
        <v>103</v>
      </c>
      <c r="J73" s="4" t="s">
        <v>104</v>
      </c>
      <c r="L73" s="4" t="s">
        <v>40</v>
      </c>
      <c r="M73" s="4">
        <v>1</v>
      </c>
      <c r="N73" s="4">
        <v>186</v>
      </c>
      <c r="O73" s="4">
        <v>186</v>
      </c>
      <c r="P73" s="4" t="s">
        <v>41</v>
      </c>
      <c r="Q73" s="4">
        <v>314.7</v>
      </c>
      <c r="R73" s="4">
        <v>314.7</v>
      </c>
      <c r="S73" s="4">
        <v>2926.71</v>
      </c>
      <c r="T73" s="4">
        <v>58534.2</v>
      </c>
      <c r="U73" s="4">
        <v>5</v>
      </c>
      <c r="V73" s="4" t="s">
        <v>42</v>
      </c>
      <c r="X73" s="7" t="str">
        <f t="shared" si="0"/>
        <v>441811106</v>
      </c>
      <c r="Y73" s="8" t="str">
        <f t="shared" si="1"/>
        <v>DC</v>
      </c>
      <c r="Z73" s="8">
        <f t="shared" si="2"/>
        <v>0</v>
      </c>
      <c r="AA73" s="8">
        <f t="shared" si="3"/>
        <v>0</v>
      </c>
      <c r="AB73" s="8">
        <f t="shared" si="4"/>
        <v>186</v>
      </c>
      <c r="AC73" s="8">
        <f t="shared" si="5"/>
        <v>0</v>
      </c>
      <c r="AD73" s="8">
        <f t="shared" si="6"/>
        <v>0</v>
      </c>
      <c r="AE73" s="9" t="str" cm="1">
        <f t="array" ref="AE73">IFERROR(_xlfn.XLOOKUP(H73,Sheet1!$G:$G,Sheet1!$F:$F),IFERROR(_xlfn.XLOOKUP(1,(--($X$2:$X$1074=X73))*(--ISNUMBER(MATCH($H$2:$H$1074,Sheet1!$G:$G,0))),_xlfn.XLOOKUP($H$2:$H$1074,Sheet1!$G:$G,Sheet1!$F:$F,"")),"NOT FOUND"))</f>
        <v>GETKRTSFUT6204</v>
      </c>
      <c r="AF73" s="10" t="str">
        <f t="shared" si="9"/>
        <v>GREEN</v>
      </c>
      <c r="AG73" s="11" t="str">
        <f t="shared" si="10"/>
        <v>HARIPAL</v>
      </c>
      <c r="AH73" s="9" t="str">
        <f>IF(OR(J73="",AE73="",AE73="NOT FOUND"),"",IF(Y73="RP",IFERROR(LEFT(_xlfn.XLOOKUP(AE73,Sheet1!$F:$F,Sheet1!$W:$W),FIND("-",_xlfn.XLOOKUP(AE73,Sheet1!$F:$F,Sheet1!$W:$W),FIND("-",_xlfn.XLOOKUP(AE73,Sheet1!$F:$F,Sheet1!$W:$W))+1))&amp;AE73,"NOT FOUND"),LEFT(J73,FIND("-",J73,FIND("-",J73)+1))&amp;AE73))</f>
        <v>KRTS-APWN26-GETKRTSFUT6204</v>
      </c>
    </row>
    <row r="74" spans="1:34" ht="15.75" customHeight="1" x14ac:dyDescent="0.2">
      <c r="A74" s="4" t="s">
        <v>61</v>
      </c>
      <c r="B74" s="4" t="s">
        <v>153</v>
      </c>
      <c r="C74" s="4" t="s">
        <v>64</v>
      </c>
      <c r="D74" s="4" t="s">
        <v>98</v>
      </c>
      <c r="E74" s="4" t="s">
        <v>34</v>
      </c>
      <c r="F74" s="4" t="s">
        <v>35</v>
      </c>
      <c r="G74" s="4" t="s">
        <v>47</v>
      </c>
      <c r="H74" s="4" t="s">
        <v>105</v>
      </c>
      <c r="I74" s="4" t="s">
        <v>106</v>
      </c>
      <c r="J74" s="4" t="s">
        <v>107</v>
      </c>
      <c r="L74" s="4" t="s">
        <v>40</v>
      </c>
      <c r="M74" s="4">
        <v>1</v>
      </c>
      <c r="N74" s="4">
        <v>186</v>
      </c>
      <c r="O74" s="4">
        <v>186</v>
      </c>
      <c r="P74" s="4" t="s">
        <v>41</v>
      </c>
      <c r="Q74" s="4">
        <v>314.7</v>
      </c>
      <c r="R74" s="4">
        <v>314.7</v>
      </c>
      <c r="S74" s="4">
        <v>2926.71</v>
      </c>
      <c r="T74" s="4">
        <v>58534.2</v>
      </c>
      <c r="U74" s="4">
        <v>5</v>
      </c>
      <c r="V74" s="4" t="s">
        <v>42</v>
      </c>
      <c r="X74" s="7" t="str">
        <f t="shared" si="0"/>
        <v>441811106</v>
      </c>
      <c r="Y74" s="8" t="str">
        <f t="shared" si="1"/>
        <v>DC</v>
      </c>
      <c r="Z74" s="8">
        <f t="shared" si="2"/>
        <v>0</v>
      </c>
      <c r="AA74" s="8">
        <f t="shared" si="3"/>
        <v>186</v>
      </c>
      <c r="AB74" s="8">
        <f t="shared" si="4"/>
        <v>0</v>
      </c>
      <c r="AC74" s="8">
        <f t="shared" si="5"/>
        <v>0</v>
      </c>
      <c r="AD74" s="8">
        <f t="shared" si="6"/>
        <v>0</v>
      </c>
      <c r="AE74" s="9" t="str" cm="1">
        <f t="array" ref="AE74">IFERROR(_xlfn.XLOOKUP(H74,Sheet1!$G:$G,Sheet1!$F:$F),IFERROR(_xlfn.XLOOKUP(1,(--($X$2:$X$1074=X74))*(--ISNUMBER(MATCH($H$2:$H$1074,Sheet1!$G:$G,0))),_xlfn.XLOOKUP($H$2:$H$1074,Sheet1!$G:$G,Sheet1!$F:$F,"")),"NOT FOUND"))</f>
        <v>GETKRTSFUT6204</v>
      </c>
      <c r="AF74" s="10" t="str">
        <f t="shared" si="9"/>
        <v>GREEN</v>
      </c>
      <c r="AG74" s="11" t="str">
        <f t="shared" si="10"/>
        <v>HARIPAL</v>
      </c>
      <c r="AH74" s="9" t="str">
        <f>IF(OR(J74="",AE74="",AE74="NOT FOUND"),"",IF(Y74="RP",IFERROR(LEFT(_xlfn.XLOOKUP(AE74,Sheet1!$F:$F,Sheet1!$W:$W),FIND("-",_xlfn.XLOOKUP(AE74,Sheet1!$F:$F,Sheet1!$W:$W),FIND("-",_xlfn.XLOOKUP(AE74,Sheet1!$F:$F,Sheet1!$W:$W))+1))&amp;AE74,"NOT FOUND"),LEFT(J74,FIND("-",J74,FIND("-",J74)+1))&amp;AE74))</f>
        <v>KRTS-APWN26-GETKRTSFUT6204</v>
      </c>
    </row>
    <row r="75" spans="1:34" ht="15.75" customHeight="1" x14ac:dyDescent="0.2">
      <c r="A75" s="4" t="s">
        <v>61</v>
      </c>
      <c r="B75" s="4" t="s">
        <v>153</v>
      </c>
      <c r="C75" s="4" t="s">
        <v>64</v>
      </c>
      <c r="D75" s="4" t="s">
        <v>98</v>
      </c>
      <c r="E75" s="4" t="s">
        <v>34</v>
      </c>
      <c r="F75" s="4" t="s">
        <v>35</v>
      </c>
      <c r="G75" s="4" t="s">
        <v>51</v>
      </c>
      <c r="H75" s="4" t="s">
        <v>108</v>
      </c>
      <c r="I75" s="4" t="s">
        <v>109</v>
      </c>
      <c r="J75" s="4" t="s">
        <v>110</v>
      </c>
      <c r="L75" s="4" t="s">
        <v>40</v>
      </c>
      <c r="M75" s="4">
        <v>1</v>
      </c>
      <c r="N75" s="4">
        <v>30</v>
      </c>
      <c r="O75" s="4">
        <v>30</v>
      </c>
      <c r="P75" s="4" t="s">
        <v>41</v>
      </c>
      <c r="Q75" s="4">
        <v>314.7</v>
      </c>
      <c r="R75" s="4">
        <v>314.7</v>
      </c>
      <c r="S75" s="4">
        <v>472.05</v>
      </c>
      <c r="T75" s="4">
        <v>9441</v>
      </c>
      <c r="U75" s="4">
        <v>5</v>
      </c>
      <c r="V75" s="4" t="s">
        <v>42</v>
      </c>
      <c r="X75" s="7" t="str">
        <f t="shared" si="0"/>
        <v>441811106</v>
      </c>
      <c r="Y75" s="8" t="str">
        <f t="shared" si="1"/>
        <v>DC</v>
      </c>
      <c r="Z75" s="8">
        <f t="shared" si="2"/>
        <v>30</v>
      </c>
      <c r="AA75" s="8">
        <f t="shared" si="3"/>
        <v>0</v>
      </c>
      <c r="AB75" s="8">
        <f t="shared" si="4"/>
        <v>0</v>
      </c>
      <c r="AC75" s="8">
        <f t="shared" si="5"/>
        <v>0</v>
      </c>
      <c r="AD75" s="8">
        <f t="shared" si="6"/>
        <v>0</v>
      </c>
      <c r="AE75" s="9" t="str" cm="1">
        <f t="array" ref="AE75">IFERROR(_xlfn.XLOOKUP(H75,Sheet1!$G:$G,Sheet1!$F:$F),IFERROR(_xlfn.XLOOKUP(1,(--($X$2:$X$1074=X75))*(--ISNUMBER(MATCH($H$2:$H$1074,Sheet1!$G:$G,0))),_xlfn.XLOOKUP($H$2:$H$1074,Sheet1!$G:$G,Sheet1!$F:$F,"")),"NOT FOUND"))</f>
        <v>GETKRTSFUT6204</v>
      </c>
      <c r="AF75" s="10" t="str">
        <f t="shared" si="9"/>
        <v>GREEN</v>
      </c>
      <c r="AG75" s="11" t="str">
        <f t="shared" si="10"/>
        <v>HARIPAL</v>
      </c>
      <c r="AH75" s="9" t="str">
        <f>IF(OR(J75="",AE75="",AE75="NOT FOUND"),"",IF(Y75="RP",IFERROR(LEFT(_xlfn.XLOOKUP(AE75,Sheet1!$F:$F,Sheet1!$W:$W),FIND("-",_xlfn.XLOOKUP(AE75,Sheet1!$F:$F,Sheet1!$W:$W),FIND("-",_xlfn.XLOOKUP(AE75,Sheet1!$F:$F,Sheet1!$W:$W))+1))&amp;AE75,"NOT FOUND"),LEFT(J75,FIND("-",J75,FIND("-",J75)+1))&amp;AE75))</f>
        <v>KRTS-APWN26-GETKRTSFUT6204</v>
      </c>
    </row>
    <row r="76" spans="1:34" ht="15.75" customHeight="1" x14ac:dyDescent="0.2">
      <c r="A76" s="4" t="s">
        <v>61</v>
      </c>
      <c r="B76" s="4" t="s">
        <v>153</v>
      </c>
      <c r="C76" s="4" t="s">
        <v>64</v>
      </c>
      <c r="D76" s="4" t="s">
        <v>98</v>
      </c>
      <c r="E76" s="4" t="s">
        <v>34</v>
      </c>
      <c r="F76" s="4" t="s">
        <v>35</v>
      </c>
      <c r="G76" s="4" t="s">
        <v>55</v>
      </c>
      <c r="H76" s="4" t="s">
        <v>111</v>
      </c>
      <c r="I76" s="4" t="s">
        <v>112</v>
      </c>
      <c r="J76" s="4" t="s">
        <v>113</v>
      </c>
      <c r="L76" s="4" t="s">
        <v>40</v>
      </c>
      <c r="M76" s="4">
        <v>1</v>
      </c>
      <c r="N76" s="4">
        <v>157</v>
      </c>
      <c r="O76" s="4">
        <v>157</v>
      </c>
      <c r="P76" s="4" t="s">
        <v>41</v>
      </c>
      <c r="Q76" s="4">
        <v>314.7</v>
      </c>
      <c r="R76" s="4">
        <v>314.7</v>
      </c>
      <c r="S76" s="4">
        <v>2470.4</v>
      </c>
      <c r="T76" s="4">
        <v>49407.9</v>
      </c>
      <c r="U76" s="4">
        <v>5</v>
      </c>
      <c r="V76" s="4" t="s">
        <v>42</v>
      </c>
      <c r="X76" s="7" t="str">
        <f t="shared" si="0"/>
        <v>441811106</v>
      </c>
      <c r="Y76" s="8" t="str">
        <f t="shared" si="1"/>
        <v>DC</v>
      </c>
      <c r="Z76" s="8">
        <f t="shared" si="2"/>
        <v>0</v>
      </c>
      <c r="AA76" s="8">
        <f t="shared" si="3"/>
        <v>0</v>
      </c>
      <c r="AB76" s="8">
        <f t="shared" si="4"/>
        <v>0</v>
      </c>
      <c r="AC76" s="8">
        <f t="shared" si="5"/>
        <v>157</v>
      </c>
      <c r="AD76" s="8">
        <f t="shared" si="6"/>
        <v>0</v>
      </c>
      <c r="AE76" s="9" t="str" cm="1">
        <f t="array" ref="AE76">IFERROR(_xlfn.XLOOKUP(H76,Sheet1!$G:$G,Sheet1!$F:$F),IFERROR(_xlfn.XLOOKUP(1,(--($X$2:$X$1074=X76))*(--ISNUMBER(MATCH($H$2:$H$1074,Sheet1!$G:$G,0))),_xlfn.XLOOKUP($H$2:$H$1074,Sheet1!$G:$G,Sheet1!$F:$F,"")),"NOT FOUND"))</f>
        <v>GETKRTSFUT6204</v>
      </c>
      <c r="AF76" s="10" t="str">
        <f t="shared" si="9"/>
        <v>GREEN</v>
      </c>
      <c r="AG76" s="11" t="str">
        <f t="shared" si="10"/>
        <v>HARIPAL</v>
      </c>
      <c r="AH76" s="9" t="str">
        <f>IF(OR(J76="",AE76="",AE76="NOT FOUND"),"",IF(Y76="RP",IFERROR(LEFT(_xlfn.XLOOKUP(AE76,Sheet1!$F:$F,Sheet1!$W:$W),FIND("-",_xlfn.XLOOKUP(AE76,Sheet1!$F:$F,Sheet1!$W:$W),FIND("-",_xlfn.XLOOKUP(AE76,Sheet1!$F:$F,Sheet1!$W:$W))+1))&amp;AE76,"NOT FOUND"),LEFT(J76,FIND("-",J76,FIND("-",J76)+1))&amp;AE76))</f>
        <v>KRTS-APWN26-GETKRTSFUT6204</v>
      </c>
    </row>
    <row r="77" spans="1:34" ht="15.75" customHeight="1" x14ac:dyDescent="0.2">
      <c r="A77" s="4" t="s">
        <v>59</v>
      </c>
      <c r="B77" s="4" t="s">
        <v>154</v>
      </c>
      <c r="C77" s="4" t="s">
        <v>64</v>
      </c>
      <c r="D77" s="4" t="s">
        <v>81</v>
      </c>
      <c r="E77" s="4" t="s">
        <v>34</v>
      </c>
      <c r="F77" s="4" t="s">
        <v>35</v>
      </c>
      <c r="G77" s="4" t="s">
        <v>36</v>
      </c>
      <c r="H77" s="4" t="s">
        <v>135</v>
      </c>
      <c r="I77" s="4" t="s">
        <v>136</v>
      </c>
      <c r="J77" s="4" t="s">
        <v>137</v>
      </c>
      <c r="L77" s="4" t="s">
        <v>40</v>
      </c>
      <c r="M77" s="4">
        <v>1</v>
      </c>
      <c r="N77" s="4">
        <v>30</v>
      </c>
      <c r="O77" s="4">
        <v>30</v>
      </c>
      <c r="P77" s="4" t="s">
        <v>41</v>
      </c>
      <c r="Q77" s="4">
        <v>394.7</v>
      </c>
      <c r="R77" s="4">
        <v>394.7</v>
      </c>
      <c r="S77" s="4">
        <v>592.04999999999995</v>
      </c>
      <c r="T77" s="4">
        <v>11841</v>
      </c>
      <c r="U77" s="4">
        <v>5</v>
      </c>
      <c r="V77" s="4" t="s">
        <v>42</v>
      </c>
      <c r="X77" s="7" t="str">
        <f t="shared" si="0"/>
        <v>441811104</v>
      </c>
      <c r="Y77" s="8" t="str">
        <f t="shared" si="1"/>
        <v>DC</v>
      </c>
      <c r="Z77" s="8">
        <f t="shared" si="2"/>
        <v>0</v>
      </c>
      <c r="AA77" s="8">
        <f t="shared" si="3"/>
        <v>0</v>
      </c>
      <c r="AB77" s="8">
        <f t="shared" si="4"/>
        <v>0</v>
      </c>
      <c r="AC77" s="8">
        <f t="shared" si="5"/>
        <v>0</v>
      </c>
      <c r="AD77" s="8">
        <f t="shared" si="6"/>
        <v>30</v>
      </c>
      <c r="AE77" s="9" t="str" cm="1">
        <f t="array" ref="AE77">IFERROR(_xlfn.XLOOKUP(H77,Sheet1!$G:$G,Sheet1!$F:$F),IFERROR(_xlfn.XLOOKUP(1,(--($X$2:$X$1074=X77))*(--ISNUMBER(MATCH($H$2:$H$1074,Sheet1!$G:$G,0))),_xlfn.XLOOKUP($H$2:$H$1074,Sheet1!$G:$G,Sheet1!$F:$F,"")),"NOT FOUND"))</f>
        <v>GETKRTSFUT6202</v>
      </c>
      <c r="AF77" s="10" t="str">
        <f t="shared" si="9"/>
        <v>NAVY</v>
      </c>
      <c r="AG77" s="11" t="str">
        <f t="shared" si="10"/>
        <v>JHAJJAR</v>
      </c>
      <c r="AH77" s="9" t="str">
        <f>IF(OR(J77="",AE77="",AE77="NOT FOUND"),"",IF(Y77="RP",IFERROR(LEFT(_xlfn.XLOOKUP(AE77,Sheet1!$F:$F,Sheet1!$W:$W),FIND("-",_xlfn.XLOOKUP(AE77,Sheet1!$F:$F,Sheet1!$W:$W),FIND("-",_xlfn.XLOOKUP(AE77,Sheet1!$F:$F,Sheet1!$W:$W))+1))&amp;AE77,"NOT FOUND"),LEFT(J77,FIND("-",J77,FIND("-",J77)+1))&amp;AE77))</f>
        <v>KRTS-APWN26-GETKRTSFUT6202</v>
      </c>
    </row>
    <row r="78" spans="1:34" ht="15.75" customHeight="1" x14ac:dyDescent="0.2">
      <c r="A78" s="4" t="s">
        <v>59</v>
      </c>
      <c r="B78" s="4" t="s">
        <v>154</v>
      </c>
      <c r="C78" s="4" t="s">
        <v>64</v>
      </c>
      <c r="D78" s="4" t="s">
        <v>81</v>
      </c>
      <c r="E78" s="4" t="s">
        <v>34</v>
      </c>
      <c r="F78" s="4" t="s">
        <v>35</v>
      </c>
      <c r="G78" s="4" t="s">
        <v>43</v>
      </c>
      <c r="H78" s="4" t="s">
        <v>138</v>
      </c>
      <c r="I78" s="4" t="s">
        <v>139</v>
      </c>
      <c r="J78" s="4" t="s">
        <v>140</v>
      </c>
      <c r="L78" s="4" t="s">
        <v>40</v>
      </c>
      <c r="M78" s="4">
        <v>1</v>
      </c>
      <c r="N78" s="4">
        <v>113</v>
      </c>
      <c r="O78" s="4">
        <v>113</v>
      </c>
      <c r="P78" s="4" t="s">
        <v>41</v>
      </c>
      <c r="Q78" s="4">
        <v>394.7</v>
      </c>
      <c r="R78" s="4">
        <v>394.7</v>
      </c>
      <c r="S78" s="4">
        <v>2230.06</v>
      </c>
      <c r="T78" s="4">
        <v>44601.1</v>
      </c>
      <c r="U78" s="4">
        <v>5</v>
      </c>
      <c r="V78" s="4" t="s">
        <v>42</v>
      </c>
      <c r="X78" s="7" t="str">
        <f t="shared" si="0"/>
        <v>441811104</v>
      </c>
      <c r="Y78" s="8" t="str">
        <f t="shared" si="1"/>
        <v>DC</v>
      </c>
      <c r="Z78" s="8">
        <f t="shared" si="2"/>
        <v>0</v>
      </c>
      <c r="AA78" s="8">
        <f t="shared" si="3"/>
        <v>0</v>
      </c>
      <c r="AB78" s="8">
        <f t="shared" si="4"/>
        <v>113</v>
      </c>
      <c r="AC78" s="8">
        <f t="shared" si="5"/>
        <v>0</v>
      </c>
      <c r="AD78" s="8">
        <f t="shared" si="6"/>
        <v>0</v>
      </c>
      <c r="AE78" s="9" t="str" cm="1">
        <f t="array" ref="AE78">IFERROR(_xlfn.XLOOKUP(H78,Sheet1!$G:$G,Sheet1!$F:$F),IFERROR(_xlfn.XLOOKUP(1,(--($X$2:$X$1074=X78))*(--ISNUMBER(MATCH($H$2:$H$1074,Sheet1!$G:$G,0))),_xlfn.XLOOKUP($H$2:$H$1074,Sheet1!$G:$G,Sheet1!$F:$F,"")),"NOT FOUND"))</f>
        <v>GETKRTSFUT6202</v>
      </c>
      <c r="AF78" s="10" t="str">
        <f t="shared" si="9"/>
        <v>NAVY</v>
      </c>
      <c r="AG78" s="11" t="str">
        <f t="shared" si="10"/>
        <v>JHAJJAR</v>
      </c>
      <c r="AH78" s="9" t="str">
        <f>IF(OR(J78="",AE78="",AE78="NOT FOUND"),"",IF(Y78="RP",IFERROR(LEFT(_xlfn.XLOOKUP(AE78,Sheet1!$F:$F,Sheet1!$W:$W),FIND("-",_xlfn.XLOOKUP(AE78,Sheet1!$F:$F,Sheet1!$W:$W),FIND("-",_xlfn.XLOOKUP(AE78,Sheet1!$F:$F,Sheet1!$W:$W))+1))&amp;AE78,"NOT FOUND"),LEFT(J78,FIND("-",J78,FIND("-",J78)+1))&amp;AE78))</f>
        <v>KRTS-APWN26-GETKRTSFUT6202</v>
      </c>
    </row>
    <row r="79" spans="1:34" ht="15.75" customHeight="1" x14ac:dyDescent="0.2">
      <c r="A79" s="4" t="s">
        <v>59</v>
      </c>
      <c r="B79" s="4" t="s">
        <v>154</v>
      </c>
      <c r="C79" s="4" t="s">
        <v>64</v>
      </c>
      <c r="D79" s="4" t="s">
        <v>81</v>
      </c>
      <c r="E79" s="4" t="s">
        <v>34</v>
      </c>
      <c r="F79" s="4" t="s">
        <v>35</v>
      </c>
      <c r="G79" s="4" t="s">
        <v>47</v>
      </c>
      <c r="H79" s="4" t="s">
        <v>141</v>
      </c>
      <c r="I79" s="4" t="s">
        <v>142</v>
      </c>
      <c r="J79" s="4" t="s">
        <v>143</v>
      </c>
      <c r="L79" s="4" t="s">
        <v>40</v>
      </c>
      <c r="M79" s="4">
        <v>1</v>
      </c>
      <c r="N79" s="4">
        <v>113</v>
      </c>
      <c r="O79" s="4">
        <v>113</v>
      </c>
      <c r="P79" s="4" t="s">
        <v>41</v>
      </c>
      <c r="Q79" s="4">
        <v>394.7</v>
      </c>
      <c r="R79" s="4">
        <v>394.7</v>
      </c>
      <c r="S79" s="4">
        <v>2230.06</v>
      </c>
      <c r="T79" s="4">
        <v>44601.1</v>
      </c>
      <c r="U79" s="4">
        <v>5</v>
      </c>
      <c r="V79" s="4" t="s">
        <v>42</v>
      </c>
      <c r="X79" s="7" t="str">
        <f t="shared" si="0"/>
        <v>441811104</v>
      </c>
      <c r="Y79" s="8" t="str">
        <f t="shared" si="1"/>
        <v>DC</v>
      </c>
      <c r="Z79" s="8">
        <f t="shared" si="2"/>
        <v>0</v>
      </c>
      <c r="AA79" s="8">
        <f t="shared" si="3"/>
        <v>113</v>
      </c>
      <c r="AB79" s="8">
        <f t="shared" si="4"/>
        <v>0</v>
      </c>
      <c r="AC79" s="8">
        <f t="shared" si="5"/>
        <v>0</v>
      </c>
      <c r="AD79" s="8">
        <f t="shared" si="6"/>
        <v>0</v>
      </c>
      <c r="AE79" s="9" t="str" cm="1">
        <f t="array" ref="AE79">IFERROR(_xlfn.XLOOKUP(H79,Sheet1!$G:$G,Sheet1!$F:$F),IFERROR(_xlfn.XLOOKUP(1,(--($X$2:$X$1074=X79))*(--ISNUMBER(MATCH($H$2:$H$1074,Sheet1!$G:$G,0))),_xlfn.XLOOKUP($H$2:$H$1074,Sheet1!$G:$G,Sheet1!$F:$F,"")),"NOT FOUND"))</f>
        <v>GETKRTSFUT6202</v>
      </c>
      <c r="AF79" s="10" t="str">
        <f t="shared" si="9"/>
        <v>NAVY</v>
      </c>
      <c r="AG79" s="11" t="str">
        <f t="shared" si="10"/>
        <v>JHAJJAR</v>
      </c>
      <c r="AH79" s="9" t="str">
        <f>IF(OR(J79="",AE79="",AE79="NOT FOUND"),"",IF(Y79="RP",IFERROR(LEFT(_xlfn.XLOOKUP(AE79,Sheet1!$F:$F,Sheet1!$W:$W),FIND("-",_xlfn.XLOOKUP(AE79,Sheet1!$F:$F,Sheet1!$W:$W),FIND("-",_xlfn.XLOOKUP(AE79,Sheet1!$F:$F,Sheet1!$W:$W))+1))&amp;AE79,"NOT FOUND"),LEFT(J79,FIND("-",J79,FIND("-",J79)+1))&amp;AE79))</f>
        <v>KRTS-APWN26-GETKRTSFUT6202</v>
      </c>
    </row>
    <row r="80" spans="1:34" ht="15.75" customHeight="1" x14ac:dyDescent="0.2">
      <c r="A80" s="4" t="s">
        <v>59</v>
      </c>
      <c r="B80" s="4" t="s">
        <v>154</v>
      </c>
      <c r="C80" s="4" t="s">
        <v>64</v>
      </c>
      <c r="D80" s="4" t="s">
        <v>81</v>
      </c>
      <c r="E80" s="4" t="s">
        <v>34</v>
      </c>
      <c r="F80" s="4" t="s">
        <v>35</v>
      </c>
      <c r="G80" s="4" t="s">
        <v>51</v>
      </c>
      <c r="H80" s="4" t="s">
        <v>144</v>
      </c>
      <c r="I80" s="4" t="s">
        <v>145</v>
      </c>
      <c r="J80" s="4" t="s">
        <v>146</v>
      </c>
      <c r="L80" s="4" t="s">
        <v>40</v>
      </c>
      <c r="M80" s="4">
        <v>1</v>
      </c>
      <c r="N80" s="4">
        <v>30</v>
      </c>
      <c r="O80" s="4">
        <v>30</v>
      </c>
      <c r="P80" s="4" t="s">
        <v>41</v>
      </c>
      <c r="Q80" s="4">
        <v>394.7</v>
      </c>
      <c r="R80" s="4">
        <v>394.7</v>
      </c>
      <c r="S80" s="4">
        <v>592.04999999999995</v>
      </c>
      <c r="T80" s="4">
        <v>11841</v>
      </c>
      <c r="U80" s="4">
        <v>5</v>
      </c>
      <c r="V80" s="4" t="s">
        <v>42</v>
      </c>
      <c r="X80" s="7" t="str">
        <f t="shared" si="0"/>
        <v>441811104</v>
      </c>
      <c r="Y80" s="8" t="str">
        <f t="shared" si="1"/>
        <v>DC</v>
      </c>
      <c r="Z80" s="8">
        <f t="shared" si="2"/>
        <v>30</v>
      </c>
      <c r="AA80" s="8">
        <f t="shared" si="3"/>
        <v>0</v>
      </c>
      <c r="AB80" s="8">
        <f t="shared" si="4"/>
        <v>0</v>
      </c>
      <c r="AC80" s="8">
        <f t="shared" si="5"/>
        <v>0</v>
      </c>
      <c r="AD80" s="8">
        <f t="shared" si="6"/>
        <v>0</v>
      </c>
      <c r="AE80" s="9" t="str" cm="1">
        <f t="array" ref="AE80">IFERROR(_xlfn.XLOOKUP(H80,Sheet1!$G:$G,Sheet1!$F:$F),IFERROR(_xlfn.XLOOKUP(1,(--($X$2:$X$1074=X80))*(--ISNUMBER(MATCH($H$2:$H$1074,Sheet1!$G:$G,0))),_xlfn.XLOOKUP($H$2:$H$1074,Sheet1!$G:$G,Sheet1!$F:$F,"")),"NOT FOUND"))</f>
        <v>GETKRTSFUT6202</v>
      </c>
      <c r="AF80" s="10" t="str">
        <f t="shared" si="9"/>
        <v>NAVY</v>
      </c>
      <c r="AG80" s="11" t="str">
        <f t="shared" si="10"/>
        <v>JHAJJAR</v>
      </c>
      <c r="AH80" s="9" t="str">
        <f>IF(OR(J80="",AE80="",AE80="NOT FOUND"),"",IF(Y80="RP",IFERROR(LEFT(_xlfn.XLOOKUP(AE80,Sheet1!$F:$F,Sheet1!$W:$W),FIND("-",_xlfn.XLOOKUP(AE80,Sheet1!$F:$F,Sheet1!$W:$W),FIND("-",_xlfn.XLOOKUP(AE80,Sheet1!$F:$F,Sheet1!$W:$W))+1))&amp;AE80,"NOT FOUND"),LEFT(J80,FIND("-",J80,FIND("-",J80)+1))&amp;AE80))</f>
        <v>KRTS-APWN26-GETKRTSFUT6202</v>
      </c>
    </row>
    <row r="81" spans="1:34" ht="15.75" customHeight="1" x14ac:dyDescent="0.2">
      <c r="A81" s="4" t="s">
        <v>59</v>
      </c>
      <c r="B81" s="4" t="s">
        <v>154</v>
      </c>
      <c r="C81" s="4" t="s">
        <v>64</v>
      </c>
      <c r="D81" s="4" t="s">
        <v>81</v>
      </c>
      <c r="E81" s="4" t="s">
        <v>34</v>
      </c>
      <c r="F81" s="4" t="s">
        <v>35</v>
      </c>
      <c r="G81" s="4" t="s">
        <v>55</v>
      </c>
      <c r="H81" s="4" t="s">
        <v>147</v>
      </c>
      <c r="I81" s="4" t="s">
        <v>148</v>
      </c>
      <c r="J81" s="4" t="s">
        <v>149</v>
      </c>
      <c r="L81" s="4" t="s">
        <v>40</v>
      </c>
      <c r="M81" s="4">
        <v>1</v>
      </c>
      <c r="N81" s="4">
        <v>95</v>
      </c>
      <c r="O81" s="4">
        <v>95</v>
      </c>
      <c r="P81" s="4" t="s">
        <v>41</v>
      </c>
      <c r="Q81" s="4">
        <v>394.7</v>
      </c>
      <c r="R81" s="4">
        <v>394.7</v>
      </c>
      <c r="S81" s="4">
        <v>1874.83</v>
      </c>
      <c r="T81" s="4">
        <v>37496.5</v>
      </c>
      <c r="U81" s="4">
        <v>5</v>
      </c>
      <c r="V81" s="4" t="s">
        <v>42</v>
      </c>
      <c r="X81" s="7" t="str">
        <f t="shared" si="0"/>
        <v>441811104</v>
      </c>
      <c r="Y81" s="8" t="str">
        <f t="shared" si="1"/>
        <v>DC</v>
      </c>
      <c r="Z81" s="8">
        <f t="shared" si="2"/>
        <v>0</v>
      </c>
      <c r="AA81" s="8">
        <f t="shared" si="3"/>
        <v>0</v>
      </c>
      <c r="AB81" s="8">
        <f t="shared" si="4"/>
        <v>0</v>
      </c>
      <c r="AC81" s="8">
        <f t="shared" si="5"/>
        <v>95</v>
      </c>
      <c r="AD81" s="8">
        <f t="shared" si="6"/>
        <v>0</v>
      </c>
      <c r="AE81" s="9" t="str" cm="1">
        <f t="array" ref="AE81">IFERROR(_xlfn.XLOOKUP(H81,Sheet1!$G:$G,Sheet1!$F:$F),IFERROR(_xlfn.XLOOKUP(1,(--($X$2:$X$1074=X81))*(--ISNUMBER(MATCH($H$2:$H$1074,Sheet1!$G:$G,0))),_xlfn.XLOOKUP($H$2:$H$1074,Sheet1!$G:$G,Sheet1!$F:$F,"")),"NOT FOUND"))</f>
        <v>GETKRTSFUT6202</v>
      </c>
      <c r="AF81" s="10" t="str">
        <f t="shared" si="9"/>
        <v>NAVY</v>
      </c>
      <c r="AG81" s="11" t="str">
        <f t="shared" si="10"/>
        <v>JHAJJAR</v>
      </c>
      <c r="AH81" s="9" t="str">
        <f>IF(OR(J81="",AE81="",AE81="NOT FOUND"),"",IF(Y81="RP",IFERROR(LEFT(_xlfn.XLOOKUP(AE81,Sheet1!$F:$F,Sheet1!$W:$W),FIND("-",_xlfn.XLOOKUP(AE81,Sheet1!$F:$F,Sheet1!$W:$W),FIND("-",_xlfn.XLOOKUP(AE81,Sheet1!$F:$F,Sheet1!$W:$W))+1))&amp;AE81,"NOT FOUND"),LEFT(J81,FIND("-",J81,FIND("-",J81)+1))&amp;AE81))</f>
        <v>KRTS-APWN26-GETKRTSFUT6202</v>
      </c>
    </row>
    <row r="82" spans="1:34" ht="15.75" customHeight="1" x14ac:dyDescent="0.2">
      <c r="A82" s="4" t="s">
        <v>59</v>
      </c>
      <c r="B82" s="4" t="s">
        <v>155</v>
      </c>
      <c r="C82" s="4" t="s">
        <v>64</v>
      </c>
      <c r="D82" s="4" t="s">
        <v>98</v>
      </c>
      <c r="E82" s="4" t="s">
        <v>34</v>
      </c>
      <c r="F82" s="4" t="s">
        <v>35</v>
      </c>
      <c r="G82" s="4" t="s">
        <v>36</v>
      </c>
      <c r="H82" s="4" t="s">
        <v>156</v>
      </c>
      <c r="I82" s="4" t="s">
        <v>157</v>
      </c>
      <c r="J82" s="4" t="s">
        <v>39</v>
      </c>
      <c r="L82" s="4" t="s">
        <v>40</v>
      </c>
      <c r="M82" s="4">
        <v>1</v>
      </c>
      <c r="N82" s="4">
        <v>30</v>
      </c>
      <c r="O82" s="4">
        <v>30</v>
      </c>
      <c r="P82" s="4" t="s">
        <v>41</v>
      </c>
      <c r="Q82" s="4">
        <v>326.7</v>
      </c>
      <c r="R82" s="4">
        <v>326.7</v>
      </c>
      <c r="S82" s="4">
        <v>490.05</v>
      </c>
      <c r="T82" s="4">
        <v>9801</v>
      </c>
      <c r="U82" s="4">
        <v>5</v>
      </c>
      <c r="V82" s="4" t="s">
        <v>42</v>
      </c>
      <c r="X82" s="7" t="str">
        <f t="shared" si="0"/>
        <v>441811103</v>
      </c>
      <c r="Y82" s="8" t="str">
        <f t="shared" si="1"/>
        <v>DC</v>
      </c>
      <c r="Z82" s="8">
        <f t="shared" si="2"/>
        <v>0</v>
      </c>
      <c r="AA82" s="8">
        <f t="shared" si="3"/>
        <v>0</v>
      </c>
      <c r="AB82" s="8">
        <f t="shared" si="4"/>
        <v>0</v>
      </c>
      <c r="AC82" s="8">
        <f t="shared" si="5"/>
        <v>0</v>
      </c>
      <c r="AD82" s="8">
        <f t="shared" si="6"/>
        <v>30</v>
      </c>
      <c r="AE82" s="9" t="str" cm="1">
        <f t="array" ref="AE82">IFERROR(_xlfn.XLOOKUP(H82,Sheet1!$G:$G,Sheet1!$F:$F),IFERROR(_xlfn.XLOOKUP(1,(--($X$2:$X$1074=X82))*(--ISNUMBER(MATCH($H$2:$H$1074,Sheet1!$G:$G,0))),_xlfn.XLOOKUP($H$2:$H$1074,Sheet1!$G:$G,Sheet1!$F:$F,"")),"NOT FOUND"))</f>
        <v>GETKRTSFUT6126</v>
      </c>
      <c r="AF82" s="10" t="str">
        <f t="shared" si="9"/>
        <v>OFF WHITE</v>
      </c>
      <c r="AG82" s="11" t="str">
        <f t="shared" si="10"/>
        <v>JHAJJAR</v>
      </c>
      <c r="AH82" s="9" t="str">
        <f>IF(OR(J82="",AE82="",AE82="NOT FOUND"),"",IF(Y82="RP",IFERROR(LEFT(_xlfn.XLOOKUP(AE82,Sheet1!$F:$F,Sheet1!$W:$W),FIND("-",_xlfn.XLOOKUP(AE82,Sheet1!$F:$F,Sheet1!$W:$W),FIND("-",_xlfn.XLOOKUP(AE82,Sheet1!$F:$F,Sheet1!$W:$W))+1))&amp;AE82,"NOT FOUND"),LEFT(J82,FIND("-",J82,FIND("-",J82)+1))&amp;AE82))</f>
        <v>KRTS-APWN26-GETKRTSFUT6126</v>
      </c>
    </row>
    <row r="83" spans="1:34" ht="15.75" customHeight="1" x14ac:dyDescent="0.2">
      <c r="A83" s="4" t="s">
        <v>59</v>
      </c>
      <c r="B83" s="4" t="s">
        <v>155</v>
      </c>
      <c r="C83" s="4" t="s">
        <v>64</v>
      </c>
      <c r="D83" s="4" t="s">
        <v>98</v>
      </c>
      <c r="E83" s="4" t="s">
        <v>34</v>
      </c>
      <c r="F83" s="4" t="s">
        <v>35</v>
      </c>
      <c r="G83" s="4" t="s">
        <v>43</v>
      </c>
      <c r="H83" s="4" t="s">
        <v>158</v>
      </c>
      <c r="I83" s="4" t="s">
        <v>159</v>
      </c>
      <c r="J83" s="4" t="s">
        <v>160</v>
      </c>
      <c r="L83" s="4" t="s">
        <v>40</v>
      </c>
      <c r="M83" s="4">
        <v>1</v>
      </c>
      <c r="N83" s="4">
        <v>156</v>
      </c>
      <c r="O83" s="4">
        <v>156</v>
      </c>
      <c r="P83" s="4" t="s">
        <v>41</v>
      </c>
      <c r="Q83" s="4">
        <v>326.7</v>
      </c>
      <c r="R83" s="4">
        <v>326.7</v>
      </c>
      <c r="S83" s="4">
        <v>2548.2600000000002</v>
      </c>
      <c r="T83" s="4">
        <v>50965.2</v>
      </c>
      <c r="U83" s="4">
        <v>5</v>
      </c>
      <c r="V83" s="4" t="s">
        <v>42</v>
      </c>
      <c r="X83" s="7" t="str">
        <f t="shared" si="0"/>
        <v>441811103</v>
      </c>
      <c r="Y83" s="8" t="str">
        <f t="shared" si="1"/>
        <v>DC</v>
      </c>
      <c r="Z83" s="8">
        <f t="shared" si="2"/>
        <v>0</v>
      </c>
      <c r="AA83" s="8">
        <f t="shared" si="3"/>
        <v>0</v>
      </c>
      <c r="AB83" s="8">
        <f t="shared" si="4"/>
        <v>156</v>
      </c>
      <c r="AC83" s="8">
        <f t="shared" si="5"/>
        <v>0</v>
      </c>
      <c r="AD83" s="8">
        <f t="shared" si="6"/>
        <v>0</v>
      </c>
      <c r="AE83" s="9" t="str" cm="1">
        <f t="array" ref="AE83">IFERROR(_xlfn.XLOOKUP(H83,Sheet1!$G:$G,Sheet1!$F:$F),IFERROR(_xlfn.XLOOKUP(1,(--($X$2:$X$1074=X83))*(--ISNUMBER(MATCH($H$2:$H$1074,Sheet1!$G:$G,0))),_xlfn.XLOOKUP($H$2:$H$1074,Sheet1!$G:$G,Sheet1!$F:$F,"")),"NOT FOUND"))</f>
        <v>GETKRTSFUT6126</v>
      </c>
      <c r="AF83" s="10" t="str">
        <f t="shared" si="9"/>
        <v>OFF WHITE</v>
      </c>
      <c r="AG83" s="11" t="str">
        <f t="shared" si="10"/>
        <v>JHAJJAR</v>
      </c>
      <c r="AH83" s="9" t="str">
        <f>IF(OR(J83="",AE83="",AE83="NOT FOUND"),"",IF(Y83="RP",IFERROR(LEFT(_xlfn.XLOOKUP(AE83,Sheet1!$F:$F,Sheet1!$W:$W),FIND("-",_xlfn.XLOOKUP(AE83,Sheet1!$F:$F,Sheet1!$W:$W),FIND("-",_xlfn.XLOOKUP(AE83,Sheet1!$F:$F,Sheet1!$W:$W))+1))&amp;AE83,"NOT FOUND"),LEFT(J83,FIND("-",J83,FIND("-",J83)+1))&amp;AE83))</f>
        <v>KRTS-APWN26-GETKRTSFUT6126</v>
      </c>
    </row>
    <row r="84" spans="1:34" ht="15.75" customHeight="1" x14ac:dyDescent="0.2">
      <c r="A84" s="4" t="s">
        <v>59</v>
      </c>
      <c r="B84" s="4" t="s">
        <v>155</v>
      </c>
      <c r="C84" s="4" t="s">
        <v>64</v>
      </c>
      <c r="D84" s="4" t="s">
        <v>98</v>
      </c>
      <c r="E84" s="4" t="s">
        <v>34</v>
      </c>
      <c r="F84" s="4" t="s">
        <v>35</v>
      </c>
      <c r="G84" s="4" t="s">
        <v>47</v>
      </c>
      <c r="H84" s="4" t="s">
        <v>161</v>
      </c>
      <c r="I84" s="4" t="s">
        <v>162</v>
      </c>
      <c r="J84" s="4" t="s">
        <v>163</v>
      </c>
      <c r="L84" s="4" t="s">
        <v>40</v>
      </c>
      <c r="M84" s="4">
        <v>1</v>
      </c>
      <c r="N84" s="4">
        <v>156</v>
      </c>
      <c r="O84" s="4">
        <v>156</v>
      </c>
      <c r="P84" s="4" t="s">
        <v>41</v>
      </c>
      <c r="Q84" s="4">
        <v>326.7</v>
      </c>
      <c r="R84" s="4">
        <v>326.7</v>
      </c>
      <c r="S84" s="4">
        <v>2548.2600000000002</v>
      </c>
      <c r="T84" s="4">
        <v>50965.2</v>
      </c>
      <c r="U84" s="4">
        <v>5</v>
      </c>
      <c r="V84" s="4" t="s">
        <v>42</v>
      </c>
      <c r="X84" s="7" t="str">
        <f t="shared" si="0"/>
        <v>441811103</v>
      </c>
      <c r="Y84" s="8" t="str">
        <f t="shared" si="1"/>
        <v>DC</v>
      </c>
      <c r="Z84" s="8">
        <f t="shared" si="2"/>
        <v>0</v>
      </c>
      <c r="AA84" s="8">
        <f t="shared" si="3"/>
        <v>156</v>
      </c>
      <c r="AB84" s="8">
        <f t="shared" si="4"/>
        <v>0</v>
      </c>
      <c r="AC84" s="8">
        <f t="shared" si="5"/>
        <v>0</v>
      </c>
      <c r="AD84" s="8">
        <f t="shared" si="6"/>
        <v>0</v>
      </c>
      <c r="AE84" s="9" t="str" cm="1">
        <f t="array" ref="AE84">IFERROR(_xlfn.XLOOKUP(H84,Sheet1!$G:$G,Sheet1!$F:$F),IFERROR(_xlfn.XLOOKUP(1,(--($X$2:$X$1074=X84))*(--ISNUMBER(MATCH($H$2:$H$1074,Sheet1!$G:$G,0))),_xlfn.XLOOKUP($H$2:$H$1074,Sheet1!$G:$G,Sheet1!$F:$F,"")),"NOT FOUND"))</f>
        <v>GETKRTSFUT6126</v>
      </c>
      <c r="AF84" s="10" t="str">
        <f t="shared" si="9"/>
        <v>OFF WHITE</v>
      </c>
      <c r="AG84" s="11" t="str">
        <f t="shared" si="10"/>
        <v>JHAJJAR</v>
      </c>
      <c r="AH84" s="9" t="str">
        <f>IF(OR(J84="",AE84="",AE84="NOT FOUND"),"",IF(Y84="RP",IFERROR(LEFT(_xlfn.XLOOKUP(AE84,Sheet1!$F:$F,Sheet1!$W:$W),FIND("-",_xlfn.XLOOKUP(AE84,Sheet1!$F:$F,Sheet1!$W:$W),FIND("-",_xlfn.XLOOKUP(AE84,Sheet1!$F:$F,Sheet1!$W:$W))+1))&amp;AE84,"NOT FOUND"),LEFT(J84,FIND("-",J84,FIND("-",J84)+1))&amp;AE84))</f>
        <v>KRTS-APWN26-GETKRTSFUT6126</v>
      </c>
    </row>
    <row r="85" spans="1:34" ht="15.75" customHeight="1" x14ac:dyDescent="0.2">
      <c r="A85" s="4" t="s">
        <v>59</v>
      </c>
      <c r="B85" s="4" t="s">
        <v>155</v>
      </c>
      <c r="C85" s="4" t="s">
        <v>64</v>
      </c>
      <c r="D85" s="4" t="s">
        <v>98</v>
      </c>
      <c r="E85" s="4" t="s">
        <v>34</v>
      </c>
      <c r="F85" s="4" t="s">
        <v>35</v>
      </c>
      <c r="G85" s="4" t="s">
        <v>51</v>
      </c>
      <c r="H85" s="4" t="s">
        <v>164</v>
      </c>
      <c r="I85" s="4" t="s">
        <v>165</v>
      </c>
      <c r="J85" s="4" t="s">
        <v>166</v>
      </c>
      <c r="L85" s="4" t="s">
        <v>40</v>
      </c>
      <c r="M85" s="4">
        <v>1</v>
      </c>
      <c r="N85" s="4">
        <v>30</v>
      </c>
      <c r="O85" s="4">
        <v>30</v>
      </c>
      <c r="P85" s="4" t="s">
        <v>41</v>
      </c>
      <c r="Q85" s="4">
        <v>326.7</v>
      </c>
      <c r="R85" s="4">
        <v>326.7</v>
      </c>
      <c r="S85" s="4">
        <v>490.05</v>
      </c>
      <c r="T85" s="4">
        <v>9801</v>
      </c>
      <c r="U85" s="4">
        <v>5</v>
      </c>
      <c r="V85" s="4" t="s">
        <v>42</v>
      </c>
      <c r="X85" s="7" t="str">
        <f t="shared" si="0"/>
        <v>441811103</v>
      </c>
      <c r="Y85" s="8" t="str">
        <f t="shared" si="1"/>
        <v>DC</v>
      </c>
      <c r="Z85" s="8">
        <f t="shared" si="2"/>
        <v>30</v>
      </c>
      <c r="AA85" s="8">
        <f t="shared" si="3"/>
        <v>0</v>
      </c>
      <c r="AB85" s="8">
        <f t="shared" si="4"/>
        <v>0</v>
      </c>
      <c r="AC85" s="8">
        <f t="shared" si="5"/>
        <v>0</v>
      </c>
      <c r="AD85" s="8">
        <f t="shared" si="6"/>
        <v>0</v>
      </c>
      <c r="AE85" s="9" t="str" cm="1">
        <f t="array" ref="AE85">IFERROR(_xlfn.XLOOKUP(H85,Sheet1!$G:$G,Sheet1!$F:$F),IFERROR(_xlfn.XLOOKUP(1,(--($X$2:$X$1074=X85))*(--ISNUMBER(MATCH($H$2:$H$1074,Sheet1!$G:$G,0))),_xlfn.XLOOKUP($H$2:$H$1074,Sheet1!$G:$G,Sheet1!$F:$F,"")),"NOT FOUND"))</f>
        <v>GETKRTSFUT6126</v>
      </c>
      <c r="AF85" s="10" t="str">
        <f t="shared" si="9"/>
        <v>OFF WHITE</v>
      </c>
      <c r="AG85" s="11" t="str">
        <f t="shared" si="10"/>
        <v>JHAJJAR</v>
      </c>
      <c r="AH85" s="9" t="str">
        <f>IF(OR(J85="",AE85="",AE85="NOT FOUND"),"",IF(Y85="RP",IFERROR(LEFT(_xlfn.XLOOKUP(AE85,Sheet1!$F:$F,Sheet1!$W:$W),FIND("-",_xlfn.XLOOKUP(AE85,Sheet1!$F:$F,Sheet1!$W:$W),FIND("-",_xlfn.XLOOKUP(AE85,Sheet1!$F:$F,Sheet1!$W:$W))+1))&amp;AE85,"NOT FOUND"),LEFT(J85,FIND("-",J85,FIND("-",J85)+1))&amp;AE85))</f>
        <v>KRTS-APWN26-GETKRTSFUT6126</v>
      </c>
    </row>
    <row r="86" spans="1:34" ht="15.75" customHeight="1" x14ac:dyDescent="0.2">
      <c r="A86" s="4" t="s">
        <v>59</v>
      </c>
      <c r="B86" s="4" t="s">
        <v>155</v>
      </c>
      <c r="C86" s="4" t="s">
        <v>64</v>
      </c>
      <c r="D86" s="4" t="s">
        <v>98</v>
      </c>
      <c r="E86" s="4" t="s">
        <v>34</v>
      </c>
      <c r="F86" s="4" t="s">
        <v>35</v>
      </c>
      <c r="G86" s="4" t="s">
        <v>55</v>
      </c>
      <c r="H86" s="4" t="s">
        <v>167</v>
      </c>
      <c r="I86" s="4" t="s">
        <v>168</v>
      </c>
      <c r="J86" s="4" t="s">
        <v>58</v>
      </c>
      <c r="L86" s="4" t="s">
        <v>40</v>
      </c>
      <c r="M86" s="4">
        <v>1</v>
      </c>
      <c r="N86" s="4">
        <v>132</v>
      </c>
      <c r="O86" s="4">
        <v>132</v>
      </c>
      <c r="P86" s="4" t="s">
        <v>41</v>
      </c>
      <c r="Q86" s="4">
        <v>326.7</v>
      </c>
      <c r="R86" s="4">
        <v>326.7</v>
      </c>
      <c r="S86" s="4">
        <v>2156.2199999999998</v>
      </c>
      <c r="T86" s="4">
        <v>43124.4</v>
      </c>
      <c r="U86" s="4">
        <v>5</v>
      </c>
      <c r="V86" s="4" t="s">
        <v>42</v>
      </c>
      <c r="X86" s="7" t="str">
        <f t="shared" si="0"/>
        <v>441811103</v>
      </c>
      <c r="Y86" s="8" t="str">
        <f t="shared" si="1"/>
        <v>DC</v>
      </c>
      <c r="Z86" s="8">
        <f t="shared" si="2"/>
        <v>0</v>
      </c>
      <c r="AA86" s="8">
        <f t="shared" si="3"/>
        <v>0</v>
      </c>
      <c r="AB86" s="8">
        <f t="shared" si="4"/>
        <v>0</v>
      </c>
      <c r="AC86" s="8">
        <f t="shared" si="5"/>
        <v>132</v>
      </c>
      <c r="AD86" s="8">
        <f t="shared" si="6"/>
        <v>0</v>
      </c>
      <c r="AE86" s="9" t="str" cm="1">
        <f t="array" ref="AE86">IFERROR(_xlfn.XLOOKUP(H86,Sheet1!$G:$G,Sheet1!$F:$F),IFERROR(_xlfn.XLOOKUP(1,(--($X$2:$X$1074=X86))*(--ISNUMBER(MATCH($H$2:$H$1074,Sheet1!$G:$G,0))),_xlfn.XLOOKUP($H$2:$H$1074,Sheet1!$G:$G,Sheet1!$F:$F,"")),"NOT FOUND"))</f>
        <v>GETKRTSFUT6126</v>
      </c>
      <c r="AF86" s="10" t="str">
        <f t="shared" si="9"/>
        <v>OFF WHITE</v>
      </c>
      <c r="AG86" s="11" t="str">
        <f t="shared" si="10"/>
        <v>JHAJJAR</v>
      </c>
      <c r="AH86" s="9" t="str">
        <f>IF(OR(J86="",AE86="",AE86="NOT FOUND"),"",IF(Y86="RP",IFERROR(LEFT(_xlfn.XLOOKUP(AE86,Sheet1!$F:$F,Sheet1!$W:$W),FIND("-",_xlfn.XLOOKUP(AE86,Sheet1!$F:$F,Sheet1!$W:$W),FIND("-",_xlfn.XLOOKUP(AE86,Sheet1!$F:$F,Sheet1!$W:$W))+1))&amp;AE86,"NOT FOUND"),LEFT(J86,FIND("-",J86,FIND("-",J86)+1))&amp;AE86))</f>
        <v>KRTS-APWN26-GETKRTSFUT6126</v>
      </c>
    </row>
    <row r="87" spans="1:34" ht="15.75" customHeight="1" x14ac:dyDescent="0.2">
      <c r="A87" s="4" t="s">
        <v>61</v>
      </c>
      <c r="B87" s="4" t="s">
        <v>169</v>
      </c>
      <c r="C87" s="4" t="s">
        <v>64</v>
      </c>
      <c r="D87" s="4" t="s">
        <v>116</v>
      </c>
      <c r="E87" s="4" t="s">
        <v>34</v>
      </c>
      <c r="F87" s="4" t="s">
        <v>35</v>
      </c>
      <c r="G87" s="4" t="s">
        <v>36</v>
      </c>
      <c r="H87" s="4" t="s">
        <v>117</v>
      </c>
      <c r="I87" s="4" t="s">
        <v>118</v>
      </c>
      <c r="J87" s="4" t="s">
        <v>119</v>
      </c>
      <c r="L87" s="4" t="s">
        <v>40</v>
      </c>
      <c r="M87" s="4">
        <v>1</v>
      </c>
      <c r="N87" s="4">
        <v>30</v>
      </c>
      <c r="O87" s="4">
        <v>30</v>
      </c>
      <c r="P87" s="4" t="s">
        <v>41</v>
      </c>
      <c r="Q87" s="4">
        <v>319.7</v>
      </c>
      <c r="R87" s="4">
        <v>319.7</v>
      </c>
      <c r="S87" s="4">
        <v>479.55</v>
      </c>
      <c r="T87" s="4">
        <v>9591</v>
      </c>
      <c r="U87" s="4">
        <v>5</v>
      </c>
      <c r="V87" s="4" t="s">
        <v>42</v>
      </c>
      <c r="X87" s="7" t="str">
        <f t="shared" si="0"/>
        <v>441811105</v>
      </c>
      <c r="Y87" s="8" t="str">
        <f t="shared" si="1"/>
        <v>DC</v>
      </c>
      <c r="Z87" s="8">
        <f t="shared" si="2"/>
        <v>0</v>
      </c>
      <c r="AA87" s="8">
        <f t="shared" si="3"/>
        <v>0</v>
      </c>
      <c r="AB87" s="8">
        <f t="shared" si="4"/>
        <v>0</v>
      </c>
      <c r="AC87" s="8">
        <f t="shared" si="5"/>
        <v>0</v>
      </c>
      <c r="AD87" s="8">
        <f t="shared" si="6"/>
        <v>30</v>
      </c>
      <c r="AE87" s="9" t="str" cm="1">
        <f t="array" ref="AE87">IFERROR(_xlfn.XLOOKUP(H87,Sheet1!$G:$G,Sheet1!$F:$F),IFERROR(_xlfn.XLOOKUP(1,(--($X$2:$X$1074=X87))*(--ISNUMBER(MATCH($H$2:$H$1074,Sheet1!$G:$G,0))),_xlfn.XLOOKUP($H$2:$H$1074,Sheet1!$G:$G,Sheet1!$F:$F,"")),"NOT FOUND"))</f>
        <v>GETKRTSFUT6203</v>
      </c>
      <c r="AF87" s="10" t="str">
        <f t="shared" si="9"/>
        <v>BLACK</v>
      </c>
      <c r="AG87" s="11" t="str">
        <f t="shared" si="10"/>
        <v>HARIPAL</v>
      </c>
      <c r="AH87" s="9" t="str">
        <f>IF(OR(J87="",AE87="",AE87="NOT FOUND"),"",IF(Y87="RP",IFERROR(LEFT(_xlfn.XLOOKUP(AE87,Sheet1!$F:$F,Sheet1!$W:$W),FIND("-",_xlfn.XLOOKUP(AE87,Sheet1!$F:$F,Sheet1!$W:$W),FIND("-",_xlfn.XLOOKUP(AE87,Sheet1!$F:$F,Sheet1!$W:$W))+1))&amp;AE87,"NOT FOUND"),LEFT(J87,FIND("-",J87,FIND("-",J87)+1))&amp;AE87))</f>
        <v>KRTS-APWN26-GETKRTSFUT6203</v>
      </c>
    </row>
    <row r="88" spans="1:34" ht="15.75" customHeight="1" x14ac:dyDescent="0.2">
      <c r="A88" s="4" t="s">
        <v>61</v>
      </c>
      <c r="B88" s="4" t="s">
        <v>169</v>
      </c>
      <c r="C88" s="4" t="s">
        <v>64</v>
      </c>
      <c r="D88" s="4" t="s">
        <v>116</v>
      </c>
      <c r="E88" s="4" t="s">
        <v>34</v>
      </c>
      <c r="F88" s="4" t="s">
        <v>35</v>
      </c>
      <c r="G88" s="4" t="s">
        <v>43</v>
      </c>
      <c r="H88" s="4" t="s">
        <v>120</v>
      </c>
      <c r="I88" s="4" t="s">
        <v>121</v>
      </c>
      <c r="J88" s="4" t="s">
        <v>122</v>
      </c>
      <c r="L88" s="4" t="s">
        <v>40</v>
      </c>
      <c r="M88" s="4">
        <v>1</v>
      </c>
      <c r="N88" s="4">
        <v>186</v>
      </c>
      <c r="O88" s="4">
        <v>186</v>
      </c>
      <c r="P88" s="4" t="s">
        <v>41</v>
      </c>
      <c r="Q88" s="4">
        <v>319.7</v>
      </c>
      <c r="R88" s="4">
        <v>319.7</v>
      </c>
      <c r="S88" s="4">
        <v>2973.21</v>
      </c>
      <c r="T88" s="4">
        <v>59464.2</v>
      </c>
      <c r="U88" s="4">
        <v>5</v>
      </c>
      <c r="V88" s="4" t="s">
        <v>42</v>
      </c>
      <c r="X88" s="7" t="str">
        <f t="shared" si="0"/>
        <v>441811105</v>
      </c>
      <c r="Y88" s="8" t="str">
        <f t="shared" si="1"/>
        <v>DC</v>
      </c>
      <c r="Z88" s="8">
        <f t="shared" si="2"/>
        <v>0</v>
      </c>
      <c r="AA88" s="8">
        <f t="shared" si="3"/>
        <v>0</v>
      </c>
      <c r="AB88" s="8">
        <f t="shared" si="4"/>
        <v>186</v>
      </c>
      <c r="AC88" s="8">
        <f t="shared" si="5"/>
        <v>0</v>
      </c>
      <c r="AD88" s="8">
        <f t="shared" si="6"/>
        <v>0</v>
      </c>
      <c r="AE88" s="9" t="str" cm="1">
        <f t="array" ref="AE88">IFERROR(_xlfn.XLOOKUP(H88,Sheet1!$G:$G,Sheet1!$F:$F),IFERROR(_xlfn.XLOOKUP(1,(--($X$2:$X$1074=X88))*(--ISNUMBER(MATCH($H$2:$H$1074,Sheet1!$G:$G,0))),_xlfn.XLOOKUP($H$2:$H$1074,Sheet1!$G:$G,Sheet1!$F:$F,"")),"NOT FOUND"))</f>
        <v>GETKRTSFUT6203</v>
      </c>
      <c r="AF88" s="10" t="str">
        <f t="shared" si="9"/>
        <v>BLACK</v>
      </c>
      <c r="AG88" s="11" t="str">
        <f t="shared" si="10"/>
        <v>HARIPAL</v>
      </c>
      <c r="AH88" s="9" t="str">
        <f>IF(OR(J88="",AE88="",AE88="NOT FOUND"),"",IF(Y88="RP",IFERROR(LEFT(_xlfn.XLOOKUP(AE88,Sheet1!$F:$F,Sheet1!$W:$W),FIND("-",_xlfn.XLOOKUP(AE88,Sheet1!$F:$F,Sheet1!$W:$W),FIND("-",_xlfn.XLOOKUP(AE88,Sheet1!$F:$F,Sheet1!$W:$W))+1))&amp;AE88,"NOT FOUND"),LEFT(J88,FIND("-",J88,FIND("-",J88)+1))&amp;AE88))</f>
        <v>KRTS-APWN26-GETKRTSFUT6203</v>
      </c>
    </row>
    <row r="89" spans="1:34" ht="15.75" customHeight="1" x14ac:dyDescent="0.2">
      <c r="A89" s="4" t="s">
        <v>61</v>
      </c>
      <c r="B89" s="4" t="s">
        <v>169</v>
      </c>
      <c r="C89" s="4" t="s">
        <v>64</v>
      </c>
      <c r="D89" s="4" t="s">
        <v>116</v>
      </c>
      <c r="E89" s="4" t="s">
        <v>34</v>
      </c>
      <c r="F89" s="4" t="s">
        <v>35</v>
      </c>
      <c r="G89" s="4" t="s">
        <v>47</v>
      </c>
      <c r="H89" s="4" t="s">
        <v>123</v>
      </c>
      <c r="I89" s="4" t="s">
        <v>124</v>
      </c>
      <c r="J89" s="4" t="s">
        <v>125</v>
      </c>
      <c r="L89" s="4" t="s">
        <v>40</v>
      </c>
      <c r="M89" s="4">
        <v>1</v>
      </c>
      <c r="N89" s="4">
        <v>186</v>
      </c>
      <c r="O89" s="4">
        <v>186</v>
      </c>
      <c r="P89" s="4" t="s">
        <v>41</v>
      </c>
      <c r="Q89" s="4">
        <v>319.7</v>
      </c>
      <c r="R89" s="4">
        <v>319.7</v>
      </c>
      <c r="S89" s="4">
        <v>2973.21</v>
      </c>
      <c r="T89" s="4">
        <v>59464.2</v>
      </c>
      <c r="U89" s="4">
        <v>5</v>
      </c>
      <c r="V89" s="4" t="s">
        <v>42</v>
      </c>
      <c r="X89" s="7" t="str">
        <f t="shared" si="0"/>
        <v>441811105</v>
      </c>
      <c r="Y89" s="8" t="str">
        <f t="shared" si="1"/>
        <v>DC</v>
      </c>
      <c r="Z89" s="8">
        <f t="shared" si="2"/>
        <v>0</v>
      </c>
      <c r="AA89" s="8">
        <f t="shared" si="3"/>
        <v>186</v>
      </c>
      <c r="AB89" s="8">
        <f t="shared" si="4"/>
        <v>0</v>
      </c>
      <c r="AC89" s="8">
        <f t="shared" si="5"/>
        <v>0</v>
      </c>
      <c r="AD89" s="8">
        <f t="shared" si="6"/>
        <v>0</v>
      </c>
      <c r="AE89" s="9" t="str" cm="1">
        <f t="array" ref="AE89">IFERROR(_xlfn.XLOOKUP(H89,Sheet1!$G:$G,Sheet1!$F:$F),IFERROR(_xlfn.XLOOKUP(1,(--($X$2:$X$1074=X89))*(--ISNUMBER(MATCH($H$2:$H$1074,Sheet1!$G:$G,0))),_xlfn.XLOOKUP($H$2:$H$1074,Sheet1!$G:$G,Sheet1!$F:$F,"")),"NOT FOUND"))</f>
        <v>GETKRTSFUT6203</v>
      </c>
      <c r="AF89" s="10" t="str">
        <f t="shared" si="9"/>
        <v>BLACK</v>
      </c>
      <c r="AG89" s="11" t="str">
        <f t="shared" si="10"/>
        <v>HARIPAL</v>
      </c>
      <c r="AH89" s="9" t="str">
        <f>IF(OR(J89="",AE89="",AE89="NOT FOUND"),"",IF(Y89="RP",IFERROR(LEFT(_xlfn.XLOOKUP(AE89,Sheet1!$F:$F,Sheet1!$W:$W),FIND("-",_xlfn.XLOOKUP(AE89,Sheet1!$F:$F,Sheet1!$W:$W),FIND("-",_xlfn.XLOOKUP(AE89,Sheet1!$F:$F,Sheet1!$W:$W))+1))&amp;AE89,"NOT FOUND"),LEFT(J89,FIND("-",J89,FIND("-",J89)+1))&amp;AE89))</f>
        <v>KRTS-APWN26-GETKRTSFUT6203</v>
      </c>
    </row>
    <row r="90" spans="1:34" ht="15.75" customHeight="1" x14ac:dyDescent="0.2">
      <c r="A90" s="4" t="s">
        <v>61</v>
      </c>
      <c r="B90" s="4" t="s">
        <v>169</v>
      </c>
      <c r="C90" s="4" t="s">
        <v>64</v>
      </c>
      <c r="D90" s="4" t="s">
        <v>116</v>
      </c>
      <c r="E90" s="4" t="s">
        <v>34</v>
      </c>
      <c r="F90" s="4" t="s">
        <v>35</v>
      </c>
      <c r="G90" s="4" t="s">
        <v>51</v>
      </c>
      <c r="H90" s="4" t="s">
        <v>126</v>
      </c>
      <c r="I90" s="4" t="s">
        <v>127</v>
      </c>
      <c r="J90" s="4" t="s">
        <v>128</v>
      </c>
      <c r="L90" s="4" t="s">
        <v>40</v>
      </c>
      <c r="M90" s="4">
        <v>1</v>
      </c>
      <c r="N90" s="4">
        <v>30</v>
      </c>
      <c r="O90" s="4">
        <v>30</v>
      </c>
      <c r="P90" s="4" t="s">
        <v>41</v>
      </c>
      <c r="Q90" s="4">
        <v>319.7</v>
      </c>
      <c r="R90" s="4">
        <v>319.7</v>
      </c>
      <c r="S90" s="4">
        <v>479.55</v>
      </c>
      <c r="T90" s="4">
        <v>9591</v>
      </c>
      <c r="U90" s="4">
        <v>5</v>
      </c>
      <c r="V90" s="4" t="s">
        <v>42</v>
      </c>
      <c r="X90" s="7" t="str">
        <f t="shared" si="0"/>
        <v>441811105</v>
      </c>
      <c r="Y90" s="8" t="str">
        <f t="shared" si="1"/>
        <v>DC</v>
      </c>
      <c r="Z90" s="8">
        <f t="shared" si="2"/>
        <v>30</v>
      </c>
      <c r="AA90" s="8">
        <f t="shared" si="3"/>
        <v>0</v>
      </c>
      <c r="AB90" s="8">
        <f t="shared" si="4"/>
        <v>0</v>
      </c>
      <c r="AC90" s="8">
        <f t="shared" si="5"/>
        <v>0</v>
      </c>
      <c r="AD90" s="8">
        <f t="shared" si="6"/>
        <v>0</v>
      </c>
      <c r="AE90" s="9" t="str" cm="1">
        <f t="array" ref="AE90">IFERROR(_xlfn.XLOOKUP(H90,Sheet1!$G:$G,Sheet1!$F:$F),IFERROR(_xlfn.XLOOKUP(1,(--($X$2:$X$1074=X90))*(--ISNUMBER(MATCH($H$2:$H$1074,Sheet1!$G:$G,0))),_xlfn.XLOOKUP($H$2:$H$1074,Sheet1!$G:$G,Sheet1!$F:$F,"")),"NOT FOUND"))</f>
        <v>GETKRTSFUT6203</v>
      </c>
      <c r="AF90" s="10" t="str">
        <f t="shared" si="9"/>
        <v>BLACK</v>
      </c>
      <c r="AG90" s="11" t="str">
        <f t="shared" si="10"/>
        <v>HARIPAL</v>
      </c>
      <c r="AH90" s="9" t="str">
        <f>IF(OR(J90="",AE90="",AE90="NOT FOUND"),"",IF(Y90="RP",IFERROR(LEFT(_xlfn.XLOOKUP(AE90,Sheet1!$F:$F,Sheet1!$W:$W),FIND("-",_xlfn.XLOOKUP(AE90,Sheet1!$F:$F,Sheet1!$W:$W),FIND("-",_xlfn.XLOOKUP(AE90,Sheet1!$F:$F,Sheet1!$W:$W))+1))&amp;AE90,"NOT FOUND"),LEFT(J90,FIND("-",J90,FIND("-",J90)+1))&amp;AE90))</f>
        <v>KRTS-APWN26-GETKRTSFUT6203</v>
      </c>
    </row>
    <row r="91" spans="1:34" ht="15.75" customHeight="1" x14ac:dyDescent="0.2">
      <c r="A91" s="4" t="s">
        <v>61</v>
      </c>
      <c r="B91" s="4" t="s">
        <v>169</v>
      </c>
      <c r="C91" s="4" t="s">
        <v>64</v>
      </c>
      <c r="D91" s="4" t="s">
        <v>116</v>
      </c>
      <c r="E91" s="4" t="s">
        <v>34</v>
      </c>
      <c r="F91" s="4" t="s">
        <v>35</v>
      </c>
      <c r="G91" s="4" t="s">
        <v>55</v>
      </c>
      <c r="H91" s="4" t="s">
        <v>129</v>
      </c>
      <c r="I91" s="4" t="s">
        <v>130</v>
      </c>
      <c r="J91" s="4" t="s">
        <v>131</v>
      </c>
      <c r="L91" s="4" t="s">
        <v>40</v>
      </c>
      <c r="M91" s="4">
        <v>1</v>
      </c>
      <c r="N91" s="4">
        <v>157</v>
      </c>
      <c r="O91" s="4">
        <v>157</v>
      </c>
      <c r="P91" s="4" t="s">
        <v>41</v>
      </c>
      <c r="Q91" s="4">
        <v>319.7</v>
      </c>
      <c r="R91" s="4">
        <v>319.7</v>
      </c>
      <c r="S91" s="4">
        <v>2509.65</v>
      </c>
      <c r="T91" s="4">
        <v>50192.9</v>
      </c>
      <c r="U91" s="4">
        <v>5</v>
      </c>
      <c r="V91" s="4" t="s">
        <v>42</v>
      </c>
      <c r="X91" s="7" t="str">
        <f t="shared" si="0"/>
        <v>441811105</v>
      </c>
      <c r="Y91" s="8" t="str">
        <f t="shared" si="1"/>
        <v>DC</v>
      </c>
      <c r="Z91" s="8">
        <f t="shared" si="2"/>
        <v>0</v>
      </c>
      <c r="AA91" s="8">
        <f t="shared" si="3"/>
        <v>0</v>
      </c>
      <c r="AB91" s="8">
        <f t="shared" si="4"/>
        <v>0</v>
      </c>
      <c r="AC91" s="8">
        <f t="shared" si="5"/>
        <v>157</v>
      </c>
      <c r="AD91" s="8">
        <f t="shared" si="6"/>
        <v>0</v>
      </c>
      <c r="AE91" s="9" t="str" cm="1">
        <f t="array" ref="AE91">IFERROR(_xlfn.XLOOKUP(H91,Sheet1!$G:$G,Sheet1!$F:$F),IFERROR(_xlfn.XLOOKUP(1,(--($X$2:$X$1074=X91))*(--ISNUMBER(MATCH($H$2:$H$1074,Sheet1!$G:$G,0))),_xlfn.XLOOKUP($H$2:$H$1074,Sheet1!$G:$G,Sheet1!$F:$F,"")),"NOT FOUND"))</f>
        <v>GETKRTSFUT6203</v>
      </c>
      <c r="AF91" s="10" t="str">
        <f t="shared" si="9"/>
        <v>BLACK</v>
      </c>
      <c r="AG91" s="11" t="str">
        <f t="shared" si="10"/>
        <v>HARIPAL</v>
      </c>
      <c r="AH91" s="9" t="str">
        <f>IF(OR(J91="",AE91="",AE91="NOT FOUND"),"",IF(Y91="RP",IFERROR(LEFT(_xlfn.XLOOKUP(AE91,Sheet1!$F:$F,Sheet1!$W:$W),FIND("-",_xlfn.XLOOKUP(AE91,Sheet1!$F:$F,Sheet1!$W:$W),FIND("-",_xlfn.XLOOKUP(AE91,Sheet1!$F:$F,Sheet1!$W:$W))+1))&amp;AE91,"NOT FOUND"),LEFT(J91,FIND("-",J91,FIND("-",J91)+1))&amp;AE91))</f>
        <v>KRTS-APWN26-GETKRTSFUT6203</v>
      </c>
    </row>
    <row r="92" spans="1:34" ht="15.75" customHeight="1" x14ac:dyDescent="0.2">
      <c r="A92" s="4" t="s">
        <v>61</v>
      </c>
      <c r="B92" s="4" t="s">
        <v>170</v>
      </c>
      <c r="C92" s="4" t="s">
        <v>64</v>
      </c>
      <c r="D92" s="4" t="s">
        <v>81</v>
      </c>
      <c r="E92" s="4" t="s">
        <v>34</v>
      </c>
      <c r="F92" s="4" t="s">
        <v>35</v>
      </c>
      <c r="G92" s="4" t="s">
        <v>36</v>
      </c>
      <c r="H92" s="4" t="s">
        <v>135</v>
      </c>
      <c r="I92" s="4" t="s">
        <v>136</v>
      </c>
      <c r="J92" s="4" t="s">
        <v>137</v>
      </c>
      <c r="L92" s="4" t="s">
        <v>40</v>
      </c>
      <c r="M92" s="4">
        <v>1</v>
      </c>
      <c r="N92" s="4">
        <v>30</v>
      </c>
      <c r="O92" s="4">
        <v>30</v>
      </c>
      <c r="P92" s="4" t="s">
        <v>41</v>
      </c>
      <c r="Q92" s="4">
        <v>394.7</v>
      </c>
      <c r="R92" s="4">
        <v>394.7</v>
      </c>
      <c r="S92" s="4">
        <v>592.04999999999995</v>
      </c>
      <c r="T92" s="4">
        <v>11841</v>
      </c>
      <c r="U92" s="4">
        <v>5</v>
      </c>
      <c r="V92" s="4" t="s">
        <v>42</v>
      </c>
      <c r="X92" s="7" t="str">
        <f t="shared" si="0"/>
        <v>441811104</v>
      </c>
      <c r="Y92" s="8" t="str">
        <f t="shared" si="1"/>
        <v>DC</v>
      </c>
      <c r="Z92" s="8">
        <f t="shared" si="2"/>
        <v>0</v>
      </c>
      <c r="AA92" s="8">
        <f t="shared" si="3"/>
        <v>0</v>
      </c>
      <c r="AB92" s="8">
        <f t="shared" si="4"/>
        <v>0</v>
      </c>
      <c r="AC92" s="8">
        <f t="shared" si="5"/>
        <v>0</v>
      </c>
      <c r="AD92" s="8">
        <f t="shared" si="6"/>
        <v>30</v>
      </c>
      <c r="AE92" s="9" t="str" cm="1">
        <f t="array" ref="AE92">IFERROR(_xlfn.XLOOKUP(H92,Sheet1!$G:$G,Sheet1!$F:$F),IFERROR(_xlfn.XLOOKUP(1,(--($X$2:$X$1074=X92))*(--ISNUMBER(MATCH($H$2:$H$1074,Sheet1!$G:$G,0))),_xlfn.XLOOKUP($H$2:$H$1074,Sheet1!$G:$G,Sheet1!$F:$F,"")),"NOT FOUND"))</f>
        <v>GETKRTSFUT6202</v>
      </c>
      <c r="AF92" s="10" t="str">
        <f t="shared" si="9"/>
        <v>NAVY</v>
      </c>
      <c r="AG92" s="11" t="str">
        <f t="shared" si="10"/>
        <v>HARIPAL</v>
      </c>
      <c r="AH92" s="9" t="str">
        <f>IF(OR(J92="",AE92="",AE92="NOT FOUND"),"",IF(Y92="RP",IFERROR(LEFT(_xlfn.XLOOKUP(AE92,Sheet1!$F:$F,Sheet1!$W:$W),FIND("-",_xlfn.XLOOKUP(AE92,Sheet1!$F:$F,Sheet1!$W:$W),FIND("-",_xlfn.XLOOKUP(AE92,Sheet1!$F:$F,Sheet1!$W:$W))+1))&amp;AE92,"NOT FOUND"),LEFT(J92,FIND("-",J92,FIND("-",J92)+1))&amp;AE92))</f>
        <v>KRTS-APWN26-GETKRTSFUT6202</v>
      </c>
    </row>
    <row r="93" spans="1:34" ht="15.75" customHeight="1" x14ac:dyDescent="0.2">
      <c r="A93" s="4" t="s">
        <v>61</v>
      </c>
      <c r="B93" s="4" t="s">
        <v>170</v>
      </c>
      <c r="C93" s="4" t="s">
        <v>64</v>
      </c>
      <c r="D93" s="4" t="s">
        <v>81</v>
      </c>
      <c r="E93" s="4" t="s">
        <v>34</v>
      </c>
      <c r="F93" s="4" t="s">
        <v>35</v>
      </c>
      <c r="G93" s="4" t="s">
        <v>43</v>
      </c>
      <c r="H93" s="4" t="s">
        <v>138</v>
      </c>
      <c r="I93" s="4" t="s">
        <v>139</v>
      </c>
      <c r="J93" s="4" t="s">
        <v>140</v>
      </c>
      <c r="L93" s="4" t="s">
        <v>40</v>
      </c>
      <c r="M93" s="4">
        <v>1</v>
      </c>
      <c r="N93" s="4">
        <v>135</v>
      </c>
      <c r="O93" s="4">
        <v>135</v>
      </c>
      <c r="P93" s="4" t="s">
        <v>41</v>
      </c>
      <c r="Q93" s="4">
        <v>394.7</v>
      </c>
      <c r="R93" s="4">
        <v>394.7</v>
      </c>
      <c r="S93" s="4">
        <v>2664.23</v>
      </c>
      <c r="T93" s="4">
        <v>53284.5</v>
      </c>
      <c r="U93" s="4">
        <v>5</v>
      </c>
      <c r="V93" s="4" t="s">
        <v>42</v>
      </c>
      <c r="X93" s="7" t="str">
        <f t="shared" si="0"/>
        <v>441811104</v>
      </c>
      <c r="Y93" s="8" t="str">
        <f t="shared" si="1"/>
        <v>DC</v>
      </c>
      <c r="Z93" s="8">
        <f t="shared" si="2"/>
        <v>0</v>
      </c>
      <c r="AA93" s="8">
        <f t="shared" si="3"/>
        <v>0</v>
      </c>
      <c r="AB93" s="8">
        <f t="shared" si="4"/>
        <v>135</v>
      </c>
      <c r="AC93" s="8">
        <f t="shared" si="5"/>
        <v>0</v>
      </c>
      <c r="AD93" s="8">
        <f t="shared" si="6"/>
        <v>0</v>
      </c>
      <c r="AE93" s="9" t="str" cm="1">
        <f t="array" ref="AE93">IFERROR(_xlfn.XLOOKUP(H93,Sheet1!$G:$G,Sheet1!$F:$F),IFERROR(_xlfn.XLOOKUP(1,(--($X$2:$X$1074=X93))*(--ISNUMBER(MATCH($H$2:$H$1074,Sheet1!$G:$G,0))),_xlfn.XLOOKUP($H$2:$H$1074,Sheet1!$G:$G,Sheet1!$F:$F,"")),"NOT FOUND"))</f>
        <v>GETKRTSFUT6202</v>
      </c>
      <c r="AF93" s="10" t="str">
        <f t="shared" si="9"/>
        <v>NAVY</v>
      </c>
      <c r="AG93" s="11" t="str">
        <f t="shared" si="10"/>
        <v>HARIPAL</v>
      </c>
      <c r="AH93" s="9" t="str">
        <f>IF(OR(J93="",AE93="",AE93="NOT FOUND"),"",IF(Y93="RP",IFERROR(LEFT(_xlfn.XLOOKUP(AE93,Sheet1!$F:$F,Sheet1!$W:$W),FIND("-",_xlfn.XLOOKUP(AE93,Sheet1!$F:$F,Sheet1!$W:$W),FIND("-",_xlfn.XLOOKUP(AE93,Sheet1!$F:$F,Sheet1!$W:$W))+1))&amp;AE93,"NOT FOUND"),LEFT(J93,FIND("-",J93,FIND("-",J93)+1))&amp;AE93))</f>
        <v>KRTS-APWN26-GETKRTSFUT6202</v>
      </c>
    </row>
    <row r="94" spans="1:34" ht="15.75" customHeight="1" x14ac:dyDescent="0.2">
      <c r="A94" s="4" t="s">
        <v>61</v>
      </c>
      <c r="B94" s="4" t="s">
        <v>170</v>
      </c>
      <c r="C94" s="4" t="s">
        <v>64</v>
      </c>
      <c r="D94" s="4" t="s">
        <v>81</v>
      </c>
      <c r="E94" s="4" t="s">
        <v>34</v>
      </c>
      <c r="F94" s="4" t="s">
        <v>35</v>
      </c>
      <c r="G94" s="4" t="s">
        <v>47</v>
      </c>
      <c r="H94" s="4" t="s">
        <v>141</v>
      </c>
      <c r="I94" s="4" t="s">
        <v>142</v>
      </c>
      <c r="J94" s="4" t="s">
        <v>143</v>
      </c>
      <c r="L94" s="4" t="s">
        <v>40</v>
      </c>
      <c r="M94" s="4">
        <v>1</v>
      </c>
      <c r="N94" s="4">
        <v>135</v>
      </c>
      <c r="O94" s="4">
        <v>135</v>
      </c>
      <c r="P94" s="4" t="s">
        <v>41</v>
      </c>
      <c r="Q94" s="4">
        <v>394.7</v>
      </c>
      <c r="R94" s="4">
        <v>394.7</v>
      </c>
      <c r="S94" s="4">
        <v>2664.23</v>
      </c>
      <c r="T94" s="4">
        <v>53284.5</v>
      </c>
      <c r="U94" s="4">
        <v>5</v>
      </c>
      <c r="V94" s="4" t="s">
        <v>42</v>
      </c>
      <c r="X94" s="7" t="str">
        <f t="shared" si="0"/>
        <v>441811104</v>
      </c>
      <c r="Y94" s="8" t="str">
        <f t="shared" si="1"/>
        <v>DC</v>
      </c>
      <c r="Z94" s="8">
        <f t="shared" si="2"/>
        <v>0</v>
      </c>
      <c r="AA94" s="8">
        <f t="shared" si="3"/>
        <v>135</v>
      </c>
      <c r="AB94" s="8">
        <f t="shared" si="4"/>
        <v>0</v>
      </c>
      <c r="AC94" s="8">
        <f t="shared" si="5"/>
        <v>0</v>
      </c>
      <c r="AD94" s="8">
        <f t="shared" si="6"/>
        <v>0</v>
      </c>
      <c r="AE94" s="9" t="str" cm="1">
        <f t="array" ref="AE94">IFERROR(_xlfn.XLOOKUP(H94,Sheet1!$G:$G,Sheet1!$F:$F),IFERROR(_xlfn.XLOOKUP(1,(--($X$2:$X$1074=X94))*(--ISNUMBER(MATCH($H$2:$H$1074,Sheet1!$G:$G,0))),_xlfn.XLOOKUP($H$2:$H$1074,Sheet1!$G:$G,Sheet1!$F:$F,"")),"NOT FOUND"))</f>
        <v>GETKRTSFUT6202</v>
      </c>
      <c r="AF94" s="10" t="str">
        <f t="shared" si="9"/>
        <v>NAVY</v>
      </c>
      <c r="AG94" s="11" t="str">
        <f t="shared" si="10"/>
        <v>HARIPAL</v>
      </c>
      <c r="AH94" s="9" t="str">
        <f>IF(OR(J94="",AE94="",AE94="NOT FOUND"),"",IF(Y94="RP",IFERROR(LEFT(_xlfn.XLOOKUP(AE94,Sheet1!$F:$F,Sheet1!$W:$W),FIND("-",_xlfn.XLOOKUP(AE94,Sheet1!$F:$F,Sheet1!$W:$W),FIND("-",_xlfn.XLOOKUP(AE94,Sheet1!$F:$F,Sheet1!$W:$W))+1))&amp;AE94,"NOT FOUND"),LEFT(J94,FIND("-",J94,FIND("-",J94)+1))&amp;AE94))</f>
        <v>KRTS-APWN26-GETKRTSFUT6202</v>
      </c>
    </row>
    <row r="95" spans="1:34" ht="15.75" customHeight="1" x14ac:dyDescent="0.2">
      <c r="A95" s="4" t="s">
        <v>61</v>
      </c>
      <c r="B95" s="4" t="s">
        <v>170</v>
      </c>
      <c r="C95" s="4" t="s">
        <v>64</v>
      </c>
      <c r="D95" s="4" t="s">
        <v>81</v>
      </c>
      <c r="E95" s="4" t="s">
        <v>34</v>
      </c>
      <c r="F95" s="4" t="s">
        <v>35</v>
      </c>
      <c r="G95" s="4" t="s">
        <v>51</v>
      </c>
      <c r="H95" s="4" t="s">
        <v>144</v>
      </c>
      <c r="I95" s="4" t="s">
        <v>145</v>
      </c>
      <c r="J95" s="4" t="s">
        <v>146</v>
      </c>
      <c r="L95" s="4" t="s">
        <v>40</v>
      </c>
      <c r="M95" s="4">
        <v>1</v>
      </c>
      <c r="N95" s="4">
        <v>30</v>
      </c>
      <c r="O95" s="4">
        <v>30</v>
      </c>
      <c r="P95" s="4" t="s">
        <v>41</v>
      </c>
      <c r="Q95" s="4">
        <v>394.7</v>
      </c>
      <c r="R95" s="4">
        <v>394.7</v>
      </c>
      <c r="S95" s="4">
        <v>592.04999999999995</v>
      </c>
      <c r="T95" s="4">
        <v>11841</v>
      </c>
      <c r="U95" s="4">
        <v>5</v>
      </c>
      <c r="V95" s="4" t="s">
        <v>42</v>
      </c>
      <c r="X95" s="7" t="str">
        <f t="shared" si="0"/>
        <v>441811104</v>
      </c>
      <c r="Y95" s="8" t="str">
        <f t="shared" si="1"/>
        <v>DC</v>
      </c>
      <c r="Z95" s="8">
        <f t="shared" si="2"/>
        <v>30</v>
      </c>
      <c r="AA95" s="8">
        <f t="shared" si="3"/>
        <v>0</v>
      </c>
      <c r="AB95" s="8">
        <f t="shared" si="4"/>
        <v>0</v>
      </c>
      <c r="AC95" s="8">
        <f t="shared" si="5"/>
        <v>0</v>
      </c>
      <c r="AD95" s="8">
        <f t="shared" si="6"/>
        <v>0</v>
      </c>
      <c r="AE95" s="9" t="str" cm="1">
        <f t="array" ref="AE95">IFERROR(_xlfn.XLOOKUP(H95,Sheet1!$G:$G,Sheet1!$F:$F),IFERROR(_xlfn.XLOOKUP(1,(--($X$2:$X$1074=X95))*(--ISNUMBER(MATCH($H$2:$H$1074,Sheet1!$G:$G,0))),_xlfn.XLOOKUP($H$2:$H$1074,Sheet1!$G:$G,Sheet1!$F:$F,"")),"NOT FOUND"))</f>
        <v>GETKRTSFUT6202</v>
      </c>
      <c r="AF95" s="10" t="str">
        <f t="shared" si="9"/>
        <v>NAVY</v>
      </c>
      <c r="AG95" s="11" t="str">
        <f t="shared" si="10"/>
        <v>HARIPAL</v>
      </c>
      <c r="AH95" s="9" t="str">
        <f>IF(OR(J95="",AE95="",AE95="NOT FOUND"),"",IF(Y95="RP",IFERROR(LEFT(_xlfn.XLOOKUP(AE95,Sheet1!$F:$F,Sheet1!$W:$W),FIND("-",_xlfn.XLOOKUP(AE95,Sheet1!$F:$F,Sheet1!$W:$W),FIND("-",_xlfn.XLOOKUP(AE95,Sheet1!$F:$F,Sheet1!$W:$W))+1))&amp;AE95,"NOT FOUND"),LEFT(J95,FIND("-",J95,FIND("-",J95)+1))&amp;AE95))</f>
        <v>KRTS-APWN26-GETKRTSFUT6202</v>
      </c>
    </row>
    <row r="96" spans="1:34" ht="15.75" customHeight="1" x14ac:dyDescent="0.2">
      <c r="A96" s="4" t="s">
        <v>61</v>
      </c>
      <c r="B96" s="4" t="s">
        <v>170</v>
      </c>
      <c r="C96" s="4" t="s">
        <v>64</v>
      </c>
      <c r="D96" s="4" t="s">
        <v>81</v>
      </c>
      <c r="E96" s="4" t="s">
        <v>34</v>
      </c>
      <c r="F96" s="4" t="s">
        <v>35</v>
      </c>
      <c r="G96" s="4" t="s">
        <v>55</v>
      </c>
      <c r="H96" s="4" t="s">
        <v>147</v>
      </c>
      <c r="I96" s="4" t="s">
        <v>148</v>
      </c>
      <c r="J96" s="4" t="s">
        <v>149</v>
      </c>
      <c r="L96" s="4" t="s">
        <v>40</v>
      </c>
      <c r="M96" s="4">
        <v>1</v>
      </c>
      <c r="N96" s="4">
        <v>114</v>
      </c>
      <c r="O96" s="4">
        <v>114</v>
      </c>
      <c r="P96" s="4" t="s">
        <v>41</v>
      </c>
      <c r="Q96" s="4">
        <v>394.7</v>
      </c>
      <c r="R96" s="4">
        <v>394.7</v>
      </c>
      <c r="S96" s="4">
        <v>2249.79</v>
      </c>
      <c r="T96" s="4">
        <v>44995.8</v>
      </c>
      <c r="U96" s="4">
        <v>5</v>
      </c>
      <c r="V96" s="4" t="s">
        <v>42</v>
      </c>
      <c r="X96" s="7" t="str">
        <f t="shared" si="0"/>
        <v>441811104</v>
      </c>
      <c r="Y96" s="8" t="str">
        <f t="shared" si="1"/>
        <v>DC</v>
      </c>
      <c r="Z96" s="8">
        <f t="shared" si="2"/>
        <v>0</v>
      </c>
      <c r="AA96" s="8">
        <f t="shared" si="3"/>
        <v>0</v>
      </c>
      <c r="AB96" s="8">
        <f t="shared" si="4"/>
        <v>0</v>
      </c>
      <c r="AC96" s="8">
        <f t="shared" si="5"/>
        <v>114</v>
      </c>
      <c r="AD96" s="8">
        <f t="shared" si="6"/>
        <v>0</v>
      </c>
      <c r="AE96" s="9" t="str" cm="1">
        <f t="array" ref="AE96">IFERROR(_xlfn.XLOOKUP(H96,Sheet1!$G:$G,Sheet1!$F:$F),IFERROR(_xlfn.XLOOKUP(1,(--($X$2:$X$1074=X96))*(--ISNUMBER(MATCH($H$2:$H$1074,Sheet1!$G:$G,0))),_xlfn.XLOOKUP($H$2:$H$1074,Sheet1!$G:$G,Sheet1!$F:$F,"")),"NOT FOUND"))</f>
        <v>GETKRTSFUT6202</v>
      </c>
      <c r="AF96" s="10" t="str">
        <f t="shared" si="9"/>
        <v>NAVY</v>
      </c>
      <c r="AG96" s="11" t="str">
        <f t="shared" si="10"/>
        <v>HARIPAL</v>
      </c>
      <c r="AH96" s="9" t="str">
        <f>IF(OR(J96="",AE96="",AE96="NOT FOUND"),"",IF(Y96="RP",IFERROR(LEFT(_xlfn.XLOOKUP(AE96,Sheet1!$F:$F,Sheet1!$W:$W),FIND("-",_xlfn.XLOOKUP(AE96,Sheet1!$F:$F,Sheet1!$W:$W),FIND("-",_xlfn.XLOOKUP(AE96,Sheet1!$F:$F,Sheet1!$W:$W))+1))&amp;AE96,"NOT FOUND"),LEFT(J96,FIND("-",J96,FIND("-",J96)+1))&amp;AE96))</f>
        <v>KRTS-APWN26-GETKRTSFUT6202</v>
      </c>
    </row>
    <row r="97" spans="1:34" ht="15.75" customHeight="1" x14ac:dyDescent="0.2">
      <c r="A97" s="4" t="s">
        <v>61</v>
      </c>
      <c r="B97" s="4" t="s">
        <v>171</v>
      </c>
      <c r="C97" s="4" t="s">
        <v>64</v>
      </c>
      <c r="D97" s="4" t="s">
        <v>98</v>
      </c>
      <c r="E97" s="4" t="s">
        <v>34</v>
      </c>
      <c r="F97" s="4" t="s">
        <v>35</v>
      </c>
      <c r="G97" s="4" t="s">
        <v>36</v>
      </c>
      <c r="H97" s="4" t="s">
        <v>156</v>
      </c>
      <c r="I97" s="4" t="s">
        <v>157</v>
      </c>
      <c r="J97" s="4" t="s">
        <v>39</v>
      </c>
      <c r="L97" s="4" t="s">
        <v>40</v>
      </c>
      <c r="M97" s="4">
        <v>1</v>
      </c>
      <c r="N97" s="4">
        <v>30</v>
      </c>
      <c r="O97" s="4">
        <v>30</v>
      </c>
      <c r="P97" s="4" t="s">
        <v>41</v>
      </c>
      <c r="Q97" s="4">
        <v>326.7</v>
      </c>
      <c r="R97" s="4">
        <v>326.7</v>
      </c>
      <c r="S97" s="4">
        <v>490.05</v>
      </c>
      <c r="T97" s="4">
        <v>9801</v>
      </c>
      <c r="U97" s="4">
        <v>5</v>
      </c>
      <c r="V97" s="4" t="s">
        <v>42</v>
      </c>
      <c r="X97" s="7" t="str">
        <f t="shared" si="0"/>
        <v>441811103</v>
      </c>
      <c r="Y97" s="8" t="str">
        <f t="shared" si="1"/>
        <v>DC</v>
      </c>
      <c r="Z97" s="8">
        <f t="shared" si="2"/>
        <v>0</v>
      </c>
      <c r="AA97" s="8">
        <f t="shared" si="3"/>
        <v>0</v>
      </c>
      <c r="AB97" s="8">
        <f t="shared" si="4"/>
        <v>0</v>
      </c>
      <c r="AC97" s="8">
        <f t="shared" si="5"/>
        <v>0</v>
      </c>
      <c r="AD97" s="8">
        <f t="shared" si="6"/>
        <v>30</v>
      </c>
      <c r="AE97" s="9" t="str" cm="1">
        <f t="array" ref="AE97">IFERROR(_xlfn.XLOOKUP(H97,Sheet1!$G:$G,Sheet1!$F:$F),IFERROR(_xlfn.XLOOKUP(1,(--($X$2:$X$1074=X97))*(--ISNUMBER(MATCH($H$2:$H$1074,Sheet1!$G:$G,0))),_xlfn.XLOOKUP($H$2:$H$1074,Sheet1!$G:$G,Sheet1!$F:$F,"")),"NOT FOUND"))</f>
        <v>GETKRTSFUT6126</v>
      </c>
      <c r="AF97" s="10" t="str">
        <f t="shared" si="9"/>
        <v>OFF WHITE</v>
      </c>
      <c r="AG97" s="11" t="str">
        <f t="shared" si="10"/>
        <v>HARIPAL</v>
      </c>
      <c r="AH97" s="9" t="str">
        <f>IF(OR(J97="",AE97="",AE97="NOT FOUND"),"",IF(Y97="RP",IFERROR(LEFT(_xlfn.XLOOKUP(AE97,Sheet1!$F:$F,Sheet1!$W:$W),FIND("-",_xlfn.XLOOKUP(AE97,Sheet1!$F:$F,Sheet1!$W:$W),FIND("-",_xlfn.XLOOKUP(AE97,Sheet1!$F:$F,Sheet1!$W:$W))+1))&amp;AE97,"NOT FOUND"),LEFT(J97,FIND("-",J97,FIND("-",J97)+1))&amp;AE97))</f>
        <v>KRTS-APWN26-GETKRTSFUT6126</v>
      </c>
    </row>
    <row r="98" spans="1:34" ht="15.75" customHeight="1" x14ac:dyDescent="0.2">
      <c r="A98" s="4" t="s">
        <v>61</v>
      </c>
      <c r="B98" s="4" t="s">
        <v>171</v>
      </c>
      <c r="C98" s="4" t="s">
        <v>64</v>
      </c>
      <c r="D98" s="4" t="s">
        <v>98</v>
      </c>
      <c r="E98" s="4" t="s">
        <v>34</v>
      </c>
      <c r="F98" s="4" t="s">
        <v>35</v>
      </c>
      <c r="G98" s="4" t="s">
        <v>43</v>
      </c>
      <c r="H98" s="4" t="s">
        <v>158</v>
      </c>
      <c r="I98" s="4" t="s">
        <v>159</v>
      </c>
      <c r="J98" s="4" t="s">
        <v>160</v>
      </c>
      <c r="L98" s="4" t="s">
        <v>40</v>
      </c>
      <c r="M98" s="4">
        <v>1</v>
      </c>
      <c r="N98" s="4">
        <v>186</v>
      </c>
      <c r="O98" s="4">
        <v>186</v>
      </c>
      <c r="P98" s="4" t="s">
        <v>41</v>
      </c>
      <c r="Q98" s="4">
        <v>326.7</v>
      </c>
      <c r="R98" s="4">
        <v>326.7</v>
      </c>
      <c r="S98" s="4">
        <v>3038.31</v>
      </c>
      <c r="T98" s="4">
        <v>60766.2</v>
      </c>
      <c r="U98" s="4">
        <v>5</v>
      </c>
      <c r="V98" s="4" t="s">
        <v>42</v>
      </c>
      <c r="X98" s="7" t="str">
        <f t="shared" si="0"/>
        <v>441811103</v>
      </c>
      <c r="Y98" s="8" t="str">
        <f t="shared" si="1"/>
        <v>DC</v>
      </c>
      <c r="Z98" s="8">
        <f t="shared" si="2"/>
        <v>0</v>
      </c>
      <c r="AA98" s="8">
        <f t="shared" si="3"/>
        <v>0</v>
      </c>
      <c r="AB98" s="8">
        <f t="shared" si="4"/>
        <v>186</v>
      </c>
      <c r="AC98" s="8">
        <f t="shared" si="5"/>
        <v>0</v>
      </c>
      <c r="AD98" s="8">
        <f t="shared" si="6"/>
        <v>0</v>
      </c>
      <c r="AE98" s="9" t="str" cm="1">
        <f t="array" ref="AE98">IFERROR(_xlfn.XLOOKUP(H98,Sheet1!$G:$G,Sheet1!$F:$F),IFERROR(_xlfn.XLOOKUP(1,(--($X$2:$X$1074=X98))*(--ISNUMBER(MATCH($H$2:$H$1074,Sheet1!$G:$G,0))),_xlfn.XLOOKUP($H$2:$H$1074,Sheet1!$G:$G,Sheet1!$F:$F,"")),"NOT FOUND"))</f>
        <v>GETKRTSFUT6126</v>
      </c>
      <c r="AF98" s="10" t="str">
        <f t="shared" si="9"/>
        <v>OFF WHITE</v>
      </c>
      <c r="AG98" s="11" t="str">
        <f t="shared" si="10"/>
        <v>HARIPAL</v>
      </c>
      <c r="AH98" s="9" t="str">
        <f>IF(OR(J98="",AE98="",AE98="NOT FOUND"),"",IF(Y98="RP",IFERROR(LEFT(_xlfn.XLOOKUP(AE98,Sheet1!$F:$F,Sheet1!$W:$W),FIND("-",_xlfn.XLOOKUP(AE98,Sheet1!$F:$F,Sheet1!$W:$W),FIND("-",_xlfn.XLOOKUP(AE98,Sheet1!$F:$F,Sheet1!$W:$W))+1))&amp;AE98,"NOT FOUND"),LEFT(J98,FIND("-",J98,FIND("-",J98)+1))&amp;AE98))</f>
        <v>KRTS-APWN26-GETKRTSFUT6126</v>
      </c>
    </row>
    <row r="99" spans="1:34" ht="15.75" customHeight="1" x14ac:dyDescent="0.2">
      <c r="A99" s="4" t="s">
        <v>61</v>
      </c>
      <c r="B99" s="4" t="s">
        <v>171</v>
      </c>
      <c r="C99" s="4" t="s">
        <v>64</v>
      </c>
      <c r="D99" s="4" t="s">
        <v>98</v>
      </c>
      <c r="E99" s="4" t="s">
        <v>34</v>
      </c>
      <c r="F99" s="4" t="s">
        <v>35</v>
      </c>
      <c r="G99" s="4" t="s">
        <v>47</v>
      </c>
      <c r="H99" s="4" t="s">
        <v>161</v>
      </c>
      <c r="I99" s="4" t="s">
        <v>162</v>
      </c>
      <c r="J99" s="4" t="s">
        <v>163</v>
      </c>
      <c r="L99" s="4" t="s">
        <v>40</v>
      </c>
      <c r="M99" s="4">
        <v>1</v>
      </c>
      <c r="N99" s="4">
        <v>186</v>
      </c>
      <c r="O99" s="4">
        <v>186</v>
      </c>
      <c r="P99" s="4" t="s">
        <v>41</v>
      </c>
      <c r="Q99" s="4">
        <v>326.7</v>
      </c>
      <c r="R99" s="4">
        <v>326.7</v>
      </c>
      <c r="S99" s="4">
        <v>3038.31</v>
      </c>
      <c r="T99" s="4">
        <v>60766.2</v>
      </c>
      <c r="U99" s="4">
        <v>5</v>
      </c>
      <c r="V99" s="4" t="s">
        <v>42</v>
      </c>
      <c r="X99" s="7" t="str">
        <f t="shared" si="0"/>
        <v>441811103</v>
      </c>
      <c r="Y99" s="8" t="str">
        <f t="shared" si="1"/>
        <v>DC</v>
      </c>
      <c r="Z99" s="8">
        <f t="shared" si="2"/>
        <v>0</v>
      </c>
      <c r="AA99" s="8">
        <f t="shared" si="3"/>
        <v>186</v>
      </c>
      <c r="AB99" s="8">
        <f t="shared" si="4"/>
        <v>0</v>
      </c>
      <c r="AC99" s="8">
        <f t="shared" si="5"/>
        <v>0</v>
      </c>
      <c r="AD99" s="8">
        <f t="shared" si="6"/>
        <v>0</v>
      </c>
      <c r="AE99" s="9" t="str" cm="1">
        <f t="array" ref="AE99">IFERROR(_xlfn.XLOOKUP(H99,Sheet1!$G:$G,Sheet1!$F:$F),IFERROR(_xlfn.XLOOKUP(1,(--($X$2:$X$1074=X99))*(--ISNUMBER(MATCH($H$2:$H$1074,Sheet1!$G:$G,0))),_xlfn.XLOOKUP($H$2:$H$1074,Sheet1!$G:$G,Sheet1!$F:$F,"")),"NOT FOUND"))</f>
        <v>GETKRTSFUT6126</v>
      </c>
      <c r="AF99" s="10" t="str">
        <f t="shared" si="9"/>
        <v>OFF WHITE</v>
      </c>
      <c r="AG99" s="11" t="str">
        <f t="shared" si="10"/>
        <v>HARIPAL</v>
      </c>
      <c r="AH99" s="9" t="str">
        <f>IF(OR(J99="",AE99="",AE99="NOT FOUND"),"",IF(Y99="RP",IFERROR(LEFT(_xlfn.XLOOKUP(AE99,Sheet1!$F:$F,Sheet1!$W:$W),FIND("-",_xlfn.XLOOKUP(AE99,Sheet1!$F:$F,Sheet1!$W:$W),FIND("-",_xlfn.XLOOKUP(AE99,Sheet1!$F:$F,Sheet1!$W:$W))+1))&amp;AE99,"NOT FOUND"),LEFT(J99,FIND("-",J99,FIND("-",J99)+1))&amp;AE99))</f>
        <v>KRTS-APWN26-GETKRTSFUT6126</v>
      </c>
    </row>
    <row r="100" spans="1:34" ht="15.75" customHeight="1" x14ac:dyDescent="0.2">
      <c r="A100" s="4" t="s">
        <v>61</v>
      </c>
      <c r="B100" s="4" t="s">
        <v>171</v>
      </c>
      <c r="C100" s="4" t="s">
        <v>64</v>
      </c>
      <c r="D100" s="4" t="s">
        <v>98</v>
      </c>
      <c r="E100" s="4" t="s">
        <v>34</v>
      </c>
      <c r="F100" s="4" t="s">
        <v>35</v>
      </c>
      <c r="G100" s="4" t="s">
        <v>51</v>
      </c>
      <c r="H100" s="4" t="s">
        <v>164</v>
      </c>
      <c r="I100" s="4" t="s">
        <v>165</v>
      </c>
      <c r="J100" s="4" t="s">
        <v>166</v>
      </c>
      <c r="L100" s="4" t="s">
        <v>40</v>
      </c>
      <c r="M100" s="4">
        <v>1</v>
      </c>
      <c r="N100" s="4">
        <v>30</v>
      </c>
      <c r="O100" s="4">
        <v>30</v>
      </c>
      <c r="P100" s="4" t="s">
        <v>41</v>
      </c>
      <c r="Q100" s="4">
        <v>326.7</v>
      </c>
      <c r="R100" s="4">
        <v>326.7</v>
      </c>
      <c r="S100" s="4">
        <v>490.05</v>
      </c>
      <c r="T100" s="4">
        <v>9801</v>
      </c>
      <c r="U100" s="4">
        <v>5</v>
      </c>
      <c r="V100" s="4" t="s">
        <v>42</v>
      </c>
      <c r="X100" s="7" t="str">
        <f t="shared" si="0"/>
        <v>441811103</v>
      </c>
      <c r="Y100" s="8" t="str">
        <f t="shared" si="1"/>
        <v>DC</v>
      </c>
      <c r="Z100" s="8">
        <f t="shared" si="2"/>
        <v>30</v>
      </c>
      <c r="AA100" s="8">
        <f t="shared" si="3"/>
        <v>0</v>
      </c>
      <c r="AB100" s="8">
        <f t="shared" si="4"/>
        <v>0</v>
      </c>
      <c r="AC100" s="8">
        <f t="shared" si="5"/>
        <v>0</v>
      </c>
      <c r="AD100" s="8">
        <f t="shared" si="6"/>
        <v>0</v>
      </c>
      <c r="AE100" s="9" t="str" cm="1">
        <f t="array" ref="AE100">IFERROR(_xlfn.XLOOKUP(H100,Sheet1!$G:$G,Sheet1!$F:$F),IFERROR(_xlfn.XLOOKUP(1,(--($X$2:$X$1074=X100))*(--ISNUMBER(MATCH($H$2:$H$1074,Sheet1!$G:$G,0))),_xlfn.XLOOKUP($H$2:$H$1074,Sheet1!$G:$G,Sheet1!$F:$F,"")),"NOT FOUND"))</f>
        <v>GETKRTSFUT6126</v>
      </c>
      <c r="AF100" s="10" t="str">
        <f t="shared" si="9"/>
        <v>OFF WHITE</v>
      </c>
      <c r="AG100" s="11" t="str">
        <f t="shared" si="10"/>
        <v>HARIPAL</v>
      </c>
      <c r="AH100" s="9" t="str">
        <f>IF(OR(J100="",AE100="",AE100="NOT FOUND"),"",IF(Y100="RP",IFERROR(LEFT(_xlfn.XLOOKUP(AE100,Sheet1!$F:$F,Sheet1!$W:$W),FIND("-",_xlfn.XLOOKUP(AE100,Sheet1!$F:$F,Sheet1!$W:$W),FIND("-",_xlfn.XLOOKUP(AE100,Sheet1!$F:$F,Sheet1!$W:$W))+1))&amp;AE100,"NOT FOUND"),LEFT(J100,FIND("-",J100,FIND("-",J100)+1))&amp;AE100))</f>
        <v>KRTS-APWN26-GETKRTSFUT6126</v>
      </c>
    </row>
    <row r="101" spans="1:34" ht="15.75" customHeight="1" x14ac:dyDescent="0.2">
      <c r="A101" s="4" t="s">
        <v>61</v>
      </c>
      <c r="B101" s="4" t="s">
        <v>171</v>
      </c>
      <c r="C101" s="4" t="s">
        <v>64</v>
      </c>
      <c r="D101" s="4" t="s">
        <v>98</v>
      </c>
      <c r="E101" s="4" t="s">
        <v>34</v>
      </c>
      <c r="F101" s="4" t="s">
        <v>35</v>
      </c>
      <c r="G101" s="4" t="s">
        <v>55</v>
      </c>
      <c r="H101" s="4" t="s">
        <v>167</v>
      </c>
      <c r="I101" s="4" t="s">
        <v>168</v>
      </c>
      <c r="J101" s="4" t="s">
        <v>58</v>
      </c>
      <c r="L101" s="4" t="s">
        <v>40</v>
      </c>
      <c r="M101" s="4">
        <v>1</v>
      </c>
      <c r="N101" s="4">
        <v>157</v>
      </c>
      <c r="O101" s="4">
        <v>157</v>
      </c>
      <c r="P101" s="4" t="s">
        <v>41</v>
      </c>
      <c r="Q101" s="4">
        <v>326.7</v>
      </c>
      <c r="R101" s="4">
        <v>326.7</v>
      </c>
      <c r="S101" s="4">
        <v>2564.6</v>
      </c>
      <c r="T101" s="4">
        <v>51291.9</v>
      </c>
      <c r="U101" s="4">
        <v>5</v>
      </c>
      <c r="V101" s="4" t="s">
        <v>42</v>
      </c>
      <c r="X101" s="7" t="str">
        <f t="shared" si="0"/>
        <v>441811103</v>
      </c>
      <c r="Y101" s="8" t="str">
        <f t="shared" si="1"/>
        <v>DC</v>
      </c>
      <c r="Z101" s="8">
        <f t="shared" si="2"/>
        <v>0</v>
      </c>
      <c r="AA101" s="8">
        <f t="shared" si="3"/>
        <v>0</v>
      </c>
      <c r="AB101" s="8">
        <f t="shared" si="4"/>
        <v>0</v>
      </c>
      <c r="AC101" s="8">
        <f t="shared" si="5"/>
        <v>157</v>
      </c>
      <c r="AD101" s="8">
        <f t="shared" si="6"/>
        <v>0</v>
      </c>
      <c r="AE101" s="9" t="str" cm="1">
        <f t="array" ref="AE101">IFERROR(_xlfn.XLOOKUP(H101,Sheet1!$G:$G,Sheet1!$F:$F),IFERROR(_xlfn.XLOOKUP(1,(--($X$2:$X$1074=X101))*(--ISNUMBER(MATCH($H$2:$H$1074,Sheet1!$G:$G,0))),_xlfn.XLOOKUP($H$2:$H$1074,Sheet1!$G:$G,Sheet1!$F:$F,"")),"NOT FOUND"))</f>
        <v>GETKRTSFUT6126</v>
      </c>
      <c r="AF101" s="10" t="str">
        <f t="shared" si="9"/>
        <v>OFF WHITE</v>
      </c>
      <c r="AG101" s="11" t="str">
        <f t="shared" si="10"/>
        <v>HARIPAL</v>
      </c>
      <c r="AH101" s="9" t="str">
        <f>IF(OR(J101="",AE101="",AE101="NOT FOUND"),"",IF(Y101="RP",IFERROR(LEFT(_xlfn.XLOOKUP(AE101,Sheet1!$F:$F,Sheet1!$W:$W),FIND("-",_xlfn.XLOOKUP(AE101,Sheet1!$F:$F,Sheet1!$W:$W),FIND("-",_xlfn.XLOOKUP(AE101,Sheet1!$F:$F,Sheet1!$W:$W))+1))&amp;AE101,"NOT FOUND"),LEFT(J101,FIND("-",J101,FIND("-",J101)+1))&amp;AE101))</f>
        <v>KRTS-APWN26-GETKRTSFUT6126</v>
      </c>
    </row>
    <row r="102" spans="1:34" ht="15.75" customHeight="1" x14ac:dyDescent="0.2">
      <c r="A102" s="4" t="s">
        <v>30</v>
      </c>
      <c r="B102" s="4" t="s">
        <v>172</v>
      </c>
      <c r="C102" s="4" t="s">
        <v>64</v>
      </c>
      <c r="D102" s="4" t="s">
        <v>33</v>
      </c>
      <c r="E102" s="4" t="s">
        <v>34</v>
      </c>
      <c r="F102" s="4" t="s">
        <v>35</v>
      </c>
      <c r="G102" s="4" t="s">
        <v>36</v>
      </c>
      <c r="H102" s="4" t="s">
        <v>173</v>
      </c>
      <c r="I102" s="4" t="s">
        <v>174</v>
      </c>
      <c r="J102" s="4" t="s">
        <v>175</v>
      </c>
      <c r="L102" s="4" t="s">
        <v>40</v>
      </c>
      <c r="M102" s="4">
        <v>1</v>
      </c>
      <c r="N102" s="4">
        <v>30</v>
      </c>
      <c r="O102" s="4">
        <v>30</v>
      </c>
      <c r="P102" s="4" t="s">
        <v>41</v>
      </c>
      <c r="Q102" s="4">
        <v>309.7</v>
      </c>
      <c r="R102" s="4">
        <v>309.7</v>
      </c>
      <c r="S102" s="4">
        <v>464.55</v>
      </c>
      <c r="T102" s="4">
        <v>9291</v>
      </c>
      <c r="U102" s="4">
        <v>5</v>
      </c>
      <c r="V102" s="4" t="s">
        <v>42</v>
      </c>
      <c r="X102" s="7" t="str">
        <f t="shared" si="0"/>
        <v>441811102</v>
      </c>
      <c r="Y102" s="8" t="str">
        <f t="shared" si="1"/>
        <v>DC</v>
      </c>
      <c r="Z102" s="8">
        <f t="shared" si="2"/>
        <v>0</v>
      </c>
      <c r="AA102" s="8">
        <f t="shared" si="3"/>
        <v>0</v>
      </c>
      <c r="AB102" s="8">
        <f t="shared" si="4"/>
        <v>0</v>
      </c>
      <c r="AC102" s="8">
        <f t="shared" si="5"/>
        <v>0</v>
      </c>
      <c r="AD102" s="8">
        <f t="shared" si="6"/>
        <v>30</v>
      </c>
      <c r="AE102" s="9" t="str" cm="1">
        <f t="array" ref="AE102">IFERROR(_xlfn.XLOOKUP(H102,Sheet1!$G:$G,Sheet1!$F:$F),IFERROR(_xlfn.XLOOKUP(1,(--($X$2:$X$1074=X102))*(--ISNUMBER(MATCH($H$2:$H$1074,Sheet1!$G:$G,0))),_xlfn.XLOOKUP($H$2:$H$1074,Sheet1!$G:$G,Sheet1!$F:$F,"")),"NOT FOUND"))</f>
        <v>GETKRTSFUT6105</v>
      </c>
      <c r="AF102" s="10" t="str">
        <f t="shared" si="9"/>
        <v>MUSTARD</v>
      </c>
      <c r="AG102" s="11" t="str">
        <f t="shared" si="10"/>
        <v>Bangalore</v>
      </c>
      <c r="AH102" s="9" t="str">
        <f>IF(OR(J102="",AE102="",AE102="NOT FOUND"),"",IF(Y102="RP",IFERROR(LEFT(_xlfn.XLOOKUP(AE102,Sheet1!$F:$F,Sheet1!$W:$W),FIND("-",_xlfn.XLOOKUP(AE102,Sheet1!$F:$F,Sheet1!$W:$W),FIND("-",_xlfn.XLOOKUP(AE102,Sheet1!$F:$F,Sheet1!$W:$W))+1))&amp;AE102,"NOT FOUND"),LEFT(J102,FIND("-",J102,FIND("-",J102)+1))&amp;AE102))</f>
        <v>KRTS-APWN26-GETKRTSFUT6105</v>
      </c>
    </row>
    <row r="103" spans="1:34" ht="15.75" customHeight="1" x14ac:dyDescent="0.2">
      <c r="A103" s="4" t="s">
        <v>30</v>
      </c>
      <c r="B103" s="4" t="s">
        <v>172</v>
      </c>
      <c r="C103" s="4" t="s">
        <v>64</v>
      </c>
      <c r="D103" s="4" t="s">
        <v>33</v>
      </c>
      <c r="E103" s="4" t="s">
        <v>34</v>
      </c>
      <c r="F103" s="4" t="s">
        <v>35</v>
      </c>
      <c r="G103" s="4" t="s">
        <v>43</v>
      </c>
      <c r="H103" s="4" t="s">
        <v>176</v>
      </c>
      <c r="I103" s="4" t="s">
        <v>177</v>
      </c>
      <c r="J103" s="4" t="s">
        <v>178</v>
      </c>
      <c r="L103" s="4" t="s">
        <v>40</v>
      </c>
      <c r="M103" s="4">
        <v>1</v>
      </c>
      <c r="N103" s="4">
        <v>257</v>
      </c>
      <c r="O103" s="4">
        <v>257</v>
      </c>
      <c r="P103" s="4" t="s">
        <v>41</v>
      </c>
      <c r="Q103" s="4">
        <v>309.7</v>
      </c>
      <c r="R103" s="4">
        <v>309.7</v>
      </c>
      <c r="S103" s="4">
        <v>3979.65</v>
      </c>
      <c r="T103" s="4">
        <v>79592.899999999994</v>
      </c>
      <c r="U103" s="4">
        <v>5</v>
      </c>
      <c r="V103" s="4" t="s">
        <v>42</v>
      </c>
      <c r="X103" s="7" t="str">
        <f t="shared" si="0"/>
        <v>441811102</v>
      </c>
      <c r="Y103" s="8" t="str">
        <f t="shared" si="1"/>
        <v>DC</v>
      </c>
      <c r="Z103" s="8">
        <f t="shared" si="2"/>
        <v>0</v>
      </c>
      <c r="AA103" s="8">
        <f t="shared" si="3"/>
        <v>0</v>
      </c>
      <c r="AB103" s="8">
        <f t="shared" si="4"/>
        <v>257</v>
      </c>
      <c r="AC103" s="8">
        <f t="shared" si="5"/>
        <v>0</v>
      </c>
      <c r="AD103" s="8">
        <f t="shared" si="6"/>
        <v>0</v>
      </c>
      <c r="AE103" s="9" t="str" cm="1">
        <f t="array" ref="AE103">IFERROR(_xlfn.XLOOKUP(H103,Sheet1!$G:$G,Sheet1!$F:$F),IFERROR(_xlfn.XLOOKUP(1,(--($X$2:$X$1074=X103))*(--ISNUMBER(MATCH($H$2:$H$1074,Sheet1!$G:$G,0))),_xlfn.XLOOKUP($H$2:$H$1074,Sheet1!$G:$G,Sheet1!$F:$F,"")),"NOT FOUND"))</f>
        <v>GETKRTSFUT6105</v>
      </c>
      <c r="AF103" s="10" t="str">
        <f t="shared" si="9"/>
        <v>MUSTARD</v>
      </c>
      <c r="AG103" s="11" t="str">
        <f t="shared" si="10"/>
        <v>Bangalore</v>
      </c>
      <c r="AH103" s="9" t="str">
        <f>IF(OR(J103="",AE103="",AE103="NOT FOUND"),"",IF(Y103="RP",IFERROR(LEFT(_xlfn.XLOOKUP(AE103,Sheet1!$F:$F,Sheet1!$W:$W),FIND("-",_xlfn.XLOOKUP(AE103,Sheet1!$F:$F,Sheet1!$W:$W),FIND("-",_xlfn.XLOOKUP(AE103,Sheet1!$F:$F,Sheet1!$W:$W))+1))&amp;AE103,"NOT FOUND"),LEFT(J103,FIND("-",J103,FIND("-",J103)+1))&amp;AE103))</f>
        <v>KRTS-APWN26-GETKRTSFUT6105</v>
      </c>
    </row>
    <row r="104" spans="1:34" ht="15.75" customHeight="1" x14ac:dyDescent="0.2">
      <c r="A104" s="4" t="s">
        <v>30</v>
      </c>
      <c r="B104" s="4" t="s">
        <v>172</v>
      </c>
      <c r="C104" s="4" t="s">
        <v>64</v>
      </c>
      <c r="D104" s="4" t="s">
        <v>33</v>
      </c>
      <c r="E104" s="4" t="s">
        <v>34</v>
      </c>
      <c r="F104" s="4" t="s">
        <v>35</v>
      </c>
      <c r="G104" s="4" t="s">
        <v>47</v>
      </c>
      <c r="H104" s="4" t="s">
        <v>179</v>
      </c>
      <c r="I104" s="4" t="s">
        <v>180</v>
      </c>
      <c r="J104" s="4" t="s">
        <v>181</v>
      </c>
      <c r="L104" s="4" t="s">
        <v>40</v>
      </c>
      <c r="M104" s="4">
        <v>1</v>
      </c>
      <c r="N104" s="4">
        <v>257</v>
      </c>
      <c r="O104" s="4">
        <v>257</v>
      </c>
      <c r="P104" s="4" t="s">
        <v>41</v>
      </c>
      <c r="Q104" s="4">
        <v>309.7</v>
      </c>
      <c r="R104" s="4">
        <v>309.7</v>
      </c>
      <c r="S104" s="4">
        <v>3979.65</v>
      </c>
      <c r="T104" s="4">
        <v>79592.899999999994</v>
      </c>
      <c r="U104" s="4">
        <v>5</v>
      </c>
      <c r="V104" s="4" t="s">
        <v>42</v>
      </c>
      <c r="X104" s="7" t="str">
        <f t="shared" si="0"/>
        <v>441811102</v>
      </c>
      <c r="Y104" s="8" t="str">
        <f t="shared" si="1"/>
        <v>DC</v>
      </c>
      <c r="Z104" s="8">
        <f t="shared" si="2"/>
        <v>0</v>
      </c>
      <c r="AA104" s="8">
        <f t="shared" si="3"/>
        <v>257</v>
      </c>
      <c r="AB104" s="8">
        <f t="shared" si="4"/>
        <v>0</v>
      </c>
      <c r="AC104" s="8">
        <f t="shared" si="5"/>
        <v>0</v>
      </c>
      <c r="AD104" s="8">
        <f t="shared" si="6"/>
        <v>0</v>
      </c>
      <c r="AE104" s="9" t="str" cm="1">
        <f t="array" ref="AE104">IFERROR(_xlfn.XLOOKUP(H104,Sheet1!$G:$G,Sheet1!$F:$F),IFERROR(_xlfn.XLOOKUP(1,(--($X$2:$X$1074=X104))*(--ISNUMBER(MATCH($H$2:$H$1074,Sheet1!$G:$G,0))),_xlfn.XLOOKUP($H$2:$H$1074,Sheet1!$G:$G,Sheet1!$F:$F,"")),"NOT FOUND"))</f>
        <v>GETKRTSFUT6105</v>
      </c>
      <c r="AF104" s="10" t="str">
        <f t="shared" si="9"/>
        <v>MUSTARD</v>
      </c>
      <c r="AG104" s="11" t="str">
        <f t="shared" si="10"/>
        <v>Bangalore</v>
      </c>
      <c r="AH104" s="9" t="str">
        <f>IF(OR(J104="",AE104="",AE104="NOT FOUND"),"",IF(Y104="RP",IFERROR(LEFT(_xlfn.XLOOKUP(AE104,Sheet1!$F:$F,Sheet1!$W:$W),FIND("-",_xlfn.XLOOKUP(AE104,Sheet1!$F:$F,Sheet1!$W:$W),FIND("-",_xlfn.XLOOKUP(AE104,Sheet1!$F:$F,Sheet1!$W:$W))+1))&amp;AE104,"NOT FOUND"),LEFT(J104,FIND("-",J104,FIND("-",J104)+1))&amp;AE104))</f>
        <v>KRTS-APWN26-GETKRTSFUT6105</v>
      </c>
    </row>
    <row r="105" spans="1:34" ht="15.75" customHeight="1" x14ac:dyDescent="0.2">
      <c r="A105" s="4" t="s">
        <v>30</v>
      </c>
      <c r="B105" s="4" t="s">
        <v>172</v>
      </c>
      <c r="C105" s="4" t="s">
        <v>64</v>
      </c>
      <c r="D105" s="4" t="s">
        <v>33</v>
      </c>
      <c r="E105" s="4" t="s">
        <v>34</v>
      </c>
      <c r="F105" s="4" t="s">
        <v>35</v>
      </c>
      <c r="G105" s="4" t="s">
        <v>51</v>
      </c>
      <c r="H105" s="4" t="s">
        <v>182</v>
      </c>
      <c r="I105" s="4" t="s">
        <v>183</v>
      </c>
      <c r="J105" s="4" t="s">
        <v>184</v>
      </c>
      <c r="L105" s="4" t="s">
        <v>40</v>
      </c>
      <c r="M105" s="4">
        <v>1</v>
      </c>
      <c r="N105" s="4">
        <v>30</v>
      </c>
      <c r="O105" s="4">
        <v>30</v>
      </c>
      <c r="P105" s="4" t="s">
        <v>41</v>
      </c>
      <c r="Q105" s="4">
        <v>309.7</v>
      </c>
      <c r="R105" s="4">
        <v>309.7</v>
      </c>
      <c r="S105" s="4">
        <v>464.55</v>
      </c>
      <c r="T105" s="4">
        <v>9291</v>
      </c>
      <c r="U105" s="4">
        <v>5</v>
      </c>
      <c r="V105" s="4" t="s">
        <v>42</v>
      </c>
      <c r="X105" s="7" t="str">
        <f t="shared" si="0"/>
        <v>441811102</v>
      </c>
      <c r="Y105" s="8" t="str">
        <f t="shared" si="1"/>
        <v>DC</v>
      </c>
      <c r="Z105" s="8">
        <f t="shared" si="2"/>
        <v>30</v>
      </c>
      <c r="AA105" s="8">
        <f t="shared" si="3"/>
        <v>0</v>
      </c>
      <c r="AB105" s="8">
        <f t="shared" si="4"/>
        <v>0</v>
      </c>
      <c r="AC105" s="8">
        <f t="shared" si="5"/>
        <v>0</v>
      </c>
      <c r="AD105" s="8">
        <f t="shared" si="6"/>
        <v>0</v>
      </c>
      <c r="AE105" s="9" t="str" cm="1">
        <f t="array" ref="AE105">IFERROR(_xlfn.XLOOKUP(H105,Sheet1!$G:$G,Sheet1!$F:$F),IFERROR(_xlfn.XLOOKUP(1,(--($X$2:$X$1074=X105))*(--ISNUMBER(MATCH($H$2:$H$1074,Sheet1!$G:$G,0))),_xlfn.XLOOKUP($H$2:$H$1074,Sheet1!$G:$G,Sheet1!$F:$F,"")),"NOT FOUND"))</f>
        <v>GETKRTSFUT6105</v>
      </c>
      <c r="AF105" s="10" t="str">
        <f t="shared" si="9"/>
        <v>MUSTARD</v>
      </c>
      <c r="AG105" s="11" t="str">
        <f t="shared" si="10"/>
        <v>Bangalore</v>
      </c>
      <c r="AH105" s="9" t="str">
        <f>IF(OR(J105="",AE105="",AE105="NOT FOUND"),"",IF(Y105="RP",IFERROR(LEFT(_xlfn.XLOOKUP(AE105,Sheet1!$F:$F,Sheet1!$W:$W),FIND("-",_xlfn.XLOOKUP(AE105,Sheet1!$F:$F,Sheet1!$W:$W),FIND("-",_xlfn.XLOOKUP(AE105,Sheet1!$F:$F,Sheet1!$W:$W))+1))&amp;AE105,"NOT FOUND"),LEFT(J105,FIND("-",J105,FIND("-",J105)+1))&amp;AE105))</f>
        <v>KRTS-APWN26-GETKRTSFUT6105</v>
      </c>
    </row>
    <row r="106" spans="1:34" ht="15.75" customHeight="1" x14ac:dyDescent="0.2">
      <c r="A106" s="4" t="s">
        <v>30</v>
      </c>
      <c r="B106" s="4" t="s">
        <v>172</v>
      </c>
      <c r="C106" s="4" t="s">
        <v>64</v>
      </c>
      <c r="D106" s="4" t="s">
        <v>33</v>
      </c>
      <c r="E106" s="4" t="s">
        <v>34</v>
      </c>
      <c r="F106" s="4" t="s">
        <v>35</v>
      </c>
      <c r="G106" s="4" t="s">
        <v>55</v>
      </c>
      <c r="H106" s="4" t="s">
        <v>185</v>
      </c>
      <c r="I106" s="4" t="s">
        <v>186</v>
      </c>
      <c r="J106" s="4" t="s">
        <v>187</v>
      </c>
      <c r="L106" s="4" t="s">
        <v>40</v>
      </c>
      <c r="M106" s="4">
        <v>1</v>
      </c>
      <c r="N106" s="4">
        <v>217</v>
      </c>
      <c r="O106" s="4">
        <v>217</v>
      </c>
      <c r="P106" s="4" t="s">
        <v>41</v>
      </c>
      <c r="Q106" s="4">
        <v>309.7</v>
      </c>
      <c r="R106" s="4">
        <v>309.7</v>
      </c>
      <c r="S106" s="4">
        <v>3360.25</v>
      </c>
      <c r="T106" s="4">
        <v>67204.899999999994</v>
      </c>
      <c r="U106" s="4">
        <v>5</v>
      </c>
      <c r="V106" s="4" t="s">
        <v>42</v>
      </c>
      <c r="X106" s="7" t="str">
        <f t="shared" si="0"/>
        <v>441811102</v>
      </c>
      <c r="Y106" s="8" t="str">
        <f t="shared" si="1"/>
        <v>DC</v>
      </c>
      <c r="Z106" s="8">
        <f t="shared" si="2"/>
        <v>0</v>
      </c>
      <c r="AA106" s="8">
        <f t="shared" si="3"/>
        <v>0</v>
      </c>
      <c r="AB106" s="8">
        <f t="shared" si="4"/>
        <v>0</v>
      </c>
      <c r="AC106" s="8">
        <f t="shared" si="5"/>
        <v>217</v>
      </c>
      <c r="AD106" s="8">
        <f t="shared" si="6"/>
        <v>0</v>
      </c>
      <c r="AE106" s="9" t="str" cm="1">
        <f t="array" ref="AE106">IFERROR(_xlfn.XLOOKUP(H106,Sheet1!$G:$G,Sheet1!$F:$F),IFERROR(_xlfn.XLOOKUP(1,(--($X$2:$X$1074=X106))*(--ISNUMBER(MATCH($H$2:$H$1074,Sheet1!$G:$G,0))),_xlfn.XLOOKUP($H$2:$H$1074,Sheet1!$G:$G,Sheet1!$F:$F,"")),"NOT FOUND"))</f>
        <v>GETKRTSFUT6105</v>
      </c>
      <c r="AF106" s="10" t="str">
        <f t="shared" si="9"/>
        <v>MUSTARD</v>
      </c>
      <c r="AG106" s="11" t="str">
        <f t="shared" si="10"/>
        <v>Bangalore</v>
      </c>
      <c r="AH106" s="9" t="str">
        <f>IF(OR(J106="",AE106="",AE106="NOT FOUND"),"",IF(Y106="RP",IFERROR(LEFT(_xlfn.XLOOKUP(AE106,Sheet1!$F:$F,Sheet1!$W:$W),FIND("-",_xlfn.XLOOKUP(AE106,Sheet1!$F:$F,Sheet1!$W:$W),FIND("-",_xlfn.XLOOKUP(AE106,Sheet1!$F:$F,Sheet1!$W:$W))+1))&amp;AE106,"NOT FOUND"),LEFT(J106,FIND("-",J106,FIND("-",J106)+1))&amp;AE106))</f>
        <v>KRTS-APWN26-GETKRTSFUT6105</v>
      </c>
    </row>
    <row r="107" spans="1:34" ht="15.75" customHeight="1" x14ac:dyDescent="0.2">
      <c r="A107" s="4" t="s">
        <v>30</v>
      </c>
      <c r="B107" s="4" t="s">
        <v>188</v>
      </c>
      <c r="C107" s="4" t="s">
        <v>64</v>
      </c>
      <c r="D107" s="4" t="s">
        <v>81</v>
      </c>
      <c r="E107" s="4" t="s">
        <v>34</v>
      </c>
      <c r="F107" s="4" t="s">
        <v>35</v>
      </c>
      <c r="G107" s="4" t="s">
        <v>36</v>
      </c>
      <c r="H107" s="4" t="s">
        <v>189</v>
      </c>
      <c r="I107" s="4" t="s">
        <v>190</v>
      </c>
      <c r="J107" s="4" t="s">
        <v>191</v>
      </c>
      <c r="L107" s="4" t="s">
        <v>40</v>
      </c>
      <c r="M107" s="4">
        <v>1</v>
      </c>
      <c r="N107" s="4">
        <v>30</v>
      </c>
      <c r="O107" s="4">
        <v>30</v>
      </c>
      <c r="P107" s="4" t="s">
        <v>41</v>
      </c>
      <c r="Q107" s="4">
        <v>404.7</v>
      </c>
      <c r="R107" s="4">
        <v>404.7</v>
      </c>
      <c r="S107" s="4">
        <v>607.04999999999995</v>
      </c>
      <c r="T107" s="4">
        <v>12141</v>
      </c>
      <c r="U107" s="4">
        <v>5</v>
      </c>
      <c r="V107" s="4" t="s">
        <v>42</v>
      </c>
      <c r="X107" s="7" t="str">
        <f t="shared" si="0"/>
        <v>441811101</v>
      </c>
      <c r="Y107" s="8" t="str">
        <f t="shared" si="1"/>
        <v>DC</v>
      </c>
      <c r="Z107" s="8">
        <f t="shared" si="2"/>
        <v>0</v>
      </c>
      <c r="AA107" s="8">
        <f t="shared" si="3"/>
        <v>0</v>
      </c>
      <c r="AB107" s="8">
        <f t="shared" si="4"/>
        <v>0</v>
      </c>
      <c r="AC107" s="8">
        <f t="shared" si="5"/>
        <v>0</v>
      </c>
      <c r="AD107" s="8">
        <f t="shared" si="6"/>
        <v>30</v>
      </c>
      <c r="AE107" s="9" t="str" cm="1">
        <f t="array" ref="AE107">IFERROR(_xlfn.XLOOKUP(H107,Sheet1!$G:$G,Sheet1!$F:$F),IFERROR(_xlfn.XLOOKUP(1,(--($X$2:$X$1074=X107))*(--ISNUMBER(MATCH($H$2:$H$1074,Sheet1!$G:$G,0))),_xlfn.XLOOKUP($H$2:$H$1074,Sheet1!$G:$G,Sheet1!$F:$F,"")),"NOT FOUND"))</f>
        <v>GETKRTSFUT6103</v>
      </c>
      <c r="AF107" s="10" t="str">
        <f t="shared" si="9"/>
        <v>LIME GREEN</v>
      </c>
      <c r="AG107" s="11" t="str">
        <f t="shared" si="10"/>
        <v>Bangalore</v>
      </c>
      <c r="AH107" s="9" t="str">
        <f>IF(OR(J107="",AE107="",AE107="NOT FOUND"),"",IF(Y107="RP",IFERROR(LEFT(_xlfn.XLOOKUP(AE107,Sheet1!$F:$F,Sheet1!$W:$W),FIND("-",_xlfn.XLOOKUP(AE107,Sheet1!$F:$F,Sheet1!$W:$W),FIND("-",_xlfn.XLOOKUP(AE107,Sheet1!$F:$F,Sheet1!$W:$W))+1))&amp;AE107,"NOT FOUND"),LEFT(J107,FIND("-",J107,FIND("-",J107)+1))&amp;AE107))</f>
        <v>KRTS-APWN26-GETKRTSFUT6103</v>
      </c>
    </row>
    <row r="108" spans="1:34" ht="15.75" customHeight="1" x14ac:dyDescent="0.2">
      <c r="A108" s="4" t="s">
        <v>30</v>
      </c>
      <c r="B108" s="4" t="s">
        <v>188</v>
      </c>
      <c r="C108" s="4" t="s">
        <v>64</v>
      </c>
      <c r="D108" s="4" t="s">
        <v>81</v>
      </c>
      <c r="E108" s="4" t="s">
        <v>34</v>
      </c>
      <c r="F108" s="4" t="s">
        <v>35</v>
      </c>
      <c r="G108" s="4" t="s">
        <v>43</v>
      </c>
      <c r="H108" s="4" t="s">
        <v>192</v>
      </c>
      <c r="I108" s="4" t="s">
        <v>193</v>
      </c>
      <c r="J108" s="4" t="s">
        <v>194</v>
      </c>
      <c r="L108" s="4" t="s">
        <v>40</v>
      </c>
      <c r="M108" s="4">
        <v>1</v>
      </c>
      <c r="N108" s="4">
        <v>187</v>
      </c>
      <c r="O108" s="4">
        <v>187</v>
      </c>
      <c r="P108" s="4" t="s">
        <v>41</v>
      </c>
      <c r="Q108" s="4">
        <v>404.7</v>
      </c>
      <c r="R108" s="4">
        <v>404.7</v>
      </c>
      <c r="S108" s="4">
        <v>3783.95</v>
      </c>
      <c r="T108" s="4">
        <v>75678.899999999994</v>
      </c>
      <c r="U108" s="4">
        <v>5</v>
      </c>
      <c r="V108" s="4" t="s">
        <v>42</v>
      </c>
      <c r="X108" s="7" t="str">
        <f t="shared" si="0"/>
        <v>441811101</v>
      </c>
      <c r="Y108" s="8" t="str">
        <f t="shared" si="1"/>
        <v>DC</v>
      </c>
      <c r="Z108" s="8">
        <f t="shared" si="2"/>
        <v>0</v>
      </c>
      <c r="AA108" s="8">
        <f t="shared" si="3"/>
        <v>0</v>
      </c>
      <c r="AB108" s="8">
        <f t="shared" si="4"/>
        <v>187</v>
      </c>
      <c r="AC108" s="8">
        <f t="shared" si="5"/>
        <v>0</v>
      </c>
      <c r="AD108" s="8">
        <f t="shared" si="6"/>
        <v>0</v>
      </c>
      <c r="AE108" s="9" t="str" cm="1">
        <f t="array" ref="AE108">IFERROR(_xlfn.XLOOKUP(H108,Sheet1!$G:$G,Sheet1!$F:$F),IFERROR(_xlfn.XLOOKUP(1,(--($X$2:$X$1074=X108))*(--ISNUMBER(MATCH($H$2:$H$1074,Sheet1!$G:$G,0))),_xlfn.XLOOKUP($H$2:$H$1074,Sheet1!$G:$G,Sheet1!$F:$F,"")),"NOT FOUND"))</f>
        <v>GETKRTSFUT6103</v>
      </c>
      <c r="AF108" s="10" t="str">
        <f t="shared" si="9"/>
        <v>LIME GREEN</v>
      </c>
      <c r="AG108" s="11" t="str">
        <f t="shared" si="10"/>
        <v>Bangalore</v>
      </c>
      <c r="AH108" s="9" t="str">
        <f>IF(OR(J108="",AE108="",AE108="NOT FOUND"),"",IF(Y108="RP",IFERROR(LEFT(_xlfn.XLOOKUP(AE108,Sheet1!$F:$F,Sheet1!$W:$W),FIND("-",_xlfn.XLOOKUP(AE108,Sheet1!$F:$F,Sheet1!$W:$W),FIND("-",_xlfn.XLOOKUP(AE108,Sheet1!$F:$F,Sheet1!$W:$W))+1))&amp;AE108,"NOT FOUND"),LEFT(J108,FIND("-",J108,FIND("-",J108)+1))&amp;AE108))</f>
        <v>KRTS-APWN26-GETKRTSFUT6103</v>
      </c>
    </row>
    <row r="109" spans="1:34" ht="15.75" customHeight="1" x14ac:dyDescent="0.2">
      <c r="A109" s="4" t="s">
        <v>30</v>
      </c>
      <c r="B109" s="4" t="s">
        <v>188</v>
      </c>
      <c r="C109" s="4" t="s">
        <v>64</v>
      </c>
      <c r="D109" s="4" t="s">
        <v>81</v>
      </c>
      <c r="E109" s="4" t="s">
        <v>34</v>
      </c>
      <c r="F109" s="4" t="s">
        <v>35</v>
      </c>
      <c r="G109" s="4" t="s">
        <v>47</v>
      </c>
      <c r="H109" s="4" t="s">
        <v>195</v>
      </c>
      <c r="I109" s="4" t="s">
        <v>196</v>
      </c>
      <c r="J109" s="4" t="s">
        <v>197</v>
      </c>
      <c r="L109" s="4" t="s">
        <v>40</v>
      </c>
      <c r="M109" s="4">
        <v>1</v>
      </c>
      <c r="N109" s="4">
        <v>187</v>
      </c>
      <c r="O109" s="4">
        <v>187</v>
      </c>
      <c r="P109" s="4" t="s">
        <v>41</v>
      </c>
      <c r="Q109" s="4">
        <v>404.7</v>
      </c>
      <c r="R109" s="4">
        <v>404.7</v>
      </c>
      <c r="S109" s="4">
        <v>3783.95</v>
      </c>
      <c r="T109" s="4">
        <v>75678.899999999994</v>
      </c>
      <c r="U109" s="4">
        <v>5</v>
      </c>
      <c r="V109" s="4" t="s">
        <v>42</v>
      </c>
      <c r="X109" s="7" t="str">
        <f t="shared" si="0"/>
        <v>441811101</v>
      </c>
      <c r="Y109" s="8" t="str">
        <f t="shared" si="1"/>
        <v>DC</v>
      </c>
      <c r="Z109" s="8">
        <f t="shared" si="2"/>
        <v>0</v>
      </c>
      <c r="AA109" s="8">
        <f t="shared" si="3"/>
        <v>187</v>
      </c>
      <c r="AB109" s="8">
        <f t="shared" si="4"/>
        <v>0</v>
      </c>
      <c r="AC109" s="8">
        <f t="shared" si="5"/>
        <v>0</v>
      </c>
      <c r="AD109" s="8">
        <f t="shared" si="6"/>
        <v>0</v>
      </c>
      <c r="AE109" s="9" t="str" cm="1">
        <f t="array" ref="AE109">IFERROR(_xlfn.XLOOKUP(H109,Sheet1!$G:$G,Sheet1!$F:$F),IFERROR(_xlfn.XLOOKUP(1,(--($X$2:$X$1074=X109))*(--ISNUMBER(MATCH($H$2:$H$1074,Sheet1!$G:$G,0))),_xlfn.XLOOKUP($H$2:$H$1074,Sheet1!$G:$G,Sheet1!$F:$F,"")),"NOT FOUND"))</f>
        <v>GETKRTSFUT6103</v>
      </c>
      <c r="AF109" s="10" t="str">
        <f t="shared" si="9"/>
        <v>LIME GREEN</v>
      </c>
      <c r="AG109" s="11" t="str">
        <f t="shared" si="10"/>
        <v>Bangalore</v>
      </c>
      <c r="AH109" s="9" t="str">
        <f>IF(OR(J109="",AE109="",AE109="NOT FOUND"),"",IF(Y109="RP",IFERROR(LEFT(_xlfn.XLOOKUP(AE109,Sheet1!$F:$F,Sheet1!$W:$W),FIND("-",_xlfn.XLOOKUP(AE109,Sheet1!$F:$F,Sheet1!$W:$W),FIND("-",_xlfn.XLOOKUP(AE109,Sheet1!$F:$F,Sheet1!$W:$W))+1))&amp;AE109,"NOT FOUND"),LEFT(J109,FIND("-",J109,FIND("-",J109)+1))&amp;AE109))</f>
        <v>KRTS-APWN26-GETKRTSFUT6103</v>
      </c>
    </row>
    <row r="110" spans="1:34" ht="15.75" customHeight="1" x14ac:dyDescent="0.2">
      <c r="A110" s="4" t="s">
        <v>30</v>
      </c>
      <c r="B110" s="4" t="s">
        <v>188</v>
      </c>
      <c r="C110" s="4" t="s">
        <v>64</v>
      </c>
      <c r="D110" s="4" t="s">
        <v>81</v>
      </c>
      <c r="E110" s="4" t="s">
        <v>34</v>
      </c>
      <c r="F110" s="4" t="s">
        <v>35</v>
      </c>
      <c r="G110" s="4" t="s">
        <v>51</v>
      </c>
      <c r="H110" s="4" t="s">
        <v>198</v>
      </c>
      <c r="I110" s="4" t="s">
        <v>199</v>
      </c>
      <c r="J110" s="4" t="s">
        <v>200</v>
      </c>
      <c r="L110" s="4" t="s">
        <v>40</v>
      </c>
      <c r="M110" s="4">
        <v>1</v>
      </c>
      <c r="N110" s="4">
        <v>30</v>
      </c>
      <c r="O110" s="4">
        <v>30</v>
      </c>
      <c r="P110" s="4" t="s">
        <v>41</v>
      </c>
      <c r="Q110" s="4">
        <v>404.7</v>
      </c>
      <c r="R110" s="4">
        <v>404.7</v>
      </c>
      <c r="S110" s="4">
        <v>607.04999999999995</v>
      </c>
      <c r="T110" s="4">
        <v>12141</v>
      </c>
      <c r="U110" s="4">
        <v>5</v>
      </c>
      <c r="V110" s="4" t="s">
        <v>42</v>
      </c>
      <c r="X110" s="7" t="str">
        <f t="shared" si="0"/>
        <v>441811101</v>
      </c>
      <c r="Y110" s="8" t="str">
        <f t="shared" si="1"/>
        <v>DC</v>
      </c>
      <c r="Z110" s="8">
        <f t="shared" si="2"/>
        <v>30</v>
      </c>
      <c r="AA110" s="8">
        <f t="shared" si="3"/>
        <v>0</v>
      </c>
      <c r="AB110" s="8">
        <f t="shared" si="4"/>
        <v>0</v>
      </c>
      <c r="AC110" s="8">
        <f t="shared" si="5"/>
        <v>0</v>
      </c>
      <c r="AD110" s="8">
        <f t="shared" si="6"/>
        <v>0</v>
      </c>
      <c r="AE110" s="9" t="str" cm="1">
        <f t="array" ref="AE110">IFERROR(_xlfn.XLOOKUP(H110,Sheet1!$G:$G,Sheet1!$F:$F),IFERROR(_xlfn.XLOOKUP(1,(--($X$2:$X$1074=X110))*(--ISNUMBER(MATCH($H$2:$H$1074,Sheet1!$G:$G,0))),_xlfn.XLOOKUP($H$2:$H$1074,Sheet1!$G:$G,Sheet1!$F:$F,"")),"NOT FOUND"))</f>
        <v>GETKRTSFUT6103</v>
      </c>
      <c r="AF110" s="10" t="str">
        <f t="shared" si="9"/>
        <v>LIME GREEN</v>
      </c>
      <c r="AG110" s="11" t="str">
        <f t="shared" si="10"/>
        <v>Bangalore</v>
      </c>
      <c r="AH110" s="9" t="str">
        <f>IF(OR(J110="",AE110="",AE110="NOT FOUND"),"",IF(Y110="RP",IFERROR(LEFT(_xlfn.XLOOKUP(AE110,Sheet1!$F:$F,Sheet1!$W:$W),FIND("-",_xlfn.XLOOKUP(AE110,Sheet1!$F:$F,Sheet1!$W:$W),FIND("-",_xlfn.XLOOKUP(AE110,Sheet1!$F:$F,Sheet1!$W:$W))+1))&amp;AE110,"NOT FOUND"),LEFT(J110,FIND("-",J110,FIND("-",J110)+1))&amp;AE110))</f>
        <v>KRTS-APWN26-GETKRTSFUT6103</v>
      </c>
    </row>
    <row r="111" spans="1:34" ht="15.75" customHeight="1" x14ac:dyDescent="0.2">
      <c r="A111" s="4" t="s">
        <v>30</v>
      </c>
      <c r="B111" s="4" t="s">
        <v>188</v>
      </c>
      <c r="C111" s="4" t="s">
        <v>64</v>
      </c>
      <c r="D111" s="4" t="s">
        <v>81</v>
      </c>
      <c r="E111" s="4" t="s">
        <v>34</v>
      </c>
      <c r="F111" s="4" t="s">
        <v>35</v>
      </c>
      <c r="G111" s="4" t="s">
        <v>55</v>
      </c>
      <c r="H111" s="4" t="s">
        <v>201</v>
      </c>
      <c r="I111" s="4" t="s">
        <v>202</v>
      </c>
      <c r="J111" s="4" t="s">
        <v>203</v>
      </c>
      <c r="L111" s="4" t="s">
        <v>40</v>
      </c>
      <c r="M111" s="4">
        <v>1</v>
      </c>
      <c r="N111" s="4">
        <v>158</v>
      </c>
      <c r="O111" s="4">
        <v>158</v>
      </c>
      <c r="P111" s="4" t="s">
        <v>41</v>
      </c>
      <c r="Q111" s="4">
        <v>404.7</v>
      </c>
      <c r="R111" s="4">
        <v>404.7</v>
      </c>
      <c r="S111" s="4">
        <v>3197.13</v>
      </c>
      <c r="T111" s="4">
        <v>63942.6</v>
      </c>
      <c r="U111" s="4">
        <v>5</v>
      </c>
      <c r="V111" s="4" t="s">
        <v>42</v>
      </c>
      <c r="X111" s="7" t="str">
        <f t="shared" si="0"/>
        <v>441811101</v>
      </c>
      <c r="Y111" s="8" t="str">
        <f t="shared" si="1"/>
        <v>DC</v>
      </c>
      <c r="Z111" s="8">
        <f t="shared" si="2"/>
        <v>0</v>
      </c>
      <c r="AA111" s="8">
        <f t="shared" si="3"/>
        <v>0</v>
      </c>
      <c r="AB111" s="8">
        <f t="shared" si="4"/>
        <v>0</v>
      </c>
      <c r="AC111" s="8">
        <f t="shared" si="5"/>
        <v>158</v>
      </c>
      <c r="AD111" s="8">
        <f t="shared" si="6"/>
        <v>0</v>
      </c>
      <c r="AE111" s="9" t="str" cm="1">
        <f t="array" ref="AE111">IFERROR(_xlfn.XLOOKUP(H111,Sheet1!$G:$G,Sheet1!$F:$F),IFERROR(_xlfn.XLOOKUP(1,(--($X$2:$X$1074=X111))*(--ISNUMBER(MATCH($H$2:$H$1074,Sheet1!$G:$G,0))),_xlfn.XLOOKUP($H$2:$H$1074,Sheet1!$G:$G,Sheet1!$F:$F,"")),"NOT FOUND"))</f>
        <v>GETKRTSFUT6103</v>
      </c>
      <c r="AF111" s="10" t="str">
        <f t="shared" si="9"/>
        <v>LIME GREEN</v>
      </c>
      <c r="AG111" s="11" t="str">
        <f t="shared" si="10"/>
        <v>Bangalore</v>
      </c>
      <c r="AH111" s="9" t="str">
        <f>IF(OR(J111="",AE111="",AE111="NOT FOUND"),"",IF(Y111="RP",IFERROR(LEFT(_xlfn.XLOOKUP(AE111,Sheet1!$F:$F,Sheet1!$W:$W),FIND("-",_xlfn.XLOOKUP(AE111,Sheet1!$F:$F,Sheet1!$W:$W),FIND("-",_xlfn.XLOOKUP(AE111,Sheet1!$F:$F,Sheet1!$W:$W))+1))&amp;AE111,"NOT FOUND"),LEFT(J111,FIND("-",J111,FIND("-",J111)+1))&amp;AE111))</f>
        <v>KRTS-APWN26-GETKRTSFUT6103</v>
      </c>
    </row>
    <row r="112" spans="1:34" ht="15.75" customHeight="1" x14ac:dyDescent="0.2">
      <c r="A112" s="4" t="s">
        <v>30</v>
      </c>
      <c r="B112" s="4" t="s">
        <v>204</v>
      </c>
      <c r="C112" s="4" t="s">
        <v>64</v>
      </c>
      <c r="D112" s="4" t="s">
        <v>205</v>
      </c>
      <c r="E112" s="4" t="s">
        <v>34</v>
      </c>
      <c r="F112" s="4" t="s">
        <v>35</v>
      </c>
      <c r="G112" s="4" t="s">
        <v>36</v>
      </c>
      <c r="H112" s="4" t="s">
        <v>206</v>
      </c>
      <c r="I112" s="4" t="s">
        <v>207</v>
      </c>
      <c r="J112" s="4" t="s">
        <v>191</v>
      </c>
      <c r="L112" s="4" t="s">
        <v>40</v>
      </c>
      <c r="M112" s="4">
        <v>1</v>
      </c>
      <c r="N112" s="4">
        <v>30</v>
      </c>
      <c r="O112" s="4">
        <v>30</v>
      </c>
      <c r="P112" s="4" t="s">
        <v>41</v>
      </c>
      <c r="Q112" s="4">
        <v>399.7</v>
      </c>
      <c r="R112" s="4">
        <v>399.7</v>
      </c>
      <c r="S112" s="4">
        <v>599.54999999999995</v>
      </c>
      <c r="T112" s="4">
        <v>11991</v>
      </c>
      <c r="U112" s="4">
        <v>5</v>
      </c>
      <c r="V112" s="4" t="s">
        <v>42</v>
      </c>
      <c r="X112" s="7" t="str">
        <f t="shared" si="0"/>
        <v>441811100</v>
      </c>
      <c r="Y112" s="8" t="str">
        <f t="shared" si="1"/>
        <v>DC</v>
      </c>
      <c r="Z112" s="8">
        <f t="shared" si="2"/>
        <v>0</v>
      </c>
      <c r="AA112" s="8">
        <f t="shared" si="3"/>
        <v>0</v>
      </c>
      <c r="AB112" s="8">
        <f t="shared" si="4"/>
        <v>0</v>
      </c>
      <c r="AC112" s="8">
        <f t="shared" si="5"/>
        <v>0</v>
      </c>
      <c r="AD112" s="8">
        <f t="shared" si="6"/>
        <v>30</v>
      </c>
      <c r="AE112" s="9" t="str" cm="1">
        <f t="array" ref="AE112">IFERROR(_xlfn.XLOOKUP(H112,Sheet1!$G:$G,Sheet1!$F:$F),IFERROR(_xlfn.XLOOKUP(1,(--($X$2:$X$1074=X112))*(--ISNUMBER(MATCH($H$2:$H$1074,Sheet1!$G:$G,0))),_xlfn.XLOOKUP($H$2:$H$1074,Sheet1!$G:$G,Sheet1!$F:$F,"")),"NOT FOUND"))</f>
        <v>GETKRTSFUT6101</v>
      </c>
      <c r="AF112" s="10" t="str">
        <f t="shared" si="9"/>
        <v>LIME GREEN</v>
      </c>
      <c r="AG112" s="11" t="str">
        <f t="shared" si="10"/>
        <v>Bangalore</v>
      </c>
      <c r="AH112" s="9" t="str">
        <f>IF(OR(J112="",AE112="",AE112="NOT FOUND"),"",IF(Y112="RP",IFERROR(LEFT(_xlfn.XLOOKUP(AE112,Sheet1!$F:$F,Sheet1!$W:$W),FIND("-",_xlfn.XLOOKUP(AE112,Sheet1!$F:$F,Sheet1!$W:$W),FIND("-",_xlfn.XLOOKUP(AE112,Sheet1!$F:$F,Sheet1!$W:$W))+1))&amp;AE112,"NOT FOUND"),LEFT(J112,FIND("-",J112,FIND("-",J112)+1))&amp;AE112))</f>
        <v>KRTS-APWN26-GETKRTSFUT6101</v>
      </c>
    </row>
    <row r="113" spans="1:34" ht="15.75" customHeight="1" x14ac:dyDescent="0.2">
      <c r="A113" s="4" t="s">
        <v>30</v>
      </c>
      <c r="B113" s="4" t="s">
        <v>204</v>
      </c>
      <c r="C113" s="4" t="s">
        <v>64</v>
      </c>
      <c r="D113" s="4" t="s">
        <v>205</v>
      </c>
      <c r="E113" s="4" t="s">
        <v>34</v>
      </c>
      <c r="F113" s="4" t="s">
        <v>35</v>
      </c>
      <c r="G113" s="4" t="s">
        <v>43</v>
      </c>
      <c r="H113" s="4" t="s">
        <v>208</v>
      </c>
      <c r="I113" s="4" t="s">
        <v>209</v>
      </c>
      <c r="J113" s="4" t="s">
        <v>194</v>
      </c>
      <c r="L113" s="4" t="s">
        <v>40</v>
      </c>
      <c r="M113" s="4">
        <v>1</v>
      </c>
      <c r="N113" s="4">
        <v>197</v>
      </c>
      <c r="O113" s="4">
        <v>197</v>
      </c>
      <c r="P113" s="4" t="s">
        <v>41</v>
      </c>
      <c r="Q113" s="4">
        <v>399.7</v>
      </c>
      <c r="R113" s="4">
        <v>399.7</v>
      </c>
      <c r="S113" s="4">
        <v>3937.05</v>
      </c>
      <c r="T113" s="4">
        <v>78740.899999999994</v>
      </c>
      <c r="U113" s="4">
        <v>5</v>
      </c>
      <c r="V113" s="4" t="s">
        <v>42</v>
      </c>
      <c r="X113" s="7" t="str">
        <f t="shared" si="0"/>
        <v>441811100</v>
      </c>
      <c r="Y113" s="8" t="str">
        <f t="shared" si="1"/>
        <v>DC</v>
      </c>
      <c r="Z113" s="8">
        <f t="shared" si="2"/>
        <v>0</v>
      </c>
      <c r="AA113" s="8">
        <f t="shared" si="3"/>
        <v>0</v>
      </c>
      <c r="AB113" s="8">
        <f t="shared" si="4"/>
        <v>197</v>
      </c>
      <c r="AC113" s="8">
        <f t="shared" si="5"/>
        <v>0</v>
      </c>
      <c r="AD113" s="8">
        <f t="shared" si="6"/>
        <v>0</v>
      </c>
      <c r="AE113" s="9" t="str" cm="1">
        <f t="array" ref="AE113">IFERROR(_xlfn.XLOOKUP(H113,Sheet1!$G:$G,Sheet1!$F:$F),IFERROR(_xlfn.XLOOKUP(1,(--($X$2:$X$1074=X113))*(--ISNUMBER(MATCH($H$2:$H$1074,Sheet1!$G:$G,0))),_xlfn.XLOOKUP($H$2:$H$1074,Sheet1!$G:$G,Sheet1!$F:$F,"")),"NOT FOUND"))</f>
        <v>GETKRTSFUT6101</v>
      </c>
      <c r="AF113" s="10" t="str">
        <f t="shared" si="9"/>
        <v>LIME GREEN</v>
      </c>
      <c r="AG113" s="11" t="str">
        <f t="shared" si="10"/>
        <v>Bangalore</v>
      </c>
      <c r="AH113" s="9" t="str">
        <f>IF(OR(J113="",AE113="",AE113="NOT FOUND"),"",IF(Y113="RP",IFERROR(LEFT(_xlfn.XLOOKUP(AE113,Sheet1!$F:$F,Sheet1!$W:$W),FIND("-",_xlfn.XLOOKUP(AE113,Sheet1!$F:$F,Sheet1!$W:$W),FIND("-",_xlfn.XLOOKUP(AE113,Sheet1!$F:$F,Sheet1!$W:$W))+1))&amp;AE113,"NOT FOUND"),LEFT(J113,FIND("-",J113,FIND("-",J113)+1))&amp;AE113))</f>
        <v>KRTS-APWN26-GETKRTSFUT6101</v>
      </c>
    </row>
    <row r="114" spans="1:34" ht="15.75" customHeight="1" x14ac:dyDescent="0.2">
      <c r="A114" s="4" t="s">
        <v>30</v>
      </c>
      <c r="B114" s="4" t="s">
        <v>204</v>
      </c>
      <c r="C114" s="4" t="s">
        <v>64</v>
      </c>
      <c r="D114" s="4" t="s">
        <v>205</v>
      </c>
      <c r="E114" s="4" t="s">
        <v>34</v>
      </c>
      <c r="F114" s="4" t="s">
        <v>35</v>
      </c>
      <c r="G114" s="4" t="s">
        <v>47</v>
      </c>
      <c r="H114" s="4" t="s">
        <v>210</v>
      </c>
      <c r="I114" s="4" t="s">
        <v>211</v>
      </c>
      <c r="J114" s="4" t="s">
        <v>197</v>
      </c>
      <c r="L114" s="4" t="s">
        <v>40</v>
      </c>
      <c r="M114" s="4">
        <v>1</v>
      </c>
      <c r="N114" s="4">
        <v>197</v>
      </c>
      <c r="O114" s="4">
        <v>197</v>
      </c>
      <c r="P114" s="4" t="s">
        <v>41</v>
      </c>
      <c r="Q114" s="4">
        <v>399.7</v>
      </c>
      <c r="R114" s="4">
        <v>399.7</v>
      </c>
      <c r="S114" s="4">
        <v>3937.05</v>
      </c>
      <c r="T114" s="4">
        <v>78740.899999999994</v>
      </c>
      <c r="U114" s="4">
        <v>5</v>
      </c>
      <c r="V114" s="4" t="s">
        <v>42</v>
      </c>
      <c r="X114" s="7" t="str">
        <f t="shared" si="0"/>
        <v>441811100</v>
      </c>
      <c r="Y114" s="8" t="str">
        <f t="shared" si="1"/>
        <v>DC</v>
      </c>
      <c r="Z114" s="8">
        <f t="shared" si="2"/>
        <v>0</v>
      </c>
      <c r="AA114" s="8">
        <f t="shared" si="3"/>
        <v>197</v>
      </c>
      <c r="AB114" s="8">
        <f t="shared" si="4"/>
        <v>0</v>
      </c>
      <c r="AC114" s="8">
        <f t="shared" si="5"/>
        <v>0</v>
      </c>
      <c r="AD114" s="8">
        <f t="shared" si="6"/>
        <v>0</v>
      </c>
      <c r="AE114" s="9" t="str" cm="1">
        <f t="array" ref="AE114">IFERROR(_xlfn.XLOOKUP(H114,Sheet1!$G:$G,Sheet1!$F:$F),IFERROR(_xlfn.XLOOKUP(1,(--($X$2:$X$1074=X114))*(--ISNUMBER(MATCH($H$2:$H$1074,Sheet1!$G:$G,0))),_xlfn.XLOOKUP($H$2:$H$1074,Sheet1!$G:$G,Sheet1!$F:$F,"")),"NOT FOUND"))</f>
        <v>GETKRTSFUT6101</v>
      </c>
      <c r="AF114" s="10" t="str">
        <f t="shared" si="9"/>
        <v>LIME GREEN</v>
      </c>
      <c r="AG114" s="11" t="str">
        <f t="shared" si="10"/>
        <v>Bangalore</v>
      </c>
      <c r="AH114" s="9" t="str">
        <f>IF(OR(J114="",AE114="",AE114="NOT FOUND"),"",IF(Y114="RP",IFERROR(LEFT(_xlfn.XLOOKUP(AE114,Sheet1!$F:$F,Sheet1!$W:$W),FIND("-",_xlfn.XLOOKUP(AE114,Sheet1!$F:$F,Sheet1!$W:$W),FIND("-",_xlfn.XLOOKUP(AE114,Sheet1!$F:$F,Sheet1!$W:$W))+1))&amp;AE114,"NOT FOUND"),LEFT(J114,FIND("-",J114,FIND("-",J114)+1))&amp;AE114))</f>
        <v>KRTS-APWN26-GETKRTSFUT6101</v>
      </c>
    </row>
    <row r="115" spans="1:34" ht="15.75" customHeight="1" x14ac:dyDescent="0.2">
      <c r="A115" s="4" t="s">
        <v>30</v>
      </c>
      <c r="B115" s="4" t="s">
        <v>204</v>
      </c>
      <c r="C115" s="4" t="s">
        <v>64</v>
      </c>
      <c r="D115" s="4" t="s">
        <v>205</v>
      </c>
      <c r="E115" s="4" t="s">
        <v>34</v>
      </c>
      <c r="F115" s="4" t="s">
        <v>35</v>
      </c>
      <c r="G115" s="4" t="s">
        <v>51</v>
      </c>
      <c r="H115" s="4" t="s">
        <v>212</v>
      </c>
      <c r="I115" s="4" t="s">
        <v>213</v>
      </c>
      <c r="J115" s="4" t="s">
        <v>200</v>
      </c>
      <c r="L115" s="4" t="s">
        <v>40</v>
      </c>
      <c r="M115" s="4">
        <v>1</v>
      </c>
      <c r="N115" s="4">
        <v>30</v>
      </c>
      <c r="O115" s="4">
        <v>30</v>
      </c>
      <c r="P115" s="4" t="s">
        <v>41</v>
      </c>
      <c r="Q115" s="4">
        <v>399.7</v>
      </c>
      <c r="R115" s="4">
        <v>399.7</v>
      </c>
      <c r="S115" s="4">
        <v>599.54999999999995</v>
      </c>
      <c r="T115" s="4">
        <v>11991</v>
      </c>
      <c r="U115" s="4">
        <v>5</v>
      </c>
      <c r="V115" s="4" t="s">
        <v>42</v>
      </c>
      <c r="X115" s="7" t="str">
        <f t="shared" si="0"/>
        <v>441811100</v>
      </c>
      <c r="Y115" s="8" t="str">
        <f t="shared" si="1"/>
        <v>DC</v>
      </c>
      <c r="Z115" s="8">
        <f t="shared" si="2"/>
        <v>30</v>
      </c>
      <c r="AA115" s="8">
        <f t="shared" si="3"/>
        <v>0</v>
      </c>
      <c r="AB115" s="8">
        <f t="shared" si="4"/>
        <v>0</v>
      </c>
      <c r="AC115" s="8">
        <f t="shared" si="5"/>
        <v>0</v>
      </c>
      <c r="AD115" s="8">
        <f t="shared" si="6"/>
        <v>0</v>
      </c>
      <c r="AE115" s="9" t="str" cm="1">
        <f t="array" ref="AE115">IFERROR(_xlfn.XLOOKUP(H115,Sheet1!$G:$G,Sheet1!$F:$F),IFERROR(_xlfn.XLOOKUP(1,(--($X$2:$X$1074=X115))*(--ISNUMBER(MATCH($H$2:$H$1074,Sheet1!$G:$G,0))),_xlfn.XLOOKUP($H$2:$H$1074,Sheet1!$G:$G,Sheet1!$F:$F,"")),"NOT FOUND"))</f>
        <v>GETKRTSFUT6101</v>
      </c>
      <c r="AF115" s="10" t="str">
        <f t="shared" si="9"/>
        <v>LIME GREEN</v>
      </c>
      <c r="AG115" s="11" t="str">
        <f t="shared" si="10"/>
        <v>Bangalore</v>
      </c>
      <c r="AH115" s="9" t="str">
        <f>IF(OR(J115="",AE115="",AE115="NOT FOUND"),"",IF(Y115="RP",IFERROR(LEFT(_xlfn.XLOOKUP(AE115,Sheet1!$F:$F,Sheet1!$W:$W),FIND("-",_xlfn.XLOOKUP(AE115,Sheet1!$F:$F,Sheet1!$W:$W),FIND("-",_xlfn.XLOOKUP(AE115,Sheet1!$F:$F,Sheet1!$W:$W))+1))&amp;AE115,"NOT FOUND"),LEFT(J115,FIND("-",J115,FIND("-",J115)+1))&amp;AE115))</f>
        <v>KRTS-APWN26-GETKRTSFUT6101</v>
      </c>
    </row>
    <row r="116" spans="1:34" ht="15.75" customHeight="1" x14ac:dyDescent="0.2">
      <c r="A116" s="4" t="s">
        <v>30</v>
      </c>
      <c r="B116" s="4" t="s">
        <v>204</v>
      </c>
      <c r="C116" s="4" t="s">
        <v>64</v>
      </c>
      <c r="D116" s="4" t="s">
        <v>205</v>
      </c>
      <c r="E116" s="4" t="s">
        <v>34</v>
      </c>
      <c r="F116" s="4" t="s">
        <v>35</v>
      </c>
      <c r="G116" s="4" t="s">
        <v>55</v>
      </c>
      <c r="H116" s="4" t="s">
        <v>214</v>
      </c>
      <c r="I116" s="4" t="s">
        <v>215</v>
      </c>
      <c r="J116" s="4" t="s">
        <v>203</v>
      </c>
      <c r="L116" s="4" t="s">
        <v>40</v>
      </c>
      <c r="M116" s="4">
        <v>1</v>
      </c>
      <c r="N116" s="4">
        <v>166</v>
      </c>
      <c r="O116" s="4">
        <v>166</v>
      </c>
      <c r="P116" s="4" t="s">
        <v>41</v>
      </c>
      <c r="Q116" s="4">
        <v>399.7</v>
      </c>
      <c r="R116" s="4">
        <v>399.7</v>
      </c>
      <c r="S116" s="4">
        <v>3317.51</v>
      </c>
      <c r="T116" s="4">
        <v>66350.2</v>
      </c>
      <c r="U116" s="4">
        <v>5</v>
      </c>
      <c r="V116" s="4" t="s">
        <v>42</v>
      </c>
      <c r="X116" s="7" t="str">
        <f t="shared" si="0"/>
        <v>441811100</v>
      </c>
      <c r="Y116" s="8" t="str">
        <f t="shared" si="1"/>
        <v>DC</v>
      </c>
      <c r="Z116" s="8">
        <f t="shared" si="2"/>
        <v>0</v>
      </c>
      <c r="AA116" s="8">
        <f t="shared" si="3"/>
        <v>0</v>
      </c>
      <c r="AB116" s="8">
        <f t="shared" si="4"/>
        <v>0</v>
      </c>
      <c r="AC116" s="8">
        <f t="shared" si="5"/>
        <v>166</v>
      </c>
      <c r="AD116" s="8">
        <f t="shared" si="6"/>
        <v>0</v>
      </c>
      <c r="AE116" s="9" t="str" cm="1">
        <f t="array" ref="AE116">IFERROR(_xlfn.XLOOKUP(H116,Sheet1!$G:$G,Sheet1!$F:$F),IFERROR(_xlfn.XLOOKUP(1,(--($X$2:$X$1074=X116))*(--ISNUMBER(MATCH($H$2:$H$1074,Sheet1!$G:$G,0))),_xlfn.XLOOKUP($H$2:$H$1074,Sheet1!$G:$G,Sheet1!$F:$F,"")),"NOT FOUND"))</f>
        <v>GETKRTSFUT6101</v>
      </c>
      <c r="AF116" s="10" t="str">
        <f t="shared" si="9"/>
        <v>LIME GREEN</v>
      </c>
      <c r="AG116" s="11" t="str">
        <f t="shared" si="10"/>
        <v>Bangalore</v>
      </c>
      <c r="AH116" s="9" t="str">
        <f>IF(OR(J116="",AE116="",AE116="NOT FOUND"),"",IF(Y116="RP",IFERROR(LEFT(_xlfn.XLOOKUP(AE116,Sheet1!$F:$F,Sheet1!$W:$W),FIND("-",_xlfn.XLOOKUP(AE116,Sheet1!$F:$F,Sheet1!$W:$W),FIND("-",_xlfn.XLOOKUP(AE116,Sheet1!$F:$F,Sheet1!$W:$W))+1))&amp;AE116,"NOT FOUND"),LEFT(J116,FIND("-",J116,FIND("-",J116)+1))&amp;AE116))</f>
        <v>KRTS-APWN26-GETKRTSFUT6101</v>
      </c>
    </row>
    <row r="117" spans="1:34" ht="15.75" customHeight="1" x14ac:dyDescent="0.2">
      <c r="A117" s="4" t="s">
        <v>59</v>
      </c>
      <c r="B117" s="4" t="s">
        <v>216</v>
      </c>
      <c r="C117" s="4" t="s">
        <v>64</v>
      </c>
      <c r="D117" s="4" t="s">
        <v>33</v>
      </c>
      <c r="E117" s="4" t="s">
        <v>34</v>
      </c>
      <c r="F117" s="4" t="s">
        <v>35</v>
      </c>
      <c r="G117" s="4" t="s">
        <v>36</v>
      </c>
      <c r="H117" s="4" t="s">
        <v>173</v>
      </c>
      <c r="I117" s="4" t="s">
        <v>174</v>
      </c>
      <c r="J117" s="4" t="s">
        <v>175</v>
      </c>
      <c r="L117" s="4" t="s">
        <v>40</v>
      </c>
      <c r="M117" s="4">
        <v>1</v>
      </c>
      <c r="N117" s="4">
        <v>30</v>
      </c>
      <c r="O117" s="4">
        <v>30</v>
      </c>
      <c r="P117" s="4" t="s">
        <v>41</v>
      </c>
      <c r="Q117" s="4">
        <v>309.7</v>
      </c>
      <c r="R117" s="4">
        <v>309.7</v>
      </c>
      <c r="S117" s="4">
        <v>464.55</v>
      </c>
      <c r="T117" s="4">
        <v>9291</v>
      </c>
      <c r="U117" s="4">
        <v>5</v>
      </c>
      <c r="V117" s="4" t="s">
        <v>42</v>
      </c>
      <c r="X117" s="7" t="str">
        <f t="shared" si="0"/>
        <v>441811102</v>
      </c>
      <c r="Y117" s="8" t="str">
        <f t="shared" si="1"/>
        <v>DC</v>
      </c>
      <c r="Z117" s="8">
        <f t="shared" si="2"/>
        <v>0</v>
      </c>
      <c r="AA117" s="8">
        <f t="shared" si="3"/>
        <v>0</v>
      </c>
      <c r="AB117" s="8">
        <f t="shared" si="4"/>
        <v>0</v>
      </c>
      <c r="AC117" s="8">
        <f t="shared" si="5"/>
        <v>0</v>
      </c>
      <c r="AD117" s="8">
        <f t="shared" si="6"/>
        <v>30</v>
      </c>
      <c r="AE117" s="9" t="str" cm="1">
        <f t="array" ref="AE117">IFERROR(_xlfn.XLOOKUP(H117,Sheet1!$G:$G,Sheet1!$F:$F),IFERROR(_xlfn.XLOOKUP(1,(--($X$2:$X$1074=X117))*(--ISNUMBER(MATCH($H$2:$H$1074,Sheet1!$G:$G,0))),_xlfn.XLOOKUP($H$2:$H$1074,Sheet1!$G:$G,Sheet1!$F:$F,"")),"NOT FOUND"))</f>
        <v>GETKRTSFUT6105</v>
      </c>
      <c r="AF117" s="10" t="str">
        <f t="shared" si="9"/>
        <v>MUSTARD</v>
      </c>
      <c r="AG117" s="11" t="str">
        <f t="shared" si="10"/>
        <v>JHAJJAR</v>
      </c>
      <c r="AH117" s="9" t="str">
        <f>IF(OR(J117="",AE117="",AE117="NOT FOUND"),"",IF(Y117="RP",IFERROR(LEFT(_xlfn.XLOOKUP(AE117,Sheet1!$F:$F,Sheet1!$W:$W),FIND("-",_xlfn.XLOOKUP(AE117,Sheet1!$F:$F,Sheet1!$W:$W),FIND("-",_xlfn.XLOOKUP(AE117,Sheet1!$F:$F,Sheet1!$W:$W))+1))&amp;AE117,"NOT FOUND"),LEFT(J117,FIND("-",J117,FIND("-",J117)+1))&amp;AE117))</f>
        <v>KRTS-APWN26-GETKRTSFUT6105</v>
      </c>
    </row>
    <row r="118" spans="1:34" ht="15.75" customHeight="1" x14ac:dyDescent="0.2">
      <c r="A118" s="4" t="s">
        <v>59</v>
      </c>
      <c r="B118" s="4" t="s">
        <v>216</v>
      </c>
      <c r="C118" s="4" t="s">
        <v>64</v>
      </c>
      <c r="D118" s="4" t="s">
        <v>33</v>
      </c>
      <c r="E118" s="4" t="s">
        <v>34</v>
      </c>
      <c r="F118" s="4" t="s">
        <v>35</v>
      </c>
      <c r="G118" s="4" t="s">
        <v>43</v>
      </c>
      <c r="H118" s="4" t="s">
        <v>176</v>
      </c>
      <c r="I118" s="4" t="s">
        <v>177</v>
      </c>
      <c r="J118" s="4" t="s">
        <v>178</v>
      </c>
      <c r="L118" s="4" t="s">
        <v>40</v>
      </c>
      <c r="M118" s="4">
        <v>1</v>
      </c>
      <c r="N118" s="4">
        <v>156</v>
      </c>
      <c r="O118" s="4">
        <v>156</v>
      </c>
      <c r="P118" s="4" t="s">
        <v>41</v>
      </c>
      <c r="Q118" s="4">
        <v>309.7</v>
      </c>
      <c r="R118" s="4">
        <v>309.7</v>
      </c>
      <c r="S118" s="4">
        <v>2415.66</v>
      </c>
      <c r="T118" s="4">
        <v>48313.2</v>
      </c>
      <c r="U118" s="4">
        <v>5</v>
      </c>
      <c r="V118" s="4" t="s">
        <v>42</v>
      </c>
      <c r="X118" s="7" t="str">
        <f t="shared" si="0"/>
        <v>441811102</v>
      </c>
      <c r="Y118" s="8" t="str">
        <f t="shared" si="1"/>
        <v>DC</v>
      </c>
      <c r="Z118" s="8">
        <f t="shared" si="2"/>
        <v>0</v>
      </c>
      <c r="AA118" s="8">
        <f t="shared" si="3"/>
        <v>0</v>
      </c>
      <c r="AB118" s="8">
        <f t="shared" si="4"/>
        <v>156</v>
      </c>
      <c r="AC118" s="8">
        <f t="shared" si="5"/>
        <v>0</v>
      </c>
      <c r="AD118" s="8">
        <f t="shared" si="6"/>
        <v>0</v>
      </c>
      <c r="AE118" s="9" t="str" cm="1">
        <f t="array" ref="AE118">IFERROR(_xlfn.XLOOKUP(H118,Sheet1!$G:$G,Sheet1!$F:$F),IFERROR(_xlfn.XLOOKUP(1,(--($X$2:$X$1074=X118))*(--ISNUMBER(MATCH($H$2:$H$1074,Sheet1!$G:$G,0))),_xlfn.XLOOKUP($H$2:$H$1074,Sheet1!$G:$G,Sheet1!$F:$F,"")),"NOT FOUND"))</f>
        <v>GETKRTSFUT6105</v>
      </c>
      <c r="AF118" s="10" t="str">
        <f t="shared" si="9"/>
        <v>MUSTARD</v>
      </c>
      <c r="AG118" s="11" t="str">
        <f t="shared" si="10"/>
        <v>JHAJJAR</v>
      </c>
      <c r="AH118" s="9" t="str">
        <f>IF(OR(J118="",AE118="",AE118="NOT FOUND"),"",IF(Y118="RP",IFERROR(LEFT(_xlfn.XLOOKUP(AE118,Sheet1!$F:$F,Sheet1!$W:$W),FIND("-",_xlfn.XLOOKUP(AE118,Sheet1!$F:$F,Sheet1!$W:$W),FIND("-",_xlfn.XLOOKUP(AE118,Sheet1!$F:$F,Sheet1!$W:$W))+1))&amp;AE118,"NOT FOUND"),LEFT(J118,FIND("-",J118,FIND("-",J118)+1))&amp;AE118))</f>
        <v>KRTS-APWN26-GETKRTSFUT6105</v>
      </c>
    </row>
    <row r="119" spans="1:34" ht="15.75" customHeight="1" x14ac:dyDescent="0.2">
      <c r="A119" s="4" t="s">
        <v>59</v>
      </c>
      <c r="B119" s="4" t="s">
        <v>216</v>
      </c>
      <c r="C119" s="4" t="s">
        <v>64</v>
      </c>
      <c r="D119" s="4" t="s">
        <v>33</v>
      </c>
      <c r="E119" s="4" t="s">
        <v>34</v>
      </c>
      <c r="F119" s="4" t="s">
        <v>35</v>
      </c>
      <c r="G119" s="4" t="s">
        <v>47</v>
      </c>
      <c r="H119" s="4" t="s">
        <v>179</v>
      </c>
      <c r="I119" s="4" t="s">
        <v>180</v>
      </c>
      <c r="J119" s="4" t="s">
        <v>181</v>
      </c>
      <c r="L119" s="4" t="s">
        <v>40</v>
      </c>
      <c r="M119" s="4">
        <v>1</v>
      </c>
      <c r="N119" s="4">
        <v>156</v>
      </c>
      <c r="O119" s="4">
        <v>156</v>
      </c>
      <c r="P119" s="4" t="s">
        <v>41</v>
      </c>
      <c r="Q119" s="4">
        <v>309.7</v>
      </c>
      <c r="R119" s="4">
        <v>309.7</v>
      </c>
      <c r="S119" s="4">
        <v>2415.66</v>
      </c>
      <c r="T119" s="4">
        <v>48313.2</v>
      </c>
      <c r="U119" s="4">
        <v>5</v>
      </c>
      <c r="V119" s="4" t="s">
        <v>42</v>
      </c>
      <c r="X119" s="7" t="str">
        <f t="shared" si="0"/>
        <v>441811102</v>
      </c>
      <c r="Y119" s="8" t="str">
        <f t="shared" si="1"/>
        <v>DC</v>
      </c>
      <c r="Z119" s="8">
        <f t="shared" si="2"/>
        <v>0</v>
      </c>
      <c r="AA119" s="8">
        <f t="shared" si="3"/>
        <v>156</v>
      </c>
      <c r="AB119" s="8">
        <f t="shared" si="4"/>
        <v>0</v>
      </c>
      <c r="AC119" s="8">
        <f t="shared" si="5"/>
        <v>0</v>
      </c>
      <c r="AD119" s="8">
        <f t="shared" si="6"/>
        <v>0</v>
      </c>
      <c r="AE119" s="9" t="str" cm="1">
        <f t="array" ref="AE119">IFERROR(_xlfn.XLOOKUP(H119,Sheet1!$G:$G,Sheet1!$F:$F),IFERROR(_xlfn.XLOOKUP(1,(--($X$2:$X$1074=X119))*(--ISNUMBER(MATCH($H$2:$H$1074,Sheet1!$G:$G,0))),_xlfn.XLOOKUP($H$2:$H$1074,Sheet1!$G:$G,Sheet1!$F:$F,"")),"NOT FOUND"))</f>
        <v>GETKRTSFUT6105</v>
      </c>
      <c r="AF119" s="10" t="str">
        <f t="shared" si="9"/>
        <v>MUSTARD</v>
      </c>
      <c r="AG119" s="11" t="str">
        <f t="shared" si="10"/>
        <v>JHAJJAR</v>
      </c>
      <c r="AH119" s="9" t="str">
        <f>IF(OR(J119="",AE119="",AE119="NOT FOUND"),"",IF(Y119="RP",IFERROR(LEFT(_xlfn.XLOOKUP(AE119,Sheet1!$F:$F,Sheet1!$W:$W),FIND("-",_xlfn.XLOOKUP(AE119,Sheet1!$F:$F,Sheet1!$W:$W),FIND("-",_xlfn.XLOOKUP(AE119,Sheet1!$F:$F,Sheet1!$W:$W))+1))&amp;AE119,"NOT FOUND"),LEFT(J119,FIND("-",J119,FIND("-",J119)+1))&amp;AE119))</f>
        <v>KRTS-APWN26-GETKRTSFUT6105</v>
      </c>
    </row>
    <row r="120" spans="1:34" ht="15.75" customHeight="1" x14ac:dyDescent="0.2">
      <c r="A120" s="4" t="s">
        <v>59</v>
      </c>
      <c r="B120" s="4" t="s">
        <v>216</v>
      </c>
      <c r="C120" s="4" t="s">
        <v>64</v>
      </c>
      <c r="D120" s="4" t="s">
        <v>33</v>
      </c>
      <c r="E120" s="4" t="s">
        <v>34</v>
      </c>
      <c r="F120" s="4" t="s">
        <v>35</v>
      </c>
      <c r="G120" s="4" t="s">
        <v>51</v>
      </c>
      <c r="H120" s="4" t="s">
        <v>182</v>
      </c>
      <c r="I120" s="4" t="s">
        <v>183</v>
      </c>
      <c r="J120" s="4" t="s">
        <v>184</v>
      </c>
      <c r="L120" s="4" t="s">
        <v>40</v>
      </c>
      <c r="M120" s="4">
        <v>1</v>
      </c>
      <c r="N120" s="4">
        <v>30</v>
      </c>
      <c r="O120" s="4">
        <v>30</v>
      </c>
      <c r="P120" s="4" t="s">
        <v>41</v>
      </c>
      <c r="Q120" s="4">
        <v>309.7</v>
      </c>
      <c r="R120" s="4">
        <v>309.7</v>
      </c>
      <c r="S120" s="4">
        <v>464.55</v>
      </c>
      <c r="T120" s="4">
        <v>9291</v>
      </c>
      <c r="U120" s="4">
        <v>5</v>
      </c>
      <c r="V120" s="4" t="s">
        <v>42</v>
      </c>
      <c r="X120" s="7" t="str">
        <f t="shared" si="0"/>
        <v>441811102</v>
      </c>
      <c r="Y120" s="8" t="str">
        <f t="shared" si="1"/>
        <v>DC</v>
      </c>
      <c r="Z120" s="8">
        <f t="shared" si="2"/>
        <v>30</v>
      </c>
      <c r="AA120" s="8">
        <f t="shared" si="3"/>
        <v>0</v>
      </c>
      <c r="AB120" s="8">
        <f t="shared" si="4"/>
        <v>0</v>
      </c>
      <c r="AC120" s="8">
        <f t="shared" si="5"/>
        <v>0</v>
      </c>
      <c r="AD120" s="8">
        <f t="shared" si="6"/>
        <v>0</v>
      </c>
      <c r="AE120" s="9" t="str" cm="1">
        <f t="array" ref="AE120">IFERROR(_xlfn.XLOOKUP(H120,Sheet1!$G:$G,Sheet1!$F:$F),IFERROR(_xlfn.XLOOKUP(1,(--($X$2:$X$1074=X120))*(--ISNUMBER(MATCH($H$2:$H$1074,Sheet1!$G:$G,0))),_xlfn.XLOOKUP($H$2:$H$1074,Sheet1!$G:$G,Sheet1!$F:$F,"")),"NOT FOUND"))</f>
        <v>GETKRTSFUT6105</v>
      </c>
      <c r="AF120" s="10" t="str">
        <f t="shared" si="9"/>
        <v>MUSTARD</v>
      </c>
      <c r="AG120" s="11" t="str">
        <f t="shared" si="10"/>
        <v>JHAJJAR</v>
      </c>
      <c r="AH120" s="9" t="str">
        <f>IF(OR(J120="",AE120="",AE120="NOT FOUND"),"",IF(Y120="RP",IFERROR(LEFT(_xlfn.XLOOKUP(AE120,Sheet1!$F:$F,Sheet1!$W:$W),FIND("-",_xlfn.XLOOKUP(AE120,Sheet1!$F:$F,Sheet1!$W:$W),FIND("-",_xlfn.XLOOKUP(AE120,Sheet1!$F:$F,Sheet1!$W:$W))+1))&amp;AE120,"NOT FOUND"),LEFT(J120,FIND("-",J120,FIND("-",J120)+1))&amp;AE120))</f>
        <v>KRTS-APWN26-GETKRTSFUT6105</v>
      </c>
    </row>
    <row r="121" spans="1:34" ht="15.75" customHeight="1" x14ac:dyDescent="0.2">
      <c r="A121" s="4" t="s">
        <v>59</v>
      </c>
      <c r="B121" s="4" t="s">
        <v>216</v>
      </c>
      <c r="C121" s="4" t="s">
        <v>64</v>
      </c>
      <c r="D121" s="4" t="s">
        <v>33</v>
      </c>
      <c r="E121" s="4" t="s">
        <v>34</v>
      </c>
      <c r="F121" s="4" t="s">
        <v>35</v>
      </c>
      <c r="G121" s="4" t="s">
        <v>55</v>
      </c>
      <c r="H121" s="4" t="s">
        <v>185</v>
      </c>
      <c r="I121" s="4" t="s">
        <v>186</v>
      </c>
      <c r="J121" s="4" t="s">
        <v>187</v>
      </c>
      <c r="L121" s="4" t="s">
        <v>40</v>
      </c>
      <c r="M121" s="4">
        <v>1</v>
      </c>
      <c r="N121" s="4">
        <v>132</v>
      </c>
      <c r="O121" s="4">
        <v>132</v>
      </c>
      <c r="P121" s="4" t="s">
        <v>41</v>
      </c>
      <c r="Q121" s="4">
        <v>309.7</v>
      </c>
      <c r="R121" s="4">
        <v>309.7</v>
      </c>
      <c r="S121" s="4">
        <v>2044.02</v>
      </c>
      <c r="T121" s="4">
        <v>40880.400000000001</v>
      </c>
      <c r="U121" s="4">
        <v>5</v>
      </c>
      <c r="V121" s="4" t="s">
        <v>42</v>
      </c>
      <c r="X121" s="7" t="str">
        <f t="shared" si="0"/>
        <v>441811102</v>
      </c>
      <c r="Y121" s="8" t="str">
        <f t="shared" si="1"/>
        <v>DC</v>
      </c>
      <c r="Z121" s="8">
        <f t="shared" si="2"/>
        <v>0</v>
      </c>
      <c r="AA121" s="8">
        <f t="shared" si="3"/>
        <v>0</v>
      </c>
      <c r="AB121" s="8">
        <f t="shared" si="4"/>
        <v>0</v>
      </c>
      <c r="AC121" s="8">
        <f t="shared" si="5"/>
        <v>132</v>
      </c>
      <c r="AD121" s="8">
        <f t="shared" si="6"/>
        <v>0</v>
      </c>
      <c r="AE121" s="9" t="str" cm="1">
        <f t="array" ref="AE121">IFERROR(_xlfn.XLOOKUP(H121,Sheet1!$G:$G,Sheet1!$F:$F),IFERROR(_xlfn.XLOOKUP(1,(--($X$2:$X$1074=X121))*(--ISNUMBER(MATCH($H$2:$H$1074,Sheet1!$G:$G,0))),_xlfn.XLOOKUP($H$2:$H$1074,Sheet1!$G:$G,Sheet1!$F:$F,"")),"NOT FOUND"))</f>
        <v>GETKRTSFUT6105</v>
      </c>
      <c r="AF121" s="10" t="str">
        <f t="shared" si="9"/>
        <v>MUSTARD</v>
      </c>
      <c r="AG121" s="11" t="str">
        <f t="shared" si="10"/>
        <v>JHAJJAR</v>
      </c>
      <c r="AH121" s="9" t="str">
        <f>IF(OR(J121="",AE121="",AE121="NOT FOUND"),"",IF(Y121="RP",IFERROR(LEFT(_xlfn.XLOOKUP(AE121,Sheet1!$F:$F,Sheet1!$W:$W),FIND("-",_xlfn.XLOOKUP(AE121,Sheet1!$F:$F,Sheet1!$W:$W),FIND("-",_xlfn.XLOOKUP(AE121,Sheet1!$F:$F,Sheet1!$W:$W))+1))&amp;AE121,"NOT FOUND"),LEFT(J121,FIND("-",J121,FIND("-",J121)+1))&amp;AE121))</f>
        <v>KRTS-APWN26-GETKRTSFUT6105</v>
      </c>
    </row>
    <row r="122" spans="1:34" ht="15.75" customHeight="1" x14ac:dyDescent="0.2">
      <c r="A122" s="4" t="s">
        <v>30</v>
      </c>
      <c r="B122" s="4" t="s">
        <v>217</v>
      </c>
      <c r="C122" s="4" t="s">
        <v>64</v>
      </c>
      <c r="D122" s="4" t="s">
        <v>218</v>
      </c>
      <c r="E122" s="4" t="s">
        <v>34</v>
      </c>
      <c r="F122" s="4" t="s">
        <v>35</v>
      </c>
      <c r="G122" s="4" t="s">
        <v>36</v>
      </c>
      <c r="H122" s="4" t="s">
        <v>219</v>
      </c>
      <c r="I122" s="4" t="s">
        <v>220</v>
      </c>
      <c r="J122" s="4" t="s">
        <v>221</v>
      </c>
      <c r="L122" s="4" t="s">
        <v>40</v>
      </c>
      <c r="M122" s="4">
        <v>1</v>
      </c>
      <c r="N122" s="4">
        <v>30</v>
      </c>
      <c r="O122" s="4">
        <v>30</v>
      </c>
      <c r="P122" s="4" t="s">
        <v>41</v>
      </c>
      <c r="Q122" s="4">
        <v>312.7</v>
      </c>
      <c r="R122" s="4">
        <v>312.7</v>
      </c>
      <c r="S122" s="4">
        <v>469.05</v>
      </c>
      <c r="T122" s="4">
        <v>9381</v>
      </c>
      <c r="U122" s="4">
        <v>5</v>
      </c>
      <c r="V122" s="4" t="s">
        <v>42</v>
      </c>
      <c r="X122" s="7" t="str">
        <f t="shared" si="0"/>
        <v>441811099</v>
      </c>
      <c r="Y122" s="8" t="str">
        <f t="shared" si="1"/>
        <v>DC</v>
      </c>
      <c r="Z122" s="8">
        <f t="shared" si="2"/>
        <v>0</v>
      </c>
      <c r="AA122" s="8">
        <f t="shared" si="3"/>
        <v>0</v>
      </c>
      <c r="AB122" s="8">
        <f t="shared" si="4"/>
        <v>0</v>
      </c>
      <c r="AC122" s="8">
        <f t="shared" si="5"/>
        <v>0</v>
      </c>
      <c r="AD122" s="8">
        <f t="shared" si="6"/>
        <v>30</v>
      </c>
      <c r="AE122" s="9" t="str" cm="1">
        <f t="array" ref="AE122">IFERROR(_xlfn.XLOOKUP(H122,Sheet1!$G:$G,Sheet1!$F:$F),IFERROR(_xlfn.XLOOKUP(1,(--($X$2:$X$1074=X122))*(--ISNUMBER(MATCH($H$2:$H$1074,Sheet1!$G:$G,0))),_xlfn.XLOOKUP($H$2:$H$1074,Sheet1!$G:$G,Sheet1!$F:$F,"")),"NOT FOUND"))</f>
        <v>GETKRTSFUT6100</v>
      </c>
      <c r="AF122" s="10" t="str">
        <f t="shared" si="9"/>
        <v>MUSTARD</v>
      </c>
      <c r="AG122" s="11" t="str">
        <f t="shared" si="10"/>
        <v>Bangalore</v>
      </c>
      <c r="AH122" s="9" t="str">
        <f>IF(OR(J122="",AE122="",AE122="NOT FOUND"),"",IF(Y122="RP",IFERROR(LEFT(_xlfn.XLOOKUP(AE122,Sheet1!$F:$F,Sheet1!$W:$W),FIND("-",_xlfn.XLOOKUP(AE122,Sheet1!$F:$F,Sheet1!$W:$W),FIND("-",_xlfn.XLOOKUP(AE122,Sheet1!$F:$F,Sheet1!$W:$W))+1))&amp;AE122,"NOT FOUND"),LEFT(J122,FIND("-",J122,FIND("-",J122)+1))&amp;AE122))</f>
        <v>KRTS-APWN26-GETKRTSFUT6100</v>
      </c>
    </row>
    <row r="123" spans="1:34" ht="15.75" customHeight="1" x14ac:dyDescent="0.2">
      <c r="A123" s="4" t="s">
        <v>30</v>
      </c>
      <c r="B123" s="4" t="s">
        <v>217</v>
      </c>
      <c r="C123" s="4" t="s">
        <v>64</v>
      </c>
      <c r="D123" s="4" t="s">
        <v>218</v>
      </c>
      <c r="E123" s="4" t="s">
        <v>34</v>
      </c>
      <c r="F123" s="4" t="s">
        <v>35</v>
      </c>
      <c r="G123" s="4" t="s">
        <v>43</v>
      </c>
      <c r="H123" s="4" t="s">
        <v>222</v>
      </c>
      <c r="I123" s="4" t="s">
        <v>223</v>
      </c>
      <c r="J123" s="4" t="s">
        <v>224</v>
      </c>
      <c r="L123" s="4" t="s">
        <v>40</v>
      </c>
      <c r="M123" s="4">
        <v>1</v>
      </c>
      <c r="N123" s="4">
        <v>257</v>
      </c>
      <c r="O123" s="4">
        <v>257</v>
      </c>
      <c r="P123" s="4" t="s">
        <v>41</v>
      </c>
      <c r="Q123" s="4">
        <v>312.7</v>
      </c>
      <c r="R123" s="4">
        <v>312.7</v>
      </c>
      <c r="S123" s="4">
        <v>4018.2</v>
      </c>
      <c r="T123" s="4">
        <v>80363.899999999994</v>
      </c>
      <c r="U123" s="4">
        <v>5</v>
      </c>
      <c r="V123" s="4" t="s">
        <v>42</v>
      </c>
      <c r="X123" s="7" t="str">
        <f t="shared" si="0"/>
        <v>441811099</v>
      </c>
      <c r="Y123" s="8" t="str">
        <f t="shared" si="1"/>
        <v>DC</v>
      </c>
      <c r="Z123" s="8">
        <f t="shared" si="2"/>
        <v>0</v>
      </c>
      <c r="AA123" s="8">
        <f t="shared" si="3"/>
        <v>0</v>
      </c>
      <c r="AB123" s="8">
        <f t="shared" si="4"/>
        <v>257</v>
      </c>
      <c r="AC123" s="8">
        <f t="shared" si="5"/>
        <v>0</v>
      </c>
      <c r="AD123" s="8">
        <f t="shared" si="6"/>
        <v>0</v>
      </c>
      <c r="AE123" s="9" t="str" cm="1">
        <f t="array" ref="AE123">IFERROR(_xlfn.XLOOKUP(H123,Sheet1!$G:$G,Sheet1!$F:$F),IFERROR(_xlfn.XLOOKUP(1,(--($X$2:$X$1074=X123))*(--ISNUMBER(MATCH($H$2:$H$1074,Sheet1!$G:$G,0))),_xlfn.XLOOKUP($H$2:$H$1074,Sheet1!$G:$G,Sheet1!$F:$F,"")),"NOT FOUND"))</f>
        <v>GETKRTSFUT6100</v>
      </c>
      <c r="AF123" s="10" t="str">
        <f t="shared" si="9"/>
        <v>MUSTARD</v>
      </c>
      <c r="AG123" s="11" t="str">
        <f t="shared" si="10"/>
        <v>Bangalore</v>
      </c>
      <c r="AH123" s="9" t="str">
        <f>IF(OR(J123="",AE123="",AE123="NOT FOUND"),"",IF(Y123="RP",IFERROR(LEFT(_xlfn.XLOOKUP(AE123,Sheet1!$F:$F,Sheet1!$W:$W),FIND("-",_xlfn.XLOOKUP(AE123,Sheet1!$F:$F,Sheet1!$W:$W),FIND("-",_xlfn.XLOOKUP(AE123,Sheet1!$F:$F,Sheet1!$W:$W))+1))&amp;AE123,"NOT FOUND"),LEFT(J123,FIND("-",J123,FIND("-",J123)+1))&amp;AE123))</f>
        <v>KRTS-APWN26-GETKRTSFUT6100</v>
      </c>
    </row>
    <row r="124" spans="1:34" ht="15.75" customHeight="1" x14ac:dyDescent="0.2">
      <c r="A124" s="4" t="s">
        <v>30</v>
      </c>
      <c r="B124" s="4" t="s">
        <v>217</v>
      </c>
      <c r="C124" s="4" t="s">
        <v>64</v>
      </c>
      <c r="D124" s="4" t="s">
        <v>218</v>
      </c>
      <c r="E124" s="4" t="s">
        <v>34</v>
      </c>
      <c r="F124" s="4" t="s">
        <v>35</v>
      </c>
      <c r="G124" s="4" t="s">
        <v>47</v>
      </c>
      <c r="H124" s="4" t="s">
        <v>225</v>
      </c>
      <c r="I124" s="4" t="s">
        <v>226</v>
      </c>
      <c r="J124" s="4" t="s">
        <v>227</v>
      </c>
      <c r="L124" s="4" t="s">
        <v>40</v>
      </c>
      <c r="M124" s="4">
        <v>1</v>
      </c>
      <c r="N124" s="4">
        <v>257</v>
      </c>
      <c r="O124" s="4">
        <v>257</v>
      </c>
      <c r="P124" s="4" t="s">
        <v>41</v>
      </c>
      <c r="Q124" s="4">
        <v>312.7</v>
      </c>
      <c r="R124" s="4">
        <v>312.7</v>
      </c>
      <c r="S124" s="4">
        <v>4018.2</v>
      </c>
      <c r="T124" s="4">
        <v>80363.899999999994</v>
      </c>
      <c r="U124" s="4">
        <v>5</v>
      </c>
      <c r="V124" s="4" t="s">
        <v>42</v>
      </c>
      <c r="X124" s="7" t="str">
        <f t="shared" si="0"/>
        <v>441811099</v>
      </c>
      <c r="Y124" s="8" t="str">
        <f t="shared" si="1"/>
        <v>DC</v>
      </c>
      <c r="Z124" s="8">
        <f t="shared" si="2"/>
        <v>0</v>
      </c>
      <c r="AA124" s="8">
        <f t="shared" si="3"/>
        <v>257</v>
      </c>
      <c r="AB124" s="8">
        <f t="shared" si="4"/>
        <v>0</v>
      </c>
      <c r="AC124" s="8">
        <f t="shared" si="5"/>
        <v>0</v>
      </c>
      <c r="AD124" s="8">
        <f t="shared" si="6"/>
        <v>0</v>
      </c>
      <c r="AE124" s="9" t="str" cm="1">
        <f t="array" ref="AE124">IFERROR(_xlfn.XLOOKUP(H124,Sheet1!$G:$G,Sheet1!$F:$F),IFERROR(_xlfn.XLOOKUP(1,(--($X$2:$X$1074=X124))*(--ISNUMBER(MATCH($H$2:$H$1074,Sheet1!$G:$G,0))),_xlfn.XLOOKUP($H$2:$H$1074,Sheet1!$G:$G,Sheet1!$F:$F,"")),"NOT FOUND"))</f>
        <v>GETKRTSFUT6100</v>
      </c>
      <c r="AF124" s="10" t="str">
        <f t="shared" si="9"/>
        <v>MUSTARD</v>
      </c>
      <c r="AG124" s="11" t="str">
        <f t="shared" si="10"/>
        <v>Bangalore</v>
      </c>
      <c r="AH124" s="9" t="str">
        <f>IF(OR(J124="",AE124="",AE124="NOT FOUND"),"",IF(Y124="RP",IFERROR(LEFT(_xlfn.XLOOKUP(AE124,Sheet1!$F:$F,Sheet1!$W:$W),FIND("-",_xlfn.XLOOKUP(AE124,Sheet1!$F:$F,Sheet1!$W:$W),FIND("-",_xlfn.XLOOKUP(AE124,Sheet1!$F:$F,Sheet1!$W:$W))+1))&amp;AE124,"NOT FOUND"),LEFT(J124,FIND("-",J124,FIND("-",J124)+1))&amp;AE124))</f>
        <v>KRTS-APWN26-GETKRTSFUT6100</v>
      </c>
    </row>
    <row r="125" spans="1:34" ht="15.75" customHeight="1" x14ac:dyDescent="0.2">
      <c r="A125" s="4" t="s">
        <v>30</v>
      </c>
      <c r="B125" s="4" t="s">
        <v>217</v>
      </c>
      <c r="C125" s="4" t="s">
        <v>64</v>
      </c>
      <c r="D125" s="4" t="s">
        <v>218</v>
      </c>
      <c r="E125" s="4" t="s">
        <v>34</v>
      </c>
      <c r="F125" s="4" t="s">
        <v>35</v>
      </c>
      <c r="G125" s="4" t="s">
        <v>51</v>
      </c>
      <c r="H125" s="4" t="s">
        <v>228</v>
      </c>
      <c r="I125" s="4" t="s">
        <v>229</v>
      </c>
      <c r="J125" s="4" t="s">
        <v>230</v>
      </c>
      <c r="L125" s="4" t="s">
        <v>40</v>
      </c>
      <c r="M125" s="4">
        <v>1</v>
      </c>
      <c r="N125" s="4">
        <v>30</v>
      </c>
      <c r="O125" s="4">
        <v>30</v>
      </c>
      <c r="P125" s="4" t="s">
        <v>41</v>
      </c>
      <c r="Q125" s="4">
        <v>312.7</v>
      </c>
      <c r="R125" s="4">
        <v>312.7</v>
      </c>
      <c r="S125" s="4">
        <v>469.05</v>
      </c>
      <c r="T125" s="4">
        <v>9381</v>
      </c>
      <c r="U125" s="4">
        <v>5</v>
      </c>
      <c r="V125" s="4" t="s">
        <v>42</v>
      </c>
      <c r="X125" s="7" t="str">
        <f t="shared" si="0"/>
        <v>441811099</v>
      </c>
      <c r="Y125" s="8" t="str">
        <f t="shared" si="1"/>
        <v>DC</v>
      </c>
      <c r="Z125" s="8">
        <f t="shared" si="2"/>
        <v>30</v>
      </c>
      <c r="AA125" s="8">
        <f t="shared" si="3"/>
        <v>0</v>
      </c>
      <c r="AB125" s="8">
        <f t="shared" si="4"/>
        <v>0</v>
      </c>
      <c r="AC125" s="8">
        <f t="shared" si="5"/>
        <v>0</v>
      </c>
      <c r="AD125" s="8">
        <f t="shared" si="6"/>
        <v>0</v>
      </c>
      <c r="AE125" s="9" t="str" cm="1">
        <f t="array" ref="AE125">IFERROR(_xlfn.XLOOKUP(H125,Sheet1!$G:$G,Sheet1!$F:$F),IFERROR(_xlfn.XLOOKUP(1,(--($X$2:$X$1074=X125))*(--ISNUMBER(MATCH($H$2:$H$1074,Sheet1!$G:$G,0))),_xlfn.XLOOKUP($H$2:$H$1074,Sheet1!$G:$G,Sheet1!$F:$F,"")),"NOT FOUND"))</f>
        <v>GETKRTSFUT6100</v>
      </c>
      <c r="AF125" s="10" t="str">
        <f t="shared" si="9"/>
        <v>MUSTARD</v>
      </c>
      <c r="AG125" s="11" t="str">
        <f t="shared" si="10"/>
        <v>Bangalore</v>
      </c>
      <c r="AH125" s="9" t="str">
        <f>IF(OR(J125="",AE125="",AE125="NOT FOUND"),"",IF(Y125="RP",IFERROR(LEFT(_xlfn.XLOOKUP(AE125,Sheet1!$F:$F,Sheet1!$W:$W),FIND("-",_xlfn.XLOOKUP(AE125,Sheet1!$F:$F,Sheet1!$W:$W),FIND("-",_xlfn.XLOOKUP(AE125,Sheet1!$F:$F,Sheet1!$W:$W))+1))&amp;AE125,"NOT FOUND"),LEFT(J125,FIND("-",J125,FIND("-",J125)+1))&amp;AE125))</f>
        <v>KRTS-APWN26-GETKRTSFUT6100</v>
      </c>
    </row>
    <row r="126" spans="1:34" ht="15.75" customHeight="1" x14ac:dyDescent="0.2">
      <c r="A126" s="4" t="s">
        <v>30</v>
      </c>
      <c r="B126" s="4" t="s">
        <v>217</v>
      </c>
      <c r="C126" s="4" t="s">
        <v>64</v>
      </c>
      <c r="D126" s="4" t="s">
        <v>218</v>
      </c>
      <c r="E126" s="4" t="s">
        <v>34</v>
      </c>
      <c r="F126" s="4" t="s">
        <v>35</v>
      </c>
      <c r="G126" s="4" t="s">
        <v>55</v>
      </c>
      <c r="H126" s="4" t="s">
        <v>231</v>
      </c>
      <c r="I126" s="4" t="s">
        <v>232</v>
      </c>
      <c r="J126" s="4" t="s">
        <v>233</v>
      </c>
      <c r="L126" s="4" t="s">
        <v>40</v>
      </c>
      <c r="M126" s="4">
        <v>1</v>
      </c>
      <c r="N126" s="4">
        <v>217</v>
      </c>
      <c r="O126" s="4">
        <v>217</v>
      </c>
      <c r="P126" s="4" t="s">
        <v>41</v>
      </c>
      <c r="Q126" s="4">
        <v>312.7</v>
      </c>
      <c r="R126" s="4">
        <v>312.7</v>
      </c>
      <c r="S126" s="4">
        <v>3392.8</v>
      </c>
      <c r="T126" s="4">
        <v>67855.899999999994</v>
      </c>
      <c r="U126" s="4">
        <v>5</v>
      </c>
      <c r="V126" s="4" t="s">
        <v>42</v>
      </c>
      <c r="X126" s="7" t="str">
        <f t="shared" si="0"/>
        <v>441811099</v>
      </c>
      <c r="Y126" s="8" t="str">
        <f t="shared" si="1"/>
        <v>DC</v>
      </c>
      <c r="Z126" s="8">
        <f t="shared" si="2"/>
        <v>0</v>
      </c>
      <c r="AA126" s="8">
        <f t="shared" si="3"/>
        <v>0</v>
      </c>
      <c r="AB126" s="8">
        <f t="shared" si="4"/>
        <v>0</v>
      </c>
      <c r="AC126" s="8">
        <f t="shared" si="5"/>
        <v>217</v>
      </c>
      <c r="AD126" s="8">
        <f t="shared" si="6"/>
        <v>0</v>
      </c>
      <c r="AE126" s="9" t="str" cm="1">
        <f t="array" ref="AE126">IFERROR(_xlfn.XLOOKUP(H126,Sheet1!$G:$G,Sheet1!$F:$F),IFERROR(_xlfn.XLOOKUP(1,(--($X$2:$X$1074=X126))*(--ISNUMBER(MATCH($H$2:$H$1074,Sheet1!$G:$G,0))),_xlfn.XLOOKUP($H$2:$H$1074,Sheet1!$G:$G,Sheet1!$F:$F,"")),"NOT FOUND"))</f>
        <v>GETKRTSFUT6100</v>
      </c>
      <c r="AF126" s="10" t="str">
        <f t="shared" si="9"/>
        <v>MUSTARD</v>
      </c>
      <c r="AG126" s="11" t="str">
        <f t="shared" si="10"/>
        <v>Bangalore</v>
      </c>
      <c r="AH126" s="9" t="str">
        <f>IF(OR(J126="",AE126="",AE126="NOT FOUND"),"",IF(Y126="RP",IFERROR(LEFT(_xlfn.XLOOKUP(AE126,Sheet1!$F:$F,Sheet1!$W:$W),FIND("-",_xlfn.XLOOKUP(AE126,Sheet1!$F:$F,Sheet1!$W:$W),FIND("-",_xlfn.XLOOKUP(AE126,Sheet1!$F:$F,Sheet1!$W:$W))+1))&amp;AE126,"NOT FOUND"),LEFT(J126,FIND("-",J126,FIND("-",J126)+1))&amp;AE126))</f>
        <v>KRTS-APWN26-GETKRTSFUT6100</v>
      </c>
    </row>
    <row r="127" spans="1:34" ht="15.75" customHeight="1" x14ac:dyDescent="0.2">
      <c r="A127" s="4" t="s">
        <v>59</v>
      </c>
      <c r="B127" s="4" t="s">
        <v>234</v>
      </c>
      <c r="C127" s="4" t="s">
        <v>64</v>
      </c>
      <c r="D127" s="4" t="s">
        <v>81</v>
      </c>
      <c r="E127" s="4" t="s">
        <v>34</v>
      </c>
      <c r="F127" s="4" t="s">
        <v>35</v>
      </c>
      <c r="G127" s="4" t="s">
        <v>36</v>
      </c>
      <c r="H127" s="4" t="s">
        <v>189</v>
      </c>
      <c r="I127" s="4" t="s">
        <v>190</v>
      </c>
      <c r="J127" s="4" t="s">
        <v>191</v>
      </c>
      <c r="L127" s="4" t="s">
        <v>40</v>
      </c>
      <c r="M127" s="4">
        <v>1</v>
      </c>
      <c r="N127" s="4">
        <v>30</v>
      </c>
      <c r="O127" s="4">
        <v>30</v>
      </c>
      <c r="P127" s="4" t="s">
        <v>41</v>
      </c>
      <c r="Q127" s="4">
        <v>404.7</v>
      </c>
      <c r="R127" s="4">
        <v>404.7</v>
      </c>
      <c r="S127" s="4">
        <v>607.04999999999995</v>
      </c>
      <c r="T127" s="4">
        <v>12141</v>
      </c>
      <c r="U127" s="4">
        <v>5</v>
      </c>
      <c r="V127" s="4" t="s">
        <v>42</v>
      </c>
      <c r="X127" s="7" t="str">
        <f t="shared" si="0"/>
        <v>441811101</v>
      </c>
      <c r="Y127" s="8" t="str">
        <f t="shared" si="1"/>
        <v>DC</v>
      </c>
      <c r="Z127" s="8">
        <f t="shared" si="2"/>
        <v>0</v>
      </c>
      <c r="AA127" s="8">
        <f t="shared" si="3"/>
        <v>0</v>
      </c>
      <c r="AB127" s="8">
        <f t="shared" si="4"/>
        <v>0</v>
      </c>
      <c r="AC127" s="8">
        <f t="shared" si="5"/>
        <v>0</v>
      </c>
      <c r="AD127" s="8">
        <f t="shared" si="6"/>
        <v>30</v>
      </c>
      <c r="AE127" s="9" t="str" cm="1">
        <f t="array" ref="AE127">IFERROR(_xlfn.XLOOKUP(H127,Sheet1!$G:$G,Sheet1!$F:$F),IFERROR(_xlfn.XLOOKUP(1,(--($X$2:$X$1074=X127))*(--ISNUMBER(MATCH($H$2:$H$1074,Sheet1!$G:$G,0))),_xlfn.XLOOKUP($H$2:$H$1074,Sheet1!$G:$G,Sheet1!$F:$F,"")),"NOT FOUND"))</f>
        <v>GETKRTSFUT6103</v>
      </c>
      <c r="AF127" s="10" t="str">
        <f t="shared" si="9"/>
        <v>LIME GREEN</v>
      </c>
      <c r="AG127" s="11" t="str">
        <f t="shared" si="10"/>
        <v>JHAJJAR</v>
      </c>
      <c r="AH127" s="9" t="str">
        <f>IF(OR(J127="",AE127="",AE127="NOT FOUND"),"",IF(Y127="RP",IFERROR(LEFT(_xlfn.XLOOKUP(AE127,Sheet1!$F:$F,Sheet1!$W:$W),FIND("-",_xlfn.XLOOKUP(AE127,Sheet1!$F:$F,Sheet1!$W:$W),FIND("-",_xlfn.XLOOKUP(AE127,Sheet1!$F:$F,Sheet1!$W:$W))+1))&amp;AE127,"NOT FOUND"),LEFT(J127,FIND("-",J127,FIND("-",J127)+1))&amp;AE127))</f>
        <v>KRTS-APWN26-GETKRTSFUT6103</v>
      </c>
    </row>
    <row r="128" spans="1:34" ht="15.75" customHeight="1" x14ac:dyDescent="0.2">
      <c r="A128" s="4" t="s">
        <v>59</v>
      </c>
      <c r="B128" s="4" t="s">
        <v>234</v>
      </c>
      <c r="C128" s="4" t="s">
        <v>64</v>
      </c>
      <c r="D128" s="4" t="s">
        <v>81</v>
      </c>
      <c r="E128" s="4" t="s">
        <v>34</v>
      </c>
      <c r="F128" s="4" t="s">
        <v>35</v>
      </c>
      <c r="G128" s="4" t="s">
        <v>43</v>
      </c>
      <c r="H128" s="4" t="s">
        <v>192</v>
      </c>
      <c r="I128" s="4" t="s">
        <v>193</v>
      </c>
      <c r="J128" s="4" t="s">
        <v>194</v>
      </c>
      <c r="L128" s="4" t="s">
        <v>40</v>
      </c>
      <c r="M128" s="4">
        <v>1</v>
      </c>
      <c r="N128" s="4">
        <v>113</v>
      </c>
      <c r="O128" s="4">
        <v>113</v>
      </c>
      <c r="P128" s="4" t="s">
        <v>41</v>
      </c>
      <c r="Q128" s="4">
        <v>404.7</v>
      </c>
      <c r="R128" s="4">
        <v>404.7</v>
      </c>
      <c r="S128" s="4">
        <v>2286.56</v>
      </c>
      <c r="T128" s="4">
        <v>45731.1</v>
      </c>
      <c r="U128" s="4">
        <v>5</v>
      </c>
      <c r="V128" s="4" t="s">
        <v>42</v>
      </c>
      <c r="X128" s="7" t="str">
        <f t="shared" si="0"/>
        <v>441811101</v>
      </c>
      <c r="Y128" s="8" t="str">
        <f t="shared" si="1"/>
        <v>DC</v>
      </c>
      <c r="Z128" s="8">
        <f t="shared" si="2"/>
        <v>0</v>
      </c>
      <c r="AA128" s="8">
        <f t="shared" si="3"/>
        <v>0</v>
      </c>
      <c r="AB128" s="8">
        <f t="shared" si="4"/>
        <v>113</v>
      </c>
      <c r="AC128" s="8">
        <f t="shared" si="5"/>
        <v>0</v>
      </c>
      <c r="AD128" s="8">
        <f t="shared" si="6"/>
        <v>0</v>
      </c>
      <c r="AE128" s="9" t="str" cm="1">
        <f t="array" ref="AE128">IFERROR(_xlfn.XLOOKUP(H128,Sheet1!$G:$G,Sheet1!$F:$F),IFERROR(_xlfn.XLOOKUP(1,(--($X$2:$X$1074=X128))*(--ISNUMBER(MATCH($H$2:$H$1074,Sheet1!$G:$G,0))),_xlfn.XLOOKUP($H$2:$H$1074,Sheet1!$G:$G,Sheet1!$F:$F,"")),"NOT FOUND"))</f>
        <v>GETKRTSFUT6103</v>
      </c>
      <c r="AF128" s="10" t="str">
        <f t="shared" si="9"/>
        <v>LIME GREEN</v>
      </c>
      <c r="AG128" s="11" t="str">
        <f t="shared" si="10"/>
        <v>JHAJJAR</v>
      </c>
      <c r="AH128" s="9" t="str">
        <f>IF(OR(J128="",AE128="",AE128="NOT FOUND"),"",IF(Y128="RP",IFERROR(LEFT(_xlfn.XLOOKUP(AE128,Sheet1!$F:$F,Sheet1!$W:$W),FIND("-",_xlfn.XLOOKUP(AE128,Sheet1!$F:$F,Sheet1!$W:$W),FIND("-",_xlfn.XLOOKUP(AE128,Sheet1!$F:$F,Sheet1!$W:$W))+1))&amp;AE128,"NOT FOUND"),LEFT(J128,FIND("-",J128,FIND("-",J128)+1))&amp;AE128))</f>
        <v>KRTS-APWN26-GETKRTSFUT6103</v>
      </c>
    </row>
    <row r="129" spans="1:34" ht="15.75" customHeight="1" x14ac:dyDescent="0.2">
      <c r="A129" s="4" t="s">
        <v>59</v>
      </c>
      <c r="B129" s="4" t="s">
        <v>234</v>
      </c>
      <c r="C129" s="4" t="s">
        <v>64</v>
      </c>
      <c r="D129" s="4" t="s">
        <v>81</v>
      </c>
      <c r="E129" s="4" t="s">
        <v>34</v>
      </c>
      <c r="F129" s="4" t="s">
        <v>35</v>
      </c>
      <c r="G129" s="4" t="s">
        <v>47</v>
      </c>
      <c r="H129" s="4" t="s">
        <v>195</v>
      </c>
      <c r="I129" s="4" t="s">
        <v>196</v>
      </c>
      <c r="J129" s="4" t="s">
        <v>197</v>
      </c>
      <c r="L129" s="4" t="s">
        <v>40</v>
      </c>
      <c r="M129" s="4">
        <v>1</v>
      </c>
      <c r="N129" s="4">
        <v>113</v>
      </c>
      <c r="O129" s="4">
        <v>113</v>
      </c>
      <c r="P129" s="4" t="s">
        <v>41</v>
      </c>
      <c r="Q129" s="4">
        <v>404.7</v>
      </c>
      <c r="R129" s="4">
        <v>404.7</v>
      </c>
      <c r="S129" s="4">
        <v>2286.56</v>
      </c>
      <c r="T129" s="4">
        <v>45731.1</v>
      </c>
      <c r="U129" s="4">
        <v>5</v>
      </c>
      <c r="V129" s="4" t="s">
        <v>42</v>
      </c>
      <c r="X129" s="7" t="str">
        <f t="shared" si="0"/>
        <v>441811101</v>
      </c>
      <c r="Y129" s="8" t="str">
        <f t="shared" si="1"/>
        <v>DC</v>
      </c>
      <c r="Z129" s="8">
        <f t="shared" si="2"/>
        <v>0</v>
      </c>
      <c r="AA129" s="8">
        <f t="shared" si="3"/>
        <v>113</v>
      </c>
      <c r="AB129" s="8">
        <f t="shared" si="4"/>
        <v>0</v>
      </c>
      <c r="AC129" s="8">
        <f t="shared" si="5"/>
        <v>0</v>
      </c>
      <c r="AD129" s="8">
        <f t="shared" si="6"/>
        <v>0</v>
      </c>
      <c r="AE129" s="9" t="str" cm="1">
        <f t="array" ref="AE129">IFERROR(_xlfn.XLOOKUP(H129,Sheet1!$G:$G,Sheet1!$F:$F),IFERROR(_xlfn.XLOOKUP(1,(--($X$2:$X$1074=X129))*(--ISNUMBER(MATCH($H$2:$H$1074,Sheet1!$G:$G,0))),_xlfn.XLOOKUP($H$2:$H$1074,Sheet1!$G:$G,Sheet1!$F:$F,"")),"NOT FOUND"))</f>
        <v>GETKRTSFUT6103</v>
      </c>
      <c r="AF129" s="10" t="str">
        <f t="shared" si="9"/>
        <v>LIME GREEN</v>
      </c>
      <c r="AG129" s="11" t="str">
        <f t="shared" si="10"/>
        <v>JHAJJAR</v>
      </c>
      <c r="AH129" s="9" t="str">
        <f>IF(OR(J129="",AE129="",AE129="NOT FOUND"),"",IF(Y129="RP",IFERROR(LEFT(_xlfn.XLOOKUP(AE129,Sheet1!$F:$F,Sheet1!$W:$W),FIND("-",_xlfn.XLOOKUP(AE129,Sheet1!$F:$F,Sheet1!$W:$W),FIND("-",_xlfn.XLOOKUP(AE129,Sheet1!$F:$F,Sheet1!$W:$W))+1))&amp;AE129,"NOT FOUND"),LEFT(J129,FIND("-",J129,FIND("-",J129)+1))&amp;AE129))</f>
        <v>KRTS-APWN26-GETKRTSFUT6103</v>
      </c>
    </row>
    <row r="130" spans="1:34" ht="15.75" customHeight="1" x14ac:dyDescent="0.2">
      <c r="A130" s="4" t="s">
        <v>59</v>
      </c>
      <c r="B130" s="4" t="s">
        <v>234</v>
      </c>
      <c r="C130" s="4" t="s">
        <v>64</v>
      </c>
      <c r="D130" s="4" t="s">
        <v>81</v>
      </c>
      <c r="E130" s="4" t="s">
        <v>34</v>
      </c>
      <c r="F130" s="4" t="s">
        <v>35</v>
      </c>
      <c r="G130" s="4" t="s">
        <v>51</v>
      </c>
      <c r="H130" s="4" t="s">
        <v>198</v>
      </c>
      <c r="I130" s="4" t="s">
        <v>199</v>
      </c>
      <c r="J130" s="4" t="s">
        <v>200</v>
      </c>
      <c r="L130" s="4" t="s">
        <v>40</v>
      </c>
      <c r="M130" s="4">
        <v>1</v>
      </c>
      <c r="N130" s="4">
        <v>30</v>
      </c>
      <c r="O130" s="4">
        <v>30</v>
      </c>
      <c r="P130" s="4" t="s">
        <v>41</v>
      </c>
      <c r="Q130" s="4">
        <v>404.7</v>
      </c>
      <c r="R130" s="4">
        <v>404.7</v>
      </c>
      <c r="S130" s="4">
        <v>607.04999999999995</v>
      </c>
      <c r="T130" s="4">
        <v>12141</v>
      </c>
      <c r="U130" s="4">
        <v>5</v>
      </c>
      <c r="V130" s="4" t="s">
        <v>42</v>
      </c>
      <c r="X130" s="7" t="str">
        <f t="shared" si="0"/>
        <v>441811101</v>
      </c>
      <c r="Y130" s="8" t="str">
        <f t="shared" si="1"/>
        <v>DC</v>
      </c>
      <c r="Z130" s="8">
        <f t="shared" si="2"/>
        <v>30</v>
      </c>
      <c r="AA130" s="8">
        <f t="shared" si="3"/>
        <v>0</v>
      </c>
      <c r="AB130" s="8">
        <f t="shared" si="4"/>
        <v>0</v>
      </c>
      <c r="AC130" s="8">
        <f t="shared" si="5"/>
        <v>0</v>
      </c>
      <c r="AD130" s="8">
        <f t="shared" si="6"/>
        <v>0</v>
      </c>
      <c r="AE130" s="9" t="str" cm="1">
        <f t="array" ref="AE130">IFERROR(_xlfn.XLOOKUP(H130,Sheet1!$G:$G,Sheet1!$F:$F),IFERROR(_xlfn.XLOOKUP(1,(--($X$2:$X$1074=X130))*(--ISNUMBER(MATCH($H$2:$H$1074,Sheet1!$G:$G,0))),_xlfn.XLOOKUP($H$2:$H$1074,Sheet1!$G:$G,Sheet1!$F:$F,"")),"NOT FOUND"))</f>
        <v>GETKRTSFUT6103</v>
      </c>
      <c r="AF130" s="10" t="str">
        <f t="shared" si="9"/>
        <v>LIME GREEN</v>
      </c>
      <c r="AG130" s="11" t="str">
        <f t="shared" si="10"/>
        <v>JHAJJAR</v>
      </c>
      <c r="AH130" s="9" t="str">
        <f>IF(OR(J130="",AE130="",AE130="NOT FOUND"),"",IF(Y130="RP",IFERROR(LEFT(_xlfn.XLOOKUP(AE130,Sheet1!$F:$F,Sheet1!$W:$W),FIND("-",_xlfn.XLOOKUP(AE130,Sheet1!$F:$F,Sheet1!$W:$W),FIND("-",_xlfn.XLOOKUP(AE130,Sheet1!$F:$F,Sheet1!$W:$W))+1))&amp;AE130,"NOT FOUND"),LEFT(J130,FIND("-",J130,FIND("-",J130)+1))&amp;AE130))</f>
        <v>KRTS-APWN26-GETKRTSFUT6103</v>
      </c>
    </row>
    <row r="131" spans="1:34" ht="15.75" customHeight="1" x14ac:dyDescent="0.2">
      <c r="A131" s="4" t="s">
        <v>59</v>
      </c>
      <c r="B131" s="4" t="s">
        <v>234</v>
      </c>
      <c r="C131" s="4" t="s">
        <v>64</v>
      </c>
      <c r="D131" s="4" t="s">
        <v>81</v>
      </c>
      <c r="E131" s="4" t="s">
        <v>34</v>
      </c>
      <c r="F131" s="4" t="s">
        <v>35</v>
      </c>
      <c r="G131" s="4" t="s">
        <v>55</v>
      </c>
      <c r="H131" s="4" t="s">
        <v>201</v>
      </c>
      <c r="I131" s="4" t="s">
        <v>202</v>
      </c>
      <c r="J131" s="4" t="s">
        <v>203</v>
      </c>
      <c r="L131" s="4" t="s">
        <v>40</v>
      </c>
      <c r="M131" s="4">
        <v>1</v>
      </c>
      <c r="N131" s="4">
        <v>95</v>
      </c>
      <c r="O131" s="4">
        <v>95</v>
      </c>
      <c r="P131" s="4" t="s">
        <v>41</v>
      </c>
      <c r="Q131" s="4">
        <v>404.7</v>
      </c>
      <c r="R131" s="4">
        <v>404.7</v>
      </c>
      <c r="S131" s="4">
        <v>1922.33</v>
      </c>
      <c r="T131" s="4">
        <v>38446.5</v>
      </c>
      <c r="U131" s="4">
        <v>5</v>
      </c>
      <c r="V131" s="4" t="s">
        <v>42</v>
      </c>
      <c r="X131" s="7" t="str">
        <f t="shared" si="0"/>
        <v>441811101</v>
      </c>
      <c r="Y131" s="8" t="str">
        <f t="shared" si="1"/>
        <v>DC</v>
      </c>
      <c r="Z131" s="8">
        <f t="shared" si="2"/>
        <v>0</v>
      </c>
      <c r="AA131" s="8">
        <f t="shared" si="3"/>
        <v>0</v>
      </c>
      <c r="AB131" s="8">
        <f t="shared" si="4"/>
        <v>0</v>
      </c>
      <c r="AC131" s="8">
        <f t="shared" si="5"/>
        <v>95</v>
      </c>
      <c r="AD131" s="8">
        <f t="shared" si="6"/>
        <v>0</v>
      </c>
      <c r="AE131" s="9" t="str" cm="1">
        <f t="array" ref="AE131">IFERROR(_xlfn.XLOOKUP(H131,Sheet1!$G:$G,Sheet1!$F:$F),IFERROR(_xlfn.XLOOKUP(1,(--($X$2:$X$1074=X131))*(--ISNUMBER(MATCH($H$2:$H$1074,Sheet1!$G:$G,0))),_xlfn.XLOOKUP($H$2:$H$1074,Sheet1!$G:$G,Sheet1!$F:$F,"")),"NOT FOUND"))</f>
        <v>GETKRTSFUT6103</v>
      </c>
      <c r="AF131" s="10" t="str">
        <f t="shared" ref="AF131:AF194" si="11">IFERROR(IF(ISNUMBER(SEARCH("(RP)",J131)),TRIM(SUBSTITUTE(MID(J131,10,LEN(J131)),"(RP)","")),TRIM(MID(J131,FIND(",",J131)+1,FIND(",",J131,FIND(",",J131)+1)-FIND(",",J131)-1))),"")</f>
        <v>LIME GREEN</v>
      </c>
      <c r="AG131" s="11" t="str">
        <f t="shared" ref="AG131:AG194" si="12">IF(A131="SZAF","Bangalore",IF(A131="SAEX","JHAJJAR",IF(A131="S0EU","HARIPAL","")))</f>
        <v>JHAJJAR</v>
      </c>
      <c r="AH131" s="9" t="str">
        <f>IF(OR(J131="",AE131="",AE131="NOT FOUND"),"",IF(Y131="RP",IFERROR(LEFT(_xlfn.XLOOKUP(AE131,Sheet1!$F:$F,Sheet1!$W:$W),FIND("-",_xlfn.XLOOKUP(AE131,Sheet1!$F:$F,Sheet1!$W:$W),FIND("-",_xlfn.XLOOKUP(AE131,Sheet1!$F:$F,Sheet1!$W:$W))+1))&amp;AE131,"NOT FOUND"),LEFT(J131,FIND("-",J131,FIND("-",J131)+1))&amp;AE131))</f>
        <v>KRTS-APWN26-GETKRTSFUT6103</v>
      </c>
    </row>
    <row r="132" spans="1:34" ht="15.75" customHeight="1" x14ac:dyDescent="0.2">
      <c r="A132" s="4" t="s">
        <v>30</v>
      </c>
      <c r="B132" s="4" t="s">
        <v>235</v>
      </c>
      <c r="C132" s="4" t="s">
        <v>64</v>
      </c>
      <c r="D132" s="4" t="s">
        <v>218</v>
      </c>
      <c r="E132" s="4" t="s">
        <v>34</v>
      </c>
      <c r="F132" s="4" t="s">
        <v>35</v>
      </c>
      <c r="G132" s="4" t="s">
        <v>36</v>
      </c>
      <c r="H132" s="4" t="s">
        <v>236</v>
      </c>
      <c r="I132" s="4" t="s">
        <v>237</v>
      </c>
      <c r="J132" s="4" t="s">
        <v>238</v>
      </c>
      <c r="L132" s="4" t="s">
        <v>40</v>
      </c>
      <c r="M132" s="4">
        <v>1</v>
      </c>
      <c r="N132" s="4">
        <v>30</v>
      </c>
      <c r="O132" s="4">
        <v>30</v>
      </c>
      <c r="P132" s="4" t="s">
        <v>41</v>
      </c>
      <c r="Q132" s="4">
        <v>304.7</v>
      </c>
      <c r="R132" s="4">
        <v>304.7</v>
      </c>
      <c r="S132" s="4">
        <v>457.05</v>
      </c>
      <c r="T132" s="4">
        <v>9141</v>
      </c>
      <c r="U132" s="4">
        <v>5</v>
      </c>
      <c r="V132" s="4" t="s">
        <v>42</v>
      </c>
      <c r="X132" s="7" t="str">
        <f t="shared" si="0"/>
        <v>441811098</v>
      </c>
      <c r="Y132" s="8" t="str">
        <f t="shared" si="1"/>
        <v>DC</v>
      </c>
      <c r="Z132" s="8">
        <f t="shared" si="2"/>
        <v>0</v>
      </c>
      <c r="AA132" s="8">
        <f t="shared" si="3"/>
        <v>0</v>
      </c>
      <c r="AB132" s="8">
        <f t="shared" si="4"/>
        <v>0</v>
      </c>
      <c r="AC132" s="8">
        <f t="shared" si="5"/>
        <v>0</v>
      </c>
      <c r="AD132" s="8">
        <f t="shared" si="6"/>
        <v>30</v>
      </c>
      <c r="AE132" s="9" t="str" cm="1">
        <f t="array" ref="AE132">IFERROR(_xlfn.XLOOKUP(H132,Sheet1!$G:$G,Sheet1!$F:$F),IFERROR(_xlfn.XLOOKUP(1,(--($X$2:$X$1074=X132))*(--ISNUMBER(MATCH($H$2:$H$1074,Sheet1!$G:$G,0))),_xlfn.XLOOKUP($H$2:$H$1074,Sheet1!$G:$G,Sheet1!$F:$F,"")),"NOT FOUND"))</f>
        <v>GETKRTSFUT6098</v>
      </c>
      <c r="AF132" s="10" t="str">
        <f t="shared" si="11"/>
        <v>MUSTARD</v>
      </c>
      <c r="AG132" s="11" t="str">
        <f t="shared" si="12"/>
        <v>Bangalore</v>
      </c>
      <c r="AH132" s="9" t="str">
        <f>IF(OR(J132="",AE132="",AE132="NOT FOUND"),"",IF(Y132="RP",IFERROR(LEFT(_xlfn.XLOOKUP(AE132,Sheet1!$F:$F,Sheet1!$W:$W),FIND("-",_xlfn.XLOOKUP(AE132,Sheet1!$F:$F,Sheet1!$W:$W),FIND("-",_xlfn.XLOOKUP(AE132,Sheet1!$F:$F,Sheet1!$W:$W))+1))&amp;AE132,"NOT FOUND"),LEFT(J132,FIND("-",J132,FIND("-",J132)+1))&amp;AE132))</f>
        <v>KRTS-APWN26-GETKRTSFUT6098</v>
      </c>
    </row>
    <row r="133" spans="1:34" ht="15.75" customHeight="1" x14ac:dyDescent="0.2">
      <c r="A133" s="4" t="s">
        <v>30</v>
      </c>
      <c r="B133" s="4" t="s">
        <v>235</v>
      </c>
      <c r="C133" s="4" t="s">
        <v>64</v>
      </c>
      <c r="D133" s="4" t="s">
        <v>218</v>
      </c>
      <c r="E133" s="4" t="s">
        <v>34</v>
      </c>
      <c r="F133" s="4" t="s">
        <v>35</v>
      </c>
      <c r="G133" s="4" t="s">
        <v>43</v>
      </c>
      <c r="H133" s="4" t="s">
        <v>239</v>
      </c>
      <c r="I133" s="4" t="s">
        <v>240</v>
      </c>
      <c r="J133" s="4" t="s">
        <v>241</v>
      </c>
      <c r="L133" s="4" t="s">
        <v>40</v>
      </c>
      <c r="M133" s="4">
        <v>1</v>
      </c>
      <c r="N133" s="4">
        <v>257</v>
      </c>
      <c r="O133" s="4">
        <v>257</v>
      </c>
      <c r="P133" s="4" t="s">
        <v>41</v>
      </c>
      <c r="Q133" s="4">
        <v>304.7</v>
      </c>
      <c r="R133" s="4">
        <v>304.7</v>
      </c>
      <c r="S133" s="4">
        <v>3915.4</v>
      </c>
      <c r="T133" s="4">
        <v>78307.899999999994</v>
      </c>
      <c r="U133" s="4">
        <v>5</v>
      </c>
      <c r="V133" s="4" t="s">
        <v>42</v>
      </c>
      <c r="X133" s="7" t="str">
        <f t="shared" si="0"/>
        <v>441811098</v>
      </c>
      <c r="Y133" s="8" t="str">
        <f t="shared" si="1"/>
        <v>DC</v>
      </c>
      <c r="Z133" s="8">
        <f t="shared" si="2"/>
        <v>0</v>
      </c>
      <c r="AA133" s="8">
        <f t="shared" si="3"/>
        <v>0</v>
      </c>
      <c r="AB133" s="8">
        <f t="shared" si="4"/>
        <v>257</v>
      </c>
      <c r="AC133" s="8">
        <f t="shared" si="5"/>
        <v>0</v>
      </c>
      <c r="AD133" s="8">
        <f t="shared" si="6"/>
        <v>0</v>
      </c>
      <c r="AE133" s="9" t="str" cm="1">
        <f t="array" ref="AE133">IFERROR(_xlfn.XLOOKUP(H133,Sheet1!$G:$G,Sheet1!$F:$F),IFERROR(_xlfn.XLOOKUP(1,(--($X$2:$X$1074=X133))*(--ISNUMBER(MATCH($H$2:$H$1074,Sheet1!$G:$G,0))),_xlfn.XLOOKUP($H$2:$H$1074,Sheet1!$G:$G,Sheet1!$F:$F,"")),"NOT FOUND"))</f>
        <v>GETKRTSFUT6098</v>
      </c>
      <c r="AF133" s="10" t="str">
        <f t="shared" si="11"/>
        <v>MUSTARD</v>
      </c>
      <c r="AG133" s="11" t="str">
        <f t="shared" si="12"/>
        <v>Bangalore</v>
      </c>
      <c r="AH133" s="9" t="str">
        <f>IF(OR(J133="",AE133="",AE133="NOT FOUND"),"",IF(Y133="RP",IFERROR(LEFT(_xlfn.XLOOKUP(AE133,Sheet1!$F:$F,Sheet1!$W:$W),FIND("-",_xlfn.XLOOKUP(AE133,Sheet1!$F:$F,Sheet1!$W:$W),FIND("-",_xlfn.XLOOKUP(AE133,Sheet1!$F:$F,Sheet1!$W:$W))+1))&amp;AE133,"NOT FOUND"),LEFT(J133,FIND("-",J133,FIND("-",J133)+1))&amp;AE133))</f>
        <v>KRTS-APWN26-GETKRTSFUT6098</v>
      </c>
    </row>
    <row r="134" spans="1:34" ht="15.75" customHeight="1" x14ac:dyDescent="0.2">
      <c r="A134" s="4" t="s">
        <v>30</v>
      </c>
      <c r="B134" s="4" t="s">
        <v>235</v>
      </c>
      <c r="C134" s="4" t="s">
        <v>64</v>
      </c>
      <c r="D134" s="4" t="s">
        <v>218</v>
      </c>
      <c r="E134" s="4" t="s">
        <v>34</v>
      </c>
      <c r="F134" s="4" t="s">
        <v>35</v>
      </c>
      <c r="G134" s="4" t="s">
        <v>47</v>
      </c>
      <c r="H134" s="4" t="s">
        <v>242</v>
      </c>
      <c r="I134" s="4" t="s">
        <v>243</v>
      </c>
      <c r="J134" s="4" t="s">
        <v>244</v>
      </c>
      <c r="L134" s="4" t="s">
        <v>40</v>
      </c>
      <c r="M134" s="4">
        <v>1</v>
      </c>
      <c r="N134" s="4">
        <v>257</v>
      </c>
      <c r="O134" s="4">
        <v>257</v>
      </c>
      <c r="P134" s="4" t="s">
        <v>41</v>
      </c>
      <c r="Q134" s="4">
        <v>304.7</v>
      </c>
      <c r="R134" s="4">
        <v>304.7</v>
      </c>
      <c r="S134" s="4">
        <v>3915.4</v>
      </c>
      <c r="T134" s="4">
        <v>78307.899999999994</v>
      </c>
      <c r="U134" s="4">
        <v>5</v>
      </c>
      <c r="V134" s="4" t="s">
        <v>42</v>
      </c>
      <c r="X134" s="7" t="str">
        <f t="shared" si="0"/>
        <v>441811098</v>
      </c>
      <c r="Y134" s="8" t="str">
        <f t="shared" si="1"/>
        <v>DC</v>
      </c>
      <c r="Z134" s="8">
        <f t="shared" si="2"/>
        <v>0</v>
      </c>
      <c r="AA134" s="8">
        <f t="shared" si="3"/>
        <v>257</v>
      </c>
      <c r="AB134" s="8">
        <f t="shared" si="4"/>
        <v>0</v>
      </c>
      <c r="AC134" s="8">
        <f t="shared" si="5"/>
        <v>0</v>
      </c>
      <c r="AD134" s="8">
        <f t="shared" si="6"/>
        <v>0</v>
      </c>
      <c r="AE134" s="9" t="str" cm="1">
        <f t="array" ref="AE134">IFERROR(_xlfn.XLOOKUP(H134,Sheet1!$G:$G,Sheet1!$F:$F),IFERROR(_xlfn.XLOOKUP(1,(--($X$2:$X$1074=X134))*(--ISNUMBER(MATCH($H$2:$H$1074,Sheet1!$G:$G,0))),_xlfn.XLOOKUP($H$2:$H$1074,Sheet1!$G:$G,Sheet1!$F:$F,"")),"NOT FOUND"))</f>
        <v>GETKRTSFUT6098</v>
      </c>
      <c r="AF134" s="10" t="str">
        <f t="shared" si="11"/>
        <v>MUSTARD</v>
      </c>
      <c r="AG134" s="11" t="str">
        <f t="shared" si="12"/>
        <v>Bangalore</v>
      </c>
      <c r="AH134" s="9" t="str">
        <f>IF(OR(J134="",AE134="",AE134="NOT FOUND"),"",IF(Y134="RP",IFERROR(LEFT(_xlfn.XLOOKUP(AE134,Sheet1!$F:$F,Sheet1!$W:$W),FIND("-",_xlfn.XLOOKUP(AE134,Sheet1!$F:$F,Sheet1!$W:$W),FIND("-",_xlfn.XLOOKUP(AE134,Sheet1!$F:$F,Sheet1!$W:$W))+1))&amp;AE134,"NOT FOUND"),LEFT(J134,FIND("-",J134,FIND("-",J134)+1))&amp;AE134))</f>
        <v>KRTS-APWN26-GETKRTSFUT6098</v>
      </c>
    </row>
    <row r="135" spans="1:34" ht="15.75" customHeight="1" x14ac:dyDescent="0.2">
      <c r="A135" s="4" t="s">
        <v>30</v>
      </c>
      <c r="B135" s="4" t="s">
        <v>235</v>
      </c>
      <c r="C135" s="4" t="s">
        <v>64</v>
      </c>
      <c r="D135" s="4" t="s">
        <v>218</v>
      </c>
      <c r="E135" s="4" t="s">
        <v>34</v>
      </c>
      <c r="F135" s="4" t="s">
        <v>35</v>
      </c>
      <c r="G135" s="4" t="s">
        <v>51</v>
      </c>
      <c r="H135" s="4" t="s">
        <v>245</v>
      </c>
      <c r="I135" s="4" t="s">
        <v>246</v>
      </c>
      <c r="J135" s="4" t="s">
        <v>247</v>
      </c>
      <c r="L135" s="4" t="s">
        <v>40</v>
      </c>
      <c r="M135" s="4">
        <v>1</v>
      </c>
      <c r="N135" s="4">
        <v>30</v>
      </c>
      <c r="O135" s="4">
        <v>30</v>
      </c>
      <c r="P135" s="4" t="s">
        <v>41</v>
      </c>
      <c r="Q135" s="4">
        <v>304.7</v>
      </c>
      <c r="R135" s="4">
        <v>304.7</v>
      </c>
      <c r="S135" s="4">
        <v>457.05</v>
      </c>
      <c r="T135" s="4">
        <v>9141</v>
      </c>
      <c r="U135" s="4">
        <v>5</v>
      </c>
      <c r="V135" s="4" t="s">
        <v>42</v>
      </c>
      <c r="X135" s="7" t="str">
        <f t="shared" si="0"/>
        <v>441811098</v>
      </c>
      <c r="Y135" s="8" t="str">
        <f t="shared" si="1"/>
        <v>DC</v>
      </c>
      <c r="Z135" s="8">
        <f t="shared" si="2"/>
        <v>30</v>
      </c>
      <c r="AA135" s="8">
        <f t="shared" si="3"/>
        <v>0</v>
      </c>
      <c r="AB135" s="8">
        <f t="shared" si="4"/>
        <v>0</v>
      </c>
      <c r="AC135" s="8">
        <f t="shared" si="5"/>
        <v>0</v>
      </c>
      <c r="AD135" s="8">
        <f t="shared" si="6"/>
        <v>0</v>
      </c>
      <c r="AE135" s="9" t="str" cm="1">
        <f t="array" ref="AE135">IFERROR(_xlfn.XLOOKUP(H135,Sheet1!$G:$G,Sheet1!$F:$F),IFERROR(_xlfn.XLOOKUP(1,(--($X$2:$X$1074=X135))*(--ISNUMBER(MATCH($H$2:$H$1074,Sheet1!$G:$G,0))),_xlfn.XLOOKUP($H$2:$H$1074,Sheet1!$G:$G,Sheet1!$F:$F,"")),"NOT FOUND"))</f>
        <v>GETKRTSFUT6098</v>
      </c>
      <c r="AF135" s="10" t="str">
        <f t="shared" si="11"/>
        <v>MUSTARD</v>
      </c>
      <c r="AG135" s="11" t="str">
        <f t="shared" si="12"/>
        <v>Bangalore</v>
      </c>
      <c r="AH135" s="9" t="str">
        <f>IF(OR(J135="",AE135="",AE135="NOT FOUND"),"",IF(Y135="RP",IFERROR(LEFT(_xlfn.XLOOKUP(AE135,Sheet1!$F:$F,Sheet1!$W:$W),FIND("-",_xlfn.XLOOKUP(AE135,Sheet1!$F:$F,Sheet1!$W:$W),FIND("-",_xlfn.XLOOKUP(AE135,Sheet1!$F:$F,Sheet1!$W:$W))+1))&amp;AE135,"NOT FOUND"),LEFT(J135,FIND("-",J135,FIND("-",J135)+1))&amp;AE135))</f>
        <v>KRTS-APWN26-GETKRTSFUT6098</v>
      </c>
    </row>
    <row r="136" spans="1:34" ht="15.75" customHeight="1" x14ac:dyDescent="0.2">
      <c r="A136" s="4" t="s">
        <v>30</v>
      </c>
      <c r="B136" s="4" t="s">
        <v>235</v>
      </c>
      <c r="C136" s="4" t="s">
        <v>64</v>
      </c>
      <c r="D136" s="4" t="s">
        <v>218</v>
      </c>
      <c r="E136" s="4" t="s">
        <v>34</v>
      </c>
      <c r="F136" s="4" t="s">
        <v>35</v>
      </c>
      <c r="G136" s="4" t="s">
        <v>55</v>
      </c>
      <c r="H136" s="4" t="s">
        <v>248</v>
      </c>
      <c r="I136" s="4" t="s">
        <v>249</v>
      </c>
      <c r="J136" s="4" t="s">
        <v>250</v>
      </c>
      <c r="L136" s="4" t="s">
        <v>40</v>
      </c>
      <c r="M136" s="4">
        <v>1</v>
      </c>
      <c r="N136" s="4">
        <v>217</v>
      </c>
      <c r="O136" s="4">
        <v>217</v>
      </c>
      <c r="P136" s="4" t="s">
        <v>41</v>
      </c>
      <c r="Q136" s="4">
        <v>304.7</v>
      </c>
      <c r="R136" s="4">
        <v>304.7</v>
      </c>
      <c r="S136" s="4">
        <v>3306</v>
      </c>
      <c r="T136" s="4">
        <v>66119.899999999994</v>
      </c>
      <c r="U136" s="4">
        <v>5</v>
      </c>
      <c r="V136" s="4" t="s">
        <v>42</v>
      </c>
      <c r="X136" s="7" t="str">
        <f t="shared" si="0"/>
        <v>441811098</v>
      </c>
      <c r="Y136" s="8" t="str">
        <f t="shared" si="1"/>
        <v>DC</v>
      </c>
      <c r="Z136" s="8">
        <f t="shared" si="2"/>
        <v>0</v>
      </c>
      <c r="AA136" s="8">
        <f t="shared" si="3"/>
        <v>0</v>
      </c>
      <c r="AB136" s="8">
        <f t="shared" si="4"/>
        <v>0</v>
      </c>
      <c r="AC136" s="8">
        <f t="shared" si="5"/>
        <v>217</v>
      </c>
      <c r="AD136" s="8">
        <f t="shared" si="6"/>
        <v>0</v>
      </c>
      <c r="AE136" s="9" t="str" cm="1">
        <f t="array" ref="AE136">IFERROR(_xlfn.XLOOKUP(H136,Sheet1!$G:$G,Sheet1!$F:$F),IFERROR(_xlfn.XLOOKUP(1,(--($X$2:$X$1074=X136))*(--ISNUMBER(MATCH($H$2:$H$1074,Sheet1!$G:$G,0))),_xlfn.XLOOKUP($H$2:$H$1074,Sheet1!$G:$G,Sheet1!$F:$F,"")),"NOT FOUND"))</f>
        <v>GETKRTSFUT6098</v>
      </c>
      <c r="AF136" s="10" t="str">
        <f t="shared" si="11"/>
        <v>MUSTARD</v>
      </c>
      <c r="AG136" s="11" t="str">
        <f t="shared" si="12"/>
        <v>Bangalore</v>
      </c>
      <c r="AH136" s="9" t="str">
        <f>IF(OR(J136="",AE136="",AE136="NOT FOUND"),"",IF(Y136="RP",IFERROR(LEFT(_xlfn.XLOOKUP(AE136,Sheet1!$F:$F,Sheet1!$W:$W),FIND("-",_xlfn.XLOOKUP(AE136,Sheet1!$F:$F,Sheet1!$W:$W),FIND("-",_xlfn.XLOOKUP(AE136,Sheet1!$F:$F,Sheet1!$W:$W))+1))&amp;AE136,"NOT FOUND"),LEFT(J136,FIND("-",J136,FIND("-",J136)+1))&amp;AE136))</f>
        <v>KRTS-APWN26-GETKRTSFUT6098</v>
      </c>
    </row>
    <row r="137" spans="1:34" ht="15.75" customHeight="1" x14ac:dyDescent="0.2">
      <c r="A137" s="4" t="s">
        <v>59</v>
      </c>
      <c r="B137" s="4" t="s">
        <v>251</v>
      </c>
      <c r="C137" s="4" t="s">
        <v>64</v>
      </c>
      <c r="D137" s="4" t="s">
        <v>205</v>
      </c>
      <c r="E137" s="4" t="s">
        <v>34</v>
      </c>
      <c r="F137" s="4" t="s">
        <v>35</v>
      </c>
      <c r="G137" s="4" t="s">
        <v>36</v>
      </c>
      <c r="H137" s="4" t="s">
        <v>206</v>
      </c>
      <c r="I137" s="4" t="s">
        <v>207</v>
      </c>
      <c r="J137" s="4" t="s">
        <v>191</v>
      </c>
      <c r="L137" s="4" t="s">
        <v>40</v>
      </c>
      <c r="M137" s="4">
        <v>1</v>
      </c>
      <c r="N137" s="4">
        <v>30</v>
      </c>
      <c r="O137" s="4">
        <v>30</v>
      </c>
      <c r="P137" s="4" t="s">
        <v>41</v>
      </c>
      <c r="Q137" s="4">
        <v>399.7</v>
      </c>
      <c r="R137" s="4">
        <v>399.7</v>
      </c>
      <c r="S137" s="4">
        <v>599.54999999999995</v>
      </c>
      <c r="T137" s="4">
        <v>11991</v>
      </c>
      <c r="U137" s="4">
        <v>5</v>
      </c>
      <c r="V137" s="4" t="s">
        <v>42</v>
      </c>
      <c r="X137" s="7" t="str">
        <f t="shared" si="0"/>
        <v>441811100</v>
      </c>
      <c r="Y137" s="8" t="str">
        <f t="shared" si="1"/>
        <v>DC</v>
      </c>
      <c r="Z137" s="8">
        <f t="shared" si="2"/>
        <v>0</v>
      </c>
      <c r="AA137" s="8">
        <f t="shared" si="3"/>
        <v>0</v>
      </c>
      <c r="AB137" s="8">
        <f t="shared" si="4"/>
        <v>0</v>
      </c>
      <c r="AC137" s="8">
        <f t="shared" si="5"/>
        <v>0</v>
      </c>
      <c r="AD137" s="8">
        <f t="shared" si="6"/>
        <v>30</v>
      </c>
      <c r="AE137" s="9" t="str" cm="1">
        <f t="array" ref="AE137">IFERROR(_xlfn.XLOOKUP(H137,Sheet1!$G:$G,Sheet1!$F:$F),IFERROR(_xlfn.XLOOKUP(1,(--($X$2:$X$1074=X137))*(--ISNUMBER(MATCH($H$2:$H$1074,Sheet1!$G:$G,0))),_xlfn.XLOOKUP($H$2:$H$1074,Sheet1!$G:$G,Sheet1!$F:$F,"")),"NOT FOUND"))</f>
        <v>GETKRTSFUT6101</v>
      </c>
      <c r="AF137" s="10" t="str">
        <f t="shared" si="11"/>
        <v>LIME GREEN</v>
      </c>
      <c r="AG137" s="11" t="str">
        <f t="shared" si="12"/>
        <v>JHAJJAR</v>
      </c>
      <c r="AH137" s="9" t="str">
        <f>IF(OR(J137="",AE137="",AE137="NOT FOUND"),"",IF(Y137="RP",IFERROR(LEFT(_xlfn.XLOOKUP(AE137,Sheet1!$F:$F,Sheet1!$W:$W),FIND("-",_xlfn.XLOOKUP(AE137,Sheet1!$F:$F,Sheet1!$W:$W),FIND("-",_xlfn.XLOOKUP(AE137,Sheet1!$F:$F,Sheet1!$W:$W))+1))&amp;AE137,"NOT FOUND"),LEFT(J137,FIND("-",J137,FIND("-",J137)+1))&amp;AE137))</f>
        <v>KRTS-APWN26-GETKRTSFUT6101</v>
      </c>
    </row>
    <row r="138" spans="1:34" ht="15.75" customHeight="1" x14ac:dyDescent="0.2">
      <c r="A138" s="4" t="s">
        <v>59</v>
      </c>
      <c r="B138" s="4" t="s">
        <v>251</v>
      </c>
      <c r="C138" s="4" t="s">
        <v>64</v>
      </c>
      <c r="D138" s="4" t="s">
        <v>205</v>
      </c>
      <c r="E138" s="4" t="s">
        <v>34</v>
      </c>
      <c r="F138" s="4" t="s">
        <v>35</v>
      </c>
      <c r="G138" s="4" t="s">
        <v>43</v>
      </c>
      <c r="H138" s="4" t="s">
        <v>208</v>
      </c>
      <c r="I138" s="4" t="s">
        <v>209</v>
      </c>
      <c r="J138" s="4" t="s">
        <v>194</v>
      </c>
      <c r="L138" s="4" t="s">
        <v>40</v>
      </c>
      <c r="M138" s="4">
        <v>1</v>
      </c>
      <c r="N138" s="4">
        <v>119</v>
      </c>
      <c r="O138" s="4">
        <v>119</v>
      </c>
      <c r="P138" s="4" t="s">
        <v>41</v>
      </c>
      <c r="Q138" s="4">
        <v>399.7</v>
      </c>
      <c r="R138" s="4">
        <v>399.7</v>
      </c>
      <c r="S138" s="4">
        <v>2378.2199999999998</v>
      </c>
      <c r="T138" s="4">
        <v>47564.3</v>
      </c>
      <c r="U138" s="4">
        <v>5</v>
      </c>
      <c r="V138" s="4" t="s">
        <v>42</v>
      </c>
      <c r="X138" s="7" t="str">
        <f t="shared" si="0"/>
        <v>441811100</v>
      </c>
      <c r="Y138" s="8" t="str">
        <f t="shared" si="1"/>
        <v>DC</v>
      </c>
      <c r="Z138" s="8">
        <f t="shared" si="2"/>
        <v>0</v>
      </c>
      <c r="AA138" s="8">
        <f t="shared" si="3"/>
        <v>0</v>
      </c>
      <c r="AB138" s="8">
        <f t="shared" si="4"/>
        <v>119</v>
      </c>
      <c r="AC138" s="8">
        <f t="shared" si="5"/>
        <v>0</v>
      </c>
      <c r="AD138" s="8">
        <f t="shared" si="6"/>
        <v>0</v>
      </c>
      <c r="AE138" s="9" t="str" cm="1">
        <f t="array" ref="AE138">IFERROR(_xlfn.XLOOKUP(H138,Sheet1!$G:$G,Sheet1!$F:$F),IFERROR(_xlfn.XLOOKUP(1,(--($X$2:$X$1074=X138))*(--ISNUMBER(MATCH($H$2:$H$1074,Sheet1!$G:$G,0))),_xlfn.XLOOKUP($H$2:$H$1074,Sheet1!$G:$G,Sheet1!$F:$F,"")),"NOT FOUND"))</f>
        <v>GETKRTSFUT6101</v>
      </c>
      <c r="AF138" s="10" t="str">
        <f t="shared" si="11"/>
        <v>LIME GREEN</v>
      </c>
      <c r="AG138" s="11" t="str">
        <f t="shared" si="12"/>
        <v>JHAJJAR</v>
      </c>
      <c r="AH138" s="9" t="str">
        <f>IF(OR(J138="",AE138="",AE138="NOT FOUND"),"",IF(Y138="RP",IFERROR(LEFT(_xlfn.XLOOKUP(AE138,Sheet1!$F:$F,Sheet1!$W:$W),FIND("-",_xlfn.XLOOKUP(AE138,Sheet1!$F:$F,Sheet1!$W:$W),FIND("-",_xlfn.XLOOKUP(AE138,Sheet1!$F:$F,Sheet1!$W:$W))+1))&amp;AE138,"NOT FOUND"),LEFT(J138,FIND("-",J138,FIND("-",J138)+1))&amp;AE138))</f>
        <v>KRTS-APWN26-GETKRTSFUT6101</v>
      </c>
    </row>
    <row r="139" spans="1:34" ht="15.75" customHeight="1" x14ac:dyDescent="0.2">
      <c r="A139" s="4" t="s">
        <v>59</v>
      </c>
      <c r="B139" s="4" t="s">
        <v>251</v>
      </c>
      <c r="C139" s="4" t="s">
        <v>64</v>
      </c>
      <c r="D139" s="4" t="s">
        <v>205</v>
      </c>
      <c r="E139" s="4" t="s">
        <v>34</v>
      </c>
      <c r="F139" s="4" t="s">
        <v>35</v>
      </c>
      <c r="G139" s="4" t="s">
        <v>47</v>
      </c>
      <c r="H139" s="4" t="s">
        <v>210</v>
      </c>
      <c r="I139" s="4" t="s">
        <v>211</v>
      </c>
      <c r="J139" s="4" t="s">
        <v>197</v>
      </c>
      <c r="L139" s="4" t="s">
        <v>40</v>
      </c>
      <c r="M139" s="4">
        <v>1</v>
      </c>
      <c r="N139" s="4">
        <v>119</v>
      </c>
      <c r="O139" s="4">
        <v>119</v>
      </c>
      <c r="P139" s="4" t="s">
        <v>41</v>
      </c>
      <c r="Q139" s="4">
        <v>399.7</v>
      </c>
      <c r="R139" s="4">
        <v>399.7</v>
      </c>
      <c r="S139" s="4">
        <v>2378.2199999999998</v>
      </c>
      <c r="T139" s="4">
        <v>47564.3</v>
      </c>
      <c r="U139" s="4">
        <v>5</v>
      </c>
      <c r="V139" s="4" t="s">
        <v>42</v>
      </c>
      <c r="X139" s="7" t="str">
        <f t="shared" si="0"/>
        <v>441811100</v>
      </c>
      <c r="Y139" s="8" t="str">
        <f t="shared" si="1"/>
        <v>DC</v>
      </c>
      <c r="Z139" s="8">
        <f t="shared" si="2"/>
        <v>0</v>
      </c>
      <c r="AA139" s="8">
        <f t="shared" si="3"/>
        <v>119</v>
      </c>
      <c r="AB139" s="8">
        <f t="shared" si="4"/>
        <v>0</v>
      </c>
      <c r="AC139" s="8">
        <f t="shared" si="5"/>
        <v>0</v>
      </c>
      <c r="AD139" s="8">
        <f t="shared" si="6"/>
        <v>0</v>
      </c>
      <c r="AE139" s="9" t="str" cm="1">
        <f t="array" ref="AE139">IFERROR(_xlfn.XLOOKUP(H139,Sheet1!$G:$G,Sheet1!$F:$F),IFERROR(_xlfn.XLOOKUP(1,(--($X$2:$X$1074=X139))*(--ISNUMBER(MATCH($H$2:$H$1074,Sheet1!$G:$G,0))),_xlfn.XLOOKUP($H$2:$H$1074,Sheet1!$G:$G,Sheet1!$F:$F,"")),"NOT FOUND"))</f>
        <v>GETKRTSFUT6101</v>
      </c>
      <c r="AF139" s="10" t="str">
        <f t="shared" si="11"/>
        <v>LIME GREEN</v>
      </c>
      <c r="AG139" s="11" t="str">
        <f t="shared" si="12"/>
        <v>JHAJJAR</v>
      </c>
      <c r="AH139" s="9" t="str">
        <f>IF(OR(J139="",AE139="",AE139="NOT FOUND"),"",IF(Y139="RP",IFERROR(LEFT(_xlfn.XLOOKUP(AE139,Sheet1!$F:$F,Sheet1!$W:$W),FIND("-",_xlfn.XLOOKUP(AE139,Sheet1!$F:$F,Sheet1!$W:$W),FIND("-",_xlfn.XLOOKUP(AE139,Sheet1!$F:$F,Sheet1!$W:$W))+1))&amp;AE139,"NOT FOUND"),LEFT(J139,FIND("-",J139,FIND("-",J139)+1))&amp;AE139))</f>
        <v>KRTS-APWN26-GETKRTSFUT6101</v>
      </c>
    </row>
    <row r="140" spans="1:34" ht="15.75" customHeight="1" x14ac:dyDescent="0.2">
      <c r="A140" s="4" t="s">
        <v>59</v>
      </c>
      <c r="B140" s="4" t="s">
        <v>251</v>
      </c>
      <c r="C140" s="4" t="s">
        <v>64</v>
      </c>
      <c r="D140" s="4" t="s">
        <v>205</v>
      </c>
      <c r="E140" s="4" t="s">
        <v>34</v>
      </c>
      <c r="F140" s="4" t="s">
        <v>35</v>
      </c>
      <c r="G140" s="4" t="s">
        <v>51</v>
      </c>
      <c r="H140" s="4" t="s">
        <v>212</v>
      </c>
      <c r="I140" s="4" t="s">
        <v>213</v>
      </c>
      <c r="J140" s="4" t="s">
        <v>200</v>
      </c>
      <c r="L140" s="4" t="s">
        <v>40</v>
      </c>
      <c r="M140" s="4">
        <v>1</v>
      </c>
      <c r="N140" s="4">
        <v>30</v>
      </c>
      <c r="O140" s="4">
        <v>30</v>
      </c>
      <c r="P140" s="4" t="s">
        <v>41</v>
      </c>
      <c r="Q140" s="4">
        <v>399.7</v>
      </c>
      <c r="R140" s="4">
        <v>399.7</v>
      </c>
      <c r="S140" s="4">
        <v>599.54999999999995</v>
      </c>
      <c r="T140" s="4">
        <v>11991</v>
      </c>
      <c r="U140" s="4">
        <v>5</v>
      </c>
      <c r="V140" s="4" t="s">
        <v>42</v>
      </c>
      <c r="X140" s="7" t="str">
        <f t="shared" si="0"/>
        <v>441811100</v>
      </c>
      <c r="Y140" s="8" t="str">
        <f t="shared" si="1"/>
        <v>DC</v>
      </c>
      <c r="Z140" s="8">
        <f t="shared" si="2"/>
        <v>30</v>
      </c>
      <c r="AA140" s="8">
        <f t="shared" si="3"/>
        <v>0</v>
      </c>
      <c r="AB140" s="8">
        <f t="shared" si="4"/>
        <v>0</v>
      </c>
      <c r="AC140" s="8">
        <f t="shared" si="5"/>
        <v>0</v>
      </c>
      <c r="AD140" s="8">
        <f t="shared" si="6"/>
        <v>0</v>
      </c>
      <c r="AE140" s="9" t="str" cm="1">
        <f t="array" ref="AE140">IFERROR(_xlfn.XLOOKUP(H140,Sheet1!$G:$G,Sheet1!$F:$F),IFERROR(_xlfn.XLOOKUP(1,(--($X$2:$X$1074=X140))*(--ISNUMBER(MATCH($H$2:$H$1074,Sheet1!$G:$G,0))),_xlfn.XLOOKUP($H$2:$H$1074,Sheet1!$G:$G,Sheet1!$F:$F,"")),"NOT FOUND"))</f>
        <v>GETKRTSFUT6101</v>
      </c>
      <c r="AF140" s="10" t="str">
        <f t="shared" si="11"/>
        <v>LIME GREEN</v>
      </c>
      <c r="AG140" s="11" t="str">
        <f t="shared" si="12"/>
        <v>JHAJJAR</v>
      </c>
      <c r="AH140" s="9" t="str">
        <f>IF(OR(J140="",AE140="",AE140="NOT FOUND"),"",IF(Y140="RP",IFERROR(LEFT(_xlfn.XLOOKUP(AE140,Sheet1!$F:$F,Sheet1!$W:$W),FIND("-",_xlfn.XLOOKUP(AE140,Sheet1!$F:$F,Sheet1!$W:$W),FIND("-",_xlfn.XLOOKUP(AE140,Sheet1!$F:$F,Sheet1!$W:$W))+1))&amp;AE140,"NOT FOUND"),LEFT(J140,FIND("-",J140,FIND("-",J140)+1))&amp;AE140))</f>
        <v>KRTS-APWN26-GETKRTSFUT6101</v>
      </c>
    </row>
    <row r="141" spans="1:34" ht="15.75" customHeight="1" x14ac:dyDescent="0.2">
      <c r="A141" s="4" t="s">
        <v>59</v>
      </c>
      <c r="B141" s="4" t="s">
        <v>251</v>
      </c>
      <c r="C141" s="4" t="s">
        <v>64</v>
      </c>
      <c r="D141" s="4" t="s">
        <v>205</v>
      </c>
      <c r="E141" s="4" t="s">
        <v>34</v>
      </c>
      <c r="F141" s="4" t="s">
        <v>35</v>
      </c>
      <c r="G141" s="4" t="s">
        <v>55</v>
      </c>
      <c r="H141" s="4" t="s">
        <v>214</v>
      </c>
      <c r="I141" s="4" t="s">
        <v>215</v>
      </c>
      <c r="J141" s="4" t="s">
        <v>203</v>
      </c>
      <c r="L141" s="4" t="s">
        <v>40</v>
      </c>
      <c r="M141" s="4">
        <v>1</v>
      </c>
      <c r="N141" s="4">
        <v>100</v>
      </c>
      <c r="O141" s="4">
        <v>100</v>
      </c>
      <c r="P141" s="4" t="s">
        <v>41</v>
      </c>
      <c r="Q141" s="4">
        <v>399.7</v>
      </c>
      <c r="R141" s="4">
        <v>399.7</v>
      </c>
      <c r="S141" s="4">
        <v>1998.5</v>
      </c>
      <c r="T141" s="4">
        <v>39970</v>
      </c>
      <c r="U141" s="4">
        <v>5</v>
      </c>
      <c r="V141" s="4" t="s">
        <v>42</v>
      </c>
      <c r="X141" s="7" t="str">
        <f t="shared" si="0"/>
        <v>441811100</v>
      </c>
      <c r="Y141" s="8" t="str">
        <f t="shared" si="1"/>
        <v>DC</v>
      </c>
      <c r="Z141" s="8">
        <f t="shared" si="2"/>
        <v>0</v>
      </c>
      <c r="AA141" s="8">
        <f t="shared" si="3"/>
        <v>0</v>
      </c>
      <c r="AB141" s="8">
        <f t="shared" si="4"/>
        <v>0</v>
      </c>
      <c r="AC141" s="8">
        <f t="shared" si="5"/>
        <v>100</v>
      </c>
      <c r="AD141" s="8">
        <f t="shared" si="6"/>
        <v>0</v>
      </c>
      <c r="AE141" s="9" t="str" cm="1">
        <f t="array" ref="AE141">IFERROR(_xlfn.XLOOKUP(H141,Sheet1!$G:$G,Sheet1!$F:$F),IFERROR(_xlfn.XLOOKUP(1,(--($X$2:$X$1074=X141))*(--ISNUMBER(MATCH($H$2:$H$1074,Sheet1!$G:$G,0))),_xlfn.XLOOKUP($H$2:$H$1074,Sheet1!$G:$G,Sheet1!$F:$F,"")),"NOT FOUND"))</f>
        <v>GETKRTSFUT6101</v>
      </c>
      <c r="AF141" s="10" t="str">
        <f t="shared" si="11"/>
        <v>LIME GREEN</v>
      </c>
      <c r="AG141" s="11" t="str">
        <f t="shared" si="12"/>
        <v>JHAJJAR</v>
      </c>
      <c r="AH141" s="9" t="str">
        <f>IF(OR(J141="",AE141="",AE141="NOT FOUND"),"",IF(Y141="RP",IFERROR(LEFT(_xlfn.XLOOKUP(AE141,Sheet1!$F:$F,Sheet1!$W:$W),FIND("-",_xlfn.XLOOKUP(AE141,Sheet1!$F:$F,Sheet1!$W:$W),FIND("-",_xlfn.XLOOKUP(AE141,Sheet1!$F:$F,Sheet1!$W:$W))+1))&amp;AE141,"NOT FOUND"),LEFT(J141,FIND("-",J141,FIND("-",J141)+1))&amp;AE141))</f>
        <v>KRTS-APWN26-GETKRTSFUT6101</v>
      </c>
    </row>
    <row r="142" spans="1:34" ht="15.75" customHeight="1" x14ac:dyDescent="0.2">
      <c r="A142" s="4" t="s">
        <v>30</v>
      </c>
      <c r="B142" s="4" t="s">
        <v>252</v>
      </c>
      <c r="C142" s="4" t="s">
        <v>64</v>
      </c>
      <c r="D142" s="4" t="s">
        <v>218</v>
      </c>
      <c r="E142" s="4" t="s">
        <v>34</v>
      </c>
      <c r="F142" s="4" t="s">
        <v>35</v>
      </c>
      <c r="G142" s="4" t="s">
        <v>36</v>
      </c>
      <c r="H142" s="4" t="s">
        <v>253</v>
      </c>
      <c r="I142" s="4" t="s">
        <v>254</v>
      </c>
      <c r="J142" s="4" t="s">
        <v>255</v>
      </c>
      <c r="L142" s="4" t="s">
        <v>40</v>
      </c>
      <c r="M142" s="4">
        <v>1</v>
      </c>
      <c r="N142" s="4">
        <v>30</v>
      </c>
      <c r="O142" s="4">
        <v>30</v>
      </c>
      <c r="P142" s="4" t="s">
        <v>41</v>
      </c>
      <c r="Q142" s="4">
        <v>304.7</v>
      </c>
      <c r="R142" s="4">
        <v>304.7</v>
      </c>
      <c r="S142" s="4">
        <v>457.05</v>
      </c>
      <c r="T142" s="4">
        <v>9141</v>
      </c>
      <c r="U142" s="4">
        <v>5</v>
      </c>
      <c r="V142" s="4" t="s">
        <v>42</v>
      </c>
      <c r="X142" s="7" t="str">
        <f t="shared" si="0"/>
        <v>441811098</v>
      </c>
      <c r="Y142" s="8" t="str">
        <f t="shared" si="1"/>
        <v>DC</v>
      </c>
      <c r="Z142" s="8">
        <f t="shared" si="2"/>
        <v>0</v>
      </c>
      <c r="AA142" s="8">
        <f t="shared" si="3"/>
        <v>0</v>
      </c>
      <c r="AB142" s="8">
        <f t="shared" si="4"/>
        <v>0</v>
      </c>
      <c r="AC142" s="8">
        <f t="shared" si="5"/>
        <v>0</v>
      </c>
      <c r="AD142" s="8">
        <f t="shared" si="6"/>
        <v>30</v>
      </c>
      <c r="AE142" s="9" t="str" cm="1">
        <f t="array" ref="AE142">IFERROR(_xlfn.XLOOKUP(H142,Sheet1!$G:$G,Sheet1!$F:$F),IFERROR(_xlfn.XLOOKUP(1,(--($X$2:$X$1074=X142))*(--ISNUMBER(MATCH($H$2:$H$1074,Sheet1!$G:$G,0))),_xlfn.XLOOKUP($H$2:$H$1074,Sheet1!$G:$G,Sheet1!$F:$F,"")),"NOT FOUND"))</f>
        <v>GETKRTSFUT6098</v>
      </c>
      <c r="AF142" s="10" t="str">
        <f t="shared" si="11"/>
        <v>MAROON</v>
      </c>
      <c r="AG142" s="11" t="str">
        <f t="shared" si="12"/>
        <v>Bangalore</v>
      </c>
      <c r="AH142" s="9" t="str">
        <f>IF(OR(J142="",AE142="",AE142="NOT FOUND"),"",IF(Y142="RP",IFERROR(LEFT(_xlfn.XLOOKUP(AE142,Sheet1!$F:$F,Sheet1!$W:$W),FIND("-",_xlfn.XLOOKUP(AE142,Sheet1!$F:$F,Sheet1!$W:$W),FIND("-",_xlfn.XLOOKUP(AE142,Sheet1!$F:$F,Sheet1!$W:$W))+1))&amp;AE142,"NOT FOUND"),LEFT(J142,FIND("-",J142,FIND("-",J142)+1))&amp;AE142))</f>
        <v>KRTS-APWN26-GETKRTSFUT6098</v>
      </c>
    </row>
    <row r="143" spans="1:34" ht="15.75" customHeight="1" x14ac:dyDescent="0.2">
      <c r="A143" s="4" t="s">
        <v>30</v>
      </c>
      <c r="B143" s="4" t="s">
        <v>252</v>
      </c>
      <c r="C143" s="4" t="s">
        <v>64</v>
      </c>
      <c r="D143" s="4" t="s">
        <v>218</v>
      </c>
      <c r="E143" s="4" t="s">
        <v>34</v>
      </c>
      <c r="F143" s="4" t="s">
        <v>35</v>
      </c>
      <c r="G143" s="4" t="s">
        <v>43</v>
      </c>
      <c r="H143" s="4" t="s">
        <v>256</v>
      </c>
      <c r="I143" s="4" t="s">
        <v>257</v>
      </c>
      <c r="J143" s="4" t="s">
        <v>258</v>
      </c>
      <c r="L143" s="4" t="s">
        <v>40</v>
      </c>
      <c r="M143" s="4">
        <v>1</v>
      </c>
      <c r="N143" s="4">
        <v>257</v>
      </c>
      <c r="O143" s="4">
        <v>257</v>
      </c>
      <c r="P143" s="4" t="s">
        <v>41</v>
      </c>
      <c r="Q143" s="4">
        <v>304.7</v>
      </c>
      <c r="R143" s="4">
        <v>304.7</v>
      </c>
      <c r="S143" s="4">
        <v>3915.4</v>
      </c>
      <c r="T143" s="4">
        <v>78307.899999999994</v>
      </c>
      <c r="U143" s="4">
        <v>5</v>
      </c>
      <c r="V143" s="4" t="s">
        <v>42</v>
      </c>
      <c r="X143" s="7" t="str">
        <f t="shared" si="0"/>
        <v>441811098</v>
      </c>
      <c r="Y143" s="8" t="str">
        <f t="shared" si="1"/>
        <v>DC</v>
      </c>
      <c r="Z143" s="8">
        <f t="shared" si="2"/>
        <v>0</v>
      </c>
      <c r="AA143" s="8">
        <f t="shared" si="3"/>
        <v>0</v>
      </c>
      <c r="AB143" s="8">
        <f t="shared" si="4"/>
        <v>257</v>
      </c>
      <c r="AC143" s="8">
        <f t="shared" si="5"/>
        <v>0</v>
      </c>
      <c r="AD143" s="8">
        <f t="shared" si="6"/>
        <v>0</v>
      </c>
      <c r="AE143" s="9" t="str" cm="1">
        <f t="array" ref="AE143">IFERROR(_xlfn.XLOOKUP(H143,Sheet1!$G:$G,Sheet1!$F:$F),IFERROR(_xlfn.XLOOKUP(1,(--($X$2:$X$1074=X143))*(--ISNUMBER(MATCH($H$2:$H$1074,Sheet1!$G:$G,0))),_xlfn.XLOOKUP($H$2:$H$1074,Sheet1!$G:$G,Sheet1!$F:$F,"")),"NOT FOUND"))</f>
        <v>GETKRTSFUT6098</v>
      </c>
      <c r="AF143" s="10" t="str">
        <f t="shared" si="11"/>
        <v>MAROON</v>
      </c>
      <c r="AG143" s="11" t="str">
        <f t="shared" si="12"/>
        <v>Bangalore</v>
      </c>
      <c r="AH143" s="9" t="str">
        <f>IF(OR(J143="",AE143="",AE143="NOT FOUND"),"",IF(Y143="RP",IFERROR(LEFT(_xlfn.XLOOKUP(AE143,Sheet1!$F:$F,Sheet1!$W:$W),FIND("-",_xlfn.XLOOKUP(AE143,Sheet1!$F:$F,Sheet1!$W:$W),FIND("-",_xlfn.XLOOKUP(AE143,Sheet1!$F:$F,Sheet1!$W:$W))+1))&amp;AE143,"NOT FOUND"),LEFT(J143,FIND("-",J143,FIND("-",J143)+1))&amp;AE143))</f>
        <v>KRTS-APWN26-GETKRTSFUT6098</v>
      </c>
    </row>
    <row r="144" spans="1:34" ht="15.75" customHeight="1" x14ac:dyDescent="0.2">
      <c r="A144" s="4" t="s">
        <v>30</v>
      </c>
      <c r="B144" s="4" t="s">
        <v>252</v>
      </c>
      <c r="C144" s="4" t="s">
        <v>64</v>
      </c>
      <c r="D144" s="4" t="s">
        <v>218</v>
      </c>
      <c r="E144" s="4" t="s">
        <v>34</v>
      </c>
      <c r="F144" s="4" t="s">
        <v>35</v>
      </c>
      <c r="G144" s="4" t="s">
        <v>47</v>
      </c>
      <c r="H144" s="4" t="s">
        <v>259</v>
      </c>
      <c r="I144" s="4" t="s">
        <v>260</v>
      </c>
      <c r="J144" s="4" t="s">
        <v>261</v>
      </c>
      <c r="L144" s="4" t="s">
        <v>40</v>
      </c>
      <c r="M144" s="4">
        <v>1</v>
      </c>
      <c r="N144" s="4">
        <v>257</v>
      </c>
      <c r="O144" s="4">
        <v>257</v>
      </c>
      <c r="P144" s="4" t="s">
        <v>41</v>
      </c>
      <c r="Q144" s="4">
        <v>304.7</v>
      </c>
      <c r="R144" s="4">
        <v>304.7</v>
      </c>
      <c r="S144" s="4">
        <v>3915.4</v>
      </c>
      <c r="T144" s="4">
        <v>78307.899999999994</v>
      </c>
      <c r="U144" s="4">
        <v>5</v>
      </c>
      <c r="V144" s="4" t="s">
        <v>42</v>
      </c>
      <c r="X144" s="7" t="str">
        <f t="shared" si="0"/>
        <v>441811098</v>
      </c>
      <c r="Y144" s="8" t="str">
        <f t="shared" si="1"/>
        <v>DC</v>
      </c>
      <c r="Z144" s="8">
        <f t="shared" si="2"/>
        <v>0</v>
      </c>
      <c r="AA144" s="8">
        <f t="shared" si="3"/>
        <v>257</v>
      </c>
      <c r="AB144" s="8">
        <f t="shared" si="4"/>
        <v>0</v>
      </c>
      <c r="AC144" s="8">
        <f t="shared" si="5"/>
        <v>0</v>
      </c>
      <c r="AD144" s="8">
        <f t="shared" si="6"/>
        <v>0</v>
      </c>
      <c r="AE144" s="9" t="str" cm="1">
        <f t="array" ref="AE144">IFERROR(_xlfn.XLOOKUP(H144,Sheet1!$G:$G,Sheet1!$F:$F),IFERROR(_xlfn.XLOOKUP(1,(--($X$2:$X$1074=X144))*(--ISNUMBER(MATCH($H$2:$H$1074,Sheet1!$G:$G,0))),_xlfn.XLOOKUP($H$2:$H$1074,Sheet1!$G:$G,Sheet1!$F:$F,"")),"NOT FOUND"))</f>
        <v>GETKRTSFUT6098</v>
      </c>
      <c r="AF144" s="10" t="str">
        <f t="shared" si="11"/>
        <v>MAROON</v>
      </c>
      <c r="AG144" s="11" t="str">
        <f t="shared" si="12"/>
        <v>Bangalore</v>
      </c>
      <c r="AH144" s="9" t="str">
        <f>IF(OR(J144="",AE144="",AE144="NOT FOUND"),"",IF(Y144="RP",IFERROR(LEFT(_xlfn.XLOOKUP(AE144,Sheet1!$F:$F,Sheet1!$W:$W),FIND("-",_xlfn.XLOOKUP(AE144,Sheet1!$F:$F,Sheet1!$W:$W),FIND("-",_xlfn.XLOOKUP(AE144,Sheet1!$F:$F,Sheet1!$W:$W))+1))&amp;AE144,"NOT FOUND"),LEFT(J144,FIND("-",J144,FIND("-",J144)+1))&amp;AE144))</f>
        <v>KRTS-APWN26-GETKRTSFUT6098</v>
      </c>
    </row>
    <row r="145" spans="1:34" ht="15.75" customHeight="1" x14ac:dyDescent="0.2">
      <c r="A145" s="4" t="s">
        <v>30</v>
      </c>
      <c r="B145" s="4" t="s">
        <v>252</v>
      </c>
      <c r="C145" s="4" t="s">
        <v>64</v>
      </c>
      <c r="D145" s="4" t="s">
        <v>218</v>
      </c>
      <c r="E145" s="4" t="s">
        <v>34</v>
      </c>
      <c r="F145" s="4" t="s">
        <v>35</v>
      </c>
      <c r="G145" s="4" t="s">
        <v>51</v>
      </c>
      <c r="H145" s="4" t="s">
        <v>262</v>
      </c>
      <c r="I145" s="4" t="s">
        <v>263</v>
      </c>
      <c r="J145" s="4" t="s">
        <v>264</v>
      </c>
      <c r="L145" s="4" t="s">
        <v>40</v>
      </c>
      <c r="M145" s="4">
        <v>1</v>
      </c>
      <c r="N145" s="4">
        <v>30</v>
      </c>
      <c r="O145" s="4">
        <v>30</v>
      </c>
      <c r="P145" s="4" t="s">
        <v>41</v>
      </c>
      <c r="Q145" s="4">
        <v>304.7</v>
      </c>
      <c r="R145" s="4">
        <v>304.7</v>
      </c>
      <c r="S145" s="4">
        <v>457.05</v>
      </c>
      <c r="T145" s="4">
        <v>9141</v>
      </c>
      <c r="U145" s="4">
        <v>5</v>
      </c>
      <c r="V145" s="4" t="s">
        <v>42</v>
      </c>
      <c r="X145" s="7" t="str">
        <f t="shared" si="0"/>
        <v>441811098</v>
      </c>
      <c r="Y145" s="8" t="str">
        <f t="shared" si="1"/>
        <v>DC</v>
      </c>
      <c r="Z145" s="8">
        <f t="shared" si="2"/>
        <v>30</v>
      </c>
      <c r="AA145" s="8">
        <f t="shared" si="3"/>
        <v>0</v>
      </c>
      <c r="AB145" s="8">
        <f t="shared" si="4"/>
        <v>0</v>
      </c>
      <c r="AC145" s="8">
        <f t="shared" si="5"/>
        <v>0</v>
      </c>
      <c r="AD145" s="8">
        <f t="shared" si="6"/>
        <v>0</v>
      </c>
      <c r="AE145" s="9" t="str" cm="1">
        <f t="array" ref="AE145">IFERROR(_xlfn.XLOOKUP(H145,Sheet1!$G:$G,Sheet1!$F:$F),IFERROR(_xlfn.XLOOKUP(1,(--($X$2:$X$1074=X145))*(--ISNUMBER(MATCH($H$2:$H$1074,Sheet1!$G:$G,0))),_xlfn.XLOOKUP($H$2:$H$1074,Sheet1!$G:$G,Sheet1!$F:$F,"")),"NOT FOUND"))</f>
        <v>GETKRTSFUT6098</v>
      </c>
      <c r="AF145" s="10" t="str">
        <f t="shared" si="11"/>
        <v>MAROON</v>
      </c>
      <c r="AG145" s="11" t="str">
        <f t="shared" si="12"/>
        <v>Bangalore</v>
      </c>
      <c r="AH145" s="9" t="str">
        <f>IF(OR(J145="",AE145="",AE145="NOT FOUND"),"",IF(Y145="RP",IFERROR(LEFT(_xlfn.XLOOKUP(AE145,Sheet1!$F:$F,Sheet1!$W:$W),FIND("-",_xlfn.XLOOKUP(AE145,Sheet1!$F:$F,Sheet1!$W:$W),FIND("-",_xlfn.XLOOKUP(AE145,Sheet1!$F:$F,Sheet1!$W:$W))+1))&amp;AE145,"NOT FOUND"),LEFT(J145,FIND("-",J145,FIND("-",J145)+1))&amp;AE145))</f>
        <v>KRTS-APWN26-GETKRTSFUT6098</v>
      </c>
    </row>
    <row r="146" spans="1:34" ht="15.75" customHeight="1" x14ac:dyDescent="0.2">
      <c r="A146" s="4" t="s">
        <v>30</v>
      </c>
      <c r="B146" s="4" t="s">
        <v>252</v>
      </c>
      <c r="C146" s="4" t="s">
        <v>64</v>
      </c>
      <c r="D146" s="4" t="s">
        <v>218</v>
      </c>
      <c r="E146" s="4" t="s">
        <v>34</v>
      </c>
      <c r="F146" s="4" t="s">
        <v>35</v>
      </c>
      <c r="G146" s="4" t="s">
        <v>55</v>
      </c>
      <c r="H146" s="4" t="s">
        <v>265</v>
      </c>
      <c r="I146" s="4" t="s">
        <v>266</v>
      </c>
      <c r="J146" s="4" t="s">
        <v>267</v>
      </c>
      <c r="L146" s="4" t="s">
        <v>40</v>
      </c>
      <c r="M146" s="4">
        <v>1</v>
      </c>
      <c r="N146" s="4">
        <v>217</v>
      </c>
      <c r="O146" s="4">
        <v>217</v>
      </c>
      <c r="P146" s="4" t="s">
        <v>41</v>
      </c>
      <c r="Q146" s="4">
        <v>304.7</v>
      </c>
      <c r="R146" s="4">
        <v>304.7</v>
      </c>
      <c r="S146" s="4">
        <v>3306</v>
      </c>
      <c r="T146" s="4">
        <v>66119.899999999994</v>
      </c>
      <c r="U146" s="4">
        <v>5</v>
      </c>
      <c r="V146" s="4" t="s">
        <v>42</v>
      </c>
      <c r="X146" s="7" t="str">
        <f t="shared" si="0"/>
        <v>441811098</v>
      </c>
      <c r="Y146" s="8" t="str">
        <f t="shared" si="1"/>
        <v>DC</v>
      </c>
      <c r="Z146" s="8">
        <f t="shared" si="2"/>
        <v>0</v>
      </c>
      <c r="AA146" s="8">
        <f t="shared" si="3"/>
        <v>0</v>
      </c>
      <c r="AB146" s="8">
        <f t="shared" si="4"/>
        <v>0</v>
      </c>
      <c r="AC146" s="8">
        <f t="shared" si="5"/>
        <v>217</v>
      </c>
      <c r="AD146" s="8">
        <f t="shared" si="6"/>
        <v>0</v>
      </c>
      <c r="AE146" s="9" t="str" cm="1">
        <f t="array" ref="AE146">IFERROR(_xlfn.XLOOKUP(H146,Sheet1!$G:$G,Sheet1!$F:$F),IFERROR(_xlfn.XLOOKUP(1,(--($X$2:$X$1074=X146))*(--ISNUMBER(MATCH($H$2:$H$1074,Sheet1!$G:$G,0))),_xlfn.XLOOKUP($H$2:$H$1074,Sheet1!$G:$G,Sheet1!$F:$F,"")),"NOT FOUND"))</f>
        <v>GETKRTSFUT6098</v>
      </c>
      <c r="AF146" s="10" t="str">
        <f t="shared" si="11"/>
        <v>MAROON</v>
      </c>
      <c r="AG146" s="11" t="str">
        <f t="shared" si="12"/>
        <v>Bangalore</v>
      </c>
      <c r="AH146" s="9" t="str">
        <f>IF(OR(J146="",AE146="",AE146="NOT FOUND"),"",IF(Y146="RP",IFERROR(LEFT(_xlfn.XLOOKUP(AE146,Sheet1!$F:$F,Sheet1!$W:$W),FIND("-",_xlfn.XLOOKUP(AE146,Sheet1!$F:$F,Sheet1!$W:$W),FIND("-",_xlfn.XLOOKUP(AE146,Sheet1!$F:$F,Sheet1!$W:$W))+1))&amp;AE146,"NOT FOUND"),LEFT(J146,FIND("-",J146,FIND("-",J146)+1))&amp;AE146))</f>
        <v>KRTS-APWN26-GETKRTSFUT6098</v>
      </c>
    </row>
    <row r="147" spans="1:34" ht="15.75" customHeight="1" x14ac:dyDescent="0.2">
      <c r="A147" s="4" t="s">
        <v>61</v>
      </c>
      <c r="B147" s="4" t="s">
        <v>268</v>
      </c>
      <c r="C147" s="4" t="s">
        <v>64</v>
      </c>
      <c r="D147" s="4" t="s">
        <v>33</v>
      </c>
      <c r="E147" s="4" t="s">
        <v>34</v>
      </c>
      <c r="F147" s="4" t="s">
        <v>35</v>
      </c>
      <c r="G147" s="4" t="s">
        <v>36</v>
      </c>
      <c r="H147" s="4" t="s">
        <v>173</v>
      </c>
      <c r="I147" s="4" t="s">
        <v>174</v>
      </c>
      <c r="J147" s="4" t="s">
        <v>175</v>
      </c>
      <c r="L147" s="4" t="s">
        <v>40</v>
      </c>
      <c r="M147" s="4">
        <v>1</v>
      </c>
      <c r="N147" s="4">
        <v>30</v>
      </c>
      <c r="O147" s="4">
        <v>30</v>
      </c>
      <c r="P147" s="4" t="s">
        <v>41</v>
      </c>
      <c r="Q147" s="4">
        <v>309.7</v>
      </c>
      <c r="R147" s="4">
        <v>309.7</v>
      </c>
      <c r="S147" s="4">
        <v>464.55</v>
      </c>
      <c r="T147" s="4">
        <v>9291</v>
      </c>
      <c r="U147" s="4">
        <v>5</v>
      </c>
      <c r="V147" s="4" t="s">
        <v>42</v>
      </c>
      <c r="X147" s="7" t="str">
        <f t="shared" si="0"/>
        <v>441811102</v>
      </c>
      <c r="Y147" s="8" t="str">
        <f t="shared" si="1"/>
        <v>DC</v>
      </c>
      <c r="Z147" s="8">
        <f t="shared" si="2"/>
        <v>0</v>
      </c>
      <c r="AA147" s="8">
        <f t="shared" si="3"/>
        <v>0</v>
      </c>
      <c r="AB147" s="8">
        <f t="shared" si="4"/>
        <v>0</v>
      </c>
      <c r="AC147" s="8">
        <f t="shared" si="5"/>
        <v>0</v>
      </c>
      <c r="AD147" s="8">
        <f t="shared" si="6"/>
        <v>30</v>
      </c>
      <c r="AE147" s="9" t="str" cm="1">
        <f t="array" ref="AE147">IFERROR(_xlfn.XLOOKUP(H147,Sheet1!$G:$G,Sheet1!$F:$F),IFERROR(_xlfn.XLOOKUP(1,(--($X$2:$X$1074=X147))*(--ISNUMBER(MATCH($H$2:$H$1074,Sheet1!$G:$G,0))),_xlfn.XLOOKUP($H$2:$H$1074,Sheet1!$G:$G,Sheet1!$F:$F,"")),"NOT FOUND"))</f>
        <v>GETKRTSFUT6105</v>
      </c>
      <c r="AF147" s="10" t="str">
        <f t="shared" si="11"/>
        <v>MUSTARD</v>
      </c>
      <c r="AG147" s="11" t="str">
        <f t="shared" si="12"/>
        <v>HARIPAL</v>
      </c>
      <c r="AH147" s="9" t="str">
        <f>IF(OR(J147="",AE147="",AE147="NOT FOUND"),"",IF(Y147="RP",IFERROR(LEFT(_xlfn.XLOOKUP(AE147,Sheet1!$F:$F,Sheet1!$W:$W),FIND("-",_xlfn.XLOOKUP(AE147,Sheet1!$F:$F,Sheet1!$W:$W),FIND("-",_xlfn.XLOOKUP(AE147,Sheet1!$F:$F,Sheet1!$W:$W))+1))&amp;AE147,"NOT FOUND"),LEFT(J147,FIND("-",J147,FIND("-",J147)+1))&amp;AE147))</f>
        <v>KRTS-APWN26-GETKRTSFUT6105</v>
      </c>
    </row>
    <row r="148" spans="1:34" ht="15.75" customHeight="1" x14ac:dyDescent="0.2">
      <c r="A148" s="4" t="s">
        <v>61</v>
      </c>
      <c r="B148" s="4" t="s">
        <v>268</v>
      </c>
      <c r="C148" s="4" t="s">
        <v>64</v>
      </c>
      <c r="D148" s="4" t="s">
        <v>33</v>
      </c>
      <c r="E148" s="4" t="s">
        <v>34</v>
      </c>
      <c r="F148" s="4" t="s">
        <v>35</v>
      </c>
      <c r="G148" s="4" t="s">
        <v>43</v>
      </c>
      <c r="H148" s="4" t="s">
        <v>176</v>
      </c>
      <c r="I148" s="4" t="s">
        <v>177</v>
      </c>
      <c r="J148" s="4" t="s">
        <v>178</v>
      </c>
      <c r="L148" s="4" t="s">
        <v>40</v>
      </c>
      <c r="M148" s="4">
        <v>1</v>
      </c>
      <c r="N148" s="4">
        <v>186</v>
      </c>
      <c r="O148" s="4">
        <v>186</v>
      </c>
      <c r="P148" s="4" t="s">
        <v>41</v>
      </c>
      <c r="Q148" s="4">
        <v>309.7</v>
      </c>
      <c r="R148" s="4">
        <v>309.7</v>
      </c>
      <c r="S148" s="4">
        <v>2880.21</v>
      </c>
      <c r="T148" s="4">
        <v>57604.2</v>
      </c>
      <c r="U148" s="4">
        <v>5</v>
      </c>
      <c r="V148" s="4" t="s">
        <v>42</v>
      </c>
      <c r="X148" s="7" t="str">
        <f t="shared" si="0"/>
        <v>441811102</v>
      </c>
      <c r="Y148" s="8" t="str">
        <f t="shared" si="1"/>
        <v>DC</v>
      </c>
      <c r="Z148" s="8">
        <f t="shared" si="2"/>
        <v>0</v>
      </c>
      <c r="AA148" s="8">
        <f t="shared" si="3"/>
        <v>0</v>
      </c>
      <c r="AB148" s="8">
        <f t="shared" si="4"/>
        <v>186</v>
      </c>
      <c r="AC148" s="8">
        <f t="shared" si="5"/>
        <v>0</v>
      </c>
      <c r="AD148" s="8">
        <f t="shared" si="6"/>
        <v>0</v>
      </c>
      <c r="AE148" s="9" t="str" cm="1">
        <f t="array" ref="AE148">IFERROR(_xlfn.XLOOKUP(H148,Sheet1!$G:$G,Sheet1!$F:$F),IFERROR(_xlfn.XLOOKUP(1,(--($X$2:$X$1074=X148))*(--ISNUMBER(MATCH($H$2:$H$1074,Sheet1!$G:$G,0))),_xlfn.XLOOKUP($H$2:$H$1074,Sheet1!$G:$G,Sheet1!$F:$F,"")),"NOT FOUND"))</f>
        <v>GETKRTSFUT6105</v>
      </c>
      <c r="AF148" s="10" t="str">
        <f t="shared" si="11"/>
        <v>MUSTARD</v>
      </c>
      <c r="AG148" s="11" t="str">
        <f t="shared" si="12"/>
        <v>HARIPAL</v>
      </c>
      <c r="AH148" s="9" t="str">
        <f>IF(OR(J148="",AE148="",AE148="NOT FOUND"),"",IF(Y148="RP",IFERROR(LEFT(_xlfn.XLOOKUP(AE148,Sheet1!$F:$F,Sheet1!$W:$W),FIND("-",_xlfn.XLOOKUP(AE148,Sheet1!$F:$F,Sheet1!$W:$W),FIND("-",_xlfn.XLOOKUP(AE148,Sheet1!$F:$F,Sheet1!$W:$W))+1))&amp;AE148,"NOT FOUND"),LEFT(J148,FIND("-",J148,FIND("-",J148)+1))&amp;AE148))</f>
        <v>KRTS-APWN26-GETKRTSFUT6105</v>
      </c>
    </row>
    <row r="149" spans="1:34" ht="15.75" customHeight="1" x14ac:dyDescent="0.2">
      <c r="A149" s="4" t="s">
        <v>61</v>
      </c>
      <c r="B149" s="4" t="s">
        <v>268</v>
      </c>
      <c r="C149" s="4" t="s">
        <v>64</v>
      </c>
      <c r="D149" s="4" t="s">
        <v>33</v>
      </c>
      <c r="E149" s="4" t="s">
        <v>34</v>
      </c>
      <c r="F149" s="4" t="s">
        <v>35</v>
      </c>
      <c r="G149" s="4" t="s">
        <v>47</v>
      </c>
      <c r="H149" s="4" t="s">
        <v>179</v>
      </c>
      <c r="I149" s="4" t="s">
        <v>180</v>
      </c>
      <c r="J149" s="4" t="s">
        <v>181</v>
      </c>
      <c r="L149" s="4" t="s">
        <v>40</v>
      </c>
      <c r="M149" s="4">
        <v>1</v>
      </c>
      <c r="N149" s="4">
        <v>186</v>
      </c>
      <c r="O149" s="4">
        <v>186</v>
      </c>
      <c r="P149" s="4" t="s">
        <v>41</v>
      </c>
      <c r="Q149" s="4">
        <v>309.7</v>
      </c>
      <c r="R149" s="4">
        <v>309.7</v>
      </c>
      <c r="S149" s="4">
        <v>2880.21</v>
      </c>
      <c r="T149" s="4">
        <v>57604.2</v>
      </c>
      <c r="U149" s="4">
        <v>5</v>
      </c>
      <c r="V149" s="4" t="s">
        <v>42</v>
      </c>
      <c r="X149" s="7" t="str">
        <f t="shared" si="0"/>
        <v>441811102</v>
      </c>
      <c r="Y149" s="8" t="str">
        <f t="shared" si="1"/>
        <v>DC</v>
      </c>
      <c r="Z149" s="8">
        <f t="shared" si="2"/>
        <v>0</v>
      </c>
      <c r="AA149" s="8">
        <f t="shared" si="3"/>
        <v>186</v>
      </c>
      <c r="AB149" s="8">
        <f t="shared" si="4"/>
        <v>0</v>
      </c>
      <c r="AC149" s="8">
        <f t="shared" si="5"/>
        <v>0</v>
      </c>
      <c r="AD149" s="8">
        <f t="shared" si="6"/>
        <v>0</v>
      </c>
      <c r="AE149" s="9" t="str" cm="1">
        <f t="array" ref="AE149">IFERROR(_xlfn.XLOOKUP(H149,Sheet1!$G:$G,Sheet1!$F:$F),IFERROR(_xlfn.XLOOKUP(1,(--($X$2:$X$1074=X149))*(--ISNUMBER(MATCH($H$2:$H$1074,Sheet1!$G:$G,0))),_xlfn.XLOOKUP($H$2:$H$1074,Sheet1!$G:$G,Sheet1!$F:$F,"")),"NOT FOUND"))</f>
        <v>GETKRTSFUT6105</v>
      </c>
      <c r="AF149" s="10" t="str">
        <f t="shared" si="11"/>
        <v>MUSTARD</v>
      </c>
      <c r="AG149" s="11" t="str">
        <f t="shared" si="12"/>
        <v>HARIPAL</v>
      </c>
      <c r="AH149" s="9" t="str">
        <f>IF(OR(J149="",AE149="",AE149="NOT FOUND"),"",IF(Y149="RP",IFERROR(LEFT(_xlfn.XLOOKUP(AE149,Sheet1!$F:$F,Sheet1!$W:$W),FIND("-",_xlfn.XLOOKUP(AE149,Sheet1!$F:$F,Sheet1!$W:$W),FIND("-",_xlfn.XLOOKUP(AE149,Sheet1!$F:$F,Sheet1!$W:$W))+1))&amp;AE149,"NOT FOUND"),LEFT(J149,FIND("-",J149,FIND("-",J149)+1))&amp;AE149))</f>
        <v>KRTS-APWN26-GETKRTSFUT6105</v>
      </c>
    </row>
    <row r="150" spans="1:34" ht="15.75" customHeight="1" x14ac:dyDescent="0.2">
      <c r="A150" s="4" t="s">
        <v>61</v>
      </c>
      <c r="B150" s="4" t="s">
        <v>268</v>
      </c>
      <c r="C150" s="4" t="s">
        <v>64</v>
      </c>
      <c r="D150" s="4" t="s">
        <v>33</v>
      </c>
      <c r="E150" s="4" t="s">
        <v>34</v>
      </c>
      <c r="F150" s="4" t="s">
        <v>35</v>
      </c>
      <c r="G150" s="4" t="s">
        <v>51</v>
      </c>
      <c r="H150" s="4" t="s">
        <v>182</v>
      </c>
      <c r="I150" s="4" t="s">
        <v>183</v>
      </c>
      <c r="J150" s="4" t="s">
        <v>184</v>
      </c>
      <c r="L150" s="4" t="s">
        <v>40</v>
      </c>
      <c r="M150" s="4">
        <v>1</v>
      </c>
      <c r="N150" s="4">
        <v>30</v>
      </c>
      <c r="O150" s="4">
        <v>30</v>
      </c>
      <c r="P150" s="4" t="s">
        <v>41</v>
      </c>
      <c r="Q150" s="4">
        <v>309.7</v>
      </c>
      <c r="R150" s="4">
        <v>309.7</v>
      </c>
      <c r="S150" s="4">
        <v>464.55</v>
      </c>
      <c r="T150" s="4">
        <v>9291</v>
      </c>
      <c r="U150" s="4">
        <v>5</v>
      </c>
      <c r="V150" s="4" t="s">
        <v>42</v>
      </c>
      <c r="X150" s="7" t="str">
        <f t="shared" si="0"/>
        <v>441811102</v>
      </c>
      <c r="Y150" s="8" t="str">
        <f t="shared" si="1"/>
        <v>DC</v>
      </c>
      <c r="Z150" s="8">
        <f t="shared" si="2"/>
        <v>30</v>
      </c>
      <c r="AA150" s="8">
        <f t="shared" si="3"/>
        <v>0</v>
      </c>
      <c r="AB150" s="8">
        <f t="shared" si="4"/>
        <v>0</v>
      </c>
      <c r="AC150" s="8">
        <f t="shared" si="5"/>
        <v>0</v>
      </c>
      <c r="AD150" s="8">
        <f t="shared" si="6"/>
        <v>0</v>
      </c>
      <c r="AE150" s="9" t="str" cm="1">
        <f t="array" ref="AE150">IFERROR(_xlfn.XLOOKUP(H150,Sheet1!$G:$G,Sheet1!$F:$F),IFERROR(_xlfn.XLOOKUP(1,(--($X$2:$X$1074=X150))*(--ISNUMBER(MATCH($H$2:$H$1074,Sheet1!$G:$G,0))),_xlfn.XLOOKUP($H$2:$H$1074,Sheet1!$G:$G,Sheet1!$F:$F,"")),"NOT FOUND"))</f>
        <v>GETKRTSFUT6105</v>
      </c>
      <c r="AF150" s="10" t="str">
        <f t="shared" si="11"/>
        <v>MUSTARD</v>
      </c>
      <c r="AG150" s="11" t="str">
        <f t="shared" si="12"/>
        <v>HARIPAL</v>
      </c>
      <c r="AH150" s="9" t="str">
        <f>IF(OR(J150="",AE150="",AE150="NOT FOUND"),"",IF(Y150="RP",IFERROR(LEFT(_xlfn.XLOOKUP(AE150,Sheet1!$F:$F,Sheet1!$W:$W),FIND("-",_xlfn.XLOOKUP(AE150,Sheet1!$F:$F,Sheet1!$W:$W),FIND("-",_xlfn.XLOOKUP(AE150,Sheet1!$F:$F,Sheet1!$W:$W))+1))&amp;AE150,"NOT FOUND"),LEFT(J150,FIND("-",J150,FIND("-",J150)+1))&amp;AE150))</f>
        <v>KRTS-APWN26-GETKRTSFUT6105</v>
      </c>
    </row>
    <row r="151" spans="1:34" ht="15.75" customHeight="1" x14ac:dyDescent="0.2">
      <c r="A151" s="4" t="s">
        <v>61</v>
      </c>
      <c r="B151" s="4" t="s">
        <v>268</v>
      </c>
      <c r="C151" s="4" t="s">
        <v>64</v>
      </c>
      <c r="D151" s="4" t="s">
        <v>33</v>
      </c>
      <c r="E151" s="4" t="s">
        <v>34</v>
      </c>
      <c r="F151" s="4" t="s">
        <v>35</v>
      </c>
      <c r="G151" s="4" t="s">
        <v>55</v>
      </c>
      <c r="H151" s="4" t="s">
        <v>185</v>
      </c>
      <c r="I151" s="4" t="s">
        <v>186</v>
      </c>
      <c r="J151" s="4" t="s">
        <v>187</v>
      </c>
      <c r="L151" s="4" t="s">
        <v>40</v>
      </c>
      <c r="M151" s="4">
        <v>1</v>
      </c>
      <c r="N151" s="4">
        <v>157</v>
      </c>
      <c r="O151" s="4">
        <v>157</v>
      </c>
      <c r="P151" s="4" t="s">
        <v>41</v>
      </c>
      <c r="Q151" s="4">
        <v>309.7</v>
      </c>
      <c r="R151" s="4">
        <v>309.7</v>
      </c>
      <c r="S151" s="4">
        <v>2431.15</v>
      </c>
      <c r="T151" s="4">
        <v>48622.9</v>
      </c>
      <c r="U151" s="4">
        <v>5</v>
      </c>
      <c r="V151" s="4" t="s">
        <v>42</v>
      </c>
      <c r="X151" s="7" t="str">
        <f t="shared" si="0"/>
        <v>441811102</v>
      </c>
      <c r="Y151" s="8" t="str">
        <f t="shared" si="1"/>
        <v>DC</v>
      </c>
      <c r="Z151" s="8">
        <f t="shared" si="2"/>
        <v>0</v>
      </c>
      <c r="AA151" s="8">
        <f t="shared" si="3"/>
        <v>0</v>
      </c>
      <c r="AB151" s="8">
        <f t="shared" si="4"/>
        <v>0</v>
      </c>
      <c r="AC151" s="8">
        <f t="shared" si="5"/>
        <v>157</v>
      </c>
      <c r="AD151" s="8">
        <f t="shared" si="6"/>
        <v>0</v>
      </c>
      <c r="AE151" s="9" t="str" cm="1">
        <f t="array" ref="AE151">IFERROR(_xlfn.XLOOKUP(H151,Sheet1!$G:$G,Sheet1!$F:$F),IFERROR(_xlfn.XLOOKUP(1,(--($X$2:$X$1074=X151))*(--ISNUMBER(MATCH($H$2:$H$1074,Sheet1!$G:$G,0))),_xlfn.XLOOKUP($H$2:$H$1074,Sheet1!$G:$G,Sheet1!$F:$F,"")),"NOT FOUND"))</f>
        <v>GETKRTSFUT6105</v>
      </c>
      <c r="AF151" s="10" t="str">
        <f t="shared" si="11"/>
        <v>MUSTARD</v>
      </c>
      <c r="AG151" s="11" t="str">
        <f t="shared" si="12"/>
        <v>HARIPAL</v>
      </c>
      <c r="AH151" s="9" t="str">
        <f>IF(OR(J151="",AE151="",AE151="NOT FOUND"),"",IF(Y151="RP",IFERROR(LEFT(_xlfn.XLOOKUP(AE151,Sheet1!$F:$F,Sheet1!$W:$W),FIND("-",_xlfn.XLOOKUP(AE151,Sheet1!$F:$F,Sheet1!$W:$W),FIND("-",_xlfn.XLOOKUP(AE151,Sheet1!$F:$F,Sheet1!$W:$W))+1))&amp;AE151,"NOT FOUND"),LEFT(J151,FIND("-",J151,FIND("-",J151)+1))&amp;AE151))</f>
        <v>KRTS-APWN26-GETKRTSFUT6105</v>
      </c>
    </row>
    <row r="152" spans="1:34" ht="15.75" customHeight="1" x14ac:dyDescent="0.2">
      <c r="A152" s="4" t="s">
        <v>59</v>
      </c>
      <c r="B152" s="4" t="s">
        <v>269</v>
      </c>
      <c r="C152" s="4" t="s">
        <v>64</v>
      </c>
      <c r="D152" s="4" t="s">
        <v>218</v>
      </c>
      <c r="E152" s="4" t="s">
        <v>34</v>
      </c>
      <c r="F152" s="4" t="s">
        <v>35</v>
      </c>
      <c r="G152" s="4" t="s">
        <v>36</v>
      </c>
      <c r="H152" s="4" t="s">
        <v>219</v>
      </c>
      <c r="I152" s="4" t="s">
        <v>220</v>
      </c>
      <c r="J152" s="4" t="s">
        <v>221</v>
      </c>
      <c r="L152" s="4" t="s">
        <v>40</v>
      </c>
      <c r="M152" s="4">
        <v>1</v>
      </c>
      <c r="N152" s="4">
        <v>30</v>
      </c>
      <c r="O152" s="4">
        <v>30</v>
      </c>
      <c r="P152" s="4" t="s">
        <v>41</v>
      </c>
      <c r="Q152" s="4">
        <v>312.7</v>
      </c>
      <c r="R152" s="4">
        <v>312.7</v>
      </c>
      <c r="S152" s="4">
        <v>469.05</v>
      </c>
      <c r="T152" s="4">
        <v>9381</v>
      </c>
      <c r="U152" s="4">
        <v>5</v>
      </c>
      <c r="V152" s="4" t="s">
        <v>42</v>
      </c>
      <c r="X152" s="7" t="str">
        <f t="shared" si="0"/>
        <v>441811099</v>
      </c>
      <c r="Y152" s="8" t="str">
        <f t="shared" si="1"/>
        <v>DC</v>
      </c>
      <c r="Z152" s="8">
        <f t="shared" si="2"/>
        <v>0</v>
      </c>
      <c r="AA152" s="8">
        <f t="shared" si="3"/>
        <v>0</v>
      </c>
      <c r="AB152" s="8">
        <f t="shared" si="4"/>
        <v>0</v>
      </c>
      <c r="AC152" s="8">
        <f t="shared" si="5"/>
        <v>0</v>
      </c>
      <c r="AD152" s="8">
        <f t="shared" si="6"/>
        <v>30</v>
      </c>
      <c r="AE152" s="9" t="str" cm="1">
        <f t="array" ref="AE152">IFERROR(_xlfn.XLOOKUP(H152,Sheet1!$G:$G,Sheet1!$F:$F),IFERROR(_xlfn.XLOOKUP(1,(--($X$2:$X$1074=X152))*(--ISNUMBER(MATCH($H$2:$H$1074,Sheet1!$G:$G,0))),_xlfn.XLOOKUP($H$2:$H$1074,Sheet1!$G:$G,Sheet1!$F:$F,"")),"NOT FOUND"))</f>
        <v>GETKRTSFUT6100</v>
      </c>
      <c r="AF152" s="10" t="str">
        <f t="shared" si="11"/>
        <v>MUSTARD</v>
      </c>
      <c r="AG152" s="11" t="str">
        <f t="shared" si="12"/>
        <v>JHAJJAR</v>
      </c>
      <c r="AH152" s="9" t="str">
        <f>IF(OR(J152="",AE152="",AE152="NOT FOUND"),"",IF(Y152="RP",IFERROR(LEFT(_xlfn.XLOOKUP(AE152,Sheet1!$F:$F,Sheet1!$W:$W),FIND("-",_xlfn.XLOOKUP(AE152,Sheet1!$F:$F,Sheet1!$W:$W),FIND("-",_xlfn.XLOOKUP(AE152,Sheet1!$F:$F,Sheet1!$W:$W))+1))&amp;AE152,"NOT FOUND"),LEFT(J152,FIND("-",J152,FIND("-",J152)+1))&amp;AE152))</f>
        <v>KRTS-APWN26-GETKRTSFUT6100</v>
      </c>
    </row>
    <row r="153" spans="1:34" ht="15.75" customHeight="1" x14ac:dyDescent="0.2">
      <c r="A153" s="4" t="s">
        <v>59</v>
      </c>
      <c r="B153" s="4" t="s">
        <v>269</v>
      </c>
      <c r="C153" s="4" t="s">
        <v>64</v>
      </c>
      <c r="D153" s="4" t="s">
        <v>218</v>
      </c>
      <c r="E153" s="4" t="s">
        <v>34</v>
      </c>
      <c r="F153" s="4" t="s">
        <v>35</v>
      </c>
      <c r="G153" s="4" t="s">
        <v>43</v>
      </c>
      <c r="H153" s="4" t="s">
        <v>222</v>
      </c>
      <c r="I153" s="4" t="s">
        <v>223</v>
      </c>
      <c r="J153" s="4" t="s">
        <v>224</v>
      </c>
      <c r="L153" s="4" t="s">
        <v>40</v>
      </c>
      <c r="M153" s="4">
        <v>1</v>
      </c>
      <c r="N153" s="4">
        <v>156</v>
      </c>
      <c r="O153" s="4">
        <v>156</v>
      </c>
      <c r="P153" s="4" t="s">
        <v>41</v>
      </c>
      <c r="Q153" s="4">
        <v>312.7</v>
      </c>
      <c r="R153" s="4">
        <v>312.7</v>
      </c>
      <c r="S153" s="4">
        <v>2439.06</v>
      </c>
      <c r="T153" s="4">
        <v>48781.2</v>
      </c>
      <c r="U153" s="4">
        <v>5</v>
      </c>
      <c r="V153" s="4" t="s">
        <v>42</v>
      </c>
      <c r="X153" s="7" t="str">
        <f t="shared" si="0"/>
        <v>441811099</v>
      </c>
      <c r="Y153" s="8" t="str">
        <f t="shared" si="1"/>
        <v>DC</v>
      </c>
      <c r="Z153" s="8">
        <f t="shared" si="2"/>
        <v>0</v>
      </c>
      <c r="AA153" s="8">
        <f t="shared" si="3"/>
        <v>0</v>
      </c>
      <c r="AB153" s="8">
        <f t="shared" si="4"/>
        <v>156</v>
      </c>
      <c r="AC153" s="8">
        <f t="shared" si="5"/>
        <v>0</v>
      </c>
      <c r="AD153" s="8">
        <f t="shared" si="6"/>
        <v>0</v>
      </c>
      <c r="AE153" s="9" t="str" cm="1">
        <f t="array" ref="AE153">IFERROR(_xlfn.XLOOKUP(H153,Sheet1!$G:$G,Sheet1!$F:$F),IFERROR(_xlfn.XLOOKUP(1,(--($X$2:$X$1074=X153))*(--ISNUMBER(MATCH($H$2:$H$1074,Sheet1!$G:$G,0))),_xlfn.XLOOKUP($H$2:$H$1074,Sheet1!$G:$G,Sheet1!$F:$F,"")),"NOT FOUND"))</f>
        <v>GETKRTSFUT6100</v>
      </c>
      <c r="AF153" s="10" t="str">
        <f t="shared" si="11"/>
        <v>MUSTARD</v>
      </c>
      <c r="AG153" s="11" t="str">
        <f t="shared" si="12"/>
        <v>JHAJJAR</v>
      </c>
      <c r="AH153" s="9" t="str">
        <f>IF(OR(J153="",AE153="",AE153="NOT FOUND"),"",IF(Y153="RP",IFERROR(LEFT(_xlfn.XLOOKUP(AE153,Sheet1!$F:$F,Sheet1!$W:$W),FIND("-",_xlfn.XLOOKUP(AE153,Sheet1!$F:$F,Sheet1!$W:$W),FIND("-",_xlfn.XLOOKUP(AE153,Sheet1!$F:$F,Sheet1!$W:$W))+1))&amp;AE153,"NOT FOUND"),LEFT(J153,FIND("-",J153,FIND("-",J153)+1))&amp;AE153))</f>
        <v>KRTS-APWN26-GETKRTSFUT6100</v>
      </c>
    </row>
    <row r="154" spans="1:34" ht="15.75" customHeight="1" x14ac:dyDescent="0.2">
      <c r="A154" s="4" t="s">
        <v>59</v>
      </c>
      <c r="B154" s="4" t="s">
        <v>269</v>
      </c>
      <c r="C154" s="4" t="s">
        <v>64</v>
      </c>
      <c r="D154" s="4" t="s">
        <v>218</v>
      </c>
      <c r="E154" s="4" t="s">
        <v>34</v>
      </c>
      <c r="F154" s="4" t="s">
        <v>35</v>
      </c>
      <c r="G154" s="4" t="s">
        <v>47</v>
      </c>
      <c r="H154" s="4" t="s">
        <v>225</v>
      </c>
      <c r="I154" s="4" t="s">
        <v>226</v>
      </c>
      <c r="J154" s="4" t="s">
        <v>227</v>
      </c>
      <c r="L154" s="4" t="s">
        <v>40</v>
      </c>
      <c r="M154" s="4">
        <v>1</v>
      </c>
      <c r="N154" s="4">
        <v>156</v>
      </c>
      <c r="O154" s="4">
        <v>156</v>
      </c>
      <c r="P154" s="4" t="s">
        <v>41</v>
      </c>
      <c r="Q154" s="4">
        <v>312.7</v>
      </c>
      <c r="R154" s="4">
        <v>312.7</v>
      </c>
      <c r="S154" s="4">
        <v>2439.06</v>
      </c>
      <c r="T154" s="4">
        <v>48781.2</v>
      </c>
      <c r="U154" s="4">
        <v>5</v>
      </c>
      <c r="V154" s="4" t="s">
        <v>42</v>
      </c>
      <c r="X154" s="7" t="str">
        <f t="shared" si="0"/>
        <v>441811099</v>
      </c>
      <c r="Y154" s="8" t="str">
        <f t="shared" si="1"/>
        <v>DC</v>
      </c>
      <c r="Z154" s="8">
        <f t="shared" si="2"/>
        <v>0</v>
      </c>
      <c r="AA154" s="8">
        <f t="shared" si="3"/>
        <v>156</v>
      </c>
      <c r="AB154" s="8">
        <f t="shared" si="4"/>
        <v>0</v>
      </c>
      <c r="AC154" s="8">
        <f t="shared" si="5"/>
        <v>0</v>
      </c>
      <c r="AD154" s="8">
        <f t="shared" si="6"/>
        <v>0</v>
      </c>
      <c r="AE154" s="9" t="str" cm="1">
        <f t="array" ref="AE154">IFERROR(_xlfn.XLOOKUP(H154,Sheet1!$G:$G,Sheet1!$F:$F),IFERROR(_xlfn.XLOOKUP(1,(--($X$2:$X$1074=X154))*(--ISNUMBER(MATCH($H$2:$H$1074,Sheet1!$G:$G,0))),_xlfn.XLOOKUP($H$2:$H$1074,Sheet1!$G:$G,Sheet1!$F:$F,"")),"NOT FOUND"))</f>
        <v>GETKRTSFUT6100</v>
      </c>
      <c r="AF154" s="10" t="str">
        <f t="shared" si="11"/>
        <v>MUSTARD</v>
      </c>
      <c r="AG154" s="11" t="str">
        <f t="shared" si="12"/>
        <v>JHAJJAR</v>
      </c>
      <c r="AH154" s="9" t="str">
        <f>IF(OR(J154="",AE154="",AE154="NOT FOUND"),"",IF(Y154="RP",IFERROR(LEFT(_xlfn.XLOOKUP(AE154,Sheet1!$F:$F,Sheet1!$W:$W),FIND("-",_xlfn.XLOOKUP(AE154,Sheet1!$F:$F,Sheet1!$W:$W),FIND("-",_xlfn.XLOOKUP(AE154,Sheet1!$F:$F,Sheet1!$W:$W))+1))&amp;AE154,"NOT FOUND"),LEFT(J154,FIND("-",J154,FIND("-",J154)+1))&amp;AE154))</f>
        <v>KRTS-APWN26-GETKRTSFUT6100</v>
      </c>
    </row>
    <row r="155" spans="1:34" ht="15.75" customHeight="1" x14ac:dyDescent="0.2">
      <c r="A155" s="4" t="s">
        <v>59</v>
      </c>
      <c r="B155" s="4" t="s">
        <v>269</v>
      </c>
      <c r="C155" s="4" t="s">
        <v>64</v>
      </c>
      <c r="D155" s="4" t="s">
        <v>218</v>
      </c>
      <c r="E155" s="4" t="s">
        <v>34</v>
      </c>
      <c r="F155" s="4" t="s">
        <v>35</v>
      </c>
      <c r="G155" s="4" t="s">
        <v>51</v>
      </c>
      <c r="H155" s="4" t="s">
        <v>228</v>
      </c>
      <c r="I155" s="4" t="s">
        <v>229</v>
      </c>
      <c r="J155" s="4" t="s">
        <v>230</v>
      </c>
      <c r="L155" s="4" t="s">
        <v>40</v>
      </c>
      <c r="M155" s="4">
        <v>1</v>
      </c>
      <c r="N155" s="4">
        <v>30</v>
      </c>
      <c r="O155" s="4">
        <v>30</v>
      </c>
      <c r="P155" s="4" t="s">
        <v>41</v>
      </c>
      <c r="Q155" s="4">
        <v>312.7</v>
      </c>
      <c r="R155" s="4">
        <v>312.7</v>
      </c>
      <c r="S155" s="4">
        <v>469.05</v>
      </c>
      <c r="T155" s="4">
        <v>9381</v>
      </c>
      <c r="U155" s="4">
        <v>5</v>
      </c>
      <c r="V155" s="4" t="s">
        <v>42</v>
      </c>
      <c r="X155" s="7" t="str">
        <f t="shared" si="0"/>
        <v>441811099</v>
      </c>
      <c r="Y155" s="8" t="str">
        <f t="shared" si="1"/>
        <v>DC</v>
      </c>
      <c r="Z155" s="8">
        <f t="shared" si="2"/>
        <v>30</v>
      </c>
      <c r="AA155" s="8">
        <f t="shared" si="3"/>
        <v>0</v>
      </c>
      <c r="AB155" s="8">
        <f t="shared" si="4"/>
        <v>0</v>
      </c>
      <c r="AC155" s="8">
        <f t="shared" si="5"/>
        <v>0</v>
      </c>
      <c r="AD155" s="8">
        <f t="shared" si="6"/>
        <v>0</v>
      </c>
      <c r="AE155" s="9" t="str" cm="1">
        <f t="array" ref="AE155">IFERROR(_xlfn.XLOOKUP(H155,Sheet1!$G:$G,Sheet1!$F:$F),IFERROR(_xlfn.XLOOKUP(1,(--($X$2:$X$1074=X155))*(--ISNUMBER(MATCH($H$2:$H$1074,Sheet1!$G:$G,0))),_xlfn.XLOOKUP($H$2:$H$1074,Sheet1!$G:$G,Sheet1!$F:$F,"")),"NOT FOUND"))</f>
        <v>GETKRTSFUT6100</v>
      </c>
      <c r="AF155" s="10" t="str">
        <f t="shared" si="11"/>
        <v>MUSTARD</v>
      </c>
      <c r="AG155" s="11" t="str">
        <f t="shared" si="12"/>
        <v>JHAJJAR</v>
      </c>
      <c r="AH155" s="9" t="str">
        <f>IF(OR(J155="",AE155="",AE155="NOT FOUND"),"",IF(Y155="RP",IFERROR(LEFT(_xlfn.XLOOKUP(AE155,Sheet1!$F:$F,Sheet1!$W:$W),FIND("-",_xlfn.XLOOKUP(AE155,Sheet1!$F:$F,Sheet1!$W:$W),FIND("-",_xlfn.XLOOKUP(AE155,Sheet1!$F:$F,Sheet1!$W:$W))+1))&amp;AE155,"NOT FOUND"),LEFT(J155,FIND("-",J155,FIND("-",J155)+1))&amp;AE155))</f>
        <v>KRTS-APWN26-GETKRTSFUT6100</v>
      </c>
    </row>
    <row r="156" spans="1:34" ht="15.75" customHeight="1" x14ac:dyDescent="0.2">
      <c r="A156" s="4" t="s">
        <v>59</v>
      </c>
      <c r="B156" s="4" t="s">
        <v>269</v>
      </c>
      <c r="C156" s="4" t="s">
        <v>64</v>
      </c>
      <c r="D156" s="4" t="s">
        <v>218</v>
      </c>
      <c r="E156" s="4" t="s">
        <v>34</v>
      </c>
      <c r="F156" s="4" t="s">
        <v>35</v>
      </c>
      <c r="G156" s="4" t="s">
        <v>55</v>
      </c>
      <c r="H156" s="4" t="s">
        <v>231</v>
      </c>
      <c r="I156" s="4" t="s">
        <v>232</v>
      </c>
      <c r="J156" s="4" t="s">
        <v>233</v>
      </c>
      <c r="L156" s="4" t="s">
        <v>40</v>
      </c>
      <c r="M156" s="4">
        <v>1</v>
      </c>
      <c r="N156" s="4">
        <v>132</v>
      </c>
      <c r="O156" s="4">
        <v>132</v>
      </c>
      <c r="P156" s="4" t="s">
        <v>41</v>
      </c>
      <c r="Q156" s="4">
        <v>312.7</v>
      </c>
      <c r="R156" s="4">
        <v>312.7</v>
      </c>
      <c r="S156" s="4">
        <v>2063.8200000000002</v>
      </c>
      <c r="T156" s="4">
        <v>41276.400000000001</v>
      </c>
      <c r="U156" s="4">
        <v>5</v>
      </c>
      <c r="V156" s="4" t="s">
        <v>42</v>
      </c>
      <c r="X156" s="7" t="str">
        <f t="shared" si="0"/>
        <v>441811099</v>
      </c>
      <c r="Y156" s="8" t="str">
        <f t="shared" si="1"/>
        <v>DC</v>
      </c>
      <c r="Z156" s="8">
        <f t="shared" si="2"/>
        <v>0</v>
      </c>
      <c r="AA156" s="8">
        <f t="shared" si="3"/>
        <v>0</v>
      </c>
      <c r="AB156" s="8">
        <f t="shared" si="4"/>
        <v>0</v>
      </c>
      <c r="AC156" s="8">
        <f t="shared" si="5"/>
        <v>132</v>
      </c>
      <c r="AD156" s="8">
        <f t="shared" si="6"/>
        <v>0</v>
      </c>
      <c r="AE156" s="9" t="str" cm="1">
        <f t="array" ref="AE156">IFERROR(_xlfn.XLOOKUP(H156,Sheet1!$G:$G,Sheet1!$F:$F),IFERROR(_xlfn.XLOOKUP(1,(--($X$2:$X$1074=X156))*(--ISNUMBER(MATCH($H$2:$H$1074,Sheet1!$G:$G,0))),_xlfn.XLOOKUP($H$2:$H$1074,Sheet1!$G:$G,Sheet1!$F:$F,"")),"NOT FOUND"))</f>
        <v>GETKRTSFUT6100</v>
      </c>
      <c r="AF156" s="10" t="str">
        <f t="shared" si="11"/>
        <v>MUSTARD</v>
      </c>
      <c r="AG156" s="11" t="str">
        <f t="shared" si="12"/>
        <v>JHAJJAR</v>
      </c>
      <c r="AH156" s="9" t="str">
        <f>IF(OR(J156="",AE156="",AE156="NOT FOUND"),"",IF(Y156="RP",IFERROR(LEFT(_xlfn.XLOOKUP(AE156,Sheet1!$F:$F,Sheet1!$W:$W),FIND("-",_xlfn.XLOOKUP(AE156,Sheet1!$F:$F,Sheet1!$W:$W),FIND("-",_xlfn.XLOOKUP(AE156,Sheet1!$F:$F,Sheet1!$W:$W))+1))&amp;AE156,"NOT FOUND"),LEFT(J156,FIND("-",J156,FIND("-",J156)+1))&amp;AE156))</f>
        <v>KRTS-APWN26-GETKRTSFUT6100</v>
      </c>
    </row>
    <row r="157" spans="1:34" ht="15.75" customHeight="1" x14ac:dyDescent="0.2">
      <c r="A157" s="4" t="s">
        <v>61</v>
      </c>
      <c r="B157" s="4" t="s">
        <v>270</v>
      </c>
      <c r="C157" s="4" t="s">
        <v>64</v>
      </c>
      <c r="D157" s="4" t="s">
        <v>81</v>
      </c>
      <c r="E157" s="4" t="s">
        <v>34</v>
      </c>
      <c r="F157" s="4" t="s">
        <v>35</v>
      </c>
      <c r="G157" s="4" t="s">
        <v>36</v>
      </c>
      <c r="H157" s="4" t="s">
        <v>189</v>
      </c>
      <c r="I157" s="4" t="s">
        <v>190</v>
      </c>
      <c r="J157" s="4" t="s">
        <v>191</v>
      </c>
      <c r="L157" s="4" t="s">
        <v>40</v>
      </c>
      <c r="M157" s="4">
        <v>1</v>
      </c>
      <c r="N157" s="4">
        <v>30</v>
      </c>
      <c r="O157" s="4">
        <v>30</v>
      </c>
      <c r="P157" s="4" t="s">
        <v>41</v>
      </c>
      <c r="Q157" s="4">
        <v>404.7</v>
      </c>
      <c r="R157" s="4">
        <v>404.7</v>
      </c>
      <c r="S157" s="4">
        <v>607.04999999999995</v>
      </c>
      <c r="T157" s="4">
        <v>12141</v>
      </c>
      <c r="U157" s="4">
        <v>5</v>
      </c>
      <c r="V157" s="4" t="s">
        <v>42</v>
      </c>
      <c r="X157" s="7" t="str">
        <f t="shared" si="0"/>
        <v>441811101</v>
      </c>
      <c r="Y157" s="8" t="str">
        <f t="shared" si="1"/>
        <v>DC</v>
      </c>
      <c r="Z157" s="8">
        <f t="shared" si="2"/>
        <v>0</v>
      </c>
      <c r="AA157" s="8">
        <f t="shared" si="3"/>
        <v>0</v>
      </c>
      <c r="AB157" s="8">
        <f t="shared" si="4"/>
        <v>0</v>
      </c>
      <c r="AC157" s="8">
        <f t="shared" si="5"/>
        <v>0</v>
      </c>
      <c r="AD157" s="8">
        <f t="shared" si="6"/>
        <v>30</v>
      </c>
      <c r="AE157" s="9" t="str" cm="1">
        <f t="array" ref="AE157">IFERROR(_xlfn.XLOOKUP(H157,Sheet1!$G:$G,Sheet1!$F:$F),IFERROR(_xlfn.XLOOKUP(1,(--($X$2:$X$1074=X157))*(--ISNUMBER(MATCH($H$2:$H$1074,Sheet1!$G:$G,0))),_xlfn.XLOOKUP($H$2:$H$1074,Sheet1!$G:$G,Sheet1!$F:$F,"")),"NOT FOUND"))</f>
        <v>GETKRTSFUT6103</v>
      </c>
      <c r="AF157" s="10" t="str">
        <f t="shared" si="11"/>
        <v>LIME GREEN</v>
      </c>
      <c r="AG157" s="11" t="str">
        <f t="shared" si="12"/>
        <v>HARIPAL</v>
      </c>
      <c r="AH157" s="9" t="str">
        <f>IF(OR(J157="",AE157="",AE157="NOT FOUND"),"",IF(Y157="RP",IFERROR(LEFT(_xlfn.XLOOKUP(AE157,Sheet1!$F:$F,Sheet1!$W:$W),FIND("-",_xlfn.XLOOKUP(AE157,Sheet1!$F:$F,Sheet1!$W:$W),FIND("-",_xlfn.XLOOKUP(AE157,Sheet1!$F:$F,Sheet1!$W:$W))+1))&amp;AE157,"NOT FOUND"),LEFT(J157,FIND("-",J157,FIND("-",J157)+1))&amp;AE157))</f>
        <v>KRTS-APWN26-GETKRTSFUT6103</v>
      </c>
    </row>
    <row r="158" spans="1:34" ht="15.75" customHeight="1" x14ac:dyDescent="0.2">
      <c r="A158" s="4" t="s">
        <v>61</v>
      </c>
      <c r="B158" s="4" t="s">
        <v>270</v>
      </c>
      <c r="C158" s="4" t="s">
        <v>64</v>
      </c>
      <c r="D158" s="4" t="s">
        <v>81</v>
      </c>
      <c r="E158" s="4" t="s">
        <v>34</v>
      </c>
      <c r="F158" s="4" t="s">
        <v>35</v>
      </c>
      <c r="G158" s="4" t="s">
        <v>43</v>
      </c>
      <c r="H158" s="4" t="s">
        <v>192</v>
      </c>
      <c r="I158" s="4" t="s">
        <v>193</v>
      </c>
      <c r="J158" s="4" t="s">
        <v>194</v>
      </c>
      <c r="L158" s="4" t="s">
        <v>40</v>
      </c>
      <c r="M158" s="4">
        <v>1</v>
      </c>
      <c r="N158" s="4">
        <v>135</v>
      </c>
      <c r="O158" s="4">
        <v>135</v>
      </c>
      <c r="P158" s="4" t="s">
        <v>41</v>
      </c>
      <c r="Q158" s="4">
        <v>404.7</v>
      </c>
      <c r="R158" s="4">
        <v>404.7</v>
      </c>
      <c r="S158" s="4">
        <v>2731.73</v>
      </c>
      <c r="T158" s="4">
        <v>54634.5</v>
      </c>
      <c r="U158" s="4">
        <v>5</v>
      </c>
      <c r="V158" s="4" t="s">
        <v>42</v>
      </c>
      <c r="X158" s="7" t="str">
        <f t="shared" si="0"/>
        <v>441811101</v>
      </c>
      <c r="Y158" s="8" t="str">
        <f t="shared" si="1"/>
        <v>DC</v>
      </c>
      <c r="Z158" s="8">
        <f t="shared" si="2"/>
        <v>0</v>
      </c>
      <c r="AA158" s="8">
        <f t="shared" si="3"/>
        <v>0</v>
      </c>
      <c r="AB158" s="8">
        <f t="shared" si="4"/>
        <v>135</v>
      </c>
      <c r="AC158" s="8">
        <f t="shared" si="5"/>
        <v>0</v>
      </c>
      <c r="AD158" s="8">
        <f t="shared" si="6"/>
        <v>0</v>
      </c>
      <c r="AE158" s="9" t="str" cm="1">
        <f t="array" ref="AE158">IFERROR(_xlfn.XLOOKUP(H158,Sheet1!$G:$G,Sheet1!$F:$F),IFERROR(_xlfn.XLOOKUP(1,(--($X$2:$X$1074=X158))*(--ISNUMBER(MATCH($H$2:$H$1074,Sheet1!$G:$G,0))),_xlfn.XLOOKUP($H$2:$H$1074,Sheet1!$G:$G,Sheet1!$F:$F,"")),"NOT FOUND"))</f>
        <v>GETKRTSFUT6103</v>
      </c>
      <c r="AF158" s="10" t="str">
        <f t="shared" si="11"/>
        <v>LIME GREEN</v>
      </c>
      <c r="AG158" s="11" t="str">
        <f t="shared" si="12"/>
        <v>HARIPAL</v>
      </c>
      <c r="AH158" s="9" t="str">
        <f>IF(OR(J158="",AE158="",AE158="NOT FOUND"),"",IF(Y158="RP",IFERROR(LEFT(_xlfn.XLOOKUP(AE158,Sheet1!$F:$F,Sheet1!$W:$W),FIND("-",_xlfn.XLOOKUP(AE158,Sheet1!$F:$F,Sheet1!$W:$W),FIND("-",_xlfn.XLOOKUP(AE158,Sheet1!$F:$F,Sheet1!$W:$W))+1))&amp;AE158,"NOT FOUND"),LEFT(J158,FIND("-",J158,FIND("-",J158)+1))&amp;AE158))</f>
        <v>KRTS-APWN26-GETKRTSFUT6103</v>
      </c>
    </row>
    <row r="159" spans="1:34" ht="15.75" customHeight="1" x14ac:dyDescent="0.2">
      <c r="A159" s="4" t="s">
        <v>61</v>
      </c>
      <c r="B159" s="4" t="s">
        <v>270</v>
      </c>
      <c r="C159" s="4" t="s">
        <v>64</v>
      </c>
      <c r="D159" s="4" t="s">
        <v>81</v>
      </c>
      <c r="E159" s="4" t="s">
        <v>34</v>
      </c>
      <c r="F159" s="4" t="s">
        <v>35</v>
      </c>
      <c r="G159" s="4" t="s">
        <v>47</v>
      </c>
      <c r="H159" s="4" t="s">
        <v>195</v>
      </c>
      <c r="I159" s="4" t="s">
        <v>196</v>
      </c>
      <c r="J159" s="4" t="s">
        <v>197</v>
      </c>
      <c r="L159" s="4" t="s">
        <v>40</v>
      </c>
      <c r="M159" s="4">
        <v>1</v>
      </c>
      <c r="N159" s="4">
        <v>135</v>
      </c>
      <c r="O159" s="4">
        <v>135</v>
      </c>
      <c r="P159" s="4" t="s">
        <v>41</v>
      </c>
      <c r="Q159" s="4">
        <v>404.7</v>
      </c>
      <c r="R159" s="4">
        <v>404.7</v>
      </c>
      <c r="S159" s="4">
        <v>2731.73</v>
      </c>
      <c r="T159" s="4">
        <v>54634.5</v>
      </c>
      <c r="U159" s="4">
        <v>5</v>
      </c>
      <c r="V159" s="4" t="s">
        <v>42</v>
      </c>
      <c r="X159" s="7" t="str">
        <f t="shared" si="0"/>
        <v>441811101</v>
      </c>
      <c r="Y159" s="8" t="str">
        <f t="shared" si="1"/>
        <v>DC</v>
      </c>
      <c r="Z159" s="8">
        <f t="shared" si="2"/>
        <v>0</v>
      </c>
      <c r="AA159" s="8">
        <f t="shared" si="3"/>
        <v>135</v>
      </c>
      <c r="AB159" s="8">
        <f t="shared" si="4"/>
        <v>0</v>
      </c>
      <c r="AC159" s="8">
        <f t="shared" si="5"/>
        <v>0</v>
      </c>
      <c r="AD159" s="8">
        <f t="shared" si="6"/>
        <v>0</v>
      </c>
      <c r="AE159" s="9" t="str" cm="1">
        <f t="array" ref="AE159">IFERROR(_xlfn.XLOOKUP(H159,Sheet1!$G:$G,Sheet1!$F:$F),IFERROR(_xlfn.XLOOKUP(1,(--($X$2:$X$1074=X159))*(--ISNUMBER(MATCH($H$2:$H$1074,Sheet1!$G:$G,0))),_xlfn.XLOOKUP($H$2:$H$1074,Sheet1!$G:$G,Sheet1!$F:$F,"")),"NOT FOUND"))</f>
        <v>GETKRTSFUT6103</v>
      </c>
      <c r="AF159" s="10" t="str">
        <f t="shared" si="11"/>
        <v>LIME GREEN</v>
      </c>
      <c r="AG159" s="11" t="str">
        <f t="shared" si="12"/>
        <v>HARIPAL</v>
      </c>
      <c r="AH159" s="9" t="str">
        <f>IF(OR(J159="",AE159="",AE159="NOT FOUND"),"",IF(Y159="RP",IFERROR(LEFT(_xlfn.XLOOKUP(AE159,Sheet1!$F:$F,Sheet1!$W:$W),FIND("-",_xlfn.XLOOKUP(AE159,Sheet1!$F:$F,Sheet1!$W:$W),FIND("-",_xlfn.XLOOKUP(AE159,Sheet1!$F:$F,Sheet1!$W:$W))+1))&amp;AE159,"NOT FOUND"),LEFT(J159,FIND("-",J159,FIND("-",J159)+1))&amp;AE159))</f>
        <v>KRTS-APWN26-GETKRTSFUT6103</v>
      </c>
    </row>
    <row r="160" spans="1:34" ht="15.75" customHeight="1" x14ac:dyDescent="0.2">
      <c r="A160" s="4" t="s">
        <v>61</v>
      </c>
      <c r="B160" s="4" t="s">
        <v>270</v>
      </c>
      <c r="C160" s="4" t="s">
        <v>64</v>
      </c>
      <c r="D160" s="4" t="s">
        <v>81</v>
      </c>
      <c r="E160" s="4" t="s">
        <v>34</v>
      </c>
      <c r="F160" s="4" t="s">
        <v>35</v>
      </c>
      <c r="G160" s="4" t="s">
        <v>51</v>
      </c>
      <c r="H160" s="4" t="s">
        <v>198</v>
      </c>
      <c r="I160" s="4" t="s">
        <v>199</v>
      </c>
      <c r="J160" s="4" t="s">
        <v>200</v>
      </c>
      <c r="L160" s="4" t="s">
        <v>40</v>
      </c>
      <c r="M160" s="4">
        <v>1</v>
      </c>
      <c r="N160" s="4">
        <v>30</v>
      </c>
      <c r="O160" s="4">
        <v>30</v>
      </c>
      <c r="P160" s="4" t="s">
        <v>41</v>
      </c>
      <c r="Q160" s="4">
        <v>404.7</v>
      </c>
      <c r="R160" s="4">
        <v>404.7</v>
      </c>
      <c r="S160" s="4">
        <v>607.04999999999995</v>
      </c>
      <c r="T160" s="4">
        <v>12141</v>
      </c>
      <c r="U160" s="4">
        <v>5</v>
      </c>
      <c r="V160" s="4" t="s">
        <v>42</v>
      </c>
      <c r="X160" s="7" t="str">
        <f t="shared" si="0"/>
        <v>441811101</v>
      </c>
      <c r="Y160" s="8" t="str">
        <f t="shared" si="1"/>
        <v>DC</v>
      </c>
      <c r="Z160" s="8">
        <f t="shared" si="2"/>
        <v>30</v>
      </c>
      <c r="AA160" s="8">
        <f t="shared" si="3"/>
        <v>0</v>
      </c>
      <c r="AB160" s="8">
        <f t="shared" si="4"/>
        <v>0</v>
      </c>
      <c r="AC160" s="8">
        <f t="shared" si="5"/>
        <v>0</v>
      </c>
      <c r="AD160" s="8">
        <f t="shared" si="6"/>
        <v>0</v>
      </c>
      <c r="AE160" s="9" t="str" cm="1">
        <f t="array" ref="AE160">IFERROR(_xlfn.XLOOKUP(H160,Sheet1!$G:$G,Sheet1!$F:$F),IFERROR(_xlfn.XLOOKUP(1,(--($X$2:$X$1074=X160))*(--ISNUMBER(MATCH($H$2:$H$1074,Sheet1!$G:$G,0))),_xlfn.XLOOKUP($H$2:$H$1074,Sheet1!$G:$G,Sheet1!$F:$F,"")),"NOT FOUND"))</f>
        <v>GETKRTSFUT6103</v>
      </c>
      <c r="AF160" s="10" t="str">
        <f t="shared" si="11"/>
        <v>LIME GREEN</v>
      </c>
      <c r="AG160" s="11" t="str">
        <f t="shared" si="12"/>
        <v>HARIPAL</v>
      </c>
      <c r="AH160" s="9" t="str">
        <f>IF(OR(J160="",AE160="",AE160="NOT FOUND"),"",IF(Y160="RP",IFERROR(LEFT(_xlfn.XLOOKUP(AE160,Sheet1!$F:$F,Sheet1!$W:$W),FIND("-",_xlfn.XLOOKUP(AE160,Sheet1!$F:$F,Sheet1!$W:$W),FIND("-",_xlfn.XLOOKUP(AE160,Sheet1!$F:$F,Sheet1!$W:$W))+1))&amp;AE160,"NOT FOUND"),LEFT(J160,FIND("-",J160,FIND("-",J160)+1))&amp;AE160))</f>
        <v>KRTS-APWN26-GETKRTSFUT6103</v>
      </c>
    </row>
    <row r="161" spans="1:34" ht="15.75" customHeight="1" x14ac:dyDescent="0.2">
      <c r="A161" s="4" t="s">
        <v>61</v>
      </c>
      <c r="B161" s="4" t="s">
        <v>270</v>
      </c>
      <c r="C161" s="4" t="s">
        <v>64</v>
      </c>
      <c r="D161" s="4" t="s">
        <v>81</v>
      </c>
      <c r="E161" s="4" t="s">
        <v>34</v>
      </c>
      <c r="F161" s="4" t="s">
        <v>35</v>
      </c>
      <c r="G161" s="4" t="s">
        <v>55</v>
      </c>
      <c r="H161" s="4" t="s">
        <v>201</v>
      </c>
      <c r="I161" s="4" t="s">
        <v>202</v>
      </c>
      <c r="J161" s="4" t="s">
        <v>203</v>
      </c>
      <c r="L161" s="4" t="s">
        <v>40</v>
      </c>
      <c r="M161" s="4">
        <v>1</v>
      </c>
      <c r="N161" s="4">
        <v>114</v>
      </c>
      <c r="O161" s="4">
        <v>114</v>
      </c>
      <c r="P161" s="4" t="s">
        <v>41</v>
      </c>
      <c r="Q161" s="4">
        <v>404.7</v>
      </c>
      <c r="R161" s="4">
        <v>404.7</v>
      </c>
      <c r="S161" s="4">
        <v>2306.79</v>
      </c>
      <c r="T161" s="4">
        <v>46135.8</v>
      </c>
      <c r="U161" s="4">
        <v>5</v>
      </c>
      <c r="V161" s="4" t="s">
        <v>42</v>
      </c>
      <c r="X161" s="7" t="str">
        <f t="shared" si="0"/>
        <v>441811101</v>
      </c>
      <c r="Y161" s="8" t="str">
        <f t="shared" si="1"/>
        <v>DC</v>
      </c>
      <c r="Z161" s="8">
        <f t="shared" si="2"/>
        <v>0</v>
      </c>
      <c r="AA161" s="8">
        <f t="shared" si="3"/>
        <v>0</v>
      </c>
      <c r="AB161" s="8">
        <f t="shared" si="4"/>
        <v>0</v>
      </c>
      <c r="AC161" s="8">
        <f t="shared" si="5"/>
        <v>114</v>
      </c>
      <c r="AD161" s="8">
        <f t="shared" si="6"/>
        <v>0</v>
      </c>
      <c r="AE161" s="9" t="str" cm="1">
        <f t="array" ref="AE161">IFERROR(_xlfn.XLOOKUP(H161,Sheet1!$G:$G,Sheet1!$F:$F),IFERROR(_xlfn.XLOOKUP(1,(--($X$2:$X$1074=X161))*(--ISNUMBER(MATCH($H$2:$H$1074,Sheet1!$G:$G,0))),_xlfn.XLOOKUP($H$2:$H$1074,Sheet1!$G:$G,Sheet1!$F:$F,"")),"NOT FOUND"))</f>
        <v>GETKRTSFUT6103</v>
      </c>
      <c r="AF161" s="10" t="str">
        <f t="shared" si="11"/>
        <v>LIME GREEN</v>
      </c>
      <c r="AG161" s="11" t="str">
        <f t="shared" si="12"/>
        <v>HARIPAL</v>
      </c>
      <c r="AH161" s="9" t="str">
        <f>IF(OR(J161="",AE161="",AE161="NOT FOUND"),"",IF(Y161="RP",IFERROR(LEFT(_xlfn.XLOOKUP(AE161,Sheet1!$F:$F,Sheet1!$W:$W),FIND("-",_xlfn.XLOOKUP(AE161,Sheet1!$F:$F,Sheet1!$W:$W),FIND("-",_xlfn.XLOOKUP(AE161,Sheet1!$F:$F,Sheet1!$W:$W))+1))&amp;AE161,"NOT FOUND"),LEFT(J161,FIND("-",J161,FIND("-",J161)+1))&amp;AE161))</f>
        <v>KRTS-APWN26-GETKRTSFUT6103</v>
      </c>
    </row>
    <row r="162" spans="1:34" ht="15.75" customHeight="1" x14ac:dyDescent="0.2">
      <c r="A162" s="4" t="s">
        <v>59</v>
      </c>
      <c r="B162" s="4" t="s">
        <v>271</v>
      </c>
      <c r="C162" s="4" t="s">
        <v>64</v>
      </c>
      <c r="D162" s="4" t="s">
        <v>218</v>
      </c>
      <c r="E162" s="4" t="s">
        <v>34</v>
      </c>
      <c r="F162" s="4" t="s">
        <v>35</v>
      </c>
      <c r="G162" s="4" t="s">
        <v>36</v>
      </c>
      <c r="H162" s="4" t="s">
        <v>236</v>
      </c>
      <c r="I162" s="4" t="s">
        <v>237</v>
      </c>
      <c r="J162" s="4" t="s">
        <v>238</v>
      </c>
      <c r="L162" s="4" t="s">
        <v>40</v>
      </c>
      <c r="M162" s="4">
        <v>1</v>
      </c>
      <c r="N162" s="4">
        <v>30</v>
      </c>
      <c r="O162" s="4">
        <v>30</v>
      </c>
      <c r="P162" s="4" t="s">
        <v>41</v>
      </c>
      <c r="Q162" s="4">
        <v>304.7</v>
      </c>
      <c r="R162" s="4">
        <v>304.7</v>
      </c>
      <c r="S162" s="4">
        <v>457.05</v>
      </c>
      <c r="T162" s="4">
        <v>9141</v>
      </c>
      <c r="U162" s="4">
        <v>5</v>
      </c>
      <c r="V162" s="4" t="s">
        <v>42</v>
      </c>
      <c r="X162" s="7" t="str">
        <f t="shared" si="0"/>
        <v>441811098</v>
      </c>
      <c r="Y162" s="8" t="str">
        <f t="shared" si="1"/>
        <v>DC</v>
      </c>
      <c r="Z162" s="8">
        <f t="shared" si="2"/>
        <v>0</v>
      </c>
      <c r="AA162" s="8">
        <f t="shared" si="3"/>
        <v>0</v>
      </c>
      <c r="AB162" s="8">
        <f t="shared" si="4"/>
        <v>0</v>
      </c>
      <c r="AC162" s="8">
        <f t="shared" si="5"/>
        <v>0</v>
      </c>
      <c r="AD162" s="8">
        <f t="shared" si="6"/>
        <v>30</v>
      </c>
      <c r="AE162" s="9" t="str" cm="1">
        <f t="array" ref="AE162">IFERROR(_xlfn.XLOOKUP(H162,Sheet1!$G:$G,Sheet1!$F:$F),IFERROR(_xlfn.XLOOKUP(1,(--($X$2:$X$1074=X162))*(--ISNUMBER(MATCH($H$2:$H$1074,Sheet1!$G:$G,0))),_xlfn.XLOOKUP($H$2:$H$1074,Sheet1!$G:$G,Sheet1!$F:$F,"")),"NOT FOUND"))</f>
        <v>GETKRTSFUT6098</v>
      </c>
      <c r="AF162" s="10" t="str">
        <f t="shared" si="11"/>
        <v>MUSTARD</v>
      </c>
      <c r="AG162" s="11" t="str">
        <f t="shared" si="12"/>
        <v>JHAJJAR</v>
      </c>
      <c r="AH162" s="9" t="str">
        <f>IF(OR(J162="",AE162="",AE162="NOT FOUND"),"",IF(Y162="RP",IFERROR(LEFT(_xlfn.XLOOKUP(AE162,Sheet1!$F:$F,Sheet1!$W:$W),FIND("-",_xlfn.XLOOKUP(AE162,Sheet1!$F:$F,Sheet1!$W:$W),FIND("-",_xlfn.XLOOKUP(AE162,Sheet1!$F:$F,Sheet1!$W:$W))+1))&amp;AE162,"NOT FOUND"),LEFT(J162,FIND("-",J162,FIND("-",J162)+1))&amp;AE162))</f>
        <v>KRTS-APWN26-GETKRTSFUT6098</v>
      </c>
    </row>
    <row r="163" spans="1:34" ht="15.75" customHeight="1" x14ac:dyDescent="0.2">
      <c r="A163" s="4" t="s">
        <v>59</v>
      </c>
      <c r="B163" s="4" t="s">
        <v>271</v>
      </c>
      <c r="C163" s="4" t="s">
        <v>64</v>
      </c>
      <c r="D163" s="4" t="s">
        <v>218</v>
      </c>
      <c r="E163" s="4" t="s">
        <v>34</v>
      </c>
      <c r="F163" s="4" t="s">
        <v>35</v>
      </c>
      <c r="G163" s="4" t="s">
        <v>43</v>
      </c>
      <c r="H163" s="4" t="s">
        <v>239</v>
      </c>
      <c r="I163" s="4" t="s">
        <v>240</v>
      </c>
      <c r="J163" s="4" t="s">
        <v>241</v>
      </c>
      <c r="L163" s="4" t="s">
        <v>40</v>
      </c>
      <c r="M163" s="4">
        <v>1</v>
      </c>
      <c r="N163" s="4">
        <v>156</v>
      </c>
      <c r="O163" s="4">
        <v>156</v>
      </c>
      <c r="P163" s="4" t="s">
        <v>41</v>
      </c>
      <c r="Q163" s="4">
        <v>304.7</v>
      </c>
      <c r="R163" s="4">
        <v>304.7</v>
      </c>
      <c r="S163" s="4">
        <v>2376.66</v>
      </c>
      <c r="T163" s="4">
        <v>47533.2</v>
      </c>
      <c r="U163" s="4">
        <v>5</v>
      </c>
      <c r="V163" s="4" t="s">
        <v>42</v>
      </c>
      <c r="X163" s="7" t="str">
        <f t="shared" si="0"/>
        <v>441811098</v>
      </c>
      <c r="Y163" s="8" t="str">
        <f t="shared" si="1"/>
        <v>DC</v>
      </c>
      <c r="Z163" s="8">
        <f t="shared" si="2"/>
        <v>0</v>
      </c>
      <c r="AA163" s="8">
        <f t="shared" si="3"/>
        <v>0</v>
      </c>
      <c r="AB163" s="8">
        <f t="shared" si="4"/>
        <v>156</v>
      </c>
      <c r="AC163" s="8">
        <f t="shared" si="5"/>
        <v>0</v>
      </c>
      <c r="AD163" s="8">
        <f t="shared" si="6"/>
        <v>0</v>
      </c>
      <c r="AE163" s="9" t="str" cm="1">
        <f t="array" ref="AE163">IFERROR(_xlfn.XLOOKUP(H163,Sheet1!$G:$G,Sheet1!$F:$F),IFERROR(_xlfn.XLOOKUP(1,(--($X$2:$X$1074=X163))*(--ISNUMBER(MATCH($H$2:$H$1074,Sheet1!$G:$G,0))),_xlfn.XLOOKUP($H$2:$H$1074,Sheet1!$G:$G,Sheet1!$F:$F,"")),"NOT FOUND"))</f>
        <v>GETKRTSFUT6098</v>
      </c>
      <c r="AF163" s="10" t="str">
        <f t="shared" si="11"/>
        <v>MUSTARD</v>
      </c>
      <c r="AG163" s="11" t="str">
        <f t="shared" si="12"/>
        <v>JHAJJAR</v>
      </c>
      <c r="AH163" s="9" t="str">
        <f>IF(OR(J163="",AE163="",AE163="NOT FOUND"),"",IF(Y163="RP",IFERROR(LEFT(_xlfn.XLOOKUP(AE163,Sheet1!$F:$F,Sheet1!$W:$W),FIND("-",_xlfn.XLOOKUP(AE163,Sheet1!$F:$F,Sheet1!$W:$W),FIND("-",_xlfn.XLOOKUP(AE163,Sheet1!$F:$F,Sheet1!$W:$W))+1))&amp;AE163,"NOT FOUND"),LEFT(J163,FIND("-",J163,FIND("-",J163)+1))&amp;AE163))</f>
        <v>KRTS-APWN26-GETKRTSFUT6098</v>
      </c>
    </row>
    <row r="164" spans="1:34" ht="15.75" customHeight="1" x14ac:dyDescent="0.2">
      <c r="A164" s="4" t="s">
        <v>59</v>
      </c>
      <c r="B164" s="4" t="s">
        <v>271</v>
      </c>
      <c r="C164" s="4" t="s">
        <v>64</v>
      </c>
      <c r="D164" s="4" t="s">
        <v>218</v>
      </c>
      <c r="E164" s="4" t="s">
        <v>34</v>
      </c>
      <c r="F164" s="4" t="s">
        <v>35</v>
      </c>
      <c r="G164" s="4" t="s">
        <v>47</v>
      </c>
      <c r="H164" s="4" t="s">
        <v>242</v>
      </c>
      <c r="I164" s="4" t="s">
        <v>243</v>
      </c>
      <c r="J164" s="4" t="s">
        <v>244</v>
      </c>
      <c r="L164" s="4" t="s">
        <v>40</v>
      </c>
      <c r="M164" s="4">
        <v>1</v>
      </c>
      <c r="N164" s="4">
        <v>156</v>
      </c>
      <c r="O164" s="4">
        <v>156</v>
      </c>
      <c r="P164" s="4" t="s">
        <v>41</v>
      </c>
      <c r="Q164" s="4">
        <v>304.7</v>
      </c>
      <c r="R164" s="4">
        <v>304.7</v>
      </c>
      <c r="S164" s="4">
        <v>2376.66</v>
      </c>
      <c r="T164" s="4">
        <v>47533.2</v>
      </c>
      <c r="U164" s="4">
        <v>5</v>
      </c>
      <c r="V164" s="4" t="s">
        <v>42</v>
      </c>
      <c r="X164" s="7" t="str">
        <f t="shared" si="0"/>
        <v>441811098</v>
      </c>
      <c r="Y164" s="8" t="str">
        <f t="shared" si="1"/>
        <v>DC</v>
      </c>
      <c r="Z164" s="8">
        <f t="shared" si="2"/>
        <v>0</v>
      </c>
      <c r="AA164" s="8">
        <f t="shared" si="3"/>
        <v>156</v>
      </c>
      <c r="AB164" s="8">
        <f t="shared" si="4"/>
        <v>0</v>
      </c>
      <c r="AC164" s="8">
        <f t="shared" si="5"/>
        <v>0</v>
      </c>
      <c r="AD164" s="8">
        <f t="shared" si="6"/>
        <v>0</v>
      </c>
      <c r="AE164" s="9" t="str" cm="1">
        <f t="array" ref="AE164">IFERROR(_xlfn.XLOOKUP(H164,Sheet1!$G:$G,Sheet1!$F:$F),IFERROR(_xlfn.XLOOKUP(1,(--($X$2:$X$1074=X164))*(--ISNUMBER(MATCH($H$2:$H$1074,Sheet1!$G:$G,0))),_xlfn.XLOOKUP($H$2:$H$1074,Sheet1!$G:$G,Sheet1!$F:$F,"")),"NOT FOUND"))</f>
        <v>GETKRTSFUT6098</v>
      </c>
      <c r="AF164" s="10" t="str">
        <f t="shared" si="11"/>
        <v>MUSTARD</v>
      </c>
      <c r="AG164" s="11" t="str">
        <f t="shared" si="12"/>
        <v>JHAJJAR</v>
      </c>
      <c r="AH164" s="9" t="str">
        <f>IF(OR(J164="",AE164="",AE164="NOT FOUND"),"",IF(Y164="RP",IFERROR(LEFT(_xlfn.XLOOKUP(AE164,Sheet1!$F:$F,Sheet1!$W:$W),FIND("-",_xlfn.XLOOKUP(AE164,Sheet1!$F:$F,Sheet1!$W:$W),FIND("-",_xlfn.XLOOKUP(AE164,Sheet1!$F:$F,Sheet1!$W:$W))+1))&amp;AE164,"NOT FOUND"),LEFT(J164,FIND("-",J164,FIND("-",J164)+1))&amp;AE164))</f>
        <v>KRTS-APWN26-GETKRTSFUT6098</v>
      </c>
    </row>
    <row r="165" spans="1:34" ht="15.75" customHeight="1" x14ac:dyDescent="0.2">
      <c r="A165" s="4" t="s">
        <v>59</v>
      </c>
      <c r="B165" s="4" t="s">
        <v>271</v>
      </c>
      <c r="C165" s="4" t="s">
        <v>64</v>
      </c>
      <c r="D165" s="4" t="s">
        <v>218</v>
      </c>
      <c r="E165" s="4" t="s">
        <v>34</v>
      </c>
      <c r="F165" s="4" t="s">
        <v>35</v>
      </c>
      <c r="G165" s="4" t="s">
        <v>51</v>
      </c>
      <c r="H165" s="4" t="s">
        <v>245</v>
      </c>
      <c r="I165" s="4" t="s">
        <v>246</v>
      </c>
      <c r="J165" s="4" t="s">
        <v>247</v>
      </c>
      <c r="L165" s="4" t="s">
        <v>40</v>
      </c>
      <c r="M165" s="4">
        <v>1</v>
      </c>
      <c r="N165" s="4">
        <v>30</v>
      </c>
      <c r="O165" s="4">
        <v>30</v>
      </c>
      <c r="P165" s="4" t="s">
        <v>41</v>
      </c>
      <c r="Q165" s="4">
        <v>304.7</v>
      </c>
      <c r="R165" s="4">
        <v>304.7</v>
      </c>
      <c r="S165" s="4">
        <v>457.05</v>
      </c>
      <c r="T165" s="4">
        <v>9141</v>
      </c>
      <c r="U165" s="4">
        <v>5</v>
      </c>
      <c r="V165" s="4" t="s">
        <v>42</v>
      </c>
      <c r="X165" s="7" t="str">
        <f t="shared" si="0"/>
        <v>441811098</v>
      </c>
      <c r="Y165" s="8" t="str">
        <f t="shared" si="1"/>
        <v>DC</v>
      </c>
      <c r="Z165" s="8">
        <f t="shared" si="2"/>
        <v>30</v>
      </c>
      <c r="AA165" s="8">
        <f t="shared" si="3"/>
        <v>0</v>
      </c>
      <c r="AB165" s="8">
        <f t="shared" si="4"/>
        <v>0</v>
      </c>
      <c r="AC165" s="8">
        <f t="shared" si="5"/>
        <v>0</v>
      </c>
      <c r="AD165" s="8">
        <f t="shared" si="6"/>
        <v>0</v>
      </c>
      <c r="AE165" s="9" t="str" cm="1">
        <f t="array" ref="AE165">IFERROR(_xlfn.XLOOKUP(H165,Sheet1!$G:$G,Sheet1!$F:$F),IFERROR(_xlfn.XLOOKUP(1,(--($X$2:$X$1074=X165))*(--ISNUMBER(MATCH($H$2:$H$1074,Sheet1!$G:$G,0))),_xlfn.XLOOKUP($H$2:$H$1074,Sheet1!$G:$G,Sheet1!$F:$F,"")),"NOT FOUND"))</f>
        <v>GETKRTSFUT6098</v>
      </c>
      <c r="AF165" s="10" t="str">
        <f t="shared" si="11"/>
        <v>MUSTARD</v>
      </c>
      <c r="AG165" s="11" t="str">
        <f t="shared" si="12"/>
        <v>JHAJJAR</v>
      </c>
      <c r="AH165" s="9" t="str">
        <f>IF(OR(J165="",AE165="",AE165="NOT FOUND"),"",IF(Y165="RP",IFERROR(LEFT(_xlfn.XLOOKUP(AE165,Sheet1!$F:$F,Sheet1!$W:$W),FIND("-",_xlfn.XLOOKUP(AE165,Sheet1!$F:$F,Sheet1!$W:$W),FIND("-",_xlfn.XLOOKUP(AE165,Sheet1!$F:$F,Sheet1!$W:$W))+1))&amp;AE165,"NOT FOUND"),LEFT(J165,FIND("-",J165,FIND("-",J165)+1))&amp;AE165))</f>
        <v>KRTS-APWN26-GETKRTSFUT6098</v>
      </c>
    </row>
    <row r="166" spans="1:34" ht="15.75" customHeight="1" x14ac:dyDescent="0.2">
      <c r="A166" s="4" t="s">
        <v>59</v>
      </c>
      <c r="B166" s="4" t="s">
        <v>271</v>
      </c>
      <c r="C166" s="4" t="s">
        <v>64</v>
      </c>
      <c r="D166" s="4" t="s">
        <v>218</v>
      </c>
      <c r="E166" s="4" t="s">
        <v>34</v>
      </c>
      <c r="F166" s="4" t="s">
        <v>35</v>
      </c>
      <c r="G166" s="4" t="s">
        <v>55</v>
      </c>
      <c r="H166" s="4" t="s">
        <v>248</v>
      </c>
      <c r="I166" s="4" t="s">
        <v>249</v>
      </c>
      <c r="J166" s="4" t="s">
        <v>250</v>
      </c>
      <c r="L166" s="4" t="s">
        <v>40</v>
      </c>
      <c r="M166" s="4">
        <v>1</v>
      </c>
      <c r="N166" s="4">
        <v>132</v>
      </c>
      <c r="O166" s="4">
        <v>132</v>
      </c>
      <c r="P166" s="4" t="s">
        <v>41</v>
      </c>
      <c r="Q166" s="4">
        <v>304.7</v>
      </c>
      <c r="R166" s="4">
        <v>304.7</v>
      </c>
      <c r="S166" s="4">
        <v>2011.02</v>
      </c>
      <c r="T166" s="4">
        <v>40220.400000000001</v>
      </c>
      <c r="U166" s="4">
        <v>5</v>
      </c>
      <c r="V166" s="4" t="s">
        <v>42</v>
      </c>
      <c r="X166" s="7" t="str">
        <f t="shared" si="0"/>
        <v>441811098</v>
      </c>
      <c r="Y166" s="8" t="str">
        <f t="shared" si="1"/>
        <v>DC</v>
      </c>
      <c r="Z166" s="8">
        <f t="shared" si="2"/>
        <v>0</v>
      </c>
      <c r="AA166" s="8">
        <f t="shared" si="3"/>
        <v>0</v>
      </c>
      <c r="AB166" s="8">
        <f t="shared" si="4"/>
        <v>0</v>
      </c>
      <c r="AC166" s="8">
        <f t="shared" si="5"/>
        <v>132</v>
      </c>
      <c r="AD166" s="8">
        <f t="shared" si="6"/>
        <v>0</v>
      </c>
      <c r="AE166" s="9" t="str" cm="1">
        <f t="array" ref="AE166">IFERROR(_xlfn.XLOOKUP(H166,Sheet1!$G:$G,Sheet1!$F:$F),IFERROR(_xlfn.XLOOKUP(1,(--($X$2:$X$1074=X166))*(--ISNUMBER(MATCH($H$2:$H$1074,Sheet1!$G:$G,0))),_xlfn.XLOOKUP($H$2:$H$1074,Sheet1!$G:$G,Sheet1!$F:$F,"")),"NOT FOUND"))</f>
        <v>GETKRTSFUT6098</v>
      </c>
      <c r="AF166" s="10" t="str">
        <f t="shared" si="11"/>
        <v>MUSTARD</v>
      </c>
      <c r="AG166" s="11" t="str">
        <f t="shared" si="12"/>
        <v>JHAJJAR</v>
      </c>
      <c r="AH166" s="9" t="str">
        <f>IF(OR(J166="",AE166="",AE166="NOT FOUND"),"",IF(Y166="RP",IFERROR(LEFT(_xlfn.XLOOKUP(AE166,Sheet1!$F:$F,Sheet1!$W:$W),FIND("-",_xlfn.XLOOKUP(AE166,Sheet1!$F:$F,Sheet1!$W:$W),FIND("-",_xlfn.XLOOKUP(AE166,Sheet1!$F:$F,Sheet1!$W:$W))+1))&amp;AE166,"NOT FOUND"),LEFT(J166,FIND("-",J166,FIND("-",J166)+1))&amp;AE166))</f>
        <v>KRTS-APWN26-GETKRTSFUT6098</v>
      </c>
    </row>
    <row r="167" spans="1:34" ht="15.75" customHeight="1" x14ac:dyDescent="0.2">
      <c r="A167" s="4" t="s">
        <v>61</v>
      </c>
      <c r="B167" s="4" t="s">
        <v>272</v>
      </c>
      <c r="C167" s="4" t="s">
        <v>64</v>
      </c>
      <c r="D167" s="4" t="s">
        <v>205</v>
      </c>
      <c r="E167" s="4" t="s">
        <v>34</v>
      </c>
      <c r="F167" s="4" t="s">
        <v>35</v>
      </c>
      <c r="G167" s="4" t="s">
        <v>36</v>
      </c>
      <c r="H167" s="4" t="s">
        <v>206</v>
      </c>
      <c r="I167" s="4" t="s">
        <v>207</v>
      </c>
      <c r="J167" s="4" t="s">
        <v>191</v>
      </c>
      <c r="L167" s="4" t="s">
        <v>40</v>
      </c>
      <c r="M167" s="4">
        <v>1</v>
      </c>
      <c r="N167" s="4">
        <v>30</v>
      </c>
      <c r="O167" s="4">
        <v>30</v>
      </c>
      <c r="P167" s="4" t="s">
        <v>41</v>
      </c>
      <c r="Q167" s="4">
        <v>399.7</v>
      </c>
      <c r="R167" s="4">
        <v>399.7</v>
      </c>
      <c r="S167" s="4">
        <v>599.54999999999995</v>
      </c>
      <c r="T167" s="4">
        <v>11991</v>
      </c>
      <c r="U167" s="4">
        <v>5</v>
      </c>
      <c r="V167" s="4" t="s">
        <v>42</v>
      </c>
      <c r="X167" s="7" t="str">
        <f t="shared" si="0"/>
        <v>441811100</v>
      </c>
      <c r="Y167" s="8" t="str">
        <f t="shared" si="1"/>
        <v>DC</v>
      </c>
      <c r="Z167" s="8">
        <f t="shared" si="2"/>
        <v>0</v>
      </c>
      <c r="AA167" s="8">
        <f t="shared" si="3"/>
        <v>0</v>
      </c>
      <c r="AB167" s="8">
        <f t="shared" si="4"/>
        <v>0</v>
      </c>
      <c r="AC167" s="8">
        <f t="shared" si="5"/>
        <v>0</v>
      </c>
      <c r="AD167" s="8">
        <f t="shared" si="6"/>
        <v>30</v>
      </c>
      <c r="AE167" s="9" t="str" cm="1">
        <f t="array" ref="AE167">IFERROR(_xlfn.XLOOKUP(H167,Sheet1!$G:$G,Sheet1!$F:$F),IFERROR(_xlfn.XLOOKUP(1,(--($X$2:$X$1074=X167))*(--ISNUMBER(MATCH($H$2:$H$1074,Sheet1!$G:$G,0))),_xlfn.XLOOKUP($H$2:$H$1074,Sheet1!$G:$G,Sheet1!$F:$F,"")),"NOT FOUND"))</f>
        <v>GETKRTSFUT6101</v>
      </c>
      <c r="AF167" s="10" t="str">
        <f t="shared" si="11"/>
        <v>LIME GREEN</v>
      </c>
      <c r="AG167" s="11" t="str">
        <f t="shared" si="12"/>
        <v>HARIPAL</v>
      </c>
      <c r="AH167" s="9" t="str">
        <f>IF(OR(J167="",AE167="",AE167="NOT FOUND"),"",IF(Y167="RP",IFERROR(LEFT(_xlfn.XLOOKUP(AE167,Sheet1!$F:$F,Sheet1!$W:$W),FIND("-",_xlfn.XLOOKUP(AE167,Sheet1!$F:$F,Sheet1!$W:$W),FIND("-",_xlfn.XLOOKUP(AE167,Sheet1!$F:$F,Sheet1!$W:$W))+1))&amp;AE167,"NOT FOUND"),LEFT(J167,FIND("-",J167,FIND("-",J167)+1))&amp;AE167))</f>
        <v>KRTS-APWN26-GETKRTSFUT6101</v>
      </c>
    </row>
    <row r="168" spans="1:34" ht="15.75" customHeight="1" x14ac:dyDescent="0.2">
      <c r="A168" s="4" t="s">
        <v>61</v>
      </c>
      <c r="B168" s="4" t="s">
        <v>272</v>
      </c>
      <c r="C168" s="4" t="s">
        <v>64</v>
      </c>
      <c r="D168" s="4" t="s">
        <v>205</v>
      </c>
      <c r="E168" s="4" t="s">
        <v>34</v>
      </c>
      <c r="F168" s="4" t="s">
        <v>35</v>
      </c>
      <c r="G168" s="4" t="s">
        <v>43</v>
      </c>
      <c r="H168" s="4" t="s">
        <v>208</v>
      </c>
      <c r="I168" s="4" t="s">
        <v>209</v>
      </c>
      <c r="J168" s="4" t="s">
        <v>194</v>
      </c>
      <c r="L168" s="4" t="s">
        <v>40</v>
      </c>
      <c r="M168" s="4">
        <v>1</v>
      </c>
      <c r="N168" s="4">
        <v>142</v>
      </c>
      <c r="O168" s="4">
        <v>142</v>
      </c>
      <c r="P168" s="4" t="s">
        <v>41</v>
      </c>
      <c r="Q168" s="4">
        <v>399.7</v>
      </c>
      <c r="R168" s="4">
        <v>399.7</v>
      </c>
      <c r="S168" s="4">
        <v>2837.87</v>
      </c>
      <c r="T168" s="4">
        <v>56757.4</v>
      </c>
      <c r="U168" s="4">
        <v>5</v>
      </c>
      <c r="V168" s="4" t="s">
        <v>42</v>
      </c>
      <c r="X168" s="7" t="str">
        <f t="shared" si="0"/>
        <v>441811100</v>
      </c>
      <c r="Y168" s="8" t="str">
        <f t="shared" si="1"/>
        <v>DC</v>
      </c>
      <c r="Z168" s="8">
        <f t="shared" si="2"/>
        <v>0</v>
      </c>
      <c r="AA168" s="8">
        <f t="shared" si="3"/>
        <v>0</v>
      </c>
      <c r="AB168" s="8">
        <f t="shared" si="4"/>
        <v>142</v>
      </c>
      <c r="AC168" s="8">
        <f t="shared" si="5"/>
        <v>0</v>
      </c>
      <c r="AD168" s="8">
        <f t="shared" si="6"/>
        <v>0</v>
      </c>
      <c r="AE168" s="9" t="str" cm="1">
        <f t="array" ref="AE168">IFERROR(_xlfn.XLOOKUP(H168,Sheet1!$G:$G,Sheet1!$F:$F),IFERROR(_xlfn.XLOOKUP(1,(--($X$2:$X$1074=X168))*(--ISNUMBER(MATCH($H$2:$H$1074,Sheet1!$G:$G,0))),_xlfn.XLOOKUP($H$2:$H$1074,Sheet1!$G:$G,Sheet1!$F:$F,"")),"NOT FOUND"))</f>
        <v>GETKRTSFUT6101</v>
      </c>
      <c r="AF168" s="10" t="str">
        <f t="shared" si="11"/>
        <v>LIME GREEN</v>
      </c>
      <c r="AG168" s="11" t="str">
        <f t="shared" si="12"/>
        <v>HARIPAL</v>
      </c>
      <c r="AH168" s="9" t="str">
        <f>IF(OR(J168="",AE168="",AE168="NOT FOUND"),"",IF(Y168="RP",IFERROR(LEFT(_xlfn.XLOOKUP(AE168,Sheet1!$F:$F,Sheet1!$W:$W),FIND("-",_xlfn.XLOOKUP(AE168,Sheet1!$F:$F,Sheet1!$W:$W),FIND("-",_xlfn.XLOOKUP(AE168,Sheet1!$F:$F,Sheet1!$W:$W))+1))&amp;AE168,"NOT FOUND"),LEFT(J168,FIND("-",J168,FIND("-",J168)+1))&amp;AE168))</f>
        <v>KRTS-APWN26-GETKRTSFUT6101</v>
      </c>
    </row>
    <row r="169" spans="1:34" ht="15.75" customHeight="1" x14ac:dyDescent="0.2">
      <c r="A169" s="4" t="s">
        <v>61</v>
      </c>
      <c r="B169" s="4" t="s">
        <v>272</v>
      </c>
      <c r="C169" s="4" t="s">
        <v>64</v>
      </c>
      <c r="D169" s="4" t="s">
        <v>205</v>
      </c>
      <c r="E169" s="4" t="s">
        <v>34</v>
      </c>
      <c r="F169" s="4" t="s">
        <v>35</v>
      </c>
      <c r="G169" s="4" t="s">
        <v>47</v>
      </c>
      <c r="H169" s="4" t="s">
        <v>210</v>
      </c>
      <c r="I169" s="4" t="s">
        <v>211</v>
      </c>
      <c r="J169" s="4" t="s">
        <v>197</v>
      </c>
      <c r="L169" s="4" t="s">
        <v>40</v>
      </c>
      <c r="M169" s="4">
        <v>1</v>
      </c>
      <c r="N169" s="4">
        <v>142</v>
      </c>
      <c r="O169" s="4">
        <v>142</v>
      </c>
      <c r="P169" s="4" t="s">
        <v>41</v>
      </c>
      <c r="Q169" s="4">
        <v>399.7</v>
      </c>
      <c r="R169" s="4">
        <v>399.7</v>
      </c>
      <c r="S169" s="4">
        <v>2837.87</v>
      </c>
      <c r="T169" s="4">
        <v>56757.4</v>
      </c>
      <c r="U169" s="4">
        <v>5</v>
      </c>
      <c r="V169" s="4" t="s">
        <v>42</v>
      </c>
      <c r="X169" s="7" t="str">
        <f t="shared" si="0"/>
        <v>441811100</v>
      </c>
      <c r="Y169" s="8" t="str">
        <f t="shared" si="1"/>
        <v>DC</v>
      </c>
      <c r="Z169" s="8">
        <f t="shared" si="2"/>
        <v>0</v>
      </c>
      <c r="AA169" s="8">
        <f t="shared" si="3"/>
        <v>142</v>
      </c>
      <c r="AB169" s="8">
        <f t="shared" si="4"/>
        <v>0</v>
      </c>
      <c r="AC169" s="8">
        <f t="shared" si="5"/>
        <v>0</v>
      </c>
      <c r="AD169" s="8">
        <f t="shared" si="6"/>
        <v>0</v>
      </c>
      <c r="AE169" s="9" t="str" cm="1">
        <f t="array" ref="AE169">IFERROR(_xlfn.XLOOKUP(H169,Sheet1!$G:$G,Sheet1!$F:$F),IFERROR(_xlfn.XLOOKUP(1,(--($X$2:$X$1074=X169))*(--ISNUMBER(MATCH($H$2:$H$1074,Sheet1!$G:$G,0))),_xlfn.XLOOKUP($H$2:$H$1074,Sheet1!$G:$G,Sheet1!$F:$F,"")),"NOT FOUND"))</f>
        <v>GETKRTSFUT6101</v>
      </c>
      <c r="AF169" s="10" t="str">
        <f t="shared" si="11"/>
        <v>LIME GREEN</v>
      </c>
      <c r="AG169" s="11" t="str">
        <f t="shared" si="12"/>
        <v>HARIPAL</v>
      </c>
      <c r="AH169" s="9" t="str">
        <f>IF(OR(J169="",AE169="",AE169="NOT FOUND"),"",IF(Y169="RP",IFERROR(LEFT(_xlfn.XLOOKUP(AE169,Sheet1!$F:$F,Sheet1!$W:$W),FIND("-",_xlfn.XLOOKUP(AE169,Sheet1!$F:$F,Sheet1!$W:$W),FIND("-",_xlfn.XLOOKUP(AE169,Sheet1!$F:$F,Sheet1!$W:$W))+1))&amp;AE169,"NOT FOUND"),LEFT(J169,FIND("-",J169,FIND("-",J169)+1))&amp;AE169))</f>
        <v>KRTS-APWN26-GETKRTSFUT6101</v>
      </c>
    </row>
    <row r="170" spans="1:34" ht="15.75" customHeight="1" x14ac:dyDescent="0.2">
      <c r="A170" s="4" t="s">
        <v>61</v>
      </c>
      <c r="B170" s="4" t="s">
        <v>272</v>
      </c>
      <c r="C170" s="4" t="s">
        <v>64</v>
      </c>
      <c r="D170" s="4" t="s">
        <v>205</v>
      </c>
      <c r="E170" s="4" t="s">
        <v>34</v>
      </c>
      <c r="F170" s="4" t="s">
        <v>35</v>
      </c>
      <c r="G170" s="4" t="s">
        <v>51</v>
      </c>
      <c r="H170" s="4" t="s">
        <v>212</v>
      </c>
      <c r="I170" s="4" t="s">
        <v>213</v>
      </c>
      <c r="J170" s="4" t="s">
        <v>200</v>
      </c>
      <c r="L170" s="4" t="s">
        <v>40</v>
      </c>
      <c r="M170" s="4">
        <v>1</v>
      </c>
      <c r="N170" s="4">
        <v>30</v>
      </c>
      <c r="O170" s="4">
        <v>30</v>
      </c>
      <c r="P170" s="4" t="s">
        <v>41</v>
      </c>
      <c r="Q170" s="4">
        <v>399.7</v>
      </c>
      <c r="R170" s="4">
        <v>399.7</v>
      </c>
      <c r="S170" s="4">
        <v>599.54999999999995</v>
      </c>
      <c r="T170" s="4">
        <v>11991</v>
      </c>
      <c r="U170" s="4">
        <v>5</v>
      </c>
      <c r="V170" s="4" t="s">
        <v>42</v>
      </c>
      <c r="X170" s="7" t="str">
        <f t="shared" si="0"/>
        <v>441811100</v>
      </c>
      <c r="Y170" s="8" t="str">
        <f t="shared" si="1"/>
        <v>DC</v>
      </c>
      <c r="Z170" s="8">
        <f t="shared" si="2"/>
        <v>30</v>
      </c>
      <c r="AA170" s="8">
        <f t="shared" si="3"/>
        <v>0</v>
      </c>
      <c r="AB170" s="8">
        <f t="shared" si="4"/>
        <v>0</v>
      </c>
      <c r="AC170" s="8">
        <f t="shared" si="5"/>
        <v>0</v>
      </c>
      <c r="AD170" s="8">
        <f t="shared" si="6"/>
        <v>0</v>
      </c>
      <c r="AE170" s="9" t="str" cm="1">
        <f t="array" ref="AE170">IFERROR(_xlfn.XLOOKUP(H170,Sheet1!$G:$G,Sheet1!$F:$F),IFERROR(_xlfn.XLOOKUP(1,(--($X$2:$X$1074=X170))*(--ISNUMBER(MATCH($H$2:$H$1074,Sheet1!$G:$G,0))),_xlfn.XLOOKUP($H$2:$H$1074,Sheet1!$G:$G,Sheet1!$F:$F,"")),"NOT FOUND"))</f>
        <v>GETKRTSFUT6101</v>
      </c>
      <c r="AF170" s="10" t="str">
        <f t="shared" si="11"/>
        <v>LIME GREEN</v>
      </c>
      <c r="AG170" s="11" t="str">
        <f t="shared" si="12"/>
        <v>HARIPAL</v>
      </c>
      <c r="AH170" s="9" t="str">
        <f>IF(OR(J170="",AE170="",AE170="NOT FOUND"),"",IF(Y170="RP",IFERROR(LEFT(_xlfn.XLOOKUP(AE170,Sheet1!$F:$F,Sheet1!$W:$W),FIND("-",_xlfn.XLOOKUP(AE170,Sheet1!$F:$F,Sheet1!$W:$W),FIND("-",_xlfn.XLOOKUP(AE170,Sheet1!$F:$F,Sheet1!$W:$W))+1))&amp;AE170,"NOT FOUND"),LEFT(J170,FIND("-",J170,FIND("-",J170)+1))&amp;AE170))</f>
        <v>KRTS-APWN26-GETKRTSFUT6101</v>
      </c>
    </row>
    <row r="171" spans="1:34" ht="15.75" customHeight="1" x14ac:dyDescent="0.2">
      <c r="A171" s="4" t="s">
        <v>61</v>
      </c>
      <c r="B171" s="4" t="s">
        <v>272</v>
      </c>
      <c r="C171" s="4" t="s">
        <v>64</v>
      </c>
      <c r="D171" s="4" t="s">
        <v>205</v>
      </c>
      <c r="E171" s="4" t="s">
        <v>34</v>
      </c>
      <c r="F171" s="4" t="s">
        <v>35</v>
      </c>
      <c r="G171" s="4" t="s">
        <v>55</v>
      </c>
      <c r="H171" s="4" t="s">
        <v>214</v>
      </c>
      <c r="I171" s="4" t="s">
        <v>215</v>
      </c>
      <c r="J171" s="4" t="s">
        <v>203</v>
      </c>
      <c r="L171" s="4" t="s">
        <v>40</v>
      </c>
      <c r="M171" s="4">
        <v>1</v>
      </c>
      <c r="N171" s="4">
        <v>120</v>
      </c>
      <c r="O171" s="4">
        <v>120</v>
      </c>
      <c r="P171" s="4" t="s">
        <v>41</v>
      </c>
      <c r="Q171" s="4">
        <v>399.7</v>
      </c>
      <c r="R171" s="4">
        <v>399.7</v>
      </c>
      <c r="S171" s="4">
        <v>2398.1999999999998</v>
      </c>
      <c r="T171" s="4">
        <v>47964</v>
      </c>
      <c r="U171" s="4">
        <v>5</v>
      </c>
      <c r="V171" s="4" t="s">
        <v>42</v>
      </c>
      <c r="X171" s="7" t="str">
        <f t="shared" si="0"/>
        <v>441811100</v>
      </c>
      <c r="Y171" s="8" t="str">
        <f t="shared" si="1"/>
        <v>DC</v>
      </c>
      <c r="Z171" s="8">
        <f t="shared" si="2"/>
        <v>0</v>
      </c>
      <c r="AA171" s="8">
        <f t="shared" si="3"/>
        <v>0</v>
      </c>
      <c r="AB171" s="8">
        <f t="shared" si="4"/>
        <v>0</v>
      </c>
      <c r="AC171" s="8">
        <f t="shared" si="5"/>
        <v>120</v>
      </c>
      <c r="AD171" s="8">
        <f t="shared" si="6"/>
        <v>0</v>
      </c>
      <c r="AE171" s="9" t="str" cm="1">
        <f t="array" ref="AE171">IFERROR(_xlfn.XLOOKUP(H171,Sheet1!$G:$G,Sheet1!$F:$F),IFERROR(_xlfn.XLOOKUP(1,(--($X$2:$X$1074=X171))*(--ISNUMBER(MATCH($H$2:$H$1074,Sheet1!$G:$G,0))),_xlfn.XLOOKUP($H$2:$H$1074,Sheet1!$G:$G,Sheet1!$F:$F,"")),"NOT FOUND"))</f>
        <v>GETKRTSFUT6101</v>
      </c>
      <c r="AF171" s="10" t="str">
        <f t="shared" si="11"/>
        <v>LIME GREEN</v>
      </c>
      <c r="AG171" s="11" t="str">
        <f t="shared" si="12"/>
        <v>HARIPAL</v>
      </c>
      <c r="AH171" s="9" t="str">
        <f>IF(OR(J171="",AE171="",AE171="NOT FOUND"),"",IF(Y171="RP",IFERROR(LEFT(_xlfn.XLOOKUP(AE171,Sheet1!$F:$F,Sheet1!$W:$W),FIND("-",_xlfn.XLOOKUP(AE171,Sheet1!$F:$F,Sheet1!$W:$W),FIND("-",_xlfn.XLOOKUP(AE171,Sheet1!$F:$F,Sheet1!$W:$W))+1))&amp;AE171,"NOT FOUND"),LEFT(J171,FIND("-",J171,FIND("-",J171)+1))&amp;AE171))</f>
        <v>KRTS-APWN26-GETKRTSFUT6101</v>
      </c>
    </row>
    <row r="172" spans="1:34" ht="15.75" customHeight="1" x14ac:dyDescent="0.2">
      <c r="A172" s="4" t="s">
        <v>59</v>
      </c>
      <c r="B172" s="4" t="s">
        <v>273</v>
      </c>
      <c r="C172" s="4" t="s">
        <v>64</v>
      </c>
      <c r="D172" s="4" t="s">
        <v>218</v>
      </c>
      <c r="E172" s="4" t="s">
        <v>34</v>
      </c>
      <c r="F172" s="4" t="s">
        <v>35</v>
      </c>
      <c r="G172" s="4" t="s">
        <v>36</v>
      </c>
      <c r="H172" s="4" t="s">
        <v>253</v>
      </c>
      <c r="I172" s="4" t="s">
        <v>254</v>
      </c>
      <c r="J172" s="4" t="s">
        <v>255</v>
      </c>
      <c r="L172" s="4" t="s">
        <v>40</v>
      </c>
      <c r="M172" s="4">
        <v>1</v>
      </c>
      <c r="N172" s="4">
        <v>30</v>
      </c>
      <c r="O172" s="4">
        <v>30</v>
      </c>
      <c r="P172" s="4" t="s">
        <v>41</v>
      </c>
      <c r="Q172" s="4">
        <v>304.7</v>
      </c>
      <c r="R172" s="4">
        <v>304.7</v>
      </c>
      <c r="S172" s="4">
        <v>457.05</v>
      </c>
      <c r="T172" s="4">
        <v>9141</v>
      </c>
      <c r="U172" s="4">
        <v>5</v>
      </c>
      <c r="V172" s="4" t="s">
        <v>42</v>
      </c>
      <c r="X172" s="7" t="str">
        <f t="shared" si="0"/>
        <v>441811098</v>
      </c>
      <c r="Y172" s="8" t="str">
        <f t="shared" si="1"/>
        <v>DC</v>
      </c>
      <c r="Z172" s="8">
        <f t="shared" si="2"/>
        <v>0</v>
      </c>
      <c r="AA172" s="8">
        <f t="shared" si="3"/>
        <v>0</v>
      </c>
      <c r="AB172" s="8">
        <f t="shared" si="4"/>
        <v>0</v>
      </c>
      <c r="AC172" s="8">
        <f t="shared" si="5"/>
        <v>0</v>
      </c>
      <c r="AD172" s="8">
        <f t="shared" si="6"/>
        <v>30</v>
      </c>
      <c r="AE172" s="9" t="str" cm="1">
        <f t="array" ref="AE172">IFERROR(_xlfn.XLOOKUP(H172,Sheet1!$G:$G,Sheet1!$F:$F),IFERROR(_xlfn.XLOOKUP(1,(--($X$2:$X$1074=X172))*(--ISNUMBER(MATCH($H$2:$H$1074,Sheet1!$G:$G,0))),_xlfn.XLOOKUP($H$2:$H$1074,Sheet1!$G:$G,Sheet1!$F:$F,"")),"NOT FOUND"))</f>
        <v>GETKRTSFUT6098</v>
      </c>
      <c r="AF172" s="10" t="str">
        <f t="shared" si="11"/>
        <v>MAROON</v>
      </c>
      <c r="AG172" s="11" t="str">
        <f t="shared" si="12"/>
        <v>JHAJJAR</v>
      </c>
      <c r="AH172" s="9" t="str">
        <f>IF(OR(J172="",AE172="",AE172="NOT FOUND"),"",IF(Y172="RP",IFERROR(LEFT(_xlfn.XLOOKUP(AE172,Sheet1!$F:$F,Sheet1!$W:$W),FIND("-",_xlfn.XLOOKUP(AE172,Sheet1!$F:$F,Sheet1!$W:$W),FIND("-",_xlfn.XLOOKUP(AE172,Sheet1!$F:$F,Sheet1!$W:$W))+1))&amp;AE172,"NOT FOUND"),LEFT(J172,FIND("-",J172,FIND("-",J172)+1))&amp;AE172))</f>
        <v>KRTS-APWN26-GETKRTSFUT6098</v>
      </c>
    </row>
    <row r="173" spans="1:34" ht="15.75" customHeight="1" x14ac:dyDescent="0.2">
      <c r="A173" s="4" t="s">
        <v>59</v>
      </c>
      <c r="B173" s="4" t="s">
        <v>273</v>
      </c>
      <c r="C173" s="4" t="s">
        <v>64</v>
      </c>
      <c r="D173" s="4" t="s">
        <v>218</v>
      </c>
      <c r="E173" s="4" t="s">
        <v>34</v>
      </c>
      <c r="F173" s="4" t="s">
        <v>35</v>
      </c>
      <c r="G173" s="4" t="s">
        <v>43</v>
      </c>
      <c r="H173" s="4" t="s">
        <v>256</v>
      </c>
      <c r="I173" s="4" t="s">
        <v>257</v>
      </c>
      <c r="J173" s="4" t="s">
        <v>258</v>
      </c>
      <c r="L173" s="4" t="s">
        <v>40</v>
      </c>
      <c r="M173" s="4">
        <v>1</v>
      </c>
      <c r="N173" s="4">
        <v>156</v>
      </c>
      <c r="O173" s="4">
        <v>156</v>
      </c>
      <c r="P173" s="4" t="s">
        <v>41</v>
      </c>
      <c r="Q173" s="4">
        <v>304.7</v>
      </c>
      <c r="R173" s="4">
        <v>304.7</v>
      </c>
      <c r="S173" s="4">
        <v>2376.66</v>
      </c>
      <c r="T173" s="4">
        <v>47533.2</v>
      </c>
      <c r="U173" s="4">
        <v>5</v>
      </c>
      <c r="V173" s="4" t="s">
        <v>42</v>
      </c>
      <c r="X173" s="7" t="str">
        <f t="shared" si="0"/>
        <v>441811098</v>
      </c>
      <c r="Y173" s="8" t="str">
        <f t="shared" si="1"/>
        <v>DC</v>
      </c>
      <c r="Z173" s="8">
        <f t="shared" si="2"/>
        <v>0</v>
      </c>
      <c r="AA173" s="8">
        <f t="shared" si="3"/>
        <v>0</v>
      </c>
      <c r="AB173" s="8">
        <f t="shared" si="4"/>
        <v>156</v>
      </c>
      <c r="AC173" s="8">
        <f t="shared" si="5"/>
        <v>0</v>
      </c>
      <c r="AD173" s="8">
        <f t="shared" si="6"/>
        <v>0</v>
      </c>
      <c r="AE173" s="9" t="str" cm="1">
        <f t="array" ref="AE173">IFERROR(_xlfn.XLOOKUP(H173,Sheet1!$G:$G,Sheet1!$F:$F),IFERROR(_xlfn.XLOOKUP(1,(--($X$2:$X$1074=X173))*(--ISNUMBER(MATCH($H$2:$H$1074,Sheet1!$G:$G,0))),_xlfn.XLOOKUP($H$2:$H$1074,Sheet1!$G:$G,Sheet1!$F:$F,"")),"NOT FOUND"))</f>
        <v>GETKRTSFUT6098</v>
      </c>
      <c r="AF173" s="10" t="str">
        <f t="shared" si="11"/>
        <v>MAROON</v>
      </c>
      <c r="AG173" s="11" t="str">
        <f t="shared" si="12"/>
        <v>JHAJJAR</v>
      </c>
      <c r="AH173" s="9" t="str">
        <f>IF(OR(J173="",AE173="",AE173="NOT FOUND"),"",IF(Y173="RP",IFERROR(LEFT(_xlfn.XLOOKUP(AE173,Sheet1!$F:$F,Sheet1!$W:$W),FIND("-",_xlfn.XLOOKUP(AE173,Sheet1!$F:$F,Sheet1!$W:$W),FIND("-",_xlfn.XLOOKUP(AE173,Sheet1!$F:$F,Sheet1!$W:$W))+1))&amp;AE173,"NOT FOUND"),LEFT(J173,FIND("-",J173,FIND("-",J173)+1))&amp;AE173))</f>
        <v>KRTS-APWN26-GETKRTSFUT6098</v>
      </c>
    </row>
    <row r="174" spans="1:34" ht="15.75" customHeight="1" x14ac:dyDescent="0.2">
      <c r="A174" s="4" t="s">
        <v>59</v>
      </c>
      <c r="B174" s="4" t="s">
        <v>273</v>
      </c>
      <c r="C174" s="4" t="s">
        <v>64</v>
      </c>
      <c r="D174" s="4" t="s">
        <v>218</v>
      </c>
      <c r="E174" s="4" t="s">
        <v>34</v>
      </c>
      <c r="F174" s="4" t="s">
        <v>35</v>
      </c>
      <c r="G174" s="4" t="s">
        <v>47</v>
      </c>
      <c r="H174" s="4" t="s">
        <v>259</v>
      </c>
      <c r="I174" s="4" t="s">
        <v>260</v>
      </c>
      <c r="J174" s="4" t="s">
        <v>261</v>
      </c>
      <c r="L174" s="4" t="s">
        <v>40</v>
      </c>
      <c r="M174" s="4">
        <v>1</v>
      </c>
      <c r="N174" s="4">
        <v>156</v>
      </c>
      <c r="O174" s="4">
        <v>156</v>
      </c>
      <c r="P174" s="4" t="s">
        <v>41</v>
      </c>
      <c r="Q174" s="4">
        <v>304.7</v>
      </c>
      <c r="R174" s="4">
        <v>304.7</v>
      </c>
      <c r="S174" s="4">
        <v>2376.66</v>
      </c>
      <c r="T174" s="4">
        <v>47533.2</v>
      </c>
      <c r="U174" s="4">
        <v>5</v>
      </c>
      <c r="V174" s="4" t="s">
        <v>42</v>
      </c>
      <c r="X174" s="7" t="str">
        <f t="shared" si="0"/>
        <v>441811098</v>
      </c>
      <c r="Y174" s="8" t="str">
        <f t="shared" si="1"/>
        <v>DC</v>
      </c>
      <c r="Z174" s="8">
        <f t="shared" si="2"/>
        <v>0</v>
      </c>
      <c r="AA174" s="8">
        <f t="shared" si="3"/>
        <v>156</v>
      </c>
      <c r="AB174" s="8">
        <f t="shared" si="4"/>
        <v>0</v>
      </c>
      <c r="AC174" s="8">
        <f t="shared" si="5"/>
        <v>0</v>
      </c>
      <c r="AD174" s="8">
        <f t="shared" si="6"/>
        <v>0</v>
      </c>
      <c r="AE174" s="9" t="str" cm="1">
        <f t="array" ref="AE174">IFERROR(_xlfn.XLOOKUP(H174,Sheet1!$G:$G,Sheet1!$F:$F),IFERROR(_xlfn.XLOOKUP(1,(--($X$2:$X$1074=X174))*(--ISNUMBER(MATCH($H$2:$H$1074,Sheet1!$G:$G,0))),_xlfn.XLOOKUP($H$2:$H$1074,Sheet1!$G:$G,Sheet1!$F:$F,"")),"NOT FOUND"))</f>
        <v>GETKRTSFUT6098</v>
      </c>
      <c r="AF174" s="10" t="str">
        <f t="shared" si="11"/>
        <v>MAROON</v>
      </c>
      <c r="AG174" s="11" t="str">
        <f t="shared" si="12"/>
        <v>JHAJJAR</v>
      </c>
      <c r="AH174" s="9" t="str">
        <f>IF(OR(J174="",AE174="",AE174="NOT FOUND"),"",IF(Y174="RP",IFERROR(LEFT(_xlfn.XLOOKUP(AE174,Sheet1!$F:$F,Sheet1!$W:$W),FIND("-",_xlfn.XLOOKUP(AE174,Sheet1!$F:$F,Sheet1!$W:$W),FIND("-",_xlfn.XLOOKUP(AE174,Sheet1!$F:$F,Sheet1!$W:$W))+1))&amp;AE174,"NOT FOUND"),LEFT(J174,FIND("-",J174,FIND("-",J174)+1))&amp;AE174))</f>
        <v>KRTS-APWN26-GETKRTSFUT6098</v>
      </c>
    </row>
    <row r="175" spans="1:34" ht="15.75" customHeight="1" x14ac:dyDescent="0.2">
      <c r="A175" s="4" t="s">
        <v>59</v>
      </c>
      <c r="B175" s="4" t="s">
        <v>273</v>
      </c>
      <c r="C175" s="4" t="s">
        <v>64</v>
      </c>
      <c r="D175" s="4" t="s">
        <v>218</v>
      </c>
      <c r="E175" s="4" t="s">
        <v>34</v>
      </c>
      <c r="F175" s="4" t="s">
        <v>35</v>
      </c>
      <c r="G175" s="4" t="s">
        <v>51</v>
      </c>
      <c r="H175" s="4" t="s">
        <v>262</v>
      </c>
      <c r="I175" s="4" t="s">
        <v>263</v>
      </c>
      <c r="J175" s="4" t="s">
        <v>264</v>
      </c>
      <c r="L175" s="4" t="s">
        <v>40</v>
      </c>
      <c r="M175" s="4">
        <v>1</v>
      </c>
      <c r="N175" s="4">
        <v>30</v>
      </c>
      <c r="O175" s="4">
        <v>30</v>
      </c>
      <c r="P175" s="4" t="s">
        <v>41</v>
      </c>
      <c r="Q175" s="4">
        <v>304.7</v>
      </c>
      <c r="R175" s="4">
        <v>304.7</v>
      </c>
      <c r="S175" s="4">
        <v>457.05</v>
      </c>
      <c r="T175" s="4">
        <v>9141</v>
      </c>
      <c r="U175" s="4">
        <v>5</v>
      </c>
      <c r="V175" s="4" t="s">
        <v>42</v>
      </c>
      <c r="X175" s="7" t="str">
        <f t="shared" si="0"/>
        <v>441811098</v>
      </c>
      <c r="Y175" s="8" t="str">
        <f t="shared" si="1"/>
        <v>DC</v>
      </c>
      <c r="Z175" s="8">
        <f t="shared" si="2"/>
        <v>30</v>
      </c>
      <c r="AA175" s="8">
        <f t="shared" si="3"/>
        <v>0</v>
      </c>
      <c r="AB175" s="8">
        <f t="shared" si="4"/>
        <v>0</v>
      </c>
      <c r="AC175" s="8">
        <f t="shared" si="5"/>
        <v>0</v>
      </c>
      <c r="AD175" s="8">
        <f t="shared" si="6"/>
        <v>0</v>
      </c>
      <c r="AE175" s="9" t="str" cm="1">
        <f t="array" ref="AE175">IFERROR(_xlfn.XLOOKUP(H175,Sheet1!$G:$G,Sheet1!$F:$F),IFERROR(_xlfn.XLOOKUP(1,(--($X$2:$X$1074=X175))*(--ISNUMBER(MATCH($H$2:$H$1074,Sheet1!$G:$G,0))),_xlfn.XLOOKUP($H$2:$H$1074,Sheet1!$G:$G,Sheet1!$F:$F,"")),"NOT FOUND"))</f>
        <v>GETKRTSFUT6098</v>
      </c>
      <c r="AF175" s="10" t="str">
        <f t="shared" si="11"/>
        <v>MAROON</v>
      </c>
      <c r="AG175" s="11" t="str">
        <f t="shared" si="12"/>
        <v>JHAJJAR</v>
      </c>
      <c r="AH175" s="9" t="str">
        <f>IF(OR(J175="",AE175="",AE175="NOT FOUND"),"",IF(Y175="RP",IFERROR(LEFT(_xlfn.XLOOKUP(AE175,Sheet1!$F:$F,Sheet1!$W:$W),FIND("-",_xlfn.XLOOKUP(AE175,Sheet1!$F:$F,Sheet1!$W:$W),FIND("-",_xlfn.XLOOKUP(AE175,Sheet1!$F:$F,Sheet1!$W:$W))+1))&amp;AE175,"NOT FOUND"),LEFT(J175,FIND("-",J175,FIND("-",J175)+1))&amp;AE175))</f>
        <v>KRTS-APWN26-GETKRTSFUT6098</v>
      </c>
    </row>
    <row r="176" spans="1:34" ht="15.75" customHeight="1" x14ac:dyDescent="0.2">
      <c r="A176" s="4" t="s">
        <v>59</v>
      </c>
      <c r="B176" s="4" t="s">
        <v>273</v>
      </c>
      <c r="C176" s="4" t="s">
        <v>64</v>
      </c>
      <c r="D176" s="4" t="s">
        <v>218</v>
      </c>
      <c r="E176" s="4" t="s">
        <v>34</v>
      </c>
      <c r="F176" s="4" t="s">
        <v>35</v>
      </c>
      <c r="G176" s="4" t="s">
        <v>55</v>
      </c>
      <c r="H176" s="4" t="s">
        <v>265</v>
      </c>
      <c r="I176" s="4" t="s">
        <v>266</v>
      </c>
      <c r="J176" s="4" t="s">
        <v>267</v>
      </c>
      <c r="L176" s="4" t="s">
        <v>40</v>
      </c>
      <c r="M176" s="4">
        <v>1</v>
      </c>
      <c r="N176" s="4">
        <v>132</v>
      </c>
      <c r="O176" s="4">
        <v>132</v>
      </c>
      <c r="P176" s="4" t="s">
        <v>41</v>
      </c>
      <c r="Q176" s="4">
        <v>304.7</v>
      </c>
      <c r="R176" s="4">
        <v>304.7</v>
      </c>
      <c r="S176" s="4">
        <v>2011.02</v>
      </c>
      <c r="T176" s="4">
        <v>40220.400000000001</v>
      </c>
      <c r="U176" s="4">
        <v>5</v>
      </c>
      <c r="V176" s="4" t="s">
        <v>42</v>
      </c>
      <c r="X176" s="7" t="str">
        <f t="shared" si="0"/>
        <v>441811098</v>
      </c>
      <c r="Y176" s="8" t="str">
        <f t="shared" si="1"/>
        <v>DC</v>
      </c>
      <c r="Z176" s="8">
        <f t="shared" si="2"/>
        <v>0</v>
      </c>
      <c r="AA176" s="8">
        <f t="shared" si="3"/>
        <v>0</v>
      </c>
      <c r="AB176" s="8">
        <f t="shared" si="4"/>
        <v>0</v>
      </c>
      <c r="AC176" s="8">
        <f t="shared" si="5"/>
        <v>132</v>
      </c>
      <c r="AD176" s="8">
        <f t="shared" si="6"/>
        <v>0</v>
      </c>
      <c r="AE176" s="9" t="str" cm="1">
        <f t="array" ref="AE176">IFERROR(_xlfn.XLOOKUP(H176,Sheet1!$G:$G,Sheet1!$F:$F),IFERROR(_xlfn.XLOOKUP(1,(--($X$2:$X$1074=X176))*(--ISNUMBER(MATCH($H$2:$H$1074,Sheet1!$G:$G,0))),_xlfn.XLOOKUP($H$2:$H$1074,Sheet1!$G:$G,Sheet1!$F:$F,"")),"NOT FOUND"))</f>
        <v>GETKRTSFUT6098</v>
      </c>
      <c r="AF176" s="10" t="str">
        <f t="shared" si="11"/>
        <v>MAROON</v>
      </c>
      <c r="AG176" s="11" t="str">
        <f t="shared" si="12"/>
        <v>JHAJJAR</v>
      </c>
      <c r="AH176" s="9" t="str">
        <f>IF(OR(J176="",AE176="",AE176="NOT FOUND"),"",IF(Y176="RP",IFERROR(LEFT(_xlfn.XLOOKUP(AE176,Sheet1!$F:$F,Sheet1!$W:$W),FIND("-",_xlfn.XLOOKUP(AE176,Sheet1!$F:$F,Sheet1!$W:$W),FIND("-",_xlfn.XLOOKUP(AE176,Sheet1!$F:$F,Sheet1!$W:$W))+1))&amp;AE176,"NOT FOUND"),LEFT(J176,FIND("-",J176,FIND("-",J176)+1))&amp;AE176))</f>
        <v>KRTS-APWN26-GETKRTSFUT6098</v>
      </c>
    </row>
    <row r="177" spans="1:34" ht="15.75" customHeight="1" x14ac:dyDescent="0.2">
      <c r="A177" s="4" t="s">
        <v>61</v>
      </c>
      <c r="B177" s="4" t="s">
        <v>274</v>
      </c>
      <c r="C177" s="4" t="s">
        <v>64</v>
      </c>
      <c r="D177" s="4" t="s">
        <v>218</v>
      </c>
      <c r="E177" s="4" t="s">
        <v>34</v>
      </c>
      <c r="F177" s="4" t="s">
        <v>35</v>
      </c>
      <c r="G177" s="4" t="s">
        <v>36</v>
      </c>
      <c r="H177" s="4" t="s">
        <v>219</v>
      </c>
      <c r="I177" s="4" t="s">
        <v>220</v>
      </c>
      <c r="J177" s="4" t="s">
        <v>221</v>
      </c>
      <c r="L177" s="4" t="s">
        <v>40</v>
      </c>
      <c r="M177" s="4">
        <v>1</v>
      </c>
      <c r="N177" s="4">
        <v>30</v>
      </c>
      <c r="O177" s="4">
        <v>30</v>
      </c>
      <c r="P177" s="4" t="s">
        <v>41</v>
      </c>
      <c r="Q177" s="4">
        <v>312.7</v>
      </c>
      <c r="R177" s="4">
        <v>312.7</v>
      </c>
      <c r="S177" s="4">
        <v>469.05</v>
      </c>
      <c r="T177" s="4">
        <v>9381</v>
      </c>
      <c r="U177" s="4">
        <v>5</v>
      </c>
      <c r="V177" s="4" t="s">
        <v>42</v>
      </c>
      <c r="X177" s="7" t="str">
        <f t="shared" si="0"/>
        <v>441811099</v>
      </c>
      <c r="Y177" s="8" t="str">
        <f t="shared" si="1"/>
        <v>DC</v>
      </c>
      <c r="Z177" s="8">
        <f t="shared" si="2"/>
        <v>0</v>
      </c>
      <c r="AA177" s="8">
        <f t="shared" si="3"/>
        <v>0</v>
      </c>
      <c r="AB177" s="8">
        <f t="shared" si="4"/>
        <v>0</v>
      </c>
      <c r="AC177" s="8">
        <f t="shared" si="5"/>
        <v>0</v>
      </c>
      <c r="AD177" s="8">
        <f t="shared" si="6"/>
        <v>30</v>
      </c>
      <c r="AE177" s="9" t="str" cm="1">
        <f t="array" ref="AE177">IFERROR(_xlfn.XLOOKUP(H177,Sheet1!$G:$G,Sheet1!$F:$F),IFERROR(_xlfn.XLOOKUP(1,(--($X$2:$X$1074=X177))*(--ISNUMBER(MATCH($H$2:$H$1074,Sheet1!$G:$G,0))),_xlfn.XLOOKUP($H$2:$H$1074,Sheet1!$G:$G,Sheet1!$F:$F,"")),"NOT FOUND"))</f>
        <v>GETKRTSFUT6100</v>
      </c>
      <c r="AF177" s="10" t="str">
        <f t="shared" si="11"/>
        <v>MUSTARD</v>
      </c>
      <c r="AG177" s="11" t="str">
        <f t="shared" si="12"/>
        <v>HARIPAL</v>
      </c>
      <c r="AH177" s="9" t="str">
        <f>IF(OR(J177="",AE177="",AE177="NOT FOUND"),"",IF(Y177="RP",IFERROR(LEFT(_xlfn.XLOOKUP(AE177,Sheet1!$F:$F,Sheet1!$W:$W),FIND("-",_xlfn.XLOOKUP(AE177,Sheet1!$F:$F,Sheet1!$W:$W),FIND("-",_xlfn.XLOOKUP(AE177,Sheet1!$F:$F,Sheet1!$W:$W))+1))&amp;AE177,"NOT FOUND"),LEFT(J177,FIND("-",J177,FIND("-",J177)+1))&amp;AE177))</f>
        <v>KRTS-APWN26-GETKRTSFUT6100</v>
      </c>
    </row>
    <row r="178" spans="1:34" ht="15.75" customHeight="1" x14ac:dyDescent="0.2">
      <c r="A178" s="4" t="s">
        <v>61</v>
      </c>
      <c r="B178" s="4" t="s">
        <v>274</v>
      </c>
      <c r="C178" s="4" t="s">
        <v>64</v>
      </c>
      <c r="D178" s="4" t="s">
        <v>218</v>
      </c>
      <c r="E178" s="4" t="s">
        <v>34</v>
      </c>
      <c r="F178" s="4" t="s">
        <v>35</v>
      </c>
      <c r="G178" s="4" t="s">
        <v>43</v>
      </c>
      <c r="H178" s="4" t="s">
        <v>222</v>
      </c>
      <c r="I178" s="4" t="s">
        <v>223</v>
      </c>
      <c r="J178" s="4" t="s">
        <v>224</v>
      </c>
      <c r="L178" s="4" t="s">
        <v>40</v>
      </c>
      <c r="M178" s="4">
        <v>1</v>
      </c>
      <c r="N178" s="4">
        <v>186</v>
      </c>
      <c r="O178" s="4">
        <v>186</v>
      </c>
      <c r="P178" s="4" t="s">
        <v>41</v>
      </c>
      <c r="Q178" s="4">
        <v>312.7</v>
      </c>
      <c r="R178" s="4">
        <v>312.7</v>
      </c>
      <c r="S178" s="4">
        <v>2908.11</v>
      </c>
      <c r="T178" s="4">
        <v>58162.2</v>
      </c>
      <c r="U178" s="4">
        <v>5</v>
      </c>
      <c r="V178" s="4" t="s">
        <v>42</v>
      </c>
      <c r="X178" s="7" t="str">
        <f t="shared" si="0"/>
        <v>441811099</v>
      </c>
      <c r="Y178" s="8" t="str">
        <f t="shared" si="1"/>
        <v>DC</v>
      </c>
      <c r="Z178" s="8">
        <f t="shared" si="2"/>
        <v>0</v>
      </c>
      <c r="AA178" s="8">
        <f t="shared" si="3"/>
        <v>0</v>
      </c>
      <c r="AB178" s="8">
        <f t="shared" si="4"/>
        <v>186</v>
      </c>
      <c r="AC178" s="8">
        <f t="shared" si="5"/>
        <v>0</v>
      </c>
      <c r="AD178" s="8">
        <f t="shared" si="6"/>
        <v>0</v>
      </c>
      <c r="AE178" s="9" t="str" cm="1">
        <f t="array" ref="AE178">IFERROR(_xlfn.XLOOKUP(H178,Sheet1!$G:$G,Sheet1!$F:$F),IFERROR(_xlfn.XLOOKUP(1,(--($X$2:$X$1074=X178))*(--ISNUMBER(MATCH($H$2:$H$1074,Sheet1!$G:$G,0))),_xlfn.XLOOKUP($H$2:$H$1074,Sheet1!$G:$G,Sheet1!$F:$F,"")),"NOT FOUND"))</f>
        <v>GETKRTSFUT6100</v>
      </c>
      <c r="AF178" s="10" t="str">
        <f t="shared" si="11"/>
        <v>MUSTARD</v>
      </c>
      <c r="AG178" s="11" t="str">
        <f t="shared" si="12"/>
        <v>HARIPAL</v>
      </c>
      <c r="AH178" s="9" t="str">
        <f>IF(OR(J178="",AE178="",AE178="NOT FOUND"),"",IF(Y178="RP",IFERROR(LEFT(_xlfn.XLOOKUP(AE178,Sheet1!$F:$F,Sheet1!$W:$W),FIND("-",_xlfn.XLOOKUP(AE178,Sheet1!$F:$F,Sheet1!$W:$W),FIND("-",_xlfn.XLOOKUP(AE178,Sheet1!$F:$F,Sheet1!$W:$W))+1))&amp;AE178,"NOT FOUND"),LEFT(J178,FIND("-",J178,FIND("-",J178)+1))&amp;AE178))</f>
        <v>KRTS-APWN26-GETKRTSFUT6100</v>
      </c>
    </row>
    <row r="179" spans="1:34" ht="15.75" customHeight="1" x14ac:dyDescent="0.2">
      <c r="A179" s="4" t="s">
        <v>61</v>
      </c>
      <c r="B179" s="4" t="s">
        <v>274</v>
      </c>
      <c r="C179" s="4" t="s">
        <v>64</v>
      </c>
      <c r="D179" s="4" t="s">
        <v>218</v>
      </c>
      <c r="E179" s="4" t="s">
        <v>34</v>
      </c>
      <c r="F179" s="4" t="s">
        <v>35</v>
      </c>
      <c r="G179" s="4" t="s">
        <v>47</v>
      </c>
      <c r="H179" s="4" t="s">
        <v>225</v>
      </c>
      <c r="I179" s="4" t="s">
        <v>226</v>
      </c>
      <c r="J179" s="4" t="s">
        <v>227</v>
      </c>
      <c r="L179" s="4" t="s">
        <v>40</v>
      </c>
      <c r="M179" s="4">
        <v>1</v>
      </c>
      <c r="N179" s="4">
        <v>186</v>
      </c>
      <c r="O179" s="4">
        <v>186</v>
      </c>
      <c r="P179" s="4" t="s">
        <v>41</v>
      </c>
      <c r="Q179" s="4">
        <v>312.7</v>
      </c>
      <c r="R179" s="4">
        <v>312.7</v>
      </c>
      <c r="S179" s="4">
        <v>2908.11</v>
      </c>
      <c r="T179" s="4">
        <v>58162.2</v>
      </c>
      <c r="U179" s="4">
        <v>5</v>
      </c>
      <c r="V179" s="4" t="s">
        <v>42</v>
      </c>
      <c r="X179" s="7" t="str">
        <f t="shared" si="0"/>
        <v>441811099</v>
      </c>
      <c r="Y179" s="8" t="str">
        <f t="shared" si="1"/>
        <v>DC</v>
      </c>
      <c r="Z179" s="8">
        <f t="shared" si="2"/>
        <v>0</v>
      </c>
      <c r="AA179" s="8">
        <f t="shared" si="3"/>
        <v>186</v>
      </c>
      <c r="AB179" s="8">
        <f t="shared" si="4"/>
        <v>0</v>
      </c>
      <c r="AC179" s="8">
        <f t="shared" si="5"/>
        <v>0</v>
      </c>
      <c r="AD179" s="8">
        <f t="shared" si="6"/>
        <v>0</v>
      </c>
      <c r="AE179" s="9" t="str" cm="1">
        <f t="array" ref="AE179">IFERROR(_xlfn.XLOOKUP(H179,Sheet1!$G:$G,Sheet1!$F:$F),IFERROR(_xlfn.XLOOKUP(1,(--($X$2:$X$1074=X179))*(--ISNUMBER(MATCH($H$2:$H$1074,Sheet1!$G:$G,0))),_xlfn.XLOOKUP($H$2:$H$1074,Sheet1!$G:$G,Sheet1!$F:$F,"")),"NOT FOUND"))</f>
        <v>GETKRTSFUT6100</v>
      </c>
      <c r="AF179" s="10" t="str">
        <f t="shared" si="11"/>
        <v>MUSTARD</v>
      </c>
      <c r="AG179" s="11" t="str">
        <f t="shared" si="12"/>
        <v>HARIPAL</v>
      </c>
      <c r="AH179" s="9" t="str">
        <f>IF(OR(J179="",AE179="",AE179="NOT FOUND"),"",IF(Y179="RP",IFERROR(LEFT(_xlfn.XLOOKUP(AE179,Sheet1!$F:$F,Sheet1!$W:$W),FIND("-",_xlfn.XLOOKUP(AE179,Sheet1!$F:$F,Sheet1!$W:$W),FIND("-",_xlfn.XLOOKUP(AE179,Sheet1!$F:$F,Sheet1!$W:$W))+1))&amp;AE179,"NOT FOUND"),LEFT(J179,FIND("-",J179,FIND("-",J179)+1))&amp;AE179))</f>
        <v>KRTS-APWN26-GETKRTSFUT6100</v>
      </c>
    </row>
    <row r="180" spans="1:34" ht="15.75" customHeight="1" x14ac:dyDescent="0.2">
      <c r="A180" s="4" t="s">
        <v>61</v>
      </c>
      <c r="B180" s="4" t="s">
        <v>274</v>
      </c>
      <c r="C180" s="4" t="s">
        <v>64</v>
      </c>
      <c r="D180" s="4" t="s">
        <v>218</v>
      </c>
      <c r="E180" s="4" t="s">
        <v>34</v>
      </c>
      <c r="F180" s="4" t="s">
        <v>35</v>
      </c>
      <c r="G180" s="4" t="s">
        <v>51</v>
      </c>
      <c r="H180" s="4" t="s">
        <v>228</v>
      </c>
      <c r="I180" s="4" t="s">
        <v>229</v>
      </c>
      <c r="J180" s="4" t="s">
        <v>230</v>
      </c>
      <c r="L180" s="4" t="s">
        <v>40</v>
      </c>
      <c r="M180" s="4">
        <v>1</v>
      </c>
      <c r="N180" s="4">
        <v>30</v>
      </c>
      <c r="O180" s="4">
        <v>30</v>
      </c>
      <c r="P180" s="4" t="s">
        <v>41</v>
      </c>
      <c r="Q180" s="4">
        <v>312.7</v>
      </c>
      <c r="R180" s="4">
        <v>312.7</v>
      </c>
      <c r="S180" s="4">
        <v>469.05</v>
      </c>
      <c r="T180" s="4">
        <v>9381</v>
      </c>
      <c r="U180" s="4">
        <v>5</v>
      </c>
      <c r="V180" s="4" t="s">
        <v>42</v>
      </c>
      <c r="X180" s="7" t="str">
        <f t="shared" si="0"/>
        <v>441811099</v>
      </c>
      <c r="Y180" s="8" t="str">
        <f t="shared" si="1"/>
        <v>DC</v>
      </c>
      <c r="Z180" s="8">
        <f t="shared" si="2"/>
        <v>30</v>
      </c>
      <c r="AA180" s="8">
        <f t="shared" si="3"/>
        <v>0</v>
      </c>
      <c r="AB180" s="8">
        <f t="shared" si="4"/>
        <v>0</v>
      </c>
      <c r="AC180" s="8">
        <f t="shared" si="5"/>
        <v>0</v>
      </c>
      <c r="AD180" s="8">
        <f t="shared" si="6"/>
        <v>0</v>
      </c>
      <c r="AE180" s="9" t="str" cm="1">
        <f t="array" ref="AE180">IFERROR(_xlfn.XLOOKUP(H180,Sheet1!$G:$G,Sheet1!$F:$F),IFERROR(_xlfn.XLOOKUP(1,(--($X$2:$X$1074=X180))*(--ISNUMBER(MATCH($H$2:$H$1074,Sheet1!$G:$G,0))),_xlfn.XLOOKUP($H$2:$H$1074,Sheet1!$G:$G,Sheet1!$F:$F,"")),"NOT FOUND"))</f>
        <v>GETKRTSFUT6100</v>
      </c>
      <c r="AF180" s="10" t="str">
        <f t="shared" si="11"/>
        <v>MUSTARD</v>
      </c>
      <c r="AG180" s="11" t="str">
        <f t="shared" si="12"/>
        <v>HARIPAL</v>
      </c>
      <c r="AH180" s="9" t="str">
        <f>IF(OR(J180="",AE180="",AE180="NOT FOUND"),"",IF(Y180="RP",IFERROR(LEFT(_xlfn.XLOOKUP(AE180,Sheet1!$F:$F,Sheet1!$W:$W),FIND("-",_xlfn.XLOOKUP(AE180,Sheet1!$F:$F,Sheet1!$W:$W),FIND("-",_xlfn.XLOOKUP(AE180,Sheet1!$F:$F,Sheet1!$W:$W))+1))&amp;AE180,"NOT FOUND"),LEFT(J180,FIND("-",J180,FIND("-",J180)+1))&amp;AE180))</f>
        <v>KRTS-APWN26-GETKRTSFUT6100</v>
      </c>
    </row>
    <row r="181" spans="1:34" ht="15.75" customHeight="1" x14ac:dyDescent="0.2">
      <c r="A181" s="4" t="s">
        <v>61</v>
      </c>
      <c r="B181" s="4" t="s">
        <v>274</v>
      </c>
      <c r="C181" s="4" t="s">
        <v>64</v>
      </c>
      <c r="D181" s="4" t="s">
        <v>218</v>
      </c>
      <c r="E181" s="4" t="s">
        <v>34</v>
      </c>
      <c r="F181" s="4" t="s">
        <v>35</v>
      </c>
      <c r="G181" s="4" t="s">
        <v>55</v>
      </c>
      <c r="H181" s="4" t="s">
        <v>231</v>
      </c>
      <c r="I181" s="4" t="s">
        <v>232</v>
      </c>
      <c r="J181" s="4" t="s">
        <v>233</v>
      </c>
      <c r="L181" s="4" t="s">
        <v>40</v>
      </c>
      <c r="M181" s="4">
        <v>1</v>
      </c>
      <c r="N181" s="4">
        <v>157</v>
      </c>
      <c r="O181" s="4">
        <v>157</v>
      </c>
      <c r="P181" s="4" t="s">
        <v>41</v>
      </c>
      <c r="Q181" s="4">
        <v>312.7</v>
      </c>
      <c r="R181" s="4">
        <v>312.7</v>
      </c>
      <c r="S181" s="4">
        <v>2454.6999999999998</v>
      </c>
      <c r="T181" s="4">
        <v>49093.9</v>
      </c>
      <c r="U181" s="4">
        <v>5</v>
      </c>
      <c r="V181" s="4" t="s">
        <v>42</v>
      </c>
      <c r="X181" s="7" t="str">
        <f t="shared" si="0"/>
        <v>441811099</v>
      </c>
      <c r="Y181" s="8" t="str">
        <f t="shared" si="1"/>
        <v>DC</v>
      </c>
      <c r="Z181" s="8">
        <f t="shared" si="2"/>
        <v>0</v>
      </c>
      <c r="AA181" s="8">
        <f t="shared" si="3"/>
        <v>0</v>
      </c>
      <c r="AB181" s="8">
        <f t="shared" si="4"/>
        <v>0</v>
      </c>
      <c r="AC181" s="8">
        <f t="shared" si="5"/>
        <v>157</v>
      </c>
      <c r="AD181" s="8">
        <f t="shared" si="6"/>
        <v>0</v>
      </c>
      <c r="AE181" s="9" t="str" cm="1">
        <f t="array" ref="AE181">IFERROR(_xlfn.XLOOKUP(H181,Sheet1!$G:$G,Sheet1!$F:$F),IFERROR(_xlfn.XLOOKUP(1,(--($X$2:$X$1074=X181))*(--ISNUMBER(MATCH($H$2:$H$1074,Sheet1!$G:$G,0))),_xlfn.XLOOKUP($H$2:$H$1074,Sheet1!$G:$G,Sheet1!$F:$F,"")),"NOT FOUND"))</f>
        <v>GETKRTSFUT6100</v>
      </c>
      <c r="AF181" s="10" t="str">
        <f t="shared" si="11"/>
        <v>MUSTARD</v>
      </c>
      <c r="AG181" s="11" t="str">
        <f t="shared" si="12"/>
        <v>HARIPAL</v>
      </c>
      <c r="AH181" s="9" t="str">
        <f>IF(OR(J181="",AE181="",AE181="NOT FOUND"),"",IF(Y181="RP",IFERROR(LEFT(_xlfn.XLOOKUP(AE181,Sheet1!$F:$F,Sheet1!$W:$W),FIND("-",_xlfn.XLOOKUP(AE181,Sheet1!$F:$F,Sheet1!$W:$W),FIND("-",_xlfn.XLOOKUP(AE181,Sheet1!$F:$F,Sheet1!$W:$W))+1))&amp;AE181,"NOT FOUND"),LEFT(J181,FIND("-",J181,FIND("-",J181)+1))&amp;AE181))</f>
        <v>KRTS-APWN26-GETKRTSFUT6100</v>
      </c>
    </row>
    <row r="182" spans="1:34" ht="15.75" customHeight="1" x14ac:dyDescent="0.2">
      <c r="A182" s="4" t="s">
        <v>61</v>
      </c>
      <c r="B182" s="4" t="s">
        <v>275</v>
      </c>
      <c r="C182" s="4" t="s">
        <v>64</v>
      </c>
      <c r="D182" s="4" t="s">
        <v>218</v>
      </c>
      <c r="E182" s="4" t="s">
        <v>34</v>
      </c>
      <c r="F182" s="4" t="s">
        <v>35</v>
      </c>
      <c r="G182" s="4" t="s">
        <v>36</v>
      </c>
      <c r="H182" s="4" t="s">
        <v>236</v>
      </c>
      <c r="I182" s="4" t="s">
        <v>237</v>
      </c>
      <c r="J182" s="4" t="s">
        <v>238</v>
      </c>
      <c r="L182" s="4" t="s">
        <v>40</v>
      </c>
      <c r="M182" s="4">
        <v>1</v>
      </c>
      <c r="N182" s="4">
        <v>30</v>
      </c>
      <c r="O182" s="4">
        <v>30</v>
      </c>
      <c r="P182" s="4" t="s">
        <v>41</v>
      </c>
      <c r="Q182" s="4">
        <v>304.7</v>
      </c>
      <c r="R182" s="4">
        <v>304.7</v>
      </c>
      <c r="S182" s="4">
        <v>457.05</v>
      </c>
      <c r="T182" s="4">
        <v>9141</v>
      </c>
      <c r="U182" s="4">
        <v>5</v>
      </c>
      <c r="V182" s="4" t="s">
        <v>42</v>
      </c>
      <c r="X182" s="7" t="str">
        <f t="shared" si="0"/>
        <v>441811098</v>
      </c>
      <c r="Y182" s="8" t="str">
        <f t="shared" si="1"/>
        <v>DC</v>
      </c>
      <c r="Z182" s="8">
        <f t="shared" si="2"/>
        <v>0</v>
      </c>
      <c r="AA182" s="8">
        <f t="shared" si="3"/>
        <v>0</v>
      </c>
      <c r="AB182" s="8">
        <f t="shared" si="4"/>
        <v>0</v>
      </c>
      <c r="AC182" s="8">
        <f t="shared" si="5"/>
        <v>0</v>
      </c>
      <c r="AD182" s="8">
        <f t="shared" si="6"/>
        <v>30</v>
      </c>
      <c r="AE182" s="9" t="str" cm="1">
        <f t="array" ref="AE182">IFERROR(_xlfn.XLOOKUP(H182,Sheet1!$G:$G,Sheet1!$F:$F),IFERROR(_xlfn.XLOOKUP(1,(--($X$2:$X$1074=X182))*(--ISNUMBER(MATCH($H$2:$H$1074,Sheet1!$G:$G,0))),_xlfn.XLOOKUP($H$2:$H$1074,Sheet1!$G:$G,Sheet1!$F:$F,"")),"NOT FOUND"))</f>
        <v>GETKRTSFUT6098</v>
      </c>
      <c r="AF182" s="10" t="str">
        <f t="shared" si="11"/>
        <v>MUSTARD</v>
      </c>
      <c r="AG182" s="11" t="str">
        <f t="shared" si="12"/>
        <v>HARIPAL</v>
      </c>
      <c r="AH182" s="9" t="str">
        <f>IF(OR(J182="",AE182="",AE182="NOT FOUND"),"",IF(Y182="RP",IFERROR(LEFT(_xlfn.XLOOKUP(AE182,Sheet1!$F:$F,Sheet1!$W:$W),FIND("-",_xlfn.XLOOKUP(AE182,Sheet1!$F:$F,Sheet1!$W:$W),FIND("-",_xlfn.XLOOKUP(AE182,Sheet1!$F:$F,Sheet1!$W:$W))+1))&amp;AE182,"NOT FOUND"),LEFT(J182,FIND("-",J182,FIND("-",J182)+1))&amp;AE182))</f>
        <v>KRTS-APWN26-GETKRTSFUT6098</v>
      </c>
    </row>
    <row r="183" spans="1:34" ht="15.75" customHeight="1" x14ac:dyDescent="0.2">
      <c r="A183" s="4" t="s">
        <v>61</v>
      </c>
      <c r="B183" s="4" t="s">
        <v>275</v>
      </c>
      <c r="C183" s="4" t="s">
        <v>64</v>
      </c>
      <c r="D183" s="4" t="s">
        <v>218</v>
      </c>
      <c r="E183" s="4" t="s">
        <v>34</v>
      </c>
      <c r="F183" s="4" t="s">
        <v>35</v>
      </c>
      <c r="G183" s="4" t="s">
        <v>43</v>
      </c>
      <c r="H183" s="4" t="s">
        <v>239</v>
      </c>
      <c r="I183" s="4" t="s">
        <v>240</v>
      </c>
      <c r="J183" s="4" t="s">
        <v>241</v>
      </c>
      <c r="L183" s="4" t="s">
        <v>40</v>
      </c>
      <c r="M183" s="4">
        <v>1</v>
      </c>
      <c r="N183" s="4">
        <v>186</v>
      </c>
      <c r="O183" s="4">
        <v>186</v>
      </c>
      <c r="P183" s="4" t="s">
        <v>41</v>
      </c>
      <c r="Q183" s="4">
        <v>304.7</v>
      </c>
      <c r="R183" s="4">
        <v>304.7</v>
      </c>
      <c r="S183" s="4">
        <v>2833.71</v>
      </c>
      <c r="T183" s="4">
        <v>56674.2</v>
      </c>
      <c r="U183" s="4">
        <v>5</v>
      </c>
      <c r="V183" s="4" t="s">
        <v>42</v>
      </c>
      <c r="X183" s="7" t="str">
        <f t="shared" si="0"/>
        <v>441811098</v>
      </c>
      <c r="Y183" s="8" t="str">
        <f t="shared" si="1"/>
        <v>DC</v>
      </c>
      <c r="Z183" s="8">
        <f t="shared" si="2"/>
        <v>0</v>
      </c>
      <c r="AA183" s="8">
        <f t="shared" si="3"/>
        <v>0</v>
      </c>
      <c r="AB183" s="8">
        <f t="shared" si="4"/>
        <v>186</v>
      </c>
      <c r="AC183" s="8">
        <f t="shared" si="5"/>
        <v>0</v>
      </c>
      <c r="AD183" s="8">
        <f t="shared" si="6"/>
        <v>0</v>
      </c>
      <c r="AE183" s="9" t="str" cm="1">
        <f t="array" ref="AE183">IFERROR(_xlfn.XLOOKUP(H183,Sheet1!$G:$G,Sheet1!$F:$F),IFERROR(_xlfn.XLOOKUP(1,(--($X$2:$X$1074=X183))*(--ISNUMBER(MATCH($H$2:$H$1074,Sheet1!$G:$G,0))),_xlfn.XLOOKUP($H$2:$H$1074,Sheet1!$G:$G,Sheet1!$F:$F,"")),"NOT FOUND"))</f>
        <v>GETKRTSFUT6098</v>
      </c>
      <c r="AF183" s="10" t="str">
        <f t="shared" si="11"/>
        <v>MUSTARD</v>
      </c>
      <c r="AG183" s="11" t="str">
        <f t="shared" si="12"/>
        <v>HARIPAL</v>
      </c>
      <c r="AH183" s="9" t="str">
        <f>IF(OR(J183="",AE183="",AE183="NOT FOUND"),"",IF(Y183="RP",IFERROR(LEFT(_xlfn.XLOOKUP(AE183,Sheet1!$F:$F,Sheet1!$W:$W),FIND("-",_xlfn.XLOOKUP(AE183,Sheet1!$F:$F,Sheet1!$W:$W),FIND("-",_xlfn.XLOOKUP(AE183,Sheet1!$F:$F,Sheet1!$W:$W))+1))&amp;AE183,"NOT FOUND"),LEFT(J183,FIND("-",J183,FIND("-",J183)+1))&amp;AE183))</f>
        <v>KRTS-APWN26-GETKRTSFUT6098</v>
      </c>
    </row>
    <row r="184" spans="1:34" ht="15.75" customHeight="1" x14ac:dyDescent="0.2">
      <c r="A184" s="4" t="s">
        <v>61</v>
      </c>
      <c r="B184" s="4" t="s">
        <v>275</v>
      </c>
      <c r="C184" s="4" t="s">
        <v>64</v>
      </c>
      <c r="D184" s="4" t="s">
        <v>218</v>
      </c>
      <c r="E184" s="4" t="s">
        <v>34</v>
      </c>
      <c r="F184" s="4" t="s">
        <v>35</v>
      </c>
      <c r="G184" s="4" t="s">
        <v>47</v>
      </c>
      <c r="H184" s="4" t="s">
        <v>242</v>
      </c>
      <c r="I184" s="4" t="s">
        <v>243</v>
      </c>
      <c r="J184" s="4" t="s">
        <v>244</v>
      </c>
      <c r="L184" s="4" t="s">
        <v>40</v>
      </c>
      <c r="M184" s="4">
        <v>1</v>
      </c>
      <c r="N184" s="4">
        <v>186</v>
      </c>
      <c r="O184" s="4">
        <v>186</v>
      </c>
      <c r="P184" s="4" t="s">
        <v>41</v>
      </c>
      <c r="Q184" s="4">
        <v>304.7</v>
      </c>
      <c r="R184" s="4">
        <v>304.7</v>
      </c>
      <c r="S184" s="4">
        <v>2833.71</v>
      </c>
      <c r="T184" s="4">
        <v>56674.2</v>
      </c>
      <c r="U184" s="4">
        <v>5</v>
      </c>
      <c r="V184" s="4" t="s">
        <v>42</v>
      </c>
      <c r="X184" s="7" t="str">
        <f t="shared" si="0"/>
        <v>441811098</v>
      </c>
      <c r="Y184" s="8" t="str">
        <f t="shared" si="1"/>
        <v>DC</v>
      </c>
      <c r="Z184" s="8">
        <f t="shared" si="2"/>
        <v>0</v>
      </c>
      <c r="AA184" s="8">
        <f t="shared" si="3"/>
        <v>186</v>
      </c>
      <c r="AB184" s="8">
        <f t="shared" si="4"/>
        <v>0</v>
      </c>
      <c r="AC184" s="8">
        <f t="shared" si="5"/>
        <v>0</v>
      </c>
      <c r="AD184" s="8">
        <f t="shared" si="6"/>
        <v>0</v>
      </c>
      <c r="AE184" s="9" t="str" cm="1">
        <f t="array" ref="AE184">IFERROR(_xlfn.XLOOKUP(H184,Sheet1!$G:$G,Sheet1!$F:$F),IFERROR(_xlfn.XLOOKUP(1,(--($X$2:$X$1074=X184))*(--ISNUMBER(MATCH($H$2:$H$1074,Sheet1!$G:$G,0))),_xlfn.XLOOKUP($H$2:$H$1074,Sheet1!$G:$G,Sheet1!$F:$F,"")),"NOT FOUND"))</f>
        <v>GETKRTSFUT6098</v>
      </c>
      <c r="AF184" s="10" t="str">
        <f t="shared" si="11"/>
        <v>MUSTARD</v>
      </c>
      <c r="AG184" s="11" t="str">
        <f t="shared" si="12"/>
        <v>HARIPAL</v>
      </c>
      <c r="AH184" s="9" t="str">
        <f>IF(OR(J184="",AE184="",AE184="NOT FOUND"),"",IF(Y184="RP",IFERROR(LEFT(_xlfn.XLOOKUP(AE184,Sheet1!$F:$F,Sheet1!$W:$W),FIND("-",_xlfn.XLOOKUP(AE184,Sheet1!$F:$F,Sheet1!$W:$W),FIND("-",_xlfn.XLOOKUP(AE184,Sheet1!$F:$F,Sheet1!$W:$W))+1))&amp;AE184,"NOT FOUND"),LEFT(J184,FIND("-",J184,FIND("-",J184)+1))&amp;AE184))</f>
        <v>KRTS-APWN26-GETKRTSFUT6098</v>
      </c>
    </row>
    <row r="185" spans="1:34" ht="15.75" customHeight="1" x14ac:dyDescent="0.2">
      <c r="A185" s="4" t="s">
        <v>61</v>
      </c>
      <c r="B185" s="4" t="s">
        <v>275</v>
      </c>
      <c r="C185" s="4" t="s">
        <v>64</v>
      </c>
      <c r="D185" s="4" t="s">
        <v>218</v>
      </c>
      <c r="E185" s="4" t="s">
        <v>34</v>
      </c>
      <c r="F185" s="4" t="s">
        <v>35</v>
      </c>
      <c r="G185" s="4" t="s">
        <v>51</v>
      </c>
      <c r="H185" s="4" t="s">
        <v>245</v>
      </c>
      <c r="I185" s="4" t="s">
        <v>246</v>
      </c>
      <c r="J185" s="4" t="s">
        <v>247</v>
      </c>
      <c r="L185" s="4" t="s">
        <v>40</v>
      </c>
      <c r="M185" s="4">
        <v>1</v>
      </c>
      <c r="N185" s="4">
        <v>30</v>
      </c>
      <c r="O185" s="4">
        <v>30</v>
      </c>
      <c r="P185" s="4" t="s">
        <v>41</v>
      </c>
      <c r="Q185" s="4">
        <v>304.7</v>
      </c>
      <c r="R185" s="4">
        <v>304.7</v>
      </c>
      <c r="S185" s="4">
        <v>457.05</v>
      </c>
      <c r="T185" s="4">
        <v>9141</v>
      </c>
      <c r="U185" s="4">
        <v>5</v>
      </c>
      <c r="V185" s="4" t="s">
        <v>42</v>
      </c>
      <c r="X185" s="7" t="str">
        <f t="shared" si="0"/>
        <v>441811098</v>
      </c>
      <c r="Y185" s="8" t="str">
        <f t="shared" si="1"/>
        <v>DC</v>
      </c>
      <c r="Z185" s="8">
        <f t="shared" si="2"/>
        <v>30</v>
      </c>
      <c r="AA185" s="8">
        <f t="shared" si="3"/>
        <v>0</v>
      </c>
      <c r="AB185" s="8">
        <f t="shared" si="4"/>
        <v>0</v>
      </c>
      <c r="AC185" s="8">
        <f t="shared" si="5"/>
        <v>0</v>
      </c>
      <c r="AD185" s="8">
        <f t="shared" si="6"/>
        <v>0</v>
      </c>
      <c r="AE185" s="9" t="str" cm="1">
        <f t="array" ref="AE185">IFERROR(_xlfn.XLOOKUP(H185,Sheet1!$G:$G,Sheet1!$F:$F),IFERROR(_xlfn.XLOOKUP(1,(--($X$2:$X$1074=X185))*(--ISNUMBER(MATCH($H$2:$H$1074,Sheet1!$G:$G,0))),_xlfn.XLOOKUP($H$2:$H$1074,Sheet1!$G:$G,Sheet1!$F:$F,"")),"NOT FOUND"))</f>
        <v>GETKRTSFUT6098</v>
      </c>
      <c r="AF185" s="10" t="str">
        <f t="shared" si="11"/>
        <v>MUSTARD</v>
      </c>
      <c r="AG185" s="11" t="str">
        <f t="shared" si="12"/>
        <v>HARIPAL</v>
      </c>
      <c r="AH185" s="9" t="str">
        <f>IF(OR(J185="",AE185="",AE185="NOT FOUND"),"",IF(Y185="RP",IFERROR(LEFT(_xlfn.XLOOKUP(AE185,Sheet1!$F:$F,Sheet1!$W:$W),FIND("-",_xlfn.XLOOKUP(AE185,Sheet1!$F:$F,Sheet1!$W:$W),FIND("-",_xlfn.XLOOKUP(AE185,Sheet1!$F:$F,Sheet1!$W:$W))+1))&amp;AE185,"NOT FOUND"),LEFT(J185,FIND("-",J185,FIND("-",J185)+1))&amp;AE185))</f>
        <v>KRTS-APWN26-GETKRTSFUT6098</v>
      </c>
    </row>
    <row r="186" spans="1:34" ht="15.75" customHeight="1" x14ac:dyDescent="0.2">
      <c r="A186" s="4" t="s">
        <v>61</v>
      </c>
      <c r="B186" s="4" t="s">
        <v>275</v>
      </c>
      <c r="C186" s="4" t="s">
        <v>64</v>
      </c>
      <c r="D186" s="4" t="s">
        <v>218</v>
      </c>
      <c r="E186" s="4" t="s">
        <v>34</v>
      </c>
      <c r="F186" s="4" t="s">
        <v>35</v>
      </c>
      <c r="G186" s="4" t="s">
        <v>55</v>
      </c>
      <c r="H186" s="4" t="s">
        <v>248</v>
      </c>
      <c r="I186" s="4" t="s">
        <v>249</v>
      </c>
      <c r="J186" s="4" t="s">
        <v>250</v>
      </c>
      <c r="L186" s="4" t="s">
        <v>40</v>
      </c>
      <c r="M186" s="4">
        <v>1</v>
      </c>
      <c r="N186" s="4">
        <v>157</v>
      </c>
      <c r="O186" s="4">
        <v>157</v>
      </c>
      <c r="P186" s="4" t="s">
        <v>41</v>
      </c>
      <c r="Q186" s="4">
        <v>304.7</v>
      </c>
      <c r="R186" s="4">
        <v>304.7</v>
      </c>
      <c r="S186" s="4">
        <v>2391.9</v>
      </c>
      <c r="T186" s="4">
        <v>47837.9</v>
      </c>
      <c r="U186" s="4">
        <v>5</v>
      </c>
      <c r="V186" s="4" t="s">
        <v>42</v>
      </c>
      <c r="X186" s="7" t="str">
        <f t="shared" si="0"/>
        <v>441811098</v>
      </c>
      <c r="Y186" s="8" t="str">
        <f t="shared" si="1"/>
        <v>DC</v>
      </c>
      <c r="Z186" s="8">
        <f t="shared" si="2"/>
        <v>0</v>
      </c>
      <c r="AA186" s="8">
        <f t="shared" si="3"/>
        <v>0</v>
      </c>
      <c r="AB186" s="8">
        <f t="shared" si="4"/>
        <v>0</v>
      </c>
      <c r="AC186" s="8">
        <f t="shared" si="5"/>
        <v>157</v>
      </c>
      <c r="AD186" s="8">
        <f t="shared" si="6"/>
        <v>0</v>
      </c>
      <c r="AE186" s="9" t="str" cm="1">
        <f t="array" ref="AE186">IFERROR(_xlfn.XLOOKUP(H186,Sheet1!$G:$G,Sheet1!$F:$F),IFERROR(_xlfn.XLOOKUP(1,(--($X$2:$X$1074=X186))*(--ISNUMBER(MATCH($H$2:$H$1074,Sheet1!$G:$G,0))),_xlfn.XLOOKUP($H$2:$H$1074,Sheet1!$G:$G,Sheet1!$F:$F,"")),"NOT FOUND"))</f>
        <v>GETKRTSFUT6098</v>
      </c>
      <c r="AF186" s="10" t="str">
        <f t="shared" si="11"/>
        <v>MUSTARD</v>
      </c>
      <c r="AG186" s="11" t="str">
        <f t="shared" si="12"/>
        <v>HARIPAL</v>
      </c>
      <c r="AH186" s="9" t="str">
        <f>IF(OR(J186="",AE186="",AE186="NOT FOUND"),"",IF(Y186="RP",IFERROR(LEFT(_xlfn.XLOOKUP(AE186,Sheet1!$F:$F,Sheet1!$W:$W),FIND("-",_xlfn.XLOOKUP(AE186,Sheet1!$F:$F,Sheet1!$W:$W),FIND("-",_xlfn.XLOOKUP(AE186,Sheet1!$F:$F,Sheet1!$W:$W))+1))&amp;AE186,"NOT FOUND"),LEFT(J186,FIND("-",J186,FIND("-",J186)+1))&amp;AE186))</f>
        <v>KRTS-APWN26-GETKRTSFUT6098</v>
      </c>
    </row>
    <row r="187" spans="1:34" ht="15.75" customHeight="1" x14ac:dyDescent="0.2">
      <c r="A187" s="4" t="s">
        <v>61</v>
      </c>
      <c r="B187" s="4" t="s">
        <v>276</v>
      </c>
      <c r="C187" s="4" t="s">
        <v>64</v>
      </c>
      <c r="D187" s="4" t="s">
        <v>218</v>
      </c>
      <c r="E187" s="4" t="s">
        <v>34</v>
      </c>
      <c r="F187" s="4" t="s">
        <v>35</v>
      </c>
      <c r="G187" s="4" t="s">
        <v>36</v>
      </c>
      <c r="H187" s="4" t="s">
        <v>253</v>
      </c>
      <c r="I187" s="4" t="s">
        <v>254</v>
      </c>
      <c r="J187" s="4" t="s">
        <v>255</v>
      </c>
      <c r="L187" s="4" t="s">
        <v>40</v>
      </c>
      <c r="M187" s="4">
        <v>1</v>
      </c>
      <c r="N187" s="4">
        <v>30</v>
      </c>
      <c r="O187" s="4">
        <v>30</v>
      </c>
      <c r="P187" s="4" t="s">
        <v>41</v>
      </c>
      <c r="Q187" s="4">
        <v>304.7</v>
      </c>
      <c r="R187" s="4">
        <v>304.7</v>
      </c>
      <c r="S187" s="4">
        <v>457.05</v>
      </c>
      <c r="T187" s="4">
        <v>9141</v>
      </c>
      <c r="U187" s="4">
        <v>5</v>
      </c>
      <c r="V187" s="4" t="s">
        <v>42</v>
      </c>
      <c r="X187" s="7" t="str">
        <f t="shared" si="0"/>
        <v>441811098</v>
      </c>
      <c r="Y187" s="8" t="str">
        <f t="shared" si="1"/>
        <v>DC</v>
      </c>
      <c r="Z187" s="8">
        <f t="shared" si="2"/>
        <v>0</v>
      </c>
      <c r="AA187" s="8">
        <f t="shared" si="3"/>
        <v>0</v>
      </c>
      <c r="AB187" s="8">
        <f t="shared" si="4"/>
        <v>0</v>
      </c>
      <c r="AC187" s="8">
        <f t="shared" si="5"/>
        <v>0</v>
      </c>
      <c r="AD187" s="8">
        <f t="shared" si="6"/>
        <v>30</v>
      </c>
      <c r="AE187" s="9" t="str" cm="1">
        <f t="array" ref="AE187">IFERROR(_xlfn.XLOOKUP(H187,Sheet1!$G:$G,Sheet1!$F:$F),IFERROR(_xlfn.XLOOKUP(1,(--($X$2:$X$1074=X187))*(--ISNUMBER(MATCH($H$2:$H$1074,Sheet1!$G:$G,0))),_xlfn.XLOOKUP($H$2:$H$1074,Sheet1!$G:$G,Sheet1!$F:$F,"")),"NOT FOUND"))</f>
        <v>GETKRTSFUT6098</v>
      </c>
      <c r="AF187" s="10" t="str">
        <f t="shared" si="11"/>
        <v>MAROON</v>
      </c>
      <c r="AG187" s="11" t="str">
        <f t="shared" si="12"/>
        <v>HARIPAL</v>
      </c>
      <c r="AH187" s="9" t="str">
        <f>IF(OR(J187="",AE187="",AE187="NOT FOUND"),"",IF(Y187="RP",IFERROR(LEFT(_xlfn.XLOOKUP(AE187,Sheet1!$F:$F,Sheet1!$W:$W),FIND("-",_xlfn.XLOOKUP(AE187,Sheet1!$F:$F,Sheet1!$W:$W),FIND("-",_xlfn.XLOOKUP(AE187,Sheet1!$F:$F,Sheet1!$W:$W))+1))&amp;AE187,"NOT FOUND"),LEFT(J187,FIND("-",J187,FIND("-",J187)+1))&amp;AE187))</f>
        <v>KRTS-APWN26-GETKRTSFUT6098</v>
      </c>
    </row>
    <row r="188" spans="1:34" ht="15.75" customHeight="1" x14ac:dyDescent="0.2">
      <c r="A188" s="4" t="s">
        <v>61</v>
      </c>
      <c r="B188" s="4" t="s">
        <v>276</v>
      </c>
      <c r="C188" s="4" t="s">
        <v>64</v>
      </c>
      <c r="D188" s="4" t="s">
        <v>218</v>
      </c>
      <c r="E188" s="4" t="s">
        <v>34</v>
      </c>
      <c r="F188" s="4" t="s">
        <v>35</v>
      </c>
      <c r="G188" s="4" t="s">
        <v>43</v>
      </c>
      <c r="H188" s="4" t="s">
        <v>256</v>
      </c>
      <c r="I188" s="4" t="s">
        <v>257</v>
      </c>
      <c r="J188" s="4" t="s">
        <v>258</v>
      </c>
      <c r="L188" s="4" t="s">
        <v>40</v>
      </c>
      <c r="M188" s="4">
        <v>1</v>
      </c>
      <c r="N188" s="4">
        <v>186</v>
      </c>
      <c r="O188" s="4">
        <v>186</v>
      </c>
      <c r="P188" s="4" t="s">
        <v>41</v>
      </c>
      <c r="Q188" s="4">
        <v>304.7</v>
      </c>
      <c r="R188" s="4">
        <v>304.7</v>
      </c>
      <c r="S188" s="4">
        <v>2833.71</v>
      </c>
      <c r="T188" s="4">
        <v>56674.2</v>
      </c>
      <c r="U188" s="4">
        <v>5</v>
      </c>
      <c r="V188" s="4" t="s">
        <v>42</v>
      </c>
      <c r="X188" s="7" t="str">
        <f t="shared" si="0"/>
        <v>441811098</v>
      </c>
      <c r="Y188" s="8" t="str">
        <f t="shared" si="1"/>
        <v>DC</v>
      </c>
      <c r="Z188" s="8">
        <f t="shared" si="2"/>
        <v>0</v>
      </c>
      <c r="AA188" s="8">
        <f t="shared" si="3"/>
        <v>0</v>
      </c>
      <c r="AB188" s="8">
        <f t="shared" si="4"/>
        <v>186</v>
      </c>
      <c r="AC188" s="8">
        <f t="shared" si="5"/>
        <v>0</v>
      </c>
      <c r="AD188" s="8">
        <f t="shared" si="6"/>
        <v>0</v>
      </c>
      <c r="AE188" s="9" t="str" cm="1">
        <f t="array" ref="AE188">IFERROR(_xlfn.XLOOKUP(H188,Sheet1!$G:$G,Sheet1!$F:$F),IFERROR(_xlfn.XLOOKUP(1,(--($X$2:$X$1074=X188))*(--ISNUMBER(MATCH($H$2:$H$1074,Sheet1!$G:$G,0))),_xlfn.XLOOKUP($H$2:$H$1074,Sheet1!$G:$G,Sheet1!$F:$F,"")),"NOT FOUND"))</f>
        <v>GETKRTSFUT6098</v>
      </c>
      <c r="AF188" s="10" t="str">
        <f t="shared" si="11"/>
        <v>MAROON</v>
      </c>
      <c r="AG188" s="11" t="str">
        <f t="shared" si="12"/>
        <v>HARIPAL</v>
      </c>
      <c r="AH188" s="9" t="str">
        <f>IF(OR(J188="",AE188="",AE188="NOT FOUND"),"",IF(Y188="RP",IFERROR(LEFT(_xlfn.XLOOKUP(AE188,Sheet1!$F:$F,Sheet1!$W:$W),FIND("-",_xlfn.XLOOKUP(AE188,Sheet1!$F:$F,Sheet1!$W:$W),FIND("-",_xlfn.XLOOKUP(AE188,Sheet1!$F:$F,Sheet1!$W:$W))+1))&amp;AE188,"NOT FOUND"),LEFT(J188,FIND("-",J188,FIND("-",J188)+1))&amp;AE188))</f>
        <v>KRTS-APWN26-GETKRTSFUT6098</v>
      </c>
    </row>
    <row r="189" spans="1:34" ht="15.75" customHeight="1" x14ac:dyDescent="0.2">
      <c r="A189" s="4" t="s">
        <v>61</v>
      </c>
      <c r="B189" s="4" t="s">
        <v>276</v>
      </c>
      <c r="C189" s="4" t="s">
        <v>64</v>
      </c>
      <c r="D189" s="4" t="s">
        <v>218</v>
      </c>
      <c r="E189" s="4" t="s">
        <v>34</v>
      </c>
      <c r="F189" s="4" t="s">
        <v>35</v>
      </c>
      <c r="G189" s="4" t="s">
        <v>47</v>
      </c>
      <c r="H189" s="4" t="s">
        <v>259</v>
      </c>
      <c r="I189" s="4" t="s">
        <v>260</v>
      </c>
      <c r="J189" s="4" t="s">
        <v>261</v>
      </c>
      <c r="L189" s="4" t="s">
        <v>40</v>
      </c>
      <c r="M189" s="4">
        <v>1</v>
      </c>
      <c r="N189" s="4">
        <v>186</v>
      </c>
      <c r="O189" s="4">
        <v>186</v>
      </c>
      <c r="P189" s="4" t="s">
        <v>41</v>
      </c>
      <c r="Q189" s="4">
        <v>304.7</v>
      </c>
      <c r="R189" s="4">
        <v>304.7</v>
      </c>
      <c r="S189" s="4">
        <v>2833.71</v>
      </c>
      <c r="T189" s="4">
        <v>56674.2</v>
      </c>
      <c r="U189" s="4">
        <v>5</v>
      </c>
      <c r="V189" s="4" t="s">
        <v>42</v>
      </c>
      <c r="X189" s="7" t="str">
        <f t="shared" si="0"/>
        <v>441811098</v>
      </c>
      <c r="Y189" s="8" t="str">
        <f t="shared" si="1"/>
        <v>DC</v>
      </c>
      <c r="Z189" s="8">
        <f t="shared" si="2"/>
        <v>0</v>
      </c>
      <c r="AA189" s="8">
        <f t="shared" si="3"/>
        <v>186</v>
      </c>
      <c r="AB189" s="8">
        <f t="shared" si="4"/>
        <v>0</v>
      </c>
      <c r="AC189" s="8">
        <f t="shared" si="5"/>
        <v>0</v>
      </c>
      <c r="AD189" s="8">
        <f t="shared" si="6"/>
        <v>0</v>
      </c>
      <c r="AE189" s="9" t="str" cm="1">
        <f t="array" ref="AE189">IFERROR(_xlfn.XLOOKUP(H189,Sheet1!$G:$G,Sheet1!$F:$F),IFERROR(_xlfn.XLOOKUP(1,(--($X$2:$X$1074=X189))*(--ISNUMBER(MATCH($H$2:$H$1074,Sheet1!$G:$G,0))),_xlfn.XLOOKUP($H$2:$H$1074,Sheet1!$G:$G,Sheet1!$F:$F,"")),"NOT FOUND"))</f>
        <v>GETKRTSFUT6098</v>
      </c>
      <c r="AF189" s="10" t="str">
        <f t="shared" si="11"/>
        <v>MAROON</v>
      </c>
      <c r="AG189" s="11" t="str">
        <f t="shared" si="12"/>
        <v>HARIPAL</v>
      </c>
      <c r="AH189" s="9" t="str">
        <f>IF(OR(J189="",AE189="",AE189="NOT FOUND"),"",IF(Y189="RP",IFERROR(LEFT(_xlfn.XLOOKUP(AE189,Sheet1!$F:$F,Sheet1!$W:$W),FIND("-",_xlfn.XLOOKUP(AE189,Sheet1!$F:$F,Sheet1!$W:$W),FIND("-",_xlfn.XLOOKUP(AE189,Sheet1!$F:$F,Sheet1!$W:$W))+1))&amp;AE189,"NOT FOUND"),LEFT(J189,FIND("-",J189,FIND("-",J189)+1))&amp;AE189))</f>
        <v>KRTS-APWN26-GETKRTSFUT6098</v>
      </c>
    </row>
    <row r="190" spans="1:34" ht="15.75" customHeight="1" x14ac:dyDescent="0.2">
      <c r="A190" s="4" t="s">
        <v>61</v>
      </c>
      <c r="B190" s="4" t="s">
        <v>276</v>
      </c>
      <c r="C190" s="4" t="s">
        <v>64</v>
      </c>
      <c r="D190" s="4" t="s">
        <v>218</v>
      </c>
      <c r="E190" s="4" t="s">
        <v>34</v>
      </c>
      <c r="F190" s="4" t="s">
        <v>35</v>
      </c>
      <c r="G190" s="4" t="s">
        <v>51</v>
      </c>
      <c r="H190" s="4" t="s">
        <v>262</v>
      </c>
      <c r="I190" s="4" t="s">
        <v>263</v>
      </c>
      <c r="J190" s="4" t="s">
        <v>264</v>
      </c>
      <c r="L190" s="4" t="s">
        <v>40</v>
      </c>
      <c r="M190" s="4">
        <v>1</v>
      </c>
      <c r="N190" s="4">
        <v>30</v>
      </c>
      <c r="O190" s="4">
        <v>30</v>
      </c>
      <c r="P190" s="4" t="s">
        <v>41</v>
      </c>
      <c r="Q190" s="4">
        <v>304.7</v>
      </c>
      <c r="R190" s="4">
        <v>304.7</v>
      </c>
      <c r="S190" s="4">
        <v>457.05</v>
      </c>
      <c r="T190" s="4">
        <v>9141</v>
      </c>
      <c r="U190" s="4">
        <v>5</v>
      </c>
      <c r="V190" s="4" t="s">
        <v>42</v>
      </c>
      <c r="X190" s="7" t="str">
        <f t="shared" si="0"/>
        <v>441811098</v>
      </c>
      <c r="Y190" s="8" t="str">
        <f t="shared" si="1"/>
        <v>DC</v>
      </c>
      <c r="Z190" s="8">
        <f t="shared" si="2"/>
        <v>30</v>
      </c>
      <c r="AA190" s="8">
        <f t="shared" si="3"/>
        <v>0</v>
      </c>
      <c r="AB190" s="8">
        <f t="shared" si="4"/>
        <v>0</v>
      </c>
      <c r="AC190" s="8">
        <f t="shared" si="5"/>
        <v>0</v>
      </c>
      <c r="AD190" s="8">
        <f t="shared" si="6"/>
        <v>0</v>
      </c>
      <c r="AE190" s="9" t="str" cm="1">
        <f t="array" ref="AE190">IFERROR(_xlfn.XLOOKUP(H190,Sheet1!$G:$G,Sheet1!$F:$F),IFERROR(_xlfn.XLOOKUP(1,(--($X$2:$X$1074=X190))*(--ISNUMBER(MATCH($H$2:$H$1074,Sheet1!$G:$G,0))),_xlfn.XLOOKUP($H$2:$H$1074,Sheet1!$G:$G,Sheet1!$F:$F,"")),"NOT FOUND"))</f>
        <v>GETKRTSFUT6098</v>
      </c>
      <c r="AF190" s="10" t="str">
        <f t="shared" si="11"/>
        <v>MAROON</v>
      </c>
      <c r="AG190" s="11" t="str">
        <f t="shared" si="12"/>
        <v>HARIPAL</v>
      </c>
      <c r="AH190" s="9" t="str">
        <f>IF(OR(J190="",AE190="",AE190="NOT FOUND"),"",IF(Y190="RP",IFERROR(LEFT(_xlfn.XLOOKUP(AE190,Sheet1!$F:$F,Sheet1!$W:$W),FIND("-",_xlfn.XLOOKUP(AE190,Sheet1!$F:$F,Sheet1!$W:$W),FIND("-",_xlfn.XLOOKUP(AE190,Sheet1!$F:$F,Sheet1!$W:$W))+1))&amp;AE190,"NOT FOUND"),LEFT(J190,FIND("-",J190,FIND("-",J190)+1))&amp;AE190))</f>
        <v>KRTS-APWN26-GETKRTSFUT6098</v>
      </c>
    </row>
    <row r="191" spans="1:34" ht="15.75" customHeight="1" x14ac:dyDescent="0.2">
      <c r="A191" s="4" t="s">
        <v>61</v>
      </c>
      <c r="B191" s="4" t="s">
        <v>276</v>
      </c>
      <c r="C191" s="4" t="s">
        <v>64</v>
      </c>
      <c r="D191" s="4" t="s">
        <v>218</v>
      </c>
      <c r="E191" s="4" t="s">
        <v>34</v>
      </c>
      <c r="F191" s="4" t="s">
        <v>35</v>
      </c>
      <c r="G191" s="4" t="s">
        <v>55</v>
      </c>
      <c r="H191" s="4" t="s">
        <v>265</v>
      </c>
      <c r="I191" s="4" t="s">
        <v>266</v>
      </c>
      <c r="J191" s="4" t="s">
        <v>267</v>
      </c>
      <c r="L191" s="4" t="s">
        <v>40</v>
      </c>
      <c r="M191" s="4">
        <v>1</v>
      </c>
      <c r="N191" s="4">
        <v>157</v>
      </c>
      <c r="O191" s="4">
        <v>157</v>
      </c>
      <c r="P191" s="4" t="s">
        <v>41</v>
      </c>
      <c r="Q191" s="4">
        <v>304.7</v>
      </c>
      <c r="R191" s="4">
        <v>304.7</v>
      </c>
      <c r="S191" s="4">
        <v>2391.9</v>
      </c>
      <c r="T191" s="4">
        <v>47837.9</v>
      </c>
      <c r="U191" s="4">
        <v>5</v>
      </c>
      <c r="V191" s="4" t="s">
        <v>42</v>
      </c>
      <c r="X191" s="7" t="str">
        <f t="shared" si="0"/>
        <v>441811098</v>
      </c>
      <c r="Y191" s="8" t="str">
        <f t="shared" si="1"/>
        <v>DC</v>
      </c>
      <c r="Z191" s="8">
        <f t="shared" si="2"/>
        <v>0</v>
      </c>
      <c r="AA191" s="8">
        <f t="shared" si="3"/>
        <v>0</v>
      </c>
      <c r="AB191" s="8">
        <f t="shared" si="4"/>
        <v>0</v>
      </c>
      <c r="AC191" s="8">
        <f t="shared" si="5"/>
        <v>157</v>
      </c>
      <c r="AD191" s="8">
        <f t="shared" si="6"/>
        <v>0</v>
      </c>
      <c r="AE191" s="9" t="str" cm="1">
        <f t="array" ref="AE191">IFERROR(_xlfn.XLOOKUP(H191,Sheet1!$G:$G,Sheet1!$F:$F),IFERROR(_xlfn.XLOOKUP(1,(--($X$2:$X$1074=X191))*(--ISNUMBER(MATCH($H$2:$H$1074,Sheet1!$G:$G,0))),_xlfn.XLOOKUP($H$2:$H$1074,Sheet1!$G:$G,Sheet1!$F:$F,"")),"NOT FOUND"))</f>
        <v>GETKRTSFUT6098</v>
      </c>
      <c r="AF191" s="10" t="str">
        <f t="shared" si="11"/>
        <v>MAROON</v>
      </c>
      <c r="AG191" s="11" t="str">
        <f t="shared" si="12"/>
        <v>HARIPAL</v>
      </c>
      <c r="AH191" s="9" t="str">
        <f>IF(OR(J191="",AE191="",AE191="NOT FOUND"),"",IF(Y191="RP",IFERROR(LEFT(_xlfn.XLOOKUP(AE191,Sheet1!$F:$F,Sheet1!$W:$W),FIND("-",_xlfn.XLOOKUP(AE191,Sheet1!$F:$F,Sheet1!$W:$W),FIND("-",_xlfn.XLOOKUP(AE191,Sheet1!$F:$F,Sheet1!$W:$W))+1))&amp;AE191,"NOT FOUND"),LEFT(J191,FIND("-",J191,FIND("-",J191)+1))&amp;AE191))</f>
        <v>KRTS-APWN26-GETKRTSFUT6098</v>
      </c>
    </row>
    <row r="192" spans="1:34" ht="15.75" customHeight="1" x14ac:dyDescent="0.2">
      <c r="A192" s="4" t="s">
        <v>30</v>
      </c>
      <c r="B192" s="4" t="s">
        <v>277</v>
      </c>
      <c r="C192" s="4" t="s">
        <v>64</v>
      </c>
      <c r="D192" s="4" t="s">
        <v>218</v>
      </c>
      <c r="E192" s="4" t="s">
        <v>34</v>
      </c>
      <c r="F192" s="4" t="s">
        <v>35</v>
      </c>
      <c r="G192" s="4" t="s">
        <v>36</v>
      </c>
      <c r="H192" s="4" t="s">
        <v>278</v>
      </c>
      <c r="I192" s="4" t="s">
        <v>279</v>
      </c>
      <c r="J192" s="4" t="s">
        <v>280</v>
      </c>
      <c r="L192" s="4" t="s">
        <v>40</v>
      </c>
      <c r="M192" s="4">
        <v>1</v>
      </c>
      <c r="N192" s="4">
        <v>30</v>
      </c>
      <c r="O192" s="4">
        <v>30</v>
      </c>
      <c r="P192" s="4" t="s">
        <v>41</v>
      </c>
      <c r="Q192" s="4">
        <v>374.7</v>
      </c>
      <c r="R192" s="4">
        <v>374.7</v>
      </c>
      <c r="S192" s="4">
        <v>562.04999999999995</v>
      </c>
      <c r="T192" s="4">
        <v>11241</v>
      </c>
      <c r="U192" s="4">
        <v>5</v>
      </c>
      <c r="V192" s="4" t="s">
        <v>42</v>
      </c>
      <c r="X192" s="7" t="str">
        <f t="shared" si="0"/>
        <v>441811097</v>
      </c>
      <c r="Y192" s="8" t="str">
        <f t="shared" si="1"/>
        <v>DC</v>
      </c>
      <c r="Z192" s="8">
        <f t="shared" si="2"/>
        <v>0</v>
      </c>
      <c r="AA192" s="8">
        <f t="shared" si="3"/>
        <v>0</v>
      </c>
      <c r="AB192" s="8">
        <f t="shared" si="4"/>
        <v>0</v>
      </c>
      <c r="AC192" s="8">
        <f t="shared" si="5"/>
        <v>0</v>
      </c>
      <c r="AD192" s="8">
        <f t="shared" si="6"/>
        <v>30</v>
      </c>
      <c r="AE192" s="9" t="str" cm="1">
        <f t="array" ref="AE192">IFERROR(_xlfn.XLOOKUP(H192,Sheet1!$G:$G,Sheet1!$F:$F),IFERROR(_xlfn.XLOOKUP(1,(--($X$2:$X$1074=X192))*(--ISNUMBER(MATCH($H$2:$H$1074,Sheet1!$G:$G,0))),_xlfn.XLOOKUP($H$2:$H$1074,Sheet1!$G:$G,Sheet1!$F:$F,"")),"NOT FOUND"))</f>
        <v>GETKRTSFUT6089</v>
      </c>
      <c r="AF192" s="10" t="str">
        <f t="shared" si="11"/>
        <v>PINK</v>
      </c>
      <c r="AG192" s="11" t="str">
        <f t="shared" si="12"/>
        <v>Bangalore</v>
      </c>
      <c r="AH192" s="9" t="str">
        <f>IF(OR(J192="",AE192="",AE192="NOT FOUND"),"",IF(Y192="RP",IFERROR(LEFT(_xlfn.XLOOKUP(AE192,Sheet1!$F:$F,Sheet1!$W:$W),FIND("-",_xlfn.XLOOKUP(AE192,Sheet1!$F:$F,Sheet1!$W:$W),FIND("-",_xlfn.XLOOKUP(AE192,Sheet1!$F:$F,Sheet1!$W:$W))+1))&amp;AE192,"NOT FOUND"),LEFT(J192,FIND("-",J192,FIND("-",J192)+1))&amp;AE192))</f>
        <v>KRTS-APWN26-GETKRTSFUT6089</v>
      </c>
    </row>
    <row r="193" spans="1:34" ht="15.75" customHeight="1" x14ac:dyDescent="0.2">
      <c r="A193" s="4" t="s">
        <v>30</v>
      </c>
      <c r="B193" s="4" t="s">
        <v>277</v>
      </c>
      <c r="C193" s="4" t="s">
        <v>64</v>
      </c>
      <c r="D193" s="4" t="s">
        <v>218</v>
      </c>
      <c r="E193" s="4" t="s">
        <v>34</v>
      </c>
      <c r="F193" s="4" t="s">
        <v>35</v>
      </c>
      <c r="G193" s="4" t="s">
        <v>43</v>
      </c>
      <c r="H193" s="4" t="s">
        <v>281</v>
      </c>
      <c r="I193" s="4" t="s">
        <v>282</v>
      </c>
      <c r="J193" s="4" t="s">
        <v>283</v>
      </c>
      <c r="L193" s="4" t="s">
        <v>40</v>
      </c>
      <c r="M193" s="4">
        <v>1</v>
      </c>
      <c r="N193" s="4">
        <v>187</v>
      </c>
      <c r="O193" s="4">
        <v>187</v>
      </c>
      <c r="P193" s="4" t="s">
        <v>41</v>
      </c>
      <c r="Q193" s="4">
        <v>374.7</v>
      </c>
      <c r="R193" s="4">
        <v>374.7</v>
      </c>
      <c r="S193" s="4">
        <v>3503.45</v>
      </c>
      <c r="T193" s="4">
        <v>70068.899999999994</v>
      </c>
      <c r="U193" s="4">
        <v>5</v>
      </c>
      <c r="V193" s="4" t="s">
        <v>42</v>
      </c>
      <c r="X193" s="7" t="str">
        <f t="shared" si="0"/>
        <v>441811097</v>
      </c>
      <c r="Y193" s="8" t="str">
        <f t="shared" si="1"/>
        <v>DC</v>
      </c>
      <c r="Z193" s="8">
        <f t="shared" si="2"/>
        <v>0</v>
      </c>
      <c r="AA193" s="8">
        <f t="shared" si="3"/>
        <v>0</v>
      </c>
      <c r="AB193" s="8">
        <f t="shared" si="4"/>
        <v>187</v>
      </c>
      <c r="AC193" s="8">
        <f t="shared" si="5"/>
        <v>0</v>
      </c>
      <c r="AD193" s="8">
        <f t="shared" si="6"/>
        <v>0</v>
      </c>
      <c r="AE193" s="9" t="str" cm="1">
        <f t="array" ref="AE193">IFERROR(_xlfn.XLOOKUP(H193,Sheet1!$G:$G,Sheet1!$F:$F),IFERROR(_xlfn.XLOOKUP(1,(--($X$2:$X$1074=X193))*(--ISNUMBER(MATCH($H$2:$H$1074,Sheet1!$G:$G,0))),_xlfn.XLOOKUP($H$2:$H$1074,Sheet1!$G:$G,Sheet1!$F:$F,"")),"NOT FOUND"))</f>
        <v>GETKRTSFUT6089</v>
      </c>
      <c r="AF193" s="10" t="str">
        <f t="shared" si="11"/>
        <v>PINK</v>
      </c>
      <c r="AG193" s="11" t="str">
        <f t="shared" si="12"/>
        <v>Bangalore</v>
      </c>
      <c r="AH193" s="9" t="str">
        <f>IF(OR(J193="",AE193="",AE193="NOT FOUND"),"",IF(Y193="RP",IFERROR(LEFT(_xlfn.XLOOKUP(AE193,Sheet1!$F:$F,Sheet1!$W:$W),FIND("-",_xlfn.XLOOKUP(AE193,Sheet1!$F:$F,Sheet1!$W:$W),FIND("-",_xlfn.XLOOKUP(AE193,Sheet1!$F:$F,Sheet1!$W:$W))+1))&amp;AE193,"NOT FOUND"),LEFT(J193,FIND("-",J193,FIND("-",J193)+1))&amp;AE193))</f>
        <v>KRTS-APWN26-GETKRTSFUT6089</v>
      </c>
    </row>
    <row r="194" spans="1:34" ht="15.75" customHeight="1" x14ac:dyDescent="0.2">
      <c r="A194" s="4" t="s">
        <v>30</v>
      </c>
      <c r="B194" s="4" t="s">
        <v>277</v>
      </c>
      <c r="C194" s="4" t="s">
        <v>64</v>
      </c>
      <c r="D194" s="4" t="s">
        <v>218</v>
      </c>
      <c r="E194" s="4" t="s">
        <v>34</v>
      </c>
      <c r="F194" s="4" t="s">
        <v>35</v>
      </c>
      <c r="G194" s="4" t="s">
        <v>47</v>
      </c>
      <c r="H194" s="4" t="s">
        <v>284</v>
      </c>
      <c r="I194" s="4" t="s">
        <v>285</v>
      </c>
      <c r="J194" s="4" t="s">
        <v>286</v>
      </c>
      <c r="L194" s="4" t="s">
        <v>40</v>
      </c>
      <c r="M194" s="4">
        <v>1</v>
      </c>
      <c r="N194" s="4">
        <v>187</v>
      </c>
      <c r="O194" s="4">
        <v>187</v>
      </c>
      <c r="P194" s="4" t="s">
        <v>41</v>
      </c>
      <c r="Q194" s="4">
        <v>374.7</v>
      </c>
      <c r="R194" s="4">
        <v>374.7</v>
      </c>
      <c r="S194" s="4">
        <v>3503.45</v>
      </c>
      <c r="T194" s="4">
        <v>70068.899999999994</v>
      </c>
      <c r="U194" s="4">
        <v>5</v>
      </c>
      <c r="V194" s="4" t="s">
        <v>42</v>
      </c>
      <c r="X194" s="7" t="str">
        <f t="shared" si="0"/>
        <v>441811097</v>
      </c>
      <c r="Y194" s="8" t="str">
        <f t="shared" si="1"/>
        <v>DC</v>
      </c>
      <c r="Z194" s="8">
        <f t="shared" si="2"/>
        <v>0</v>
      </c>
      <c r="AA194" s="8">
        <f t="shared" si="3"/>
        <v>187</v>
      </c>
      <c r="AB194" s="8">
        <f t="shared" si="4"/>
        <v>0</v>
      </c>
      <c r="AC194" s="8">
        <f t="shared" si="5"/>
        <v>0</v>
      </c>
      <c r="AD194" s="8">
        <f t="shared" si="6"/>
        <v>0</v>
      </c>
      <c r="AE194" s="9" t="str" cm="1">
        <f t="array" ref="AE194">IFERROR(_xlfn.XLOOKUP(H194,Sheet1!$G:$G,Sheet1!$F:$F),IFERROR(_xlfn.XLOOKUP(1,(--($X$2:$X$1074=X194))*(--ISNUMBER(MATCH($H$2:$H$1074,Sheet1!$G:$G,0))),_xlfn.XLOOKUP($H$2:$H$1074,Sheet1!$G:$G,Sheet1!$F:$F,"")),"NOT FOUND"))</f>
        <v>GETKRTSFUT6089</v>
      </c>
      <c r="AF194" s="10" t="str">
        <f t="shared" si="11"/>
        <v>PINK</v>
      </c>
      <c r="AG194" s="11" t="str">
        <f t="shared" si="12"/>
        <v>Bangalore</v>
      </c>
      <c r="AH194" s="9" t="str">
        <f>IF(OR(J194="",AE194="",AE194="NOT FOUND"),"",IF(Y194="RP",IFERROR(LEFT(_xlfn.XLOOKUP(AE194,Sheet1!$F:$F,Sheet1!$W:$W),FIND("-",_xlfn.XLOOKUP(AE194,Sheet1!$F:$F,Sheet1!$W:$W),FIND("-",_xlfn.XLOOKUP(AE194,Sheet1!$F:$F,Sheet1!$W:$W))+1))&amp;AE194,"NOT FOUND"),LEFT(J194,FIND("-",J194,FIND("-",J194)+1))&amp;AE194))</f>
        <v>KRTS-APWN26-GETKRTSFUT6089</v>
      </c>
    </row>
    <row r="195" spans="1:34" ht="15.75" customHeight="1" x14ac:dyDescent="0.2">
      <c r="A195" s="4" t="s">
        <v>30</v>
      </c>
      <c r="B195" s="4" t="s">
        <v>277</v>
      </c>
      <c r="C195" s="4" t="s">
        <v>64</v>
      </c>
      <c r="D195" s="4" t="s">
        <v>218</v>
      </c>
      <c r="E195" s="4" t="s">
        <v>34</v>
      </c>
      <c r="F195" s="4" t="s">
        <v>35</v>
      </c>
      <c r="G195" s="4" t="s">
        <v>51</v>
      </c>
      <c r="H195" s="4" t="s">
        <v>287</v>
      </c>
      <c r="I195" s="4" t="s">
        <v>288</v>
      </c>
      <c r="J195" s="4" t="s">
        <v>289</v>
      </c>
      <c r="L195" s="4" t="s">
        <v>40</v>
      </c>
      <c r="M195" s="4">
        <v>1</v>
      </c>
      <c r="N195" s="4">
        <v>30</v>
      </c>
      <c r="O195" s="4">
        <v>30</v>
      </c>
      <c r="P195" s="4" t="s">
        <v>41</v>
      </c>
      <c r="Q195" s="4">
        <v>374.7</v>
      </c>
      <c r="R195" s="4">
        <v>374.7</v>
      </c>
      <c r="S195" s="4">
        <v>562.04999999999995</v>
      </c>
      <c r="T195" s="4">
        <v>11241</v>
      </c>
      <c r="U195" s="4">
        <v>5</v>
      </c>
      <c r="V195" s="4" t="s">
        <v>42</v>
      </c>
      <c r="X195" s="7" t="str">
        <f t="shared" si="0"/>
        <v>441811097</v>
      </c>
      <c r="Y195" s="8" t="str">
        <f t="shared" si="1"/>
        <v>DC</v>
      </c>
      <c r="Z195" s="8">
        <f t="shared" si="2"/>
        <v>30</v>
      </c>
      <c r="AA195" s="8">
        <f t="shared" si="3"/>
        <v>0</v>
      </c>
      <c r="AB195" s="8">
        <f t="shared" si="4"/>
        <v>0</v>
      </c>
      <c r="AC195" s="8">
        <f t="shared" si="5"/>
        <v>0</v>
      </c>
      <c r="AD195" s="8">
        <f t="shared" si="6"/>
        <v>0</v>
      </c>
      <c r="AE195" s="9" t="str" cm="1">
        <f t="array" ref="AE195">IFERROR(_xlfn.XLOOKUP(H195,Sheet1!$G:$G,Sheet1!$F:$F),IFERROR(_xlfn.XLOOKUP(1,(--($X$2:$X$1074=X195))*(--ISNUMBER(MATCH($H$2:$H$1074,Sheet1!$G:$G,0))),_xlfn.XLOOKUP($H$2:$H$1074,Sheet1!$G:$G,Sheet1!$F:$F,"")),"NOT FOUND"))</f>
        <v>GETKRTSFUT6089</v>
      </c>
      <c r="AF195" s="10" t="str">
        <f t="shared" ref="AF195:AF258" si="13">IFERROR(IF(ISNUMBER(SEARCH("(RP)",J195)),TRIM(SUBSTITUTE(MID(J195,10,LEN(J195)),"(RP)","")),TRIM(MID(J195,FIND(",",J195)+1,FIND(",",J195,FIND(",",J195)+1)-FIND(",",J195)-1))),"")</f>
        <v>PINK</v>
      </c>
      <c r="AG195" s="11" t="str">
        <f t="shared" ref="AG195:AG258" si="14">IF(A195="SZAF","Bangalore",IF(A195="SAEX","JHAJJAR",IF(A195="S0EU","HARIPAL","")))</f>
        <v>Bangalore</v>
      </c>
      <c r="AH195" s="9" t="str">
        <f>IF(OR(J195="",AE195="",AE195="NOT FOUND"),"",IF(Y195="RP",IFERROR(LEFT(_xlfn.XLOOKUP(AE195,Sheet1!$F:$F,Sheet1!$W:$W),FIND("-",_xlfn.XLOOKUP(AE195,Sheet1!$F:$F,Sheet1!$W:$W),FIND("-",_xlfn.XLOOKUP(AE195,Sheet1!$F:$F,Sheet1!$W:$W))+1))&amp;AE195,"NOT FOUND"),LEFT(J195,FIND("-",J195,FIND("-",J195)+1))&amp;AE195))</f>
        <v>KRTS-APWN26-GETKRTSFUT6089</v>
      </c>
    </row>
    <row r="196" spans="1:34" ht="15.75" customHeight="1" x14ac:dyDescent="0.2">
      <c r="A196" s="4" t="s">
        <v>30</v>
      </c>
      <c r="B196" s="4" t="s">
        <v>277</v>
      </c>
      <c r="C196" s="4" t="s">
        <v>64</v>
      </c>
      <c r="D196" s="4" t="s">
        <v>218</v>
      </c>
      <c r="E196" s="4" t="s">
        <v>34</v>
      </c>
      <c r="F196" s="4" t="s">
        <v>35</v>
      </c>
      <c r="G196" s="4" t="s">
        <v>55</v>
      </c>
      <c r="H196" s="4" t="s">
        <v>290</v>
      </c>
      <c r="I196" s="4" t="s">
        <v>291</v>
      </c>
      <c r="J196" s="4" t="s">
        <v>292</v>
      </c>
      <c r="L196" s="4" t="s">
        <v>40</v>
      </c>
      <c r="M196" s="4">
        <v>1</v>
      </c>
      <c r="N196" s="4">
        <v>158</v>
      </c>
      <c r="O196" s="4">
        <v>158</v>
      </c>
      <c r="P196" s="4" t="s">
        <v>41</v>
      </c>
      <c r="Q196" s="4">
        <v>374.7</v>
      </c>
      <c r="R196" s="4">
        <v>374.7</v>
      </c>
      <c r="S196" s="4">
        <v>2960.13</v>
      </c>
      <c r="T196" s="4">
        <v>59202.6</v>
      </c>
      <c r="U196" s="4">
        <v>5</v>
      </c>
      <c r="V196" s="4" t="s">
        <v>42</v>
      </c>
      <c r="X196" s="7" t="str">
        <f t="shared" si="0"/>
        <v>441811097</v>
      </c>
      <c r="Y196" s="8" t="str">
        <f t="shared" si="1"/>
        <v>DC</v>
      </c>
      <c r="Z196" s="8">
        <f t="shared" si="2"/>
        <v>0</v>
      </c>
      <c r="AA196" s="8">
        <f t="shared" si="3"/>
        <v>0</v>
      </c>
      <c r="AB196" s="8">
        <f t="shared" si="4"/>
        <v>0</v>
      </c>
      <c r="AC196" s="8">
        <f t="shared" si="5"/>
        <v>158</v>
      </c>
      <c r="AD196" s="8">
        <f t="shared" si="6"/>
        <v>0</v>
      </c>
      <c r="AE196" s="9" t="str" cm="1">
        <f t="array" ref="AE196">IFERROR(_xlfn.XLOOKUP(H196,Sheet1!$G:$G,Sheet1!$F:$F),IFERROR(_xlfn.XLOOKUP(1,(--($X$2:$X$1074=X196))*(--ISNUMBER(MATCH($H$2:$H$1074,Sheet1!$G:$G,0))),_xlfn.XLOOKUP($H$2:$H$1074,Sheet1!$G:$G,Sheet1!$F:$F,"")),"NOT FOUND"))</f>
        <v>GETKRTSFUT6089</v>
      </c>
      <c r="AF196" s="10" t="str">
        <f t="shared" si="13"/>
        <v>PINK</v>
      </c>
      <c r="AG196" s="11" t="str">
        <f t="shared" si="14"/>
        <v>Bangalore</v>
      </c>
      <c r="AH196" s="9" t="str">
        <f>IF(OR(J196="",AE196="",AE196="NOT FOUND"),"",IF(Y196="RP",IFERROR(LEFT(_xlfn.XLOOKUP(AE196,Sheet1!$F:$F,Sheet1!$W:$W),FIND("-",_xlfn.XLOOKUP(AE196,Sheet1!$F:$F,Sheet1!$W:$W),FIND("-",_xlfn.XLOOKUP(AE196,Sheet1!$F:$F,Sheet1!$W:$W))+1))&amp;AE196,"NOT FOUND"),LEFT(J196,FIND("-",J196,FIND("-",J196)+1))&amp;AE196))</f>
        <v>KRTS-APWN26-GETKRTSFUT6089</v>
      </c>
    </row>
    <row r="197" spans="1:34" ht="15.75" customHeight="1" x14ac:dyDescent="0.2">
      <c r="A197" s="4" t="s">
        <v>30</v>
      </c>
      <c r="B197" s="4" t="s">
        <v>293</v>
      </c>
      <c r="C197" s="4" t="s">
        <v>64</v>
      </c>
      <c r="D197" s="4" t="s">
        <v>98</v>
      </c>
      <c r="E197" s="4" t="s">
        <v>34</v>
      </c>
      <c r="F197" s="4" t="s">
        <v>35</v>
      </c>
      <c r="G197" s="4" t="s">
        <v>36</v>
      </c>
      <c r="H197" s="4" t="s">
        <v>294</v>
      </c>
      <c r="I197" s="4" t="s">
        <v>295</v>
      </c>
      <c r="J197" s="4" t="s">
        <v>296</v>
      </c>
      <c r="L197" s="4" t="s">
        <v>40</v>
      </c>
      <c r="M197" s="4">
        <v>1</v>
      </c>
      <c r="N197" s="4">
        <v>30</v>
      </c>
      <c r="O197" s="4">
        <v>30</v>
      </c>
      <c r="P197" s="4" t="s">
        <v>41</v>
      </c>
      <c r="Q197" s="4">
        <v>324.7</v>
      </c>
      <c r="R197" s="4">
        <v>324.7</v>
      </c>
      <c r="S197" s="4">
        <v>487.05</v>
      </c>
      <c r="T197" s="4">
        <v>9741</v>
      </c>
      <c r="U197" s="4">
        <v>5</v>
      </c>
      <c r="V197" s="4" t="s">
        <v>42</v>
      </c>
      <c r="X197" s="7" t="str">
        <f t="shared" si="0"/>
        <v>441811096</v>
      </c>
      <c r="Y197" s="8" t="str">
        <f t="shared" si="1"/>
        <v>DC</v>
      </c>
      <c r="Z197" s="8">
        <f t="shared" si="2"/>
        <v>0</v>
      </c>
      <c r="AA197" s="8">
        <f t="shared" si="3"/>
        <v>0</v>
      </c>
      <c r="AB197" s="8">
        <f t="shared" si="4"/>
        <v>0</v>
      </c>
      <c r="AC197" s="8">
        <f t="shared" si="5"/>
        <v>0</v>
      </c>
      <c r="AD197" s="8">
        <f t="shared" si="6"/>
        <v>30</v>
      </c>
      <c r="AE197" s="9" t="str" cm="1">
        <f t="array" ref="AE197">IFERROR(_xlfn.XLOOKUP(H197,Sheet1!$G:$G,Sheet1!$F:$F),IFERROR(_xlfn.XLOOKUP(1,(--($X$2:$X$1074=X197))*(--ISNUMBER(MATCH($H$2:$H$1074,Sheet1!$G:$G,0))),_xlfn.XLOOKUP($H$2:$H$1074,Sheet1!$G:$G,Sheet1!$F:$F,"")),"NOT FOUND"))</f>
        <v>GETKRTSFUT6087</v>
      </c>
      <c r="AF197" s="10" t="str">
        <f t="shared" si="13"/>
        <v>CORAL</v>
      </c>
      <c r="AG197" s="11" t="str">
        <f t="shared" si="14"/>
        <v>Bangalore</v>
      </c>
      <c r="AH197" s="9" t="str">
        <f>IF(OR(J197="",AE197="",AE197="NOT FOUND"),"",IF(Y197="RP",IFERROR(LEFT(_xlfn.XLOOKUP(AE197,Sheet1!$F:$F,Sheet1!$W:$W),FIND("-",_xlfn.XLOOKUP(AE197,Sheet1!$F:$F,Sheet1!$W:$W),FIND("-",_xlfn.XLOOKUP(AE197,Sheet1!$F:$F,Sheet1!$W:$W))+1))&amp;AE197,"NOT FOUND"),LEFT(J197,FIND("-",J197,FIND("-",J197)+1))&amp;AE197))</f>
        <v>KRTS-APWN26-GETKRTSFUT6087</v>
      </c>
    </row>
    <row r="198" spans="1:34" ht="15.75" customHeight="1" x14ac:dyDescent="0.2">
      <c r="A198" s="4" t="s">
        <v>30</v>
      </c>
      <c r="B198" s="4" t="s">
        <v>293</v>
      </c>
      <c r="C198" s="4" t="s">
        <v>64</v>
      </c>
      <c r="D198" s="4" t="s">
        <v>98</v>
      </c>
      <c r="E198" s="4" t="s">
        <v>34</v>
      </c>
      <c r="F198" s="4" t="s">
        <v>35</v>
      </c>
      <c r="G198" s="4" t="s">
        <v>43</v>
      </c>
      <c r="H198" s="4" t="s">
        <v>297</v>
      </c>
      <c r="I198" s="4" t="s">
        <v>298</v>
      </c>
      <c r="J198" s="4" t="s">
        <v>299</v>
      </c>
      <c r="L198" s="4" t="s">
        <v>40</v>
      </c>
      <c r="M198" s="4">
        <v>1</v>
      </c>
      <c r="N198" s="4">
        <v>257</v>
      </c>
      <c r="O198" s="4">
        <v>257</v>
      </c>
      <c r="P198" s="4" t="s">
        <v>41</v>
      </c>
      <c r="Q198" s="4">
        <v>324.7</v>
      </c>
      <c r="R198" s="4">
        <v>324.7</v>
      </c>
      <c r="S198" s="4">
        <v>4172.3999999999996</v>
      </c>
      <c r="T198" s="4">
        <v>83447.899999999994</v>
      </c>
      <c r="U198" s="4">
        <v>5</v>
      </c>
      <c r="V198" s="4" t="s">
        <v>42</v>
      </c>
      <c r="X198" s="7" t="str">
        <f t="shared" si="0"/>
        <v>441811096</v>
      </c>
      <c r="Y198" s="8" t="str">
        <f t="shared" si="1"/>
        <v>DC</v>
      </c>
      <c r="Z198" s="8">
        <f t="shared" si="2"/>
        <v>0</v>
      </c>
      <c r="AA198" s="8">
        <f t="shared" si="3"/>
        <v>0</v>
      </c>
      <c r="AB198" s="8">
        <f t="shared" si="4"/>
        <v>257</v>
      </c>
      <c r="AC198" s="8">
        <f t="shared" si="5"/>
        <v>0</v>
      </c>
      <c r="AD198" s="8">
        <f t="shared" si="6"/>
        <v>0</v>
      </c>
      <c r="AE198" s="9" t="str" cm="1">
        <f t="array" ref="AE198">IFERROR(_xlfn.XLOOKUP(H198,Sheet1!$G:$G,Sheet1!$F:$F),IFERROR(_xlfn.XLOOKUP(1,(--($X$2:$X$1074=X198))*(--ISNUMBER(MATCH($H$2:$H$1074,Sheet1!$G:$G,0))),_xlfn.XLOOKUP($H$2:$H$1074,Sheet1!$G:$G,Sheet1!$F:$F,"")),"NOT FOUND"))</f>
        <v>GETKRTSFUT6087</v>
      </c>
      <c r="AF198" s="10" t="str">
        <f t="shared" si="13"/>
        <v>CORAL</v>
      </c>
      <c r="AG198" s="11" t="str">
        <f t="shared" si="14"/>
        <v>Bangalore</v>
      </c>
      <c r="AH198" s="9" t="str">
        <f>IF(OR(J198="",AE198="",AE198="NOT FOUND"),"",IF(Y198="RP",IFERROR(LEFT(_xlfn.XLOOKUP(AE198,Sheet1!$F:$F,Sheet1!$W:$W),FIND("-",_xlfn.XLOOKUP(AE198,Sheet1!$F:$F,Sheet1!$W:$W),FIND("-",_xlfn.XLOOKUP(AE198,Sheet1!$F:$F,Sheet1!$W:$W))+1))&amp;AE198,"NOT FOUND"),LEFT(J198,FIND("-",J198,FIND("-",J198)+1))&amp;AE198))</f>
        <v>KRTS-APWN26-GETKRTSFUT6087</v>
      </c>
    </row>
    <row r="199" spans="1:34" ht="15.75" customHeight="1" x14ac:dyDescent="0.2">
      <c r="A199" s="4" t="s">
        <v>30</v>
      </c>
      <c r="B199" s="4" t="s">
        <v>293</v>
      </c>
      <c r="C199" s="4" t="s">
        <v>64</v>
      </c>
      <c r="D199" s="4" t="s">
        <v>98</v>
      </c>
      <c r="E199" s="4" t="s">
        <v>34</v>
      </c>
      <c r="F199" s="4" t="s">
        <v>35</v>
      </c>
      <c r="G199" s="4" t="s">
        <v>47</v>
      </c>
      <c r="H199" s="4" t="s">
        <v>300</v>
      </c>
      <c r="I199" s="4" t="s">
        <v>301</v>
      </c>
      <c r="J199" s="4" t="s">
        <v>302</v>
      </c>
      <c r="L199" s="4" t="s">
        <v>40</v>
      </c>
      <c r="M199" s="4">
        <v>1</v>
      </c>
      <c r="N199" s="4">
        <v>257</v>
      </c>
      <c r="O199" s="4">
        <v>257</v>
      </c>
      <c r="P199" s="4" t="s">
        <v>41</v>
      </c>
      <c r="Q199" s="4">
        <v>324.7</v>
      </c>
      <c r="R199" s="4">
        <v>324.7</v>
      </c>
      <c r="S199" s="4">
        <v>4172.3999999999996</v>
      </c>
      <c r="T199" s="4">
        <v>83447.899999999994</v>
      </c>
      <c r="U199" s="4">
        <v>5</v>
      </c>
      <c r="V199" s="4" t="s">
        <v>42</v>
      </c>
      <c r="X199" s="7" t="str">
        <f t="shared" si="0"/>
        <v>441811096</v>
      </c>
      <c r="Y199" s="8" t="str">
        <f t="shared" si="1"/>
        <v>DC</v>
      </c>
      <c r="Z199" s="8">
        <f t="shared" si="2"/>
        <v>0</v>
      </c>
      <c r="AA199" s="8">
        <f t="shared" si="3"/>
        <v>257</v>
      </c>
      <c r="AB199" s="8">
        <f t="shared" si="4"/>
        <v>0</v>
      </c>
      <c r="AC199" s="8">
        <f t="shared" si="5"/>
        <v>0</v>
      </c>
      <c r="AD199" s="8">
        <f t="shared" si="6"/>
        <v>0</v>
      </c>
      <c r="AE199" s="9" t="str" cm="1">
        <f t="array" ref="AE199">IFERROR(_xlfn.XLOOKUP(H199,Sheet1!$G:$G,Sheet1!$F:$F),IFERROR(_xlfn.XLOOKUP(1,(--($X$2:$X$1074=X199))*(--ISNUMBER(MATCH($H$2:$H$1074,Sheet1!$G:$G,0))),_xlfn.XLOOKUP($H$2:$H$1074,Sheet1!$G:$G,Sheet1!$F:$F,"")),"NOT FOUND"))</f>
        <v>GETKRTSFUT6087</v>
      </c>
      <c r="AF199" s="10" t="str">
        <f t="shared" si="13"/>
        <v>CORAL</v>
      </c>
      <c r="AG199" s="11" t="str">
        <f t="shared" si="14"/>
        <v>Bangalore</v>
      </c>
      <c r="AH199" s="9" t="str">
        <f>IF(OR(J199="",AE199="",AE199="NOT FOUND"),"",IF(Y199="RP",IFERROR(LEFT(_xlfn.XLOOKUP(AE199,Sheet1!$F:$F,Sheet1!$W:$W),FIND("-",_xlfn.XLOOKUP(AE199,Sheet1!$F:$F,Sheet1!$W:$W),FIND("-",_xlfn.XLOOKUP(AE199,Sheet1!$F:$F,Sheet1!$W:$W))+1))&amp;AE199,"NOT FOUND"),LEFT(J199,FIND("-",J199,FIND("-",J199)+1))&amp;AE199))</f>
        <v>KRTS-APWN26-GETKRTSFUT6087</v>
      </c>
    </row>
    <row r="200" spans="1:34" ht="15.75" customHeight="1" x14ac:dyDescent="0.2">
      <c r="A200" s="4" t="s">
        <v>30</v>
      </c>
      <c r="B200" s="4" t="s">
        <v>293</v>
      </c>
      <c r="C200" s="4" t="s">
        <v>64</v>
      </c>
      <c r="D200" s="4" t="s">
        <v>98</v>
      </c>
      <c r="E200" s="4" t="s">
        <v>34</v>
      </c>
      <c r="F200" s="4" t="s">
        <v>35</v>
      </c>
      <c r="G200" s="4" t="s">
        <v>51</v>
      </c>
      <c r="H200" s="4" t="s">
        <v>303</v>
      </c>
      <c r="I200" s="4" t="s">
        <v>304</v>
      </c>
      <c r="J200" s="4" t="s">
        <v>305</v>
      </c>
      <c r="L200" s="4" t="s">
        <v>40</v>
      </c>
      <c r="M200" s="4">
        <v>1</v>
      </c>
      <c r="N200" s="4">
        <v>30</v>
      </c>
      <c r="O200" s="4">
        <v>30</v>
      </c>
      <c r="P200" s="4" t="s">
        <v>41</v>
      </c>
      <c r="Q200" s="4">
        <v>324.7</v>
      </c>
      <c r="R200" s="4">
        <v>324.7</v>
      </c>
      <c r="S200" s="4">
        <v>487.05</v>
      </c>
      <c r="T200" s="4">
        <v>9741</v>
      </c>
      <c r="U200" s="4">
        <v>5</v>
      </c>
      <c r="V200" s="4" t="s">
        <v>42</v>
      </c>
      <c r="X200" s="7" t="str">
        <f t="shared" si="0"/>
        <v>441811096</v>
      </c>
      <c r="Y200" s="8" t="str">
        <f t="shared" si="1"/>
        <v>DC</v>
      </c>
      <c r="Z200" s="8">
        <f t="shared" si="2"/>
        <v>30</v>
      </c>
      <c r="AA200" s="8">
        <f t="shared" si="3"/>
        <v>0</v>
      </c>
      <c r="AB200" s="8">
        <f t="shared" si="4"/>
        <v>0</v>
      </c>
      <c r="AC200" s="8">
        <f t="shared" si="5"/>
        <v>0</v>
      </c>
      <c r="AD200" s="8">
        <f t="shared" si="6"/>
        <v>0</v>
      </c>
      <c r="AE200" s="9" t="str" cm="1">
        <f t="array" ref="AE200">IFERROR(_xlfn.XLOOKUP(H200,Sheet1!$G:$G,Sheet1!$F:$F),IFERROR(_xlfn.XLOOKUP(1,(--($X$2:$X$1074=X200))*(--ISNUMBER(MATCH($H$2:$H$1074,Sheet1!$G:$G,0))),_xlfn.XLOOKUP($H$2:$H$1074,Sheet1!$G:$G,Sheet1!$F:$F,"")),"NOT FOUND"))</f>
        <v>GETKRTSFUT6087</v>
      </c>
      <c r="AF200" s="10" t="str">
        <f t="shared" si="13"/>
        <v>CORAL</v>
      </c>
      <c r="AG200" s="11" t="str">
        <f t="shared" si="14"/>
        <v>Bangalore</v>
      </c>
      <c r="AH200" s="9" t="str">
        <f>IF(OR(J200="",AE200="",AE200="NOT FOUND"),"",IF(Y200="RP",IFERROR(LEFT(_xlfn.XLOOKUP(AE200,Sheet1!$F:$F,Sheet1!$W:$W),FIND("-",_xlfn.XLOOKUP(AE200,Sheet1!$F:$F,Sheet1!$W:$W),FIND("-",_xlfn.XLOOKUP(AE200,Sheet1!$F:$F,Sheet1!$W:$W))+1))&amp;AE200,"NOT FOUND"),LEFT(J200,FIND("-",J200,FIND("-",J200)+1))&amp;AE200))</f>
        <v>KRTS-APWN26-GETKRTSFUT6087</v>
      </c>
    </row>
    <row r="201" spans="1:34" ht="15.75" customHeight="1" x14ac:dyDescent="0.2">
      <c r="A201" s="4" t="s">
        <v>30</v>
      </c>
      <c r="B201" s="4" t="s">
        <v>293</v>
      </c>
      <c r="C201" s="4" t="s">
        <v>64</v>
      </c>
      <c r="D201" s="4" t="s">
        <v>98</v>
      </c>
      <c r="E201" s="4" t="s">
        <v>34</v>
      </c>
      <c r="F201" s="4" t="s">
        <v>35</v>
      </c>
      <c r="G201" s="4" t="s">
        <v>55</v>
      </c>
      <c r="H201" s="4" t="s">
        <v>306</v>
      </c>
      <c r="I201" s="4" t="s">
        <v>307</v>
      </c>
      <c r="J201" s="4" t="s">
        <v>308</v>
      </c>
      <c r="L201" s="4" t="s">
        <v>40</v>
      </c>
      <c r="M201" s="4">
        <v>1</v>
      </c>
      <c r="N201" s="4">
        <v>217</v>
      </c>
      <c r="O201" s="4">
        <v>217</v>
      </c>
      <c r="P201" s="4" t="s">
        <v>41</v>
      </c>
      <c r="Q201" s="4">
        <v>324.7</v>
      </c>
      <c r="R201" s="4">
        <v>324.7</v>
      </c>
      <c r="S201" s="4">
        <v>3523</v>
      </c>
      <c r="T201" s="4">
        <v>70459.899999999994</v>
      </c>
      <c r="U201" s="4">
        <v>5</v>
      </c>
      <c r="V201" s="4" t="s">
        <v>42</v>
      </c>
      <c r="X201" s="7" t="str">
        <f t="shared" si="0"/>
        <v>441811096</v>
      </c>
      <c r="Y201" s="8" t="str">
        <f t="shared" si="1"/>
        <v>DC</v>
      </c>
      <c r="Z201" s="8">
        <f t="shared" si="2"/>
        <v>0</v>
      </c>
      <c r="AA201" s="8">
        <f t="shared" si="3"/>
        <v>0</v>
      </c>
      <c r="AB201" s="8">
        <f t="shared" si="4"/>
        <v>0</v>
      </c>
      <c r="AC201" s="8">
        <f t="shared" si="5"/>
        <v>217</v>
      </c>
      <c r="AD201" s="8">
        <f t="shared" si="6"/>
        <v>0</v>
      </c>
      <c r="AE201" s="9" t="str" cm="1">
        <f t="array" ref="AE201">IFERROR(_xlfn.XLOOKUP(H201,Sheet1!$G:$G,Sheet1!$F:$F),IFERROR(_xlfn.XLOOKUP(1,(--($X$2:$X$1074=X201))*(--ISNUMBER(MATCH($H$2:$H$1074,Sheet1!$G:$G,0))),_xlfn.XLOOKUP($H$2:$H$1074,Sheet1!$G:$G,Sheet1!$F:$F,"")),"NOT FOUND"))</f>
        <v>GETKRTSFUT6087</v>
      </c>
      <c r="AF201" s="10" t="str">
        <f t="shared" si="13"/>
        <v>CORAL</v>
      </c>
      <c r="AG201" s="11" t="str">
        <f t="shared" si="14"/>
        <v>Bangalore</v>
      </c>
      <c r="AH201" s="9" t="str">
        <f>IF(OR(J201="",AE201="",AE201="NOT FOUND"),"",IF(Y201="RP",IFERROR(LEFT(_xlfn.XLOOKUP(AE201,Sheet1!$F:$F,Sheet1!$W:$W),FIND("-",_xlfn.XLOOKUP(AE201,Sheet1!$F:$F,Sheet1!$W:$W),FIND("-",_xlfn.XLOOKUP(AE201,Sheet1!$F:$F,Sheet1!$W:$W))+1))&amp;AE201,"NOT FOUND"),LEFT(J201,FIND("-",J201,FIND("-",J201)+1))&amp;AE201))</f>
        <v>KRTS-APWN26-GETKRTSFUT6087</v>
      </c>
    </row>
    <row r="202" spans="1:34" ht="15.75" customHeight="1" x14ac:dyDescent="0.2">
      <c r="A202" s="4" t="s">
        <v>30</v>
      </c>
      <c r="B202" s="4" t="s">
        <v>309</v>
      </c>
      <c r="C202" s="4" t="s">
        <v>64</v>
      </c>
      <c r="D202" s="4" t="s">
        <v>33</v>
      </c>
      <c r="E202" s="4" t="s">
        <v>34</v>
      </c>
      <c r="F202" s="4" t="s">
        <v>35</v>
      </c>
      <c r="G202" s="4" t="s">
        <v>36</v>
      </c>
      <c r="H202" s="4" t="s">
        <v>310</v>
      </c>
      <c r="I202" s="4" t="s">
        <v>311</v>
      </c>
      <c r="J202" s="4" t="s">
        <v>312</v>
      </c>
      <c r="L202" s="4" t="s">
        <v>40</v>
      </c>
      <c r="M202" s="4">
        <v>1</v>
      </c>
      <c r="N202" s="4">
        <v>30</v>
      </c>
      <c r="O202" s="4">
        <v>30</v>
      </c>
      <c r="P202" s="4" t="s">
        <v>41</v>
      </c>
      <c r="Q202" s="4">
        <v>324.7</v>
      </c>
      <c r="R202" s="4">
        <v>324.7</v>
      </c>
      <c r="S202" s="4">
        <v>487.05</v>
      </c>
      <c r="T202" s="4">
        <v>9741</v>
      </c>
      <c r="U202" s="4">
        <v>5</v>
      </c>
      <c r="V202" s="4" t="s">
        <v>42</v>
      </c>
      <c r="X202" s="7" t="str">
        <f t="shared" si="0"/>
        <v>441811095</v>
      </c>
      <c r="Y202" s="8" t="str">
        <f t="shared" si="1"/>
        <v>DC</v>
      </c>
      <c r="Z202" s="8">
        <f t="shared" si="2"/>
        <v>0</v>
      </c>
      <c r="AA202" s="8">
        <f t="shared" si="3"/>
        <v>0</v>
      </c>
      <c r="AB202" s="8">
        <f t="shared" si="4"/>
        <v>0</v>
      </c>
      <c r="AC202" s="8">
        <f t="shared" si="5"/>
        <v>0</v>
      </c>
      <c r="AD202" s="8">
        <f t="shared" si="6"/>
        <v>30</v>
      </c>
      <c r="AE202" s="9" t="str" cm="1">
        <f t="array" ref="AE202">IFERROR(_xlfn.XLOOKUP(H202,Sheet1!$G:$G,Sheet1!$F:$F),IFERROR(_xlfn.XLOOKUP(1,(--($X$2:$X$1074=X202))*(--ISNUMBER(MATCH($H$2:$H$1074,Sheet1!$G:$G,0))),_xlfn.XLOOKUP($H$2:$H$1074,Sheet1!$G:$G,Sheet1!$F:$F,"")),"NOT FOUND"))</f>
        <v>GETKRTSFUT6012</v>
      </c>
      <c r="AF202" s="10" t="str">
        <f t="shared" si="13"/>
        <v>MAROON</v>
      </c>
      <c r="AG202" s="11" t="str">
        <f t="shared" si="14"/>
        <v>Bangalore</v>
      </c>
      <c r="AH202" s="9" t="str">
        <f>IF(OR(J202="",AE202="",AE202="NOT FOUND"),"",IF(Y202="RP",IFERROR(LEFT(_xlfn.XLOOKUP(AE202,Sheet1!$F:$F,Sheet1!$W:$W),FIND("-",_xlfn.XLOOKUP(AE202,Sheet1!$F:$F,Sheet1!$W:$W),FIND("-",_xlfn.XLOOKUP(AE202,Sheet1!$F:$F,Sheet1!$W:$W))+1))&amp;AE202,"NOT FOUND"),LEFT(J202,FIND("-",J202,FIND("-",J202)+1))&amp;AE202))</f>
        <v>KRTS-APWN26-GETKRTSFUT6012</v>
      </c>
    </row>
    <row r="203" spans="1:34" ht="15.75" customHeight="1" x14ac:dyDescent="0.2">
      <c r="A203" s="4" t="s">
        <v>30</v>
      </c>
      <c r="B203" s="4" t="s">
        <v>309</v>
      </c>
      <c r="C203" s="4" t="s">
        <v>64</v>
      </c>
      <c r="D203" s="4" t="s">
        <v>33</v>
      </c>
      <c r="E203" s="4" t="s">
        <v>34</v>
      </c>
      <c r="F203" s="4" t="s">
        <v>35</v>
      </c>
      <c r="G203" s="4" t="s">
        <v>43</v>
      </c>
      <c r="H203" s="4" t="s">
        <v>313</v>
      </c>
      <c r="I203" s="4" t="s">
        <v>314</v>
      </c>
      <c r="J203" s="4" t="s">
        <v>315</v>
      </c>
      <c r="L203" s="4" t="s">
        <v>40</v>
      </c>
      <c r="M203" s="4">
        <v>1</v>
      </c>
      <c r="N203" s="4">
        <v>257</v>
      </c>
      <c r="O203" s="4">
        <v>257</v>
      </c>
      <c r="P203" s="4" t="s">
        <v>41</v>
      </c>
      <c r="Q203" s="4">
        <v>324.7</v>
      </c>
      <c r="R203" s="4">
        <v>324.7</v>
      </c>
      <c r="S203" s="4">
        <v>4172.3999999999996</v>
      </c>
      <c r="T203" s="4">
        <v>83447.899999999994</v>
      </c>
      <c r="U203" s="4">
        <v>5</v>
      </c>
      <c r="V203" s="4" t="s">
        <v>42</v>
      </c>
      <c r="X203" s="7" t="str">
        <f t="shared" si="0"/>
        <v>441811095</v>
      </c>
      <c r="Y203" s="8" t="str">
        <f t="shared" si="1"/>
        <v>DC</v>
      </c>
      <c r="Z203" s="8">
        <f t="shared" si="2"/>
        <v>0</v>
      </c>
      <c r="AA203" s="8">
        <f t="shared" si="3"/>
        <v>0</v>
      </c>
      <c r="AB203" s="8">
        <f t="shared" si="4"/>
        <v>257</v>
      </c>
      <c r="AC203" s="8">
        <f t="shared" si="5"/>
        <v>0</v>
      </c>
      <c r="AD203" s="8">
        <f t="shared" si="6"/>
        <v>0</v>
      </c>
      <c r="AE203" s="9" t="str" cm="1">
        <f t="array" ref="AE203">IFERROR(_xlfn.XLOOKUP(H203,Sheet1!$G:$G,Sheet1!$F:$F),IFERROR(_xlfn.XLOOKUP(1,(--($X$2:$X$1074=X203))*(--ISNUMBER(MATCH($H$2:$H$1074,Sheet1!$G:$G,0))),_xlfn.XLOOKUP($H$2:$H$1074,Sheet1!$G:$G,Sheet1!$F:$F,"")),"NOT FOUND"))</f>
        <v>GETKRTSFUT6012</v>
      </c>
      <c r="AF203" s="10" t="str">
        <f t="shared" si="13"/>
        <v>MAROON</v>
      </c>
      <c r="AG203" s="11" t="str">
        <f t="shared" si="14"/>
        <v>Bangalore</v>
      </c>
      <c r="AH203" s="9" t="str">
        <f>IF(OR(J203="",AE203="",AE203="NOT FOUND"),"",IF(Y203="RP",IFERROR(LEFT(_xlfn.XLOOKUP(AE203,Sheet1!$F:$F,Sheet1!$W:$W),FIND("-",_xlfn.XLOOKUP(AE203,Sheet1!$F:$F,Sheet1!$W:$W),FIND("-",_xlfn.XLOOKUP(AE203,Sheet1!$F:$F,Sheet1!$W:$W))+1))&amp;AE203,"NOT FOUND"),LEFT(J203,FIND("-",J203,FIND("-",J203)+1))&amp;AE203))</f>
        <v>KRTS-APWN26-GETKRTSFUT6012</v>
      </c>
    </row>
    <row r="204" spans="1:34" ht="15.75" customHeight="1" x14ac:dyDescent="0.2">
      <c r="A204" s="4" t="s">
        <v>30</v>
      </c>
      <c r="B204" s="4" t="s">
        <v>309</v>
      </c>
      <c r="C204" s="4" t="s">
        <v>64</v>
      </c>
      <c r="D204" s="4" t="s">
        <v>33</v>
      </c>
      <c r="E204" s="4" t="s">
        <v>34</v>
      </c>
      <c r="F204" s="4" t="s">
        <v>35</v>
      </c>
      <c r="G204" s="4" t="s">
        <v>47</v>
      </c>
      <c r="H204" s="4" t="s">
        <v>316</v>
      </c>
      <c r="I204" s="4" t="s">
        <v>317</v>
      </c>
      <c r="J204" s="4" t="s">
        <v>318</v>
      </c>
      <c r="L204" s="4" t="s">
        <v>40</v>
      </c>
      <c r="M204" s="4">
        <v>1</v>
      </c>
      <c r="N204" s="4">
        <v>257</v>
      </c>
      <c r="O204" s="4">
        <v>257</v>
      </c>
      <c r="P204" s="4" t="s">
        <v>41</v>
      </c>
      <c r="Q204" s="4">
        <v>324.7</v>
      </c>
      <c r="R204" s="4">
        <v>324.7</v>
      </c>
      <c r="S204" s="4">
        <v>4172.3999999999996</v>
      </c>
      <c r="T204" s="4">
        <v>83447.899999999994</v>
      </c>
      <c r="U204" s="4">
        <v>5</v>
      </c>
      <c r="V204" s="4" t="s">
        <v>42</v>
      </c>
      <c r="X204" s="7" t="str">
        <f t="shared" si="0"/>
        <v>441811095</v>
      </c>
      <c r="Y204" s="8" t="str">
        <f t="shared" si="1"/>
        <v>DC</v>
      </c>
      <c r="Z204" s="8">
        <f t="shared" si="2"/>
        <v>0</v>
      </c>
      <c r="AA204" s="8">
        <f t="shared" si="3"/>
        <v>257</v>
      </c>
      <c r="AB204" s="8">
        <f t="shared" si="4"/>
        <v>0</v>
      </c>
      <c r="AC204" s="8">
        <f t="shared" si="5"/>
        <v>0</v>
      </c>
      <c r="AD204" s="8">
        <f t="shared" si="6"/>
        <v>0</v>
      </c>
      <c r="AE204" s="9" t="str" cm="1">
        <f t="array" ref="AE204">IFERROR(_xlfn.XLOOKUP(H204,Sheet1!$G:$G,Sheet1!$F:$F),IFERROR(_xlfn.XLOOKUP(1,(--($X$2:$X$1074=X204))*(--ISNUMBER(MATCH($H$2:$H$1074,Sheet1!$G:$G,0))),_xlfn.XLOOKUP($H$2:$H$1074,Sheet1!$G:$G,Sheet1!$F:$F,"")),"NOT FOUND"))</f>
        <v>GETKRTSFUT6012</v>
      </c>
      <c r="AF204" s="10" t="str">
        <f t="shared" si="13"/>
        <v>MAROON</v>
      </c>
      <c r="AG204" s="11" t="str">
        <f t="shared" si="14"/>
        <v>Bangalore</v>
      </c>
      <c r="AH204" s="9" t="str">
        <f>IF(OR(J204="",AE204="",AE204="NOT FOUND"),"",IF(Y204="RP",IFERROR(LEFT(_xlfn.XLOOKUP(AE204,Sheet1!$F:$F,Sheet1!$W:$W),FIND("-",_xlfn.XLOOKUP(AE204,Sheet1!$F:$F,Sheet1!$W:$W),FIND("-",_xlfn.XLOOKUP(AE204,Sheet1!$F:$F,Sheet1!$W:$W))+1))&amp;AE204,"NOT FOUND"),LEFT(J204,FIND("-",J204,FIND("-",J204)+1))&amp;AE204))</f>
        <v>KRTS-APWN26-GETKRTSFUT6012</v>
      </c>
    </row>
    <row r="205" spans="1:34" ht="15.75" customHeight="1" x14ac:dyDescent="0.2">
      <c r="A205" s="4" t="s">
        <v>30</v>
      </c>
      <c r="B205" s="4" t="s">
        <v>309</v>
      </c>
      <c r="C205" s="4" t="s">
        <v>64</v>
      </c>
      <c r="D205" s="4" t="s">
        <v>33</v>
      </c>
      <c r="E205" s="4" t="s">
        <v>34</v>
      </c>
      <c r="F205" s="4" t="s">
        <v>35</v>
      </c>
      <c r="G205" s="4" t="s">
        <v>51</v>
      </c>
      <c r="H205" s="4" t="s">
        <v>319</v>
      </c>
      <c r="I205" s="4" t="s">
        <v>320</v>
      </c>
      <c r="J205" s="4" t="s">
        <v>321</v>
      </c>
      <c r="L205" s="4" t="s">
        <v>40</v>
      </c>
      <c r="M205" s="4">
        <v>1</v>
      </c>
      <c r="N205" s="4">
        <v>30</v>
      </c>
      <c r="O205" s="4">
        <v>30</v>
      </c>
      <c r="P205" s="4" t="s">
        <v>41</v>
      </c>
      <c r="Q205" s="4">
        <v>324.7</v>
      </c>
      <c r="R205" s="4">
        <v>324.7</v>
      </c>
      <c r="S205" s="4">
        <v>487.05</v>
      </c>
      <c r="T205" s="4">
        <v>9741</v>
      </c>
      <c r="U205" s="4">
        <v>5</v>
      </c>
      <c r="V205" s="4" t="s">
        <v>42</v>
      </c>
      <c r="X205" s="7" t="str">
        <f t="shared" si="0"/>
        <v>441811095</v>
      </c>
      <c r="Y205" s="8" t="str">
        <f t="shared" si="1"/>
        <v>DC</v>
      </c>
      <c r="Z205" s="8">
        <f t="shared" si="2"/>
        <v>30</v>
      </c>
      <c r="AA205" s="8">
        <f t="shared" si="3"/>
        <v>0</v>
      </c>
      <c r="AB205" s="8">
        <f t="shared" si="4"/>
        <v>0</v>
      </c>
      <c r="AC205" s="8">
        <f t="shared" si="5"/>
        <v>0</v>
      </c>
      <c r="AD205" s="8">
        <f t="shared" si="6"/>
        <v>0</v>
      </c>
      <c r="AE205" s="9" t="str" cm="1">
        <f t="array" ref="AE205">IFERROR(_xlfn.XLOOKUP(H205,Sheet1!$G:$G,Sheet1!$F:$F),IFERROR(_xlfn.XLOOKUP(1,(--($X$2:$X$1074=X205))*(--ISNUMBER(MATCH($H$2:$H$1074,Sheet1!$G:$G,0))),_xlfn.XLOOKUP($H$2:$H$1074,Sheet1!$G:$G,Sheet1!$F:$F,"")),"NOT FOUND"))</f>
        <v>GETKRTSFUT6012</v>
      </c>
      <c r="AF205" s="10" t="str">
        <f t="shared" si="13"/>
        <v>MAROON</v>
      </c>
      <c r="AG205" s="11" t="str">
        <f t="shared" si="14"/>
        <v>Bangalore</v>
      </c>
      <c r="AH205" s="9" t="str">
        <f>IF(OR(J205="",AE205="",AE205="NOT FOUND"),"",IF(Y205="RP",IFERROR(LEFT(_xlfn.XLOOKUP(AE205,Sheet1!$F:$F,Sheet1!$W:$W),FIND("-",_xlfn.XLOOKUP(AE205,Sheet1!$F:$F,Sheet1!$W:$W),FIND("-",_xlfn.XLOOKUP(AE205,Sheet1!$F:$F,Sheet1!$W:$W))+1))&amp;AE205,"NOT FOUND"),LEFT(J205,FIND("-",J205,FIND("-",J205)+1))&amp;AE205))</f>
        <v>KRTS-APWN26-GETKRTSFUT6012</v>
      </c>
    </row>
    <row r="206" spans="1:34" ht="15.75" customHeight="1" x14ac:dyDescent="0.2">
      <c r="A206" s="4" t="s">
        <v>30</v>
      </c>
      <c r="B206" s="4" t="s">
        <v>309</v>
      </c>
      <c r="C206" s="4" t="s">
        <v>64</v>
      </c>
      <c r="D206" s="4" t="s">
        <v>33</v>
      </c>
      <c r="E206" s="4" t="s">
        <v>34</v>
      </c>
      <c r="F206" s="4" t="s">
        <v>35</v>
      </c>
      <c r="G206" s="4" t="s">
        <v>55</v>
      </c>
      <c r="H206" s="4" t="s">
        <v>322</v>
      </c>
      <c r="I206" s="4" t="s">
        <v>323</v>
      </c>
      <c r="J206" s="4" t="s">
        <v>324</v>
      </c>
      <c r="L206" s="4" t="s">
        <v>40</v>
      </c>
      <c r="M206" s="4">
        <v>1</v>
      </c>
      <c r="N206" s="4">
        <v>217</v>
      </c>
      <c r="O206" s="4">
        <v>217</v>
      </c>
      <c r="P206" s="4" t="s">
        <v>41</v>
      </c>
      <c r="Q206" s="4">
        <v>324.7</v>
      </c>
      <c r="R206" s="4">
        <v>324.7</v>
      </c>
      <c r="S206" s="4">
        <v>3523</v>
      </c>
      <c r="T206" s="4">
        <v>70459.899999999994</v>
      </c>
      <c r="U206" s="4">
        <v>5</v>
      </c>
      <c r="V206" s="4" t="s">
        <v>42</v>
      </c>
      <c r="X206" s="7" t="str">
        <f t="shared" si="0"/>
        <v>441811095</v>
      </c>
      <c r="Y206" s="8" t="str">
        <f t="shared" si="1"/>
        <v>DC</v>
      </c>
      <c r="Z206" s="8">
        <f t="shared" si="2"/>
        <v>0</v>
      </c>
      <c r="AA206" s="8">
        <f t="shared" si="3"/>
        <v>0</v>
      </c>
      <c r="AB206" s="8">
        <f t="shared" si="4"/>
        <v>0</v>
      </c>
      <c r="AC206" s="8">
        <f t="shared" si="5"/>
        <v>217</v>
      </c>
      <c r="AD206" s="8">
        <f t="shared" si="6"/>
        <v>0</v>
      </c>
      <c r="AE206" s="9" t="str" cm="1">
        <f t="array" ref="AE206">IFERROR(_xlfn.XLOOKUP(H206,Sheet1!$G:$G,Sheet1!$F:$F),IFERROR(_xlfn.XLOOKUP(1,(--($X$2:$X$1074=X206))*(--ISNUMBER(MATCH($H$2:$H$1074,Sheet1!$G:$G,0))),_xlfn.XLOOKUP($H$2:$H$1074,Sheet1!$G:$G,Sheet1!$F:$F,"")),"NOT FOUND"))</f>
        <v>GETKRTSFUT6012</v>
      </c>
      <c r="AF206" s="10" t="str">
        <f t="shared" si="13"/>
        <v>MAROON</v>
      </c>
      <c r="AG206" s="11" t="str">
        <f t="shared" si="14"/>
        <v>Bangalore</v>
      </c>
      <c r="AH206" s="9" t="str">
        <f>IF(OR(J206="",AE206="",AE206="NOT FOUND"),"",IF(Y206="RP",IFERROR(LEFT(_xlfn.XLOOKUP(AE206,Sheet1!$F:$F,Sheet1!$W:$W),FIND("-",_xlfn.XLOOKUP(AE206,Sheet1!$F:$F,Sheet1!$W:$W),FIND("-",_xlfn.XLOOKUP(AE206,Sheet1!$F:$F,Sheet1!$W:$W))+1))&amp;AE206,"NOT FOUND"),LEFT(J206,FIND("-",J206,FIND("-",J206)+1))&amp;AE206))</f>
        <v>KRTS-APWN26-GETKRTSFUT6012</v>
      </c>
    </row>
    <row r="207" spans="1:34" ht="15.75" customHeight="1" x14ac:dyDescent="0.2">
      <c r="A207" s="4" t="s">
        <v>59</v>
      </c>
      <c r="B207" s="4" t="s">
        <v>325</v>
      </c>
      <c r="C207" s="4" t="s">
        <v>64</v>
      </c>
      <c r="D207" s="4" t="s">
        <v>218</v>
      </c>
      <c r="E207" s="4" t="s">
        <v>34</v>
      </c>
      <c r="F207" s="4" t="s">
        <v>35</v>
      </c>
      <c r="G207" s="4" t="s">
        <v>36</v>
      </c>
      <c r="H207" s="4" t="s">
        <v>278</v>
      </c>
      <c r="I207" s="4" t="s">
        <v>279</v>
      </c>
      <c r="J207" s="4" t="s">
        <v>280</v>
      </c>
      <c r="L207" s="4" t="s">
        <v>40</v>
      </c>
      <c r="M207" s="4">
        <v>1</v>
      </c>
      <c r="N207" s="4">
        <v>30</v>
      </c>
      <c r="O207" s="4">
        <v>30</v>
      </c>
      <c r="P207" s="4" t="s">
        <v>41</v>
      </c>
      <c r="Q207" s="4">
        <v>374.7</v>
      </c>
      <c r="R207" s="4">
        <v>374.7</v>
      </c>
      <c r="S207" s="4">
        <v>562.04999999999995</v>
      </c>
      <c r="T207" s="4">
        <v>11241</v>
      </c>
      <c r="U207" s="4">
        <v>5</v>
      </c>
      <c r="V207" s="4" t="s">
        <v>42</v>
      </c>
      <c r="X207" s="7" t="str">
        <f t="shared" si="0"/>
        <v>441811097</v>
      </c>
      <c r="Y207" s="8" t="str">
        <f t="shared" si="1"/>
        <v>DC</v>
      </c>
      <c r="Z207" s="8">
        <f t="shared" si="2"/>
        <v>0</v>
      </c>
      <c r="AA207" s="8">
        <f t="shared" si="3"/>
        <v>0</v>
      </c>
      <c r="AB207" s="8">
        <f t="shared" si="4"/>
        <v>0</v>
      </c>
      <c r="AC207" s="8">
        <f t="shared" si="5"/>
        <v>0</v>
      </c>
      <c r="AD207" s="8">
        <f t="shared" si="6"/>
        <v>30</v>
      </c>
      <c r="AE207" s="9" t="str" cm="1">
        <f t="array" ref="AE207">IFERROR(_xlfn.XLOOKUP(H207,Sheet1!$G:$G,Sheet1!$F:$F),IFERROR(_xlfn.XLOOKUP(1,(--($X$2:$X$1074=X207))*(--ISNUMBER(MATCH($H$2:$H$1074,Sheet1!$G:$G,0))),_xlfn.XLOOKUP($H$2:$H$1074,Sheet1!$G:$G,Sheet1!$F:$F,"")),"NOT FOUND"))</f>
        <v>GETKRTSFUT6089</v>
      </c>
      <c r="AF207" s="10" t="str">
        <f t="shared" si="13"/>
        <v>PINK</v>
      </c>
      <c r="AG207" s="11" t="str">
        <f t="shared" si="14"/>
        <v>JHAJJAR</v>
      </c>
      <c r="AH207" s="9" t="str">
        <f>IF(OR(J207="",AE207="",AE207="NOT FOUND"),"",IF(Y207="RP",IFERROR(LEFT(_xlfn.XLOOKUP(AE207,Sheet1!$F:$F,Sheet1!$W:$W),FIND("-",_xlfn.XLOOKUP(AE207,Sheet1!$F:$F,Sheet1!$W:$W),FIND("-",_xlfn.XLOOKUP(AE207,Sheet1!$F:$F,Sheet1!$W:$W))+1))&amp;AE207,"NOT FOUND"),LEFT(J207,FIND("-",J207,FIND("-",J207)+1))&amp;AE207))</f>
        <v>KRTS-APWN26-GETKRTSFUT6089</v>
      </c>
    </row>
    <row r="208" spans="1:34" ht="15.75" customHeight="1" x14ac:dyDescent="0.2">
      <c r="A208" s="4" t="s">
        <v>59</v>
      </c>
      <c r="B208" s="4" t="s">
        <v>325</v>
      </c>
      <c r="C208" s="4" t="s">
        <v>64</v>
      </c>
      <c r="D208" s="4" t="s">
        <v>218</v>
      </c>
      <c r="E208" s="4" t="s">
        <v>34</v>
      </c>
      <c r="F208" s="4" t="s">
        <v>35</v>
      </c>
      <c r="G208" s="4" t="s">
        <v>43</v>
      </c>
      <c r="H208" s="4" t="s">
        <v>281</v>
      </c>
      <c r="I208" s="4" t="s">
        <v>282</v>
      </c>
      <c r="J208" s="4" t="s">
        <v>283</v>
      </c>
      <c r="L208" s="4" t="s">
        <v>40</v>
      </c>
      <c r="M208" s="4">
        <v>1</v>
      </c>
      <c r="N208" s="4">
        <v>113</v>
      </c>
      <c r="O208" s="4">
        <v>113</v>
      </c>
      <c r="P208" s="4" t="s">
        <v>41</v>
      </c>
      <c r="Q208" s="4">
        <v>374.7</v>
      </c>
      <c r="R208" s="4">
        <v>374.7</v>
      </c>
      <c r="S208" s="4">
        <v>2117.06</v>
      </c>
      <c r="T208" s="4">
        <v>42341.1</v>
      </c>
      <c r="U208" s="4">
        <v>5</v>
      </c>
      <c r="V208" s="4" t="s">
        <v>42</v>
      </c>
      <c r="X208" s="7" t="str">
        <f t="shared" si="0"/>
        <v>441811097</v>
      </c>
      <c r="Y208" s="8" t="str">
        <f t="shared" si="1"/>
        <v>DC</v>
      </c>
      <c r="Z208" s="8">
        <f t="shared" si="2"/>
        <v>0</v>
      </c>
      <c r="AA208" s="8">
        <f t="shared" si="3"/>
        <v>0</v>
      </c>
      <c r="AB208" s="8">
        <f t="shared" si="4"/>
        <v>113</v>
      </c>
      <c r="AC208" s="8">
        <f t="shared" si="5"/>
        <v>0</v>
      </c>
      <c r="AD208" s="8">
        <f t="shared" si="6"/>
        <v>0</v>
      </c>
      <c r="AE208" s="9" t="str" cm="1">
        <f t="array" ref="AE208">IFERROR(_xlfn.XLOOKUP(H208,Sheet1!$G:$G,Sheet1!$F:$F),IFERROR(_xlfn.XLOOKUP(1,(--($X$2:$X$1074=X208))*(--ISNUMBER(MATCH($H$2:$H$1074,Sheet1!$G:$G,0))),_xlfn.XLOOKUP($H$2:$H$1074,Sheet1!$G:$G,Sheet1!$F:$F,"")),"NOT FOUND"))</f>
        <v>GETKRTSFUT6089</v>
      </c>
      <c r="AF208" s="10" t="str">
        <f t="shared" si="13"/>
        <v>PINK</v>
      </c>
      <c r="AG208" s="11" t="str">
        <f t="shared" si="14"/>
        <v>JHAJJAR</v>
      </c>
      <c r="AH208" s="9" t="str">
        <f>IF(OR(J208="",AE208="",AE208="NOT FOUND"),"",IF(Y208="RP",IFERROR(LEFT(_xlfn.XLOOKUP(AE208,Sheet1!$F:$F,Sheet1!$W:$W),FIND("-",_xlfn.XLOOKUP(AE208,Sheet1!$F:$F,Sheet1!$W:$W),FIND("-",_xlfn.XLOOKUP(AE208,Sheet1!$F:$F,Sheet1!$W:$W))+1))&amp;AE208,"NOT FOUND"),LEFT(J208,FIND("-",J208,FIND("-",J208)+1))&amp;AE208))</f>
        <v>KRTS-APWN26-GETKRTSFUT6089</v>
      </c>
    </row>
    <row r="209" spans="1:34" ht="15.75" customHeight="1" x14ac:dyDescent="0.2">
      <c r="A209" s="4" t="s">
        <v>59</v>
      </c>
      <c r="B209" s="4" t="s">
        <v>325</v>
      </c>
      <c r="C209" s="4" t="s">
        <v>64</v>
      </c>
      <c r="D209" s="4" t="s">
        <v>218</v>
      </c>
      <c r="E209" s="4" t="s">
        <v>34</v>
      </c>
      <c r="F209" s="4" t="s">
        <v>35</v>
      </c>
      <c r="G209" s="4" t="s">
        <v>47</v>
      </c>
      <c r="H209" s="4" t="s">
        <v>284</v>
      </c>
      <c r="I209" s="4" t="s">
        <v>285</v>
      </c>
      <c r="J209" s="4" t="s">
        <v>286</v>
      </c>
      <c r="L209" s="4" t="s">
        <v>40</v>
      </c>
      <c r="M209" s="4">
        <v>1</v>
      </c>
      <c r="N209" s="4">
        <v>113</v>
      </c>
      <c r="O209" s="4">
        <v>113</v>
      </c>
      <c r="P209" s="4" t="s">
        <v>41</v>
      </c>
      <c r="Q209" s="4">
        <v>374.7</v>
      </c>
      <c r="R209" s="4">
        <v>374.7</v>
      </c>
      <c r="S209" s="4">
        <v>2117.06</v>
      </c>
      <c r="T209" s="4">
        <v>42341.1</v>
      </c>
      <c r="U209" s="4">
        <v>5</v>
      </c>
      <c r="V209" s="4" t="s">
        <v>42</v>
      </c>
      <c r="X209" s="7" t="str">
        <f t="shared" si="0"/>
        <v>441811097</v>
      </c>
      <c r="Y209" s="8" t="str">
        <f t="shared" si="1"/>
        <v>DC</v>
      </c>
      <c r="Z209" s="8">
        <f t="shared" si="2"/>
        <v>0</v>
      </c>
      <c r="AA209" s="8">
        <f t="shared" si="3"/>
        <v>113</v>
      </c>
      <c r="AB209" s="8">
        <f t="shared" si="4"/>
        <v>0</v>
      </c>
      <c r="AC209" s="8">
        <f t="shared" si="5"/>
        <v>0</v>
      </c>
      <c r="AD209" s="8">
        <f t="shared" si="6"/>
        <v>0</v>
      </c>
      <c r="AE209" s="9" t="str" cm="1">
        <f t="array" ref="AE209">IFERROR(_xlfn.XLOOKUP(H209,Sheet1!$G:$G,Sheet1!$F:$F),IFERROR(_xlfn.XLOOKUP(1,(--($X$2:$X$1074=X209))*(--ISNUMBER(MATCH($H$2:$H$1074,Sheet1!$G:$G,0))),_xlfn.XLOOKUP($H$2:$H$1074,Sheet1!$G:$G,Sheet1!$F:$F,"")),"NOT FOUND"))</f>
        <v>GETKRTSFUT6089</v>
      </c>
      <c r="AF209" s="10" t="str">
        <f t="shared" si="13"/>
        <v>PINK</v>
      </c>
      <c r="AG209" s="11" t="str">
        <f t="shared" si="14"/>
        <v>JHAJJAR</v>
      </c>
      <c r="AH209" s="9" t="str">
        <f>IF(OR(J209="",AE209="",AE209="NOT FOUND"),"",IF(Y209="RP",IFERROR(LEFT(_xlfn.XLOOKUP(AE209,Sheet1!$F:$F,Sheet1!$W:$W),FIND("-",_xlfn.XLOOKUP(AE209,Sheet1!$F:$F,Sheet1!$W:$W),FIND("-",_xlfn.XLOOKUP(AE209,Sheet1!$F:$F,Sheet1!$W:$W))+1))&amp;AE209,"NOT FOUND"),LEFT(J209,FIND("-",J209,FIND("-",J209)+1))&amp;AE209))</f>
        <v>KRTS-APWN26-GETKRTSFUT6089</v>
      </c>
    </row>
    <row r="210" spans="1:34" ht="15.75" customHeight="1" x14ac:dyDescent="0.2">
      <c r="A210" s="4" t="s">
        <v>59</v>
      </c>
      <c r="B210" s="4" t="s">
        <v>325</v>
      </c>
      <c r="C210" s="4" t="s">
        <v>64</v>
      </c>
      <c r="D210" s="4" t="s">
        <v>218</v>
      </c>
      <c r="E210" s="4" t="s">
        <v>34</v>
      </c>
      <c r="F210" s="4" t="s">
        <v>35</v>
      </c>
      <c r="G210" s="4" t="s">
        <v>51</v>
      </c>
      <c r="H210" s="4" t="s">
        <v>287</v>
      </c>
      <c r="I210" s="4" t="s">
        <v>288</v>
      </c>
      <c r="J210" s="4" t="s">
        <v>289</v>
      </c>
      <c r="L210" s="4" t="s">
        <v>40</v>
      </c>
      <c r="M210" s="4">
        <v>1</v>
      </c>
      <c r="N210" s="4">
        <v>30</v>
      </c>
      <c r="O210" s="4">
        <v>30</v>
      </c>
      <c r="P210" s="4" t="s">
        <v>41</v>
      </c>
      <c r="Q210" s="4">
        <v>374.7</v>
      </c>
      <c r="R210" s="4">
        <v>374.7</v>
      </c>
      <c r="S210" s="4">
        <v>562.04999999999995</v>
      </c>
      <c r="T210" s="4">
        <v>11241</v>
      </c>
      <c r="U210" s="4">
        <v>5</v>
      </c>
      <c r="V210" s="4" t="s">
        <v>42</v>
      </c>
      <c r="X210" s="7" t="str">
        <f t="shared" si="0"/>
        <v>441811097</v>
      </c>
      <c r="Y210" s="8" t="str">
        <f t="shared" si="1"/>
        <v>DC</v>
      </c>
      <c r="Z210" s="8">
        <f t="shared" si="2"/>
        <v>30</v>
      </c>
      <c r="AA210" s="8">
        <f t="shared" si="3"/>
        <v>0</v>
      </c>
      <c r="AB210" s="8">
        <f t="shared" si="4"/>
        <v>0</v>
      </c>
      <c r="AC210" s="8">
        <f t="shared" si="5"/>
        <v>0</v>
      </c>
      <c r="AD210" s="8">
        <f t="shared" si="6"/>
        <v>0</v>
      </c>
      <c r="AE210" s="9" t="str" cm="1">
        <f t="array" ref="AE210">IFERROR(_xlfn.XLOOKUP(H210,Sheet1!$G:$G,Sheet1!$F:$F),IFERROR(_xlfn.XLOOKUP(1,(--($X$2:$X$1074=X210))*(--ISNUMBER(MATCH($H$2:$H$1074,Sheet1!$G:$G,0))),_xlfn.XLOOKUP($H$2:$H$1074,Sheet1!$G:$G,Sheet1!$F:$F,"")),"NOT FOUND"))</f>
        <v>GETKRTSFUT6089</v>
      </c>
      <c r="AF210" s="10" t="str">
        <f t="shared" si="13"/>
        <v>PINK</v>
      </c>
      <c r="AG210" s="11" t="str">
        <f t="shared" si="14"/>
        <v>JHAJJAR</v>
      </c>
      <c r="AH210" s="9" t="str">
        <f>IF(OR(J210="",AE210="",AE210="NOT FOUND"),"",IF(Y210="RP",IFERROR(LEFT(_xlfn.XLOOKUP(AE210,Sheet1!$F:$F,Sheet1!$W:$W),FIND("-",_xlfn.XLOOKUP(AE210,Sheet1!$F:$F,Sheet1!$W:$W),FIND("-",_xlfn.XLOOKUP(AE210,Sheet1!$F:$F,Sheet1!$W:$W))+1))&amp;AE210,"NOT FOUND"),LEFT(J210,FIND("-",J210,FIND("-",J210)+1))&amp;AE210))</f>
        <v>KRTS-APWN26-GETKRTSFUT6089</v>
      </c>
    </row>
    <row r="211" spans="1:34" ht="15.75" customHeight="1" x14ac:dyDescent="0.2">
      <c r="A211" s="4" t="s">
        <v>59</v>
      </c>
      <c r="B211" s="4" t="s">
        <v>325</v>
      </c>
      <c r="C211" s="4" t="s">
        <v>64</v>
      </c>
      <c r="D211" s="4" t="s">
        <v>218</v>
      </c>
      <c r="E211" s="4" t="s">
        <v>34</v>
      </c>
      <c r="F211" s="4" t="s">
        <v>35</v>
      </c>
      <c r="G211" s="4" t="s">
        <v>55</v>
      </c>
      <c r="H211" s="4" t="s">
        <v>290</v>
      </c>
      <c r="I211" s="4" t="s">
        <v>291</v>
      </c>
      <c r="J211" s="4" t="s">
        <v>292</v>
      </c>
      <c r="L211" s="4" t="s">
        <v>40</v>
      </c>
      <c r="M211" s="4">
        <v>1</v>
      </c>
      <c r="N211" s="4">
        <v>95</v>
      </c>
      <c r="O211" s="4">
        <v>95</v>
      </c>
      <c r="P211" s="4" t="s">
        <v>41</v>
      </c>
      <c r="Q211" s="4">
        <v>374.7</v>
      </c>
      <c r="R211" s="4">
        <v>374.7</v>
      </c>
      <c r="S211" s="4">
        <v>1779.83</v>
      </c>
      <c r="T211" s="4">
        <v>35596.5</v>
      </c>
      <c r="U211" s="4">
        <v>5</v>
      </c>
      <c r="V211" s="4" t="s">
        <v>42</v>
      </c>
      <c r="X211" s="7" t="str">
        <f t="shared" si="0"/>
        <v>441811097</v>
      </c>
      <c r="Y211" s="8" t="str">
        <f t="shared" si="1"/>
        <v>DC</v>
      </c>
      <c r="Z211" s="8">
        <f t="shared" si="2"/>
        <v>0</v>
      </c>
      <c r="AA211" s="8">
        <f t="shared" si="3"/>
        <v>0</v>
      </c>
      <c r="AB211" s="8">
        <f t="shared" si="4"/>
        <v>0</v>
      </c>
      <c r="AC211" s="8">
        <f t="shared" si="5"/>
        <v>95</v>
      </c>
      <c r="AD211" s="8">
        <f t="shared" si="6"/>
        <v>0</v>
      </c>
      <c r="AE211" s="9" t="str" cm="1">
        <f t="array" ref="AE211">IFERROR(_xlfn.XLOOKUP(H211,Sheet1!$G:$G,Sheet1!$F:$F),IFERROR(_xlfn.XLOOKUP(1,(--($X$2:$X$1074=X211))*(--ISNUMBER(MATCH($H$2:$H$1074,Sheet1!$G:$G,0))),_xlfn.XLOOKUP($H$2:$H$1074,Sheet1!$G:$G,Sheet1!$F:$F,"")),"NOT FOUND"))</f>
        <v>GETKRTSFUT6089</v>
      </c>
      <c r="AF211" s="10" t="str">
        <f t="shared" si="13"/>
        <v>PINK</v>
      </c>
      <c r="AG211" s="11" t="str">
        <f t="shared" si="14"/>
        <v>JHAJJAR</v>
      </c>
      <c r="AH211" s="9" t="str">
        <f>IF(OR(J211="",AE211="",AE211="NOT FOUND"),"",IF(Y211="RP",IFERROR(LEFT(_xlfn.XLOOKUP(AE211,Sheet1!$F:$F,Sheet1!$W:$W),FIND("-",_xlfn.XLOOKUP(AE211,Sheet1!$F:$F,Sheet1!$W:$W),FIND("-",_xlfn.XLOOKUP(AE211,Sheet1!$F:$F,Sheet1!$W:$W))+1))&amp;AE211,"NOT FOUND"),LEFT(J211,FIND("-",J211,FIND("-",J211)+1))&amp;AE211))</f>
        <v>KRTS-APWN26-GETKRTSFUT6089</v>
      </c>
    </row>
    <row r="212" spans="1:34" ht="15.75" customHeight="1" x14ac:dyDescent="0.2">
      <c r="A212" s="4" t="s">
        <v>30</v>
      </c>
      <c r="B212" s="4" t="s">
        <v>326</v>
      </c>
      <c r="C212" s="4" t="s">
        <v>64</v>
      </c>
      <c r="D212" s="4" t="s">
        <v>327</v>
      </c>
      <c r="E212" s="4" t="s">
        <v>34</v>
      </c>
      <c r="F212" s="4" t="s">
        <v>35</v>
      </c>
      <c r="G212" s="4" t="s">
        <v>36</v>
      </c>
      <c r="H212" s="4" t="s">
        <v>328</v>
      </c>
      <c r="I212" s="4" t="s">
        <v>329</v>
      </c>
      <c r="J212" s="4" t="s">
        <v>330</v>
      </c>
      <c r="L212" s="4" t="s">
        <v>40</v>
      </c>
      <c r="M212" s="4">
        <v>1</v>
      </c>
      <c r="N212" s="4">
        <v>30</v>
      </c>
      <c r="O212" s="4">
        <v>30</v>
      </c>
      <c r="P212" s="4" t="s">
        <v>41</v>
      </c>
      <c r="Q212" s="4">
        <v>374.7</v>
      </c>
      <c r="R212" s="4">
        <v>374.7</v>
      </c>
      <c r="S212" s="4">
        <v>562.04999999999995</v>
      </c>
      <c r="T212" s="4">
        <v>11241</v>
      </c>
      <c r="U212" s="4">
        <v>5</v>
      </c>
      <c r="V212" s="4" t="s">
        <v>42</v>
      </c>
      <c r="X212" s="7" t="str">
        <f t="shared" si="0"/>
        <v>441811094</v>
      </c>
      <c r="Y212" s="8" t="str">
        <f t="shared" si="1"/>
        <v>DC</v>
      </c>
      <c r="Z212" s="8">
        <f t="shared" si="2"/>
        <v>0</v>
      </c>
      <c r="AA212" s="8">
        <f t="shared" si="3"/>
        <v>0</v>
      </c>
      <c r="AB212" s="8">
        <f t="shared" si="4"/>
        <v>0</v>
      </c>
      <c r="AC212" s="8">
        <f t="shared" si="5"/>
        <v>0</v>
      </c>
      <c r="AD212" s="8">
        <f t="shared" si="6"/>
        <v>30</v>
      </c>
      <c r="AE212" s="9" t="str" cm="1">
        <f t="array" ref="AE212">IFERROR(_xlfn.XLOOKUP(H212,Sheet1!$G:$G,Sheet1!$F:$F),IFERROR(_xlfn.XLOOKUP(1,(--($X$2:$X$1074=X212))*(--ISNUMBER(MATCH($H$2:$H$1074,Sheet1!$G:$G,0))),_xlfn.XLOOKUP($H$2:$H$1074,Sheet1!$G:$G,Sheet1!$F:$F,"")),"NOT FOUND"))</f>
        <v>GETKRTSFUT6002</v>
      </c>
      <c r="AF212" s="10" t="str">
        <f t="shared" si="13"/>
        <v>MUSTARD</v>
      </c>
      <c r="AG212" s="11" t="str">
        <f t="shared" si="14"/>
        <v>Bangalore</v>
      </c>
      <c r="AH212" s="9" t="str">
        <f>IF(OR(J212="",AE212="",AE212="NOT FOUND"),"",IF(Y212="RP",IFERROR(LEFT(_xlfn.XLOOKUP(AE212,Sheet1!$F:$F,Sheet1!$W:$W),FIND("-",_xlfn.XLOOKUP(AE212,Sheet1!$F:$F,Sheet1!$W:$W),FIND("-",_xlfn.XLOOKUP(AE212,Sheet1!$F:$F,Sheet1!$W:$W))+1))&amp;AE212,"NOT FOUND"),LEFT(J212,FIND("-",J212,FIND("-",J212)+1))&amp;AE212))</f>
        <v>KRTS-APWN26-GETKRTSFUT6002</v>
      </c>
    </row>
    <row r="213" spans="1:34" ht="15.75" customHeight="1" x14ac:dyDescent="0.2">
      <c r="A213" s="4" t="s">
        <v>30</v>
      </c>
      <c r="B213" s="4" t="s">
        <v>326</v>
      </c>
      <c r="C213" s="4" t="s">
        <v>64</v>
      </c>
      <c r="D213" s="4" t="s">
        <v>327</v>
      </c>
      <c r="E213" s="4" t="s">
        <v>34</v>
      </c>
      <c r="F213" s="4" t="s">
        <v>35</v>
      </c>
      <c r="G213" s="4" t="s">
        <v>43</v>
      </c>
      <c r="H213" s="4" t="s">
        <v>331</v>
      </c>
      <c r="I213" s="4" t="s">
        <v>332</v>
      </c>
      <c r="J213" s="4" t="s">
        <v>333</v>
      </c>
      <c r="L213" s="4" t="s">
        <v>40</v>
      </c>
      <c r="M213" s="4">
        <v>1</v>
      </c>
      <c r="N213" s="4">
        <v>197</v>
      </c>
      <c r="O213" s="4">
        <v>197</v>
      </c>
      <c r="P213" s="4" t="s">
        <v>41</v>
      </c>
      <c r="Q213" s="4">
        <v>374.7</v>
      </c>
      <c r="R213" s="4">
        <v>374.7</v>
      </c>
      <c r="S213" s="4">
        <v>3690.8</v>
      </c>
      <c r="T213" s="4">
        <v>73815.899999999994</v>
      </c>
      <c r="U213" s="4">
        <v>5</v>
      </c>
      <c r="V213" s="4" t="s">
        <v>42</v>
      </c>
      <c r="X213" s="7" t="str">
        <f t="shared" si="0"/>
        <v>441811094</v>
      </c>
      <c r="Y213" s="8" t="str">
        <f t="shared" si="1"/>
        <v>DC</v>
      </c>
      <c r="Z213" s="8">
        <f t="shared" si="2"/>
        <v>0</v>
      </c>
      <c r="AA213" s="8">
        <f t="shared" si="3"/>
        <v>0</v>
      </c>
      <c r="AB213" s="8">
        <f t="shared" si="4"/>
        <v>197</v>
      </c>
      <c r="AC213" s="8">
        <f t="shared" si="5"/>
        <v>0</v>
      </c>
      <c r="AD213" s="8">
        <f t="shared" si="6"/>
        <v>0</v>
      </c>
      <c r="AE213" s="9" t="str" cm="1">
        <f t="array" ref="AE213">IFERROR(_xlfn.XLOOKUP(H213,Sheet1!$G:$G,Sheet1!$F:$F),IFERROR(_xlfn.XLOOKUP(1,(--($X$2:$X$1074=X213))*(--ISNUMBER(MATCH($H$2:$H$1074,Sheet1!$G:$G,0))),_xlfn.XLOOKUP($H$2:$H$1074,Sheet1!$G:$G,Sheet1!$F:$F,"")),"NOT FOUND"))</f>
        <v>GETKRTSFUT6002</v>
      </c>
      <c r="AF213" s="10" t="str">
        <f t="shared" si="13"/>
        <v>MUSTARD</v>
      </c>
      <c r="AG213" s="11" t="str">
        <f t="shared" si="14"/>
        <v>Bangalore</v>
      </c>
      <c r="AH213" s="9" t="str">
        <f>IF(OR(J213="",AE213="",AE213="NOT FOUND"),"",IF(Y213="RP",IFERROR(LEFT(_xlfn.XLOOKUP(AE213,Sheet1!$F:$F,Sheet1!$W:$W),FIND("-",_xlfn.XLOOKUP(AE213,Sheet1!$F:$F,Sheet1!$W:$W),FIND("-",_xlfn.XLOOKUP(AE213,Sheet1!$F:$F,Sheet1!$W:$W))+1))&amp;AE213,"NOT FOUND"),LEFT(J213,FIND("-",J213,FIND("-",J213)+1))&amp;AE213))</f>
        <v>KRTS-APWN26-GETKRTSFUT6002</v>
      </c>
    </row>
    <row r="214" spans="1:34" ht="15.75" customHeight="1" x14ac:dyDescent="0.2">
      <c r="A214" s="4" t="s">
        <v>30</v>
      </c>
      <c r="B214" s="4" t="s">
        <v>326</v>
      </c>
      <c r="C214" s="4" t="s">
        <v>64</v>
      </c>
      <c r="D214" s="4" t="s">
        <v>327</v>
      </c>
      <c r="E214" s="4" t="s">
        <v>34</v>
      </c>
      <c r="F214" s="4" t="s">
        <v>35</v>
      </c>
      <c r="G214" s="4" t="s">
        <v>47</v>
      </c>
      <c r="H214" s="4" t="s">
        <v>334</v>
      </c>
      <c r="I214" s="4" t="s">
        <v>335</v>
      </c>
      <c r="J214" s="4" t="s">
        <v>336</v>
      </c>
      <c r="L214" s="4" t="s">
        <v>40</v>
      </c>
      <c r="M214" s="4">
        <v>1</v>
      </c>
      <c r="N214" s="4">
        <v>197</v>
      </c>
      <c r="O214" s="4">
        <v>197</v>
      </c>
      <c r="P214" s="4" t="s">
        <v>41</v>
      </c>
      <c r="Q214" s="4">
        <v>374.7</v>
      </c>
      <c r="R214" s="4">
        <v>374.7</v>
      </c>
      <c r="S214" s="4">
        <v>3690.8</v>
      </c>
      <c r="T214" s="4">
        <v>73815.899999999994</v>
      </c>
      <c r="U214" s="4">
        <v>5</v>
      </c>
      <c r="V214" s="4" t="s">
        <v>42</v>
      </c>
      <c r="X214" s="7" t="str">
        <f t="shared" si="0"/>
        <v>441811094</v>
      </c>
      <c r="Y214" s="8" t="str">
        <f t="shared" si="1"/>
        <v>DC</v>
      </c>
      <c r="Z214" s="8">
        <f t="shared" si="2"/>
        <v>0</v>
      </c>
      <c r="AA214" s="8">
        <f t="shared" si="3"/>
        <v>197</v>
      </c>
      <c r="AB214" s="8">
        <f t="shared" si="4"/>
        <v>0</v>
      </c>
      <c r="AC214" s="8">
        <f t="shared" si="5"/>
        <v>0</v>
      </c>
      <c r="AD214" s="8">
        <f t="shared" si="6"/>
        <v>0</v>
      </c>
      <c r="AE214" s="9" t="str" cm="1">
        <f t="array" ref="AE214">IFERROR(_xlfn.XLOOKUP(H214,Sheet1!$G:$G,Sheet1!$F:$F),IFERROR(_xlfn.XLOOKUP(1,(--($X$2:$X$1074=X214))*(--ISNUMBER(MATCH($H$2:$H$1074,Sheet1!$G:$G,0))),_xlfn.XLOOKUP($H$2:$H$1074,Sheet1!$G:$G,Sheet1!$F:$F,"")),"NOT FOUND"))</f>
        <v>GETKRTSFUT6002</v>
      </c>
      <c r="AF214" s="10" t="str">
        <f t="shared" si="13"/>
        <v>MUSTARD</v>
      </c>
      <c r="AG214" s="11" t="str">
        <f t="shared" si="14"/>
        <v>Bangalore</v>
      </c>
      <c r="AH214" s="9" t="str">
        <f>IF(OR(J214="",AE214="",AE214="NOT FOUND"),"",IF(Y214="RP",IFERROR(LEFT(_xlfn.XLOOKUP(AE214,Sheet1!$F:$F,Sheet1!$W:$W),FIND("-",_xlfn.XLOOKUP(AE214,Sheet1!$F:$F,Sheet1!$W:$W),FIND("-",_xlfn.XLOOKUP(AE214,Sheet1!$F:$F,Sheet1!$W:$W))+1))&amp;AE214,"NOT FOUND"),LEFT(J214,FIND("-",J214,FIND("-",J214)+1))&amp;AE214))</f>
        <v>KRTS-APWN26-GETKRTSFUT6002</v>
      </c>
    </row>
    <row r="215" spans="1:34" ht="15.75" customHeight="1" x14ac:dyDescent="0.2">
      <c r="A215" s="4" t="s">
        <v>30</v>
      </c>
      <c r="B215" s="4" t="s">
        <v>326</v>
      </c>
      <c r="C215" s="4" t="s">
        <v>64</v>
      </c>
      <c r="D215" s="4" t="s">
        <v>327</v>
      </c>
      <c r="E215" s="4" t="s">
        <v>34</v>
      </c>
      <c r="F215" s="4" t="s">
        <v>35</v>
      </c>
      <c r="G215" s="4" t="s">
        <v>51</v>
      </c>
      <c r="H215" s="4" t="s">
        <v>337</v>
      </c>
      <c r="I215" s="4" t="s">
        <v>338</v>
      </c>
      <c r="J215" s="4" t="s">
        <v>339</v>
      </c>
      <c r="L215" s="4" t="s">
        <v>40</v>
      </c>
      <c r="M215" s="4">
        <v>1</v>
      </c>
      <c r="N215" s="4">
        <v>30</v>
      </c>
      <c r="O215" s="4">
        <v>30</v>
      </c>
      <c r="P215" s="4" t="s">
        <v>41</v>
      </c>
      <c r="Q215" s="4">
        <v>374.7</v>
      </c>
      <c r="R215" s="4">
        <v>374.7</v>
      </c>
      <c r="S215" s="4">
        <v>562.04999999999995</v>
      </c>
      <c r="T215" s="4">
        <v>11241</v>
      </c>
      <c r="U215" s="4">
        <v>5</v>
      </c>
      <c r="V215" s="4" t="s">
        <v>42</v>
      </c>
      <c r="X215" s="7" t="str">
        <f t="shared" si="0"/>
        <v>441811094</v>
      </c>
      <c r="Y215" s="8" t="str">
        <f t="shared" si="1"/>
        <v>DC</v>
      </c>
      <c r="Z215" s="8">
        <f t="shared" si="2"/>
        <v>30</v>
      </c>
      <c r="AA215" s="8">
        <f t="shared" si="3"/>
        <v>0</v>
      </c>
      <c r="AB215" s="8">
        <f t="shared" si="4"/>
        <v>0</v>
      </c>
      <c r="AC215" s="8">
        <f t="shared" si="5"/>
        <v>0</v>
      </c>
      <c r="AD215" s="8">
        <f t="shared" si="6"/>
        <v>0</v>
      </c>
      <c r="AE215" s="9" t="str" cm="1">
        <f t="array" ref="AE215">IFERROR(_xlfn.XLOOKUP(H215,Sheet1!$G:$G,Sheet1!$F:$F),IFERROR(_xlfn.XLOOKUP(1,(--($X$2:$X$1074=X215))*(--ISNUMBER(MATCH($H$2:$H$1074,Sheet1!$G:$G,0))),_xlfn.XLOOKUP($H$2:$H$1074,Sheet1!$G:$G,Sheet1!$F:$F,"")),"NOT FOUND"))</f>
        <v>GETKRTSFUT6002</v>
      </c>
      <c r="AF215" s="10" t="str">
        <f t="shared" si="13"/>
        <v>MUSTARD</v>
      </c>
      <c r="AG215" s="11" t="str">
        <f t="shared" si="14"/>
        <v>Bangalore</v>
      </c>
      <c r="AH215" s="9" t="str">
        <f>IF(OR(J215="",AE215="",AE215="NOT FOUND"),"",IF(Y215="RP",IFERROR(LEFT(_xlfn.XLOOKUP(AE215,Sheet1!$F:$F,Sheet1!$W:$W),FIND("-",_xlfn.XLOOKUP(AE215,Sheet1!$F:$F,Sheet1!$W:$W),FIND("-",_xlfn.XLOOKUP(AE215,Sheet1!$F:$F,Sheet1!$W:$W))+1))&amp;AE215,"NOT FOUND"),LEFT(J215,FIND("-",J215,FIND("-",J215)+1))&amp;AE215))</f>
        <v>KRTS-APWN26-GETKRTSFUT6002</v>
      </c>
    </row>
    <row r="216" spans="1:34" ht="15.75" customHeight="1" x14ac:dyDescent="0.2">
      <c r="A216" s="4" t="s">
        <v>30</v>
      </c>
      <c r="B216" s="4" t="s">
        <v>326</v>
      </c>
      <c r="C216" s="4" t="s">
        <v>64</v>
      </c>
      <c r="D216" s="4" t="s">
        <v>327</v>
      </c>
      <c r="E216" s="4" t="s">
        <v>34</v>
      </c>
      <c r="F216" s="4" t="s">
        <v>35</v>
      </c>
      <c r="G216" s="4" t="s">
        <v>55</v>
      </c>
      <c r="H216" s="4" t="s">
        <v>340</v>
      </c>
      <c r="I216" s="4" t="s">
        <v>341</v>
      </c>
      <c r="J216" s="4" t="s">
        <v>342</v>
      </c>
      <c r="L216" s="4" t="s">
        <v>40</v>
      </c>
      <c r="M216" s="4">
        <v>1</v>
      </c>
      <c r="N216" s="4">
        <v>166</v>
      </c>
      <c r="O216" s="4">
        <v>166</v>
      </c>
      <c r="P216" s="4" t="s">
        <v>41</v>
      </c>
      <c r="Q216" s="4">
        <v>374.7</v>
      </c>
      <c r="R216" s="4">
        <v>374.7</v>
      </c>
      <c r="S216" s="4">
        <v>3110.01</v>
      </c>
      <c r="T216" s="4">
        <v>62200.2</v>
      </c>
      <c r="U216" s="4">
        <v>5</v>
      </c>
      <c r="V216" s="4" t="s">
        <v>42</v>
      </c>
      <c r="X216" s="7" t="str">
        <f t="shared" si="0"/>
        <v>441811094</v>
      </c>
      <c r="Y216" s="8" t="str">
        <f t="shared" si="1"/>
        <v>DC</v>
      </c>
      <c r="Z216" s="8">
        <f t="shared" si="2"/>
        <v>0</v>
      </c>
      <c r="AA216" s="8">
        <f t="shared" si="3"/>
        <v>0</v>
      </c>
      <c r="AB216" s="8">
        <f t="shared" si="4"/>
        <v>0</v>
      </c>
      <c r="AC216" s="8">
        <f t="shared" si="5"/>
        <v>166</v>
      </c>
      <c r="AD216" s="8">
        <f t="shared" si="6"/>
        <v>0</v>
      </c>
      <c r="AE216" s="9" t="str" cm="1">
        <f t="array" ref="AE216">IFERROR(_xlfn.XLOOKUP(H216,Sheet1!$G:$G,Sheet1!$F:$F),IFERROR(_xlfn.XLOOKUP(1,(--($X$2:$X$1074=X216))*(--ISNUMBER(MATCH($H$2:$H$1074,Sheet1!$G:$G,0))),_xlfn.XLOOKUP($H$2:$H$1074,Sheet1!$G:$G,Sheet1!$F:$F,"")),"NOT FOUND"))</f>
        <v>GETKRTSFUT6002</v>
      </c>
      <c r="AF216" s="10" t="str">
        <f t="shared" si="13"/>
        <v>MUSTARD</v>
      </c>
      <c r="AG216" s="11" t="str">
        <f t="shared" si="14"/>
        <v>Bangalore</v>
      </c>
      <c r="AH216" s="9" t="str">
        <f>IF(OR(J216="",AE216="",AE216="NOT FOUND"),"",IF(Y216="RP",IFERROR(LEFT(_xlfn.XLOOKUP(AE216,Sheet1!$F:$F,Sheet1!$W:$W),FIND("-",_xlfn.XLOOKUP(AE216,Sheet1!$F:$F,Sheet1!$W:$W),FIND("-",_xlfn.XLOOKUP(AE216,Sheet1!$F:$F,Sheet1!$W:$W))+1))&amp;AE216,"NOT FOUND"),LEFT(J216,FIND("-",J216,FIND("-",J216)+1))&amp;AE216))</f>
        <v>KRTS-APWN26-GETKRTSFUT6002</v>
      </c>
    </row>
    <row r="217" spans="1:34" ht="15.75" customHeight="1" x14ac:dyDescent="0.2">
      <c r="A217" s="4" t="s">
        <v>30</v>
      </c>
      <c r="B217" s="4" t="s">
        <v>343</v>
      </c>
      <c r="C217" s="4" t="s">
        <v>64</v>
      </c>
      <c r="D217" s="4" t="s">
        <v>327</v>
      </c>
      <c r="E217" s="4" t="s">
        <v>34</v>
      </c>
      <c r="F217" s="4" t="s">
        <v>35</v>
      </c>
      <c r="G217" s="4" t="s">
        <v>36</v>
      </c>
      <c r="H217" s="4" t="s">
        <v>344</v>
      </c>
      <c r="I217" s="4" t="s">
        <v>345</v>
      </c>
      <c r="J217" s="4" t="s">
        <v>346</v>
      </c>
      <c r="L217" s="4" t="s">
        <v>40</v>
      </c>
      <c r="M217" s="4">
        <v>1</v>
      </c>
      <c r="N217" s="4">
        <v>30</v>
      </c>
      <c r="O217" s="4">
        <v>30</v>
      </c>
      <c r="P217" s="4" t="s">
        <v>41</v>
      </c>
      <c r="Q217" s="4">
        <v>374.7</v>
      </c>
      <c r="R217" s="4">
        <v>374.7</v>
      </c>
      <c r="S217" s="4">
        <v>562.04999999999995</v>
      </c>
      <c r="T217" s="4">
        <v>11241</v>
      </c>
      <c r="U217" s="4">
        <v>5</v>
      </c>
      <c r="V217" s="4" t="s">
        <v>42</v>
      </c>
      <c r="X217" s="7" t="str">
        <f t="shared" si="0"/>
        <v>441811094</v>
      </c>
      <c r="Y217" s="8" t="str">
        <f t="shared" si="1"/>
        <v>DC</v>
      </c>
      <c r="Z217" s="8">
        <f t="shared" si="2"/>
        <v>0</v>
      </c>
      <c r="AA217" s="8">
        <f t="shared" si="3"/>
        <v>0</v>
      </c>
      <c r="AB217" s="8">
        <f t="shared" si="4"/>
        <v>0</v>
      </c>
      <c r="AC217" s="8">
        <f t="shared" si="5"/>
        <v>0</v>
      </c>
      <c r="AD217" s="8">
        <f t="shared" si="6"/>
        <v>30</v>
      </c>
      <c r="AE217" s="9" t="str" cm="1">
        <f t="array" ref="AE217">IFERROR(_xlfn.XLOOKUP(H217,Sheet1!$G:$G,Sheet1!$F:$F),IFERROR(_xlfn.XLOOKUP(1,(--($X$2:$X$1074=X217))*(--ISNUMBER(MATCH($H$2:$H$1074,Sheet1!$G:$G,0))),_xlfn.XLOOKUP($H$2:$H$1074,Sheet1!$G:$G,Sheet1!$F:$F,"")),"NOT FOUND"))</f>
        <v>GETKRTSFUT6002</v>
      </c>
      <c r="AF217" s="10" t="str">
        <f t="shared" si="13"/>
        <v>MAROON</v>
      </c>
      <c r="AG217" s="11" t="str">
        <f t="shared" si="14"/>
        <v>Bangalore</v>
      </c>
      <c r="AH217" s="9" t="str">
        <f>IF(OR(J217="",AE217="",AE217="NOT FOUND"),"",IF(Y217="RP",IFERROR(LEFT(_xlfn.XLOOKUP(AE217,Sheet1!$F:$F,Sheet1!$W:$W),FIND("-",_xlfn.XLOOKUP(AE217,Sheet1!$F:$F,Sheet1!$W:$W),FIND("-",_xlfn.XLOOKUP(AE217,Sheet1!$F:$F,Sheet1!$W:$W))+1))&amp;AE217,"NOT FOUND"),LEFT(J217,FIND("-",J217,FIND("-",J217)+1))&amp;AE217))</f>
        <v>KRTS-APWN26-GETKRTSFUT6002</v>
      </c>
    </row>
    <row r="218" spans="1:34" ht="15.75" customHeight="1" x14ac:dyDescent="0.2">
      <c r="A218" s="4" t="s">
        <v>30</v>
      </c>
      <c r="B218" s="4" t="s">
        <v>343</v>
      </c>
      <c r="C218" s="4" t="s">
        <v>64</v>
      </c>
      <c r="D218" s="4" t="s">
        <v>327</v>
      </c>
      <c r="E218" s="4" t="s">
        <v>34</v>
      </c>
      <c r="F218" s="4" t="s">
        <v>35</v>
      </c>
      <c r="G218" s="4" t="s">
        <v>43</v>
      </c>
      <c r="H218" s="4" t="s">
        <v>347</v>
      </c>
      <c r="I218" s="4" t="s">
        <v>348</v>
      </c>
      <c r="J218" s="4" t="s">
        <v>349</v>
      </c>
      <c r="L218" s="4" t="s">
        <v>40</v>
      </c>
      <c r="M218" s="4">
        <v>1</v>
      </c>
      <c r="N218" s="4">
        <v>197</v>
      </c>
      <c r="O218" s="4">
        <v>197</v>
      </c>
      <c r="P218" s="4" t="s">
        <v>41</v>
      </c>
      <c r="Q218" s="4">
        <v>374.7</v>
      </c>
      <c r="R218" s="4">
        <v>374.7</v>
      </c>
      <c r="S218" s="4">
        <v>3690.8</v>
      </c>
      <c r="T218" s="4">
        <v>73815.899999999994</v>
      </c>
      <c r="U218" s="4">
        <v>5</v>
      </c>
      <c r="V218" s="4" t="s">
        <v>42</v>
      </c>
      <c r="X218" s="7" t="str">
        <f t="shared" si="0"/>
        <v>441811094</v>
      </c>
      <c r="Y218" s="8" t="str">
        <f t="shared" si="1"/>
        <v>DC</v>
      </c>
      <c r="Z218" s="8">
        <f t="shared" si="2"/>
        <v>0</v>
      </c>
      <c r="AA218" s="8">
        <f t="shared" si="3"/>
        <v>0</v>
      </c>
      <c r="AB218" s="8">
        <f t="shared" si="4"/>
        <v>197</v>
      </c>
      <c r="AC218" s="8">
        <f t="shared" si="5"/>
        <v>0</v>
      </c>
      <c r="AD218" s="8">
        <f t="shared" si="6"/>
        <v>0</v>
      </c>
      <c r="AE218" s="9" t="str" cm="1">
        <f t="array" ref="AE218">IFERROR(_xlfn.XLOOKUP(H218,Sheet1!$G:$G,Sheet1!$F:$F),IFERROR(_xlfn.XLOOKUP(1,(--($X$2:$X$1074=X218))*(--ISNUMBER(MATCH($H$2:$H$1074,Sheet1!$G:$G,0))),_xlfn.XLOOKUP($H$2:$H$1074,Sheet1!$G:$G,Sheet1!$F:$F,"")),"NOT FOUND"))</f>
        <v>GETKRTSFUT6002</v>
      </c>
      <c r="AF218" s="10" t="str">
        <f t="shared" si="13"/>
        <v>MAROON</v>
      </c>
      <c r="AG218" s="11" t="str">
        <f t="shared" si="14"/>
        <v>Bangalore</v>
      </c>
      <c r="AH218" s="9" t="str">
        <f>IF(OR(J218="",AE218="",AE218="NOT FOUND"),"",IF(Y218="RP",IFERROR(LEFT(_xlfn.XLOOKUP(AE218,Sheet1!$F:$F,Sheet1!$W:$W),FIND("-",_xlfn.XLOOKUP(AE218,Sheet1!$F:$F,Sheet1!$W:$W),FIND("-",_xlfn.XLOOKUP(AE218,Sheet1!$F:$F,Sheet1!$W:$W))+1))&amp;AE218,"NOT FOUND"),LEFT(J218,FIND("-",J218,FIND("-",J218)+1))&amp;AE218))</f>
        <v>KRTS-APWN26-GETKRTSFUT6002</v>
      </c>
    </row>
    <row r="219" spans="1:34" ht="15.75" customHeight="1" x14ac:dyDescent="0.2">
      <c r="A219" s="4" t="s">
        <v>30</v>
      </c>
      <c r="B219" s="4" t="s">
        <v>343</v>
      </c>
      <c r="C219" s="4" t="s">
        <v>64</v>
      </c>
      <c r="D219" s="4" t="s">
        <v>327</v>
      </c>
      <c r="E219" s="4" t="s">
        <v>34</v>
      </c>
      <c r="F219" s="4" t="s">
        <v>35</v>
      </c>
      <c r="G219" s="4" t="s">
        <v>47</v>
      </c>
      <c r="H219" s="4" t="s">
        <v>350</v>
      </c>
      <c r="I219" s="4" t="s">
        <v>351</v>
      </c>
      <c r="J219" s="4" t="s">
        <v>352</v>
      </c>
      <c r="L219" s="4" t="s">
        <v>40</v>
      </c>
      <c r="M219" s="4">
        <v>1</v>
      </c>
      <c r="N219" s="4">
        <v>197</v>
      </c>
      <c r="O219" s="4">
        <v>197</v>
      </c>
      <c r="P219" s="4" t="s">
        <v>41</v>
      </c>
      <c r="Q219" s="4">
        <v>374.7</v>
      </c>
      <c r="R219" s="4">
        <v>374.7</v>
      </c>
      <c r="S219" s="4">
        <v>3690.8</v>
      </c>
      <c r="T219" s="4">
        <v>73815.899999999994</v>
      </c>
      <c r="U219" s="4">
        <v>5</v>
      </c>
      <c r="V219" s="4" t="s">
        <v>42</v>
      </c>
      <c r="X219" s="7" t="str">
        <f t="shared" si="0"/>
        <v>441811094</v>
      </c>
      <c r="Y219" s="8" t="str">
        <f t="shared" si="1"/>
        <v>DC</v>
      </c>
      <c r="Z219" s="8">
        <f t="shared" si="2"/>
        <v>0</v>
      </c>
      <c r="AA219" s="8">
        <f t="shared" si="3"/>
        <v>197</v>
      </c>
      <c r="AB219" s="8">
        <f t="shared" si="4"/>
        <v>0</v>
      </c>
      <c r="AC219" s="8">
        <f t="shared" si="5"/>
        <v>0</v>
      </c>
      <c r="AD219" s="8">
        <f t="shared" si="6"/>
        <v>0</v>
      </c>
      <c r="AE219" s="9" t="str" cm="1">
        <f t="array" ref="AE219">IFERROR(_xlfn.XLOOKUP(H219,Sheet1!$G:$G,Sheet1!$F:$F),IFERROR(_xlfn.XLOOKUP(1,(--($X$2:$X$1074=X219))*(--ISNUMBER(MATCH($H$2:$H$1074,Sheet1!$G:$G,0))),_xlfn.XLOOKUP($H$2:$H$1074,Sheet1!$G:$G,Sheet1!$F:$F,"")),"NOT FOUND"))</f>
        <v>GETKRTSFUT6002</v>
      </c>
      <c r="AF219" s="10" t="str">
        <f t="shared" si="13"/>
        <v>MAROON</v>
      </c>
      <c r="AG219" s="11" t="str">
        <f t="shared" si="14"/>
        <v>Bangalore</v>
      </c>
      <c r="AH219" s="9" t="str">
        <f>IF(OR(J219="",AE219="",AE219="NOT FOUND"),"",IF(Y219="RP",IFERROR(LEFT(_xlfn.XLOOKUP(AE219,Sheet1!$F:$F,Sheet1!$W:$W),FIND("-",_xlfn.XLOOKUP(AE219,Sheet1!$F:$F,Sheet1!$W:$W),FIND("-",_xlfn.XLOOKUP(AE219,Sheet1!$F:$F,Sheet1!$W:$W))+1))&amp;AE219,"NOT FOUND"),LEFT(J219,FIND("-",J219,FIND("-",J219)+1))&amp;AE219))</f>
        <v>KRTS-APWN26-GETKRTSFUT6002</v>
      </c>
    </row>
    <row r="220" spans="1:34" ht="15.75" customHeight="1" x14ac:dyDescent="0.2">
      <c r="A220" s="4" t="s">
        <v>30</v>
      </c>
      <c r="B220" s="4" t="s">
        <v>343</v>
      </c>
      <c r="C220" s="4" t="s">
        <v>64</v>
      </c>
      <c r="D220" s="4" t="s">
        <v>327</v>
      </c>
      <c r="E220" s="4" t="s">
        <v>34</v>
      </c>
      <c r="F220" s="4" t="s">
        <v>35</v>
      </c>
      <c r="G220" s="4" t="s">
        <v>51</v>
      </c>
      <c r="H220" s="4" t="s">
        <v>353</v>
      </c>
      <c r="I220" s="4" t="s">
        <v>354</v>
      </c>
      <c r="J220" s="4" t="s">
        <v>355</v>
      </c>
      <c r="L220" s="4" t="s">
        <v>40</v>
      </c>
      <c r="M220" s="4">
        <v>1</v>
      </c>
      <c r="N220" s="4">
        <v>30</v>
      </c>
      <c r="O220" s="4">
        <v>30</v>
      </c>
      <c r="P220" s="4" t="s">
        <v>41</v>
      </c>
      <c r="Q220" s="4">
        <v>374.7</v>
      </c>
      <c r="R220" s="4">
        <v>374.7</v>
      </c>
      <c r="S220" s="4">
        <v>562.04999999999995</v>
      </c>
      <c r="T220" s="4">
        <v>11241</v>
      </c>
      <c r="U220" s="4">
        <v>5</v>
      </c>
      <c r="V220" s="4" t="s">
        <v>42</v>
      </c>
      <c r="X220" s="7" t="str">
        <f t="shared" si="0"/>
        <v>441811094</v>
      </c>
      <c r="Y220" s="8" t="str">
        <f t="shared" si="1"/>
        <v>DC</v>
      </c>
      <c r="Z220" s="8">
        <f t="shared" si="2"/>
        <v>30</v>
      </c>
      <c r="AA220" s="8">
        <f t="shared" si="3"/>
        <v>0</v>
      </c>
      <c r="AB220" s="8">
        <f t="shared" si="4"/>
        <v>0</v>
      </c>
      <c r="AC220" s="8">
        <f t="shared" si="5"/>
        <v>0</v>
      </c>
      <c r="AD220" s="8">
        <f t="shared" si="6"/>
        <v>0</v>
      </c>
      <c r="AE220" s="9" t="str" cm="1">
        <f t="array" ref="AE220">IFERROR(_xlfn.XLOOKUP(H220,Sheet1!$G:$G,Sheet1!$F:$F),IFERROR(_xlfn.XLOOKUP(1,(--($X$2:$X$1074=X220))*(--ISNUMBER(MATCH($H$2:$H$1074,Sheet1!$G:$G,0))),_xlfn.XLOOKUP($H$2:$H$1074,Sheet1!$G:$G,Sheet1!$F:$F,"")),"NOT FOUND"))</f>
        <v>GETKRTSFUT6002</v>
      </c>
      <c r="AF220" s="10" t="str">
        <f t="shared" si="13"/>
        <v>MAROON</v>
      </c>
      <c r="AG220" s="11" t="str">
        <f t="shared" si="14"/>
        <v>Bangalore</v>
      </c>
      <c r="AH220" s="9" t="str">
        <f>IF(OR(J220="",AE220="",AE220="NOT FOUND"),"",IF(Y220="RP",IFERROR(LEFT(_xlfn.XLOOKUP(AE220,Sheet1!$F:$F,Sheet1!$W:$W),FIND("-",_xlfn.XLOOKUP(AE220,Sheet1!$F:$F,Sheet1!$W:$W),FIND("-",_xlfn.XLOOKUP(AE220,Sheet1!$F:$F,Sheet1!$W:$W))+1))&amp;AE220,"NOT FOUND"),LEFT(J220,FIND("-",J220,FIND("-",J220)+1))&amp;AE220))</f>
        <v>KRTS-APWN26-GETKRTSFUT6002</v>
      </c>
    </row>
    <row r="221" spans="1:34" ht="15.75" customHeight="1" x14ac:dyDescent="0.2">
      <c r="A221" s="4" t="s">
        <v>30</v>
      </c>
      <c r="B221" s="4" t="s">
        <v>343</v>
      </c>
      <c r="C221" s="4" t="s">
        <v>64</v>
      </c>
      <c r="D221" s="4" t="s">
        <v>327</v>
      </c>
      <c r="E221" s="4" t="s">
        <v>34</v>
      </c>
      <c r="F221" s="4" t="s">
        <v>35</v>
      </c>
      <c r="G221" s="4" t="s">
        <v>55</v>
      </c>
      <c r="H221" s="4" t="s">
        <v>356</v>
      </c>
      <c r="I221" s="4" t="s">
        <v>357</v>
      </c>
      <c r="J221" s="4" t="s">
        <v>358</v>
      </c>
      <c r="L221" s="4" t="s">
        <v>40</v>
      </c>
      <c r="M221" s="4">
        <v>1</v>
      </c>
      <c r="N221" s="4">
        <v>166</v>
      </c>
      <c r="O221" s="4">
        <v>166</v>
      </c>
      <c r="P221" s="4" t="s">
        <v>41</v>
      </c>
      <c r="Q221" s="4">
        <v>374.7</v>
      </c>
      <c r="R221" s="4">
        <v>374.7</v>
      </c>
      <c r="S221" s="4">
        <v>3110.01</v>
      </c>
      <c r="T221" s="4">
        <v>62200.2</v>
      </c>
      <c r="U221" s="4">
        <v>5</v>
      </c>
      <c r="V221" s="4" t="s">
        <v>42</v>
      </c>
      <c r="X221" s="7" t="str">
        <f t="shared" si="0"/>
        <v>441811094</v>
      </c>
      <c r="Y221" s="8" t="str">
        <f t="shared" si="1"/>
        <v>DC</v>
      </c>
      <c r="Z221" s="8">
        <f t="shared" si="2"/>
        <v>0</v>
      </c>
      <c r="AA221" s="8">
        <f t="shared" si="3"/>
        <v>0</v>
      </c>
      <c r="AB221" s="8">
        <f t="shared" si="4"/>
        <v>0</v>
      </c>
      <c r="AC221" s="8">
        <f t="shared" si="5"/>
        <v>166</v>
      </c>
      <c r="AD221" s="8">
        <f t="shared" si="6"/>
        <v>0</v>
      </c>
      <c r="AE221" s="9" t="str" cm="1">
        <f t="array" ref="AE221">IFERROR(_xlfn.XLOOKUP(H221,Sheet1!$G:$G,Sheet1!$F:$F),IFERROR(_xlfn.XLOOKUP(1,(--($X$2:$X$1074=X221))*(--ISNUMBER(MATCH($H$2:$H$1074,Sheet1!$G:$G,0))),_xlfn.XLOOKUP($H$2:$H$1074,Sheet1!$G:$G,Sheet1!$F:$F,"")),"NOT FOUND"))</f>
        <v>GETKRTSFUT6002</v>
      </c>
      <c r="AF221" s="10" t="str">
        <f t="shared" si="13"/>
        <v>MAROON</v>
      </c>
      <c r="AG221" s="11" t="str">
        <f t="shared" si="14"/>
        <v>Bangalore</v>
      </c>
      <c r="AH221" s="9" t="str">
        <f>IF(OR(J221="",AE221="",AE221="NOT FOUND"),"",IF(Y221="RP",IFERROR(LEFT(_xlfn.XLOOKUP(AE221,Sheet1!$F:$F,Sheet1!$W:$W),FIND("-",_xlfn.XLOOKUP(AE221,Sheet1!$F:$F,Sheet1!$W:$W),FIND("-",_xlfn.XLOOKUP(AE221,Sheet1!$F:$F,Sheet1!$W:$W))+1))&amp;AE221,"NOT FOUND"),LEFT(J221,FIND("-",J221,FIND("-",J221)+1))&amp;AE221))</f>
        <v>KRTS-APWN26-GETKRTSFUT6002</v>
      </c>
    </row>
    <row r="222" spans="1:34" ht="15.75" customHeight="1" x14ac:dyDescent="0.2">
      <c r="A222" s="4" t="s">
        <v>59</v>
      </c>
      <c r="B222" s="4" t="s">
        <v>359</v>
      </c>
      <c r="C222" s="4" t="s">
        <v>64</v>
      </c>
      <c r="D222" s="4" t="s">
        <v>98</v>
      </c>
      <c r="E222" s="4" t="s">
        <v>34</v>
      </c>
      <c r="F222" s="4" t="s">
        <v>35</v>
      </c>
      <c r="G222" s="4" t="s">
        <v>36</v>
      </c>
      <c r="H222" s="4" t="s">
        <v>294</v>
      </c>
      <c r="I222" s="4" t="s">
        <v>295</v>
      </c>
      <c r="J222" s="4" t="s">
        <v>296</v>
      </c>
      <c r="L222" s="4" t="s">
        <v>40</v>
      </c>
      <c r="M222" s="4">
        <v>1</v>
      </c>
      <c r="N222" s="4">
        <v>30</v>
      </c>
      <c r="O222" s="4">
        <v>30</v>
      </c>
      <c r="P222" s="4" t="s">
        <v>41</v>
      </c>
      <c r="Q222" s="4">
        <v>324.7</v>
      </c>
      <c r="R222" s="4">
        <v>324.7</v>
      </c>
      <c r="S222" s="4">
        <v>487.05</v>
      </c>
      <c r="T222" s="4">
        <v>9741</v>
      </c>
      <c r="U222" s="4">
        <v>5</v>
      </c>
      <c r="V222" s="4" t="s">
        <v>42</v>
      </c>
      <c r="X222" s="7" t="str">
        <f t="shared" si="0"/>
        <v>441811096</v>
      </c>
      <c r="Y222" s="8" t="str">
        <f t="shared" si="1"/>
        <v>DC</v>
      </c>
      <c r="Z222" s="8">
        <f t="shared" si="2"/>
        <v>0</v>
      </c>
      <c r="AA222" s="8">
        <f t="shared" si="3"/>
        <v>0</v>
      </c>
      <c r="AB222" s="8">
        <f t="shared" si="4"/>
        <v>0</v>
      </c>
      <c r="AC222" s="8">
        <f t="shared" si="5"/>
        <v>0</v>
      </c>
      <c r="AD222" s="8">
        <f t="shared" si="6"/>
        <v>30</v>
      </c>
      <c r="AE222" s="9" t="str" cm="1">
        <f t="array" ref="AE222">IFERROR(_xlfn.XLOOKUP(H222,Sheet1!$G:$G,Sheet1!$F:$F),IFERROR(_xlfn.XLOOKUP(1,(--($X$2:$X$1074=X222))*(--ISNUMBER(MATCH($H$2:$H$1074,Sheet1!$G:$G,0))),_xlfn.XLOOKUP($H$2:$H$1074,Sheet1!$G:$G,Sheet1!$F:$F,"")),"NOT FOUND"))</f>
        <v>GETKRTSFUT6087</v>
      </c>
      <c r="AF222" s="10" t="str">
        <f t="shared" si="13"/>
        <v>CORAL</v>
      </c>
      <c r="AG222" s="11" t="str">
        <f t="shared" si="14"/>
        <v>JHAJJAR</v>
      </c>
      <c r="AH222" s="9" t="str">
        <f>IF(OR(J222="",AE222="",AE222="NOT FOUND"),"",IF(Y222="RP",IFERROR(LEFT(_xlfn.XLOOKUP(AE222,Sheet1!$F:$F,Sheet1!$W:$W),FIND("-",_xlfn.XLOOKUP(AE222,Sheet1!$F:$F,Sheet1!$W:$W),FIND("-",_xlfn.XLOOKUP(AE222,Sheet1!$F:$F,Sheet1!$W:$W))+1))&amp;AE222,"NOT FOUND"),LEFT(J222,FIND("-",J222,FIND("-",J222)+1))&amp;AE222))</f>
        <v>KRTS-APWN26-GETKRTSFUT6087</v>
      </c>
    </row>
    <row r="223" spans="1:34" ht="15.75" customHeight="1" x14ac:dyDescent="0.2">
      <c r="A223" s="4" t="s">
        <v>59</v>
      </c>
      <c r="B223" s="4" t="s">
        <v>359</v>
      </c>
      <c r="C223" s="4" t="s">
        <v>64</v>
      </c>
      <c r="D223" s="4" t="s">
        <v>98</v>
      </c>
      <c r="E223" s="4" t="s">
        <v>34</v>
      </c>
      <c r="F223" s="4" t="s">
        <v>35</v>
      </c>
      <c r="G223" s="4" t="s">
        <v>43</v>
      </c>
      <c r="H223" s="4" t="s">
        <v>297</v>
      </c>
      <c r="I223" s="4" t="s">
        <v>298</v>
      </c>
      <c r="J223" s="4" t="s">
        <v>299</v>
      </c>
      <c r="L223" s="4" t="s">
        <v>40</v>
      </c>
      <c r="M223" s="4">
        <v>1</v>
      </c>
      <c r="N223" s="4">
        <v>156</v>
      </c>
      <c r="O223" s="4">
        <v>156</v>
      </c>
      <c r="P223" s="4" t="s">
        <v>41</v>
      </c>
      <c r="Q223" s="4">
        <v>324.7</v>
      </c>
      <c r="R223" s="4">
        <v>324.7</v>
      </c>
      <c r="S223" s="4">
        <v>2532.66</v>
      </c>
      <c r="T223" s="4">
        <v>50653.2</v>
      </c>
      <c r="U223" s="4">
        <v>5</v>
      </c>
      <c r="V223" s="4" t="s">
        <v>42</v>
      </c>
      <c r="X223" s="7" t="str">
        <f t="shared" si="0"/>
        <v>441811096</v>
      </c>
      <c r="Y223" s="8" t="str">
        <f t="shared" si="1"/>
        <v>DC</v>
      </c>
      <c r="Z223" s="8">
        <f t="shared" si="2"/>
        <v>0</v>
      </c>
      <c r="AA223" s="8">
        <f t="shared" si="3"/>
        <v>0</v>
      </c>
      <c r="AB223" s="8">
        <f t="shared" si="4"/>
        <v>156</v>
      </c>
      <c r="AC223" s="8">
        <f t="shared" si="5"/>
        <v>0</v>
      </c>
      <c r="AD223" s="8">
        <f t="shared" si="6"/>
        <v>0</v>
      </c>
      <c r="AE223" s="9" t="str" cm="1">
        <f t="array" ref="AE223">IFERROR(_xlfn.XLOOKUP(H223,Sheet1!$G:$G,Sheet1!$F:$F),IFERROR(_xlfn.XLOOKUP(1,(--($X$2:$X$1074=X223))*(--ISNUMBER(MATCH($H$2:$H$1074,Sheet1!$G:$G,0))),_xlfn.XLOOKUP($H$2:$H$1074,Sheet1!$G:$G,Sheet1!$F:$F,"")),"NOT FOUND"))</f>
        <v>GETKRTSFUT6087</v>
      </c>
      <c r="AF223" s="10" t="str">
        <f t="shared" si="13"/>
        <v>CORAL</v>
      </c>
      <c r="AG223" s="11" t="str">
        <f t="shared" si="14"/>
        <v>JHAJJAR</v>
      </c>
      <c r="AH223" s="9" t="str">
        <f>IF(OR(J223="",AE223="",AE223="NOT FOUND"),"",IF(Y223="RP",IFERROR(LEFT(_xlfn.XLOOKUP(AE223,Sheet1!$F:$F,Sheet1!$W:$W),FIND("-",_xlfn.XLOOKUP(AE223,Sheet1!$F:$F,Sheet1!$W:$W),FIND("-",_xlfn.XLOOKUP(AE223,Sheet1!$F:$F,Sheet1!$W:$W))+1))&amp;AE223,"NOT FOUND"),LEFT(J223,FIND("-",J223,FIND("-",J223)+1))&amp;AE223))</f>
        <v>KRTS-APWN26-GETKRTSFUT6087</v>
      </c>
    </row>
    <row r="224" spans="1:34" ht="15.75" customHeight="1" x14ac:dyDescent="0.2">
      <c r="A224" s="4" t="s">
        <v>59</v>
      </c>
      <c r="B224" s="4" t="s">
        <v>359</v>
      </c>
      <c r="C224" s="4" t="s">
        <v>64</v>
      </c>
      <c r="D224" s="4" t="s">
        <v>98</v>
      </c>
      <c r="E224" s="4" t="s">
        <v>34</v>
      </c>
      <c r="F224" s="4" t="s">
        <v>35</v>
      </c>
      <c r="G224" s="4" t="s">
        <v>47</v>
      </c>
      <c r="H224" s="4" t="s">
        <v>300</v>
      </c>
      <c r="I224" s="4" t="s">
        <v>301</v>
      </c>
      <c r="J224" s="4" t="s">
        <v>302</v>
      </c>
      <c r="L224" s="4" t="s">
        <v>40</v>
      </c>
      <c r="M224" s="4">
        <v>1</v>
      </c>
      <c r="N224" s="4">
        <v>156</v>
      </c>
      <c r="O224" s="4">
        <v>156</v>
      </c>
      <c r="P224" s="4" t="s">
        <v>41</v>
      </c>
      <c r="Q224" s="4">
        <v>324.7</v>
      </c>
      <c r="R224" s="4">
        <v>324.7</v>
      </c>
      <c r="S224" s="4">
        <v>2532.66</v>
      </c>
      <c r="T224" s="4">
        <v>50653.2</v>
      </c>
      <c r="U224" s="4">
        <v>5</v>
      </c>
      <c r="V224" s="4" t="s">
        <v>42</v>
      </c>
      <c r="X224" s="7" t="str">
        <f t="shared" si="0"/>
        <v>441811096</v>
      </c>
      <c r="Y224" s="8" t="str">
        <f t="shared" si="1"/>
        <v>DC</v>
      </c>
      <c r="Z224" s="8">
        <f t="shared" si="2"/>
        <v>0</v>
      </c>
      <c r="AA224" s="8">
        <f t="shared" si="3"/>
        <v>156</v>
      </c>
      <c r="AB224" s="8">
        <f t="shared" si="4"/>
        <v>0</v>
      </c>
      <c r="AC224" s="8">
        <f t="shared" si="5"/>
        <v>0</v>
      </c>
      <c r="AD224" s="8">
        <f t="shared" si="6"/>
        <v>0</v>
      </c>
      <c r="AE224" s="9" t="str" cm="1">
        <f t="array" ref="AE224">IFERROR(_xlfn.XLOOKUP(H224,Sheet1!$G:$G,Sheet1!$F:$F),IFERROR(_xlfn.XLOOKUP(1,(--($X$2:$X$1074=X224))*(--ISNUMBER(MATCH($H$2:$H$1074,Sheet1!$G:$G,0))),_xlfn.XLOOKUP($H$2:$H$1074,Sheet1!$G:$G,Sheet1!$F:$F,"")),"NOT FOUND"))</f>
        <v>GETKRTSFUT6087</v>
      </c>
      <c r="AF224" s="10" t="str">
        <f t="shared" si="13"/>
        <v>CORAL</v>
      </c>
      <c r="AG224" s="11" t="str">
        <f t="shared" si="14"/>
        <v>JHAJJAR</v>
      </c>
      <c r="AH224" s="9" t="str">
        <f>IF(OR(J224="",AE224="",AE224="NOT FOUND"),"",IF(Y224="RP",IFERROR(LEFT(_xlfn.XLOOKUP(AE224,Sheet1!$F:$F,Sheet1!$W:$W),FIND("-",_xlfn.XLOOKUP(AE224,Sheet1!$F:$F,Sheet1!$W:$W),FIND("-",_xlfn.XLOOKUP(AE224,Sheet1!$F:$F,Sheet1!$W:$W))+1))&amp;AE224,"NOT FOUND"),LEFT(J224,FIND("-",J224,FIND("-",J224)+1))&amp;AE224))</f>
        <v>KRTS-APWN26-GETKRTSFUT6087</v>
      </c>
    </row>
    <row r="225" spans="1:34" ht="15.75" customHeight="1" x14ac:dyDescent="0.2">
      <c r="A225" s="4" t="s">
        <v>59</v>
      </c>
      <c r="B225" s="4" t="s">
        <v>359</v>
      </c>
      <c r="C225" s="4" t="s">
        <v>64</v>
      </c>
      <c r="D225" s="4" t="s">
        <v>98</v>
      </c>
      <c r="E225" s="4" t="s">
        <v>34</v>
      </c>
      <c r="F225" s="4" t="s">
        <v>35</v>
      </c>
      <c r="G225" s="4" t="s">
        <v>51</v>
      </c>
      <c r="H225" s="4" t="s">
        <v>303</v>
      </c>
      <c r="I225" s="4" t="s">
        <v>304</v>
      </c>
      <c r="J225" s="4" t="s">
        <v>305</v>
      </c>
      <c r="L225" s="4" t="s">
        <v>40</v>
      </c>
      <c r="M225" s="4">
        <v>1</v>
      </c>
      <c r="N225" s="4">
        <v>30</v>
      </c>
      <c r="O225" s="4">
        <v>30</v>
      </c>
      <c r="P225" s="4" t="s">
        <v>41</v>
      </c>
      <c r="Q225" s="4">
        <v>324.7</v>
      </c>
      <c r="R225" s="4">
        <v>324.7</v>
      </c>
      <c r="S225" s="4">
        <v>487.05</v>
      </c>
      <c r="T225" s="4">
        <v>9741</v>
      </c>
      <c r="U225" s="4">
        <v>5</v>
      </c>
      <c r="V225" s="4" t="s">
        <v>42</v>
      </c>
      <c r="X225" s="7" t="str">
        <f t="shared" si="0"/>
        <v>441811096</v>
      </c>
      <c r="Y225" s="8" t="str">
        <f t="shared" si="1"/>
        <v>DC</v>
      </c>
      <c r="Z225" s="8">
        <f t="shared" si="2"/>
        <v>30</v>
      </c>
      <c r="AA225" s="8">
        <f t="shared" si="3"/>
        <v>0</v>
      </c>
      <c r="AB225" s="8">
        <f t="shared" si="4"/>
        <v>0</v>
      </c>
      <c r="AC225" s="8">
        <f t="shared" si="5"/>
        <v>0</v>
      </c>
      <c r="AD225" s="8">
        <f t="shared" si="6"/>
        <v>0</v>
      </c>
      <c r="AE225" s="9" t="str" cm="1">
        <f t="array" ref="AE225">IFERROR(_xlfn.XLOOKUP(H225,Sheet1!$G:$G,Sheet1!$F:$F),IFERROR(_xlfn.XLOOKUP(1,(--($X$2:$X$1074=X225))*(--ISNUMBER(MATCH($H$2:$H$1074,Sheet1!$G:$G,0))),_xlfn.XLOOKUP($H$2:$H$1074,Sheet1!$G:$G,Sheet1!$F:$F,"")),"NOT FOUND"))</f>
        <v>GETKRTSFUT6087</v>
      </c>
      <c r="AF225" s="10" t="str">
        <f t="shared" si="13"/>
        <v>CORAL</v>
      </c>
      <c r="AG225" s="11" t="str">
        <f t="shared" si="14"/>
        <v>JHAJJAR</v>
      </c>
      <c r="AH225" s="9" t="str">
        <f>IF(OR(J225="",AE225="",AE225="NOT FOUND"),"",IF(Y225="RP",IFERROR(LEFT(_xlfn.XLOOKUP(AE225,Sheet1!$F:$F,Sheet1!$W:$W),FIND("-",_xlfn.XLOOKUP(AE225,Sheet1!$F:$F,Sheet1!$W:$W),FIND("-",_xlfn.XLOOKUP(AE225,Sheet1!$F:$F,Sheet1!$W:$W))+1))&amp;AE225,"NOT FOUND"),LEFT(J225,FIND("-",J225,FIND("-",J225)+1))&amp;AE225))</f>
        <v>KRTS-APWN26-GETKRTSFUT6087</v>
      </c>
    </row>
    <row r="226" spans="1:34" ht="15.75" customHeight="1" x14ac:dyDescent="0.2">
      <c r="A226" s="4" t="s">
        <v>59</v>
      </c>
      <c r="B226" s="4" t="s">
        <v>359</v>
      </c>
      <c r="C226" s="4" t="s">
        <v>64</v>
      </c>
      <c r="D226" s="4" t="s">
        <v>98</v>
      </c>
      <c r="E226" s="4" t="s">
        <v>34</v>
      </c>
      <c r="F226" s="4" t="s">
        <v>35</v>
      </c>
      <c r="G226" s="4" t="s">
        <v>55</v>
      </c>
      <c r="H226" s="4" t="s">
        <v>306</v>
      </c>
      <c r="I226" s="4" t="s">
        <v>307</v>
      </c>
      <c r="J226" s="4" t="s">
        <v>308</v>
      </c>
      <c r="L226" s="4" t="s">
        <v>40</v>
      </c>
      <c r="M226" s="4">
        <v>1</v>
      </c>
      <c r="N226" s="4">
        <v>132</v>
      </c>
      <c r="O226" s="4">
        <v>132</v>
      </c>
      <c r="P226" s="4" t="s">
        <v>41</v>
      </c>
      <c r="Q226" s="4">
        <v>324.7</v>
      </c>
      <c r="R226" s="4">
        <v>324.7</v>
      </c>
      <c r="S226" s="4">
        <v>2143.02</v>
      </c>
      <c r="T226" s="4">
        <v>42860.4</v>
      </c>
      <c r="U226" s="4">
        <v>5</v>
      </c>
      <c r="V226" s="4" t="s">
        <v>42</v>
      </c>
      <c r="X226" s="7" t="str">
        <f t="shared" si="0"/>
        <v>441811096</v>
      </c>
      <c r="Y226" s="8" t="str">
        <f t="shared" si="1"/>
        <v>DC</v>
      </c>
      <c r="Z226" s="8">
        <f t="shared" si="2"/>
        <v>0</v>
      </c>
      <c r="AA226" s="8">
        <f t="shared" si="3"/>
        <v>0</v>
      </c>
      <c r="AB226" s="8">
        <f t="shared" si="4"/>
        <v>0</v>
      </c>
      <c r="AC226" s="8">
        <f t="shared" si="5"/>
        <v>132</v>
      </c>
      <c r="AD226" s="8">
        <f t="shared" si="6"/>
        <v>0</v>
      </c>
      <c r="AE226" s="9" t="str" cm="1">
        <f t="array" ref="AE226">IFERROR(_xlfn.XLOOKUP(H226,Sheet1!$G:$G,Sheet1!$F:$F),IFERROR(_xlfn.XLOOKUP(1,(--($X$2:$X$1074=X226))*(--ISNUMBER(MATCH($H$2:$H$1074,Sheet1!$G:$G,0))),_xlfn.XLOOKUP($H$2:$H$1074,Sheet1!$G:$G,Sheet1!$F:$F,"")),"NOT FOUND"))</f>
        <v>GETKRTSFUT6087</v>
      </c>
      <c r="AF226" s="10" t="str">
        <f t="shared" si="13"/>
        <v>CORAL</v>
      </c>
      <c r="AG226" s="11" t="str">
        <f t="shared" si="14"/>
        <v>JHAJJAR</v>
      </c>
      <c r="AH226" s="9" t="str">
        <f>IF(OR(J226="",AE226="",AE226="NOT FOUND"),"",IF(Y226="RP",IFERROR(LEFT(_xlfn.XLOOKUP(AE226,Sheet1!$F:$F,Sheet1!$W:$W),FIND("-",_xlfn.XLOOKUP(AE226,Sheet1!$F:$F,Sheet1!$W:$W),FIND("-",_xlfn.XLOOKUP(AE226,Sheet1!$F:$F,Sheet1!$W:$W))+1))&amp;AE226,"NOT FOUND"),LEFT(J226,FIND("-",J226,FIND("-",J226)+1))&amp;AE226))</f>
        <v>KRTS-APWN26-GETKRTSFUT6087</v>
      </c>
    </row>
    <row r="227" spans="1:34" ht="15.75" customHeight="1" x14ac:dyDescent="0.2">
      <c r="A227" s="4" t="s">
        <v>59</v>
      </c>
      <c r="B227" s="4" t="s">
        <v>360</v>
      </c>
      <c r="C227" s="4" t="s">
        <v>64</v>
      </c>
      <c r="D227" s="4" t="s">
        <v>33</v>
      </c>
      <c r="E227" s="4" t="s">
        <v>34</v>
      </c>
      <c r="F227" s="4" t="s">
        <v>35</v>
      </c>
      <c r="G227" s="4" t="s">
        <v>36</v>
      </c>
      <c r="H227" s="4" t="s">
        <v>310</v>
      </c>
      <c r="I227" s="4" t="s">
        <v>311</v>
      </c>
      <c r="J227" s="4" t="s">
        <v>312</v>
      </c>
      <c r="L227" s="4" t="s">
        <v>40</v>
      </c>
      <c r="M227" s="4">
        <v>1</v>
      </c>
      <c r="N227" s="4">
        <v>30</v>
      </c>
      <c r="O227" s="4">
        <v>30</v>
      </c>
      <c r="P227" s="4" t="s">
        <v>41</v>
      </c>
      <c r="Q227" s="4">
        <v>324.7</v>
      </c>
      <c r="R227" s="4">
        <v>324.7</v>
      </c>
      <c r="S227" s="4">
        <v>487.05</v>
      </c>
      <c r="T227" s="4">
        <v>9741</v>
      </c>
      <c r="U227" s="4">
        <v>5</v>
      </c>
      <c r="V227" s="4" t="s">
        <v>42</v>
      </c>
      <c r="X227" s="7" t="str">
        <f t="shared" si="0"/>
        <v>441811095</v>
      </c>
      <c r="Y227" s="8" t="str">
        <f t="shared" si="1"/>
        <v>DC</v>
      </c>
      <c r="Z227" s="8">
        <f t="shared" si="2"/>
        <v>0</v>
      </c>
      <c r="AA227" s="8">
        <f t="shared" si="3"/>
        <v>0</v>
      </c>
      <c r="AB227" s="8">
        <f t="shared" si="4"/>
        <v>0</v>
      </c>
      <c r="AC227" s="8">
        <f t="shared" si="5"/>
        <v>0</v>
      </c>
      <c r="AD227" s="8">
        <f t="shared" si="6"/>
        <v>30</v>
      </c>
      <c r="AE227" s="9" t="str" cm="1">
        <f t="array" ref="AE227">IFERROR(_xlfn.XLOOKUP(H227,Sheet1!$G:$G,Sheet1!$F:$F),IFERROR(_xlfn.XLOOKUP(1,(--($X$2:$X$1074=X227))*(--ISNUMBER(MATCH($H$2:$H$1074,Sheet1!$G:$G,0))),_xlfn.XLOOKUP($H$2:$H$1074,Sheet1!$G:$G,Sheet1!$F:$F,"")),"NOT FOUND"))</f>
        <v>GETKRTSFUT6012</v>
      </c>
      <c r="AF227" s="10" t="str">
        <f t="shared" si="13"/>
        <v>MAROON</v>
      </c>
      <c r="AG227" s="11" t="str">
        <f t="shared" si="14"/>
        <v>JHAJJAR</v>
      </c>
      <c r="AH227" s="9" t="str">
        <f>IF(OR(J227="",AE227="",AE227="NOT FOUND"),"",IF(Y227="RP",IFERROR(LEFT(_xlfn.XLOOKUP(AE227,Sheet1!$F:$F,Sheet1!$W:$W),FIND("-",_xlfn.XLOOKUP(AE227,Sheet1!$F:$F,Sheet1!$W:$W),FIND("-",_xlfn.XLOOKUP(AE227,Sheet1!$F:$F,Sheet1!$W:$W))+1))&amp;AE227,"NOT FOUND"),LEFT(J227,FIND("-",J227,FIND("-",J227)+1))&amp;AE227))</f>
        <v>KRTS-APWN26-GETKRTSFUT6012</v>
      </c>
    </row>
    <row r="228" spans="1:34" ht="15.75" customHeight="1" x14ac:dyDescent="0.2">
      <c r="A228" s="4" t="s">
        <v>59</v>
      </c>
      <c r="B228" s="4" t="s">
        <v>360</v>
      </c>
      <c r="C228" s="4" t="s">
        <v>64</v>
      </c>
      <c r="D228" s="4" t="s">
        <v>33</v>
      </c>
      <c r="E228" s="4" t="s">
        <v>34</v>
      </c>
      <c r="F228" s="4" t="s">
        <v>35</v>
      </c>
      <c r="G228" s="4" t="s">
        <v>43</v>
      </c>
      <c r="H228" s="4" t="s">
        <v>313</v>
      </c>
      <c r="I228" s="4" t="s">
        <v>314</v>
      </c>
      <c r="J228" s="4" t="s">
        <v>315</v>
      </c>
      <c r="L228" s="4" t="s">
        <v>40</v>
      </c>
      <c r="M228" s="4">
        <v>1</v>
      </c>
      <c r="N228" s="4">
        <v>156</v>
      </c>
      <c r="O228" s="4">
        <v>156</v>
      </c>
      <c r="P228" s="4" t="s">
        <v>41</v>
      </c>
      <c r="Q228" s="4">
        <v>324.7</v>
      </c>
      <c r="R228" s="4">
        <v>324.7</v>
      </c>
      <c r="S228" s="4">
        <v>2532.66</v>
      </c>
      <c r="T228" s="4">
        <v>50653.2</v>
      </c>
      <c r="U228" s="4">
        <v>5</v>
      </c>
      <c r="V228" s="4" t="s">
        <v>42</v>
      </c>
      <c r="X228" s="7" t="str">
        <f t="shared" si="0"/>
        <v>441811095</v>
      </c>
      <c r="Y228" s="8" t="str">
        <f t="shared" si="1"/>
        <v>DC</v>
      </c>
      <c r="Z228" s="8">
        <f t="shared" si="2"/>
        <v>0</v>
      </c>
      <c r="AA228" s="8">
        <f t="shared" si="3"/>
        <v>0</v>
      </c>
      <c r="AB228" s="8">
        <f t="shared" si="4"/>
        <v>156</v>
      </c>
      <c r="AC228" s="8">
        <f t="shared" si="5"/>
        <v>0</v>
      </c>
      <c r="AD228" s="8">
        <f t="shared" si="6"/>
        <v>0</v>
      </c>
      <c r="AE228" s="9" t="str" cm="1">
        <f t="array" ref="AE228">IFERROR(_xlfn.XLOOKUP(H228,Sheet1!$G:$G,Sheet1!$F:$F),IFERROR(_xlfn.XLOOKUP(1,(--($X$2:$X$1074=X228))*(--ISNUMBER(MATCH($H$2:$H$1074,Sheet1!$G:$G,0))),_xlfn.XLOOKUP($H$2:$H$1074,Sheet1!$G:$G,Sheet1!$F:$F,"")),"NOT FOUND"))</f>
        <v>GETKRTSFUT6012</v>
      </c>
      <c r="AF228" s="10" t="str">
        <f t="shared" si="13"/>
        <v>MAROON</v>
      </c>
      <c r="AG228" s="11" t="str">
        <f t="shared" si="14"/>
        <v>JHAJJAR</v>
      </c>
      <c r="AH228" s="9" t="str">
        <f>IF(OR(J228="",AE228="",AE228="NOT FOUND"),"",IF(Y228="RP",IFERROR(LEFT(_xlfn.XLOOKUP(AE228,Sheet1!$F:$F,Sheet1!$W:$W),FIND("-",_xlfn.XLOOKUP(AE228,Sheet1!$F:$F,Sheet1!$W:$W),FIND("-",_xlfn.XLOOKUP(AE228,Sheet1!$F:$F,Sheet1!$W:$W))+1))&amp;AE228,"NOT FOUND"),LEFT(J228,FIND("-",J228,FIND("-",J228)+1))&amp;AE228))</f>
        <v>KRTS-APWN26-GETKRTSFUT6012</v>
      </c>
    </row>
    <row r="229" spans="1:34" ht="15.75" customHeight="1" x14ac:dyDescent="0.2">
      <c r="A229" s="4" t="s">
        <v>59</v>
      </c>
      <c r="B229" s="4" t="s">
        <v>360</v>
      </c>
      <c r="C229" s="4" t="s">
        <v>64</v>
      </c>
      <c r="D229" s="4" t="s">
        <v>33</v>
      </c>
      <c r="E229" s="4" t="s">
        <v>34</v>
      </c>
      <c r="F229" s="4" t="s">
        <v>35</v>
      </c>
      <c r="G229" s="4" t="s">
        <v>47</v>
      </c>
      <c r="H229" s="4" t="s">
        <v>316</v>
      </c>
      <c r="I229" s="4" t="s">
        <v>317</v>
      </c>
      <c r="J229" s="4" t="s">
        <v>318</v>
      </c>
      <c r="L229" s="4" t="s">
        <v>40</v>
      </c>
      <c r="M229" s="4">
        <v>1</v>
      </c>
      <c r="N229" s="4">
        <v>156</v>
      </c>
      <c r="O229" s="4">
        <v>156</v>
      </c>
      <c r="P229" s="4" t="s">
        <v>41</v>
      </c>
      <c r="Q229" s="4">
        <v>324.7</v>
      </c>
      <c r="R229" s="4">
        <v>324.7</v>
      </c>
      <c r="S229" s="4">
        <v>2532.66</v>
      </c>
      <c r="T229" s="4">
        <v>50653.2</v>
      </c>
      <c r="U229" s="4">
        <v>5</v>
      </c>
      <c r="V229" s="4" t="s">
        <v>42</v>
      </c>
      <c r="X229" s="7" t="str">
        <f t="shared" si="0"/>
        <v>441811095</v>
      </c>
      <c r="Y229" s="8" t="str">
        <f t="shared" si="1"/>
        <v>DC</v>
      </c>
      <c r="Z229" s="8">
        <f t="shared" si="2"/>
        <v>0</v>
      </c>
      <c r="AA229" s="8">
        <f t="shared" si="3"/>
        <v>156</v>
      </c>
      <c r="AB229" s="8">
        <f t="shared" si="4"/>
        <v>0</v>
      </c>
      <c r="AC229" s="8">
        <f t="shared" si="5"/>
        <v>0</v>
      </c>
      <c r="AD229" s="8">
        <f t="shared" si="6"/>
        <v>0</v>
      </c>
      <c r="AE229" s="9" t="str" cm="1">
        <f t="array" ref="AE229">IFERROR(_xlfn.XLOOKUP(H229,Sheet1!$G:$G,Sheet1!$F:$F),IFERROR(_xlfn.XLOOKUP(1,(--($X$2:$X$1074=X229))*(--ISNUMBER(MATCH($H$2:$H$1074,Sheet1!$G:$G,0))),_xlfn.XLOOKUP($H$2:$H$1074,Sheet1!$G:$G,Sheet1!$F:$F,"")),"NOT FOUND"))</f>
        <v>GETKRTSFUT6012</v>
      </c>
      <c r="AF229" s="10" t="str">
        <f t="shared" si="13"/>
        <v>MAROON</v>
      </c>
      <c r="AG229" s="11" t="str">
        <f t="shared" si="14"/>
        <v>JHAJJAR</v>
      </c>
      <c r="AH229" s="9" t="str">
        <f>IF(OR(J229="",AE229="",AE229="NOT FOUND"),"",IF(Y229="RP",IFERROR(LEFT(_xlfn.XLOOKUP(AE229,Sheet1!$F:$F,Sheet1!$W:$W),FIND("-",_xlfn.XLOOKUP(AE229,Sheet1!$F:$F,Sheet1!$W:$W),FIND("-",_xlfn.XLOOKUP(AE229,Sheet1!$F:$F,Sheet1!$W:$W))+1))&amp;AE229,"NOT FOUND"),LEFT(J229,FIND("-",J229,FIND("-",J229)+1))&amp;AE229))</f>
        <v>KRTS-APWN26-GETKRTSFUT6012</v>
      </c>
    </row>
    <row r="230" spans="1:34" ht="15.75" customHeight="1" x14ac:dyDescent="0.2">
      <c r="A230" s="4" t="s">
        <v>59</v>
      </c>
      <c r="B230" s="4" t="s">
        <v>360</v>
      </c>
      <c r="C230" s="4" t="s">
        <v>64</v>
      </c>
      <c r="D230" s="4" t="s">
        <v>33</v>
      </c>
      <c r="E230" s="4" t="s">
        <v>34</v>
      </c>
      <c r="F230" s="4" t="s">
        <v>35</v>
      </c>
      <c r="G230" s="4" t="s">
        <v>51</v>
      </c>
      <c r="H230" s="4" t="s">
        <v>319</v>
      </c>
      <c r="I230" s="4" t="s">
        <v>320</v>
      </c>
      <c r="J230" s="4" t="s">
        <v>321</v>
      </c>
      <c r="L230" s="4" t="s">
        <v>40</v>
      </c>
      <c r="M230" s="4">
        <v>1</v>
      </c>
      <c r="N230" s="4">
        <v>30</v>
      </c>
      <c r="O230" s="4">
        <v>30</v>
      </c>
      <c r="P230" s="4" t="s">
        <v>41</v>
      </c>
      <c r="Q230" s="4">
        <v>324.7</v>
      </c>
      <c r="R230" s="4">
        <v>324.7</v>
      </c>
      <c r="S230" s="4">
        <v>487.05</v>
      </c>
      <c r="T230" s="4">
        <v>9741</v>
      </c>
      <c r="U230" s="4">
        <v>5</v>
      </c>
      <c r="V230" s="4" t="s">
        <v>42</v>
      </c>
      <c r="X230" s="7" t="str">
        <f t="shared" si="0"/>
        <v>441811095</v>
      </c>
      <c r="Y230" s="8" t="str">
        <f t="shared" si="1"/>
        <v>DC</v>
      </c>
      <c r="Z230" s="8">
        <f t="shared" si="2"/>
        <v>30</v>
      </c>
      <c r="AA230" s="8">
        <f t="shared" si="3"/>
        <v>0</v>
      </c>
      <c r="AB230" s="8">
        <f t="shared" si="4"/>
        <v>0</v>
      </c>
      <c r="AC230" s="8">
        <f t="shared" si="5"/>
        <v>0</v>
      </c>
      <c r="AD230" s="8">
        <f t="shared" si="6"/>
        <v>0</v>
      </c>
      <c r="AE230" s="9" t="str" cm="1">
        <f t="array" ref="AE230">IFERROR(_xlfn.XLOOKUP(H230,Sheet1!$G:$G,Sheet1!$F:$F),IFERROR(_xlfn.XLOOKUP(1,(--($X$2:$X$1074=X230))*(--ISNUMBER(MATCH($H$2:$H$1074,Sheet1!$G:$G,0))),_xlfn.XLOOKUP($H$2:$H$1074,Sheet1!$G:$G,Sheet1!$F:$F,"")),"NOT FOUND"))</f>
        <v>GETKRTSFUT6012</v>
      </c>
      <c r="AF230" s="10" t="str">
        <f t="shared" si="13"/>
        <v>MAROON</v>
      </c>
      <c r="AG230" s="11" t="str">
        <f t="shared" si="14"/>
        <v>JHAJJAR</v>
      </c>
      <c r="AH230" s="9" t="str">
        <f>IF(OR(J230="",AE230="",AE230="NOT FOUND"),"",IF(Y230="RP",IFERROR(LEFT(_xlfn.XLOOKUP(AE230,Sheet1!$F:$F,Sheet1!$W:$W),FIND("-",_xlfn.XLOOKUP(AE230,Sheet1!$F:$F,Sheet1!$W:$W),FIND("-",_xlfn.XLOOKUP(AE230,Sheet1!$F:$F,Sheet1!$W:$W))+1))&amp;AE230,"NOT FOUND"),LEFT(J230,FIND("-",J230,FIND("-",J230)+1))&amp;AE230))</f>
        <v>KRTS-APWN26-GETKRTSFUT6012</v>
      </c>
    </row>
    <row r="231" spans="1:34" ht="15.75" customHeight="1" x14ac:dyDescent="0.2">
      <c r="A231" s="4" t="s">
        <v>59</v>
      </c>
      <c r="B231" s="4" t="s">
        <v>360</v>
      </c>
      <c r="C231" s="4" t="s">
        <v>64</v>
      </c>
      <c r="D231" s="4" t="s">
        <v>33</v>
      </c>
      <c r="E231" s="4" t="s">
        <v>34</v>
      </c>
      <c r="F231" s="4" t="s">
        <v>35</v>
      </c>
      <c r="G231" s="4" t="s">
        <v>55</v>
      </c>
      <c r="H231" s="4" t="s">
        <v>322</v>
      </c>
      <c r="I231" s="4" t="s">
        <v>323</v>
      </c>
      <c r="J231" s="4" t="s">
        <v>324</v>
      </c>
      <c r="L231" s="4" t="s">
        <v>40</v>
      </c>
      <c r="M231" s="4">
        <v>1</v>
      </c>
      <c r="N231" s="4">
        <v>132</v>
      </c>
      <c r="O231" s="4">
        <v>132</v>
      </c>
      <c r="P231" s="4" t="s">
        <v>41</v>
      </c>
      <c r="Q231" s="4">
        <v>324.7</v>
      </c>
      <c r="R231" s="4">
        <v>324.7</v>
      </c>
      <c r="S231" s="4">
        <v>2143.02</v>
      </c>
      <c r="T231" s="4">
        <v>42860.4</v>
      </c>
      <c r="U231" s="4">
        <v>5</v>
      </c>
      <c r="V231" s="4" t="s">
        <v>42</v>
      </c>
      <c r="X231" s="7" t="str">
        <f t="shared" si="0"/>
        <v>441811095</v>
      </c>
      <c r="Y231" s="8" t="str">
        <f t="shared" si="1"/>
        <v>DC</v>
      </c>
      <c r="Z231" s="8">
        <f t="shared" si="2"/>
        <v>0</v>
      </c>
      <c r="AA231" s="8">
        <f t="shared" si="3"/>
        <v>0</v>
      </c>
      <c r="AB231" s="8">
        <f t="shared" si="4"/>
        <v>0</v>
      </c>
      <c r="AC231" s="8">
        <f t="shared" si="5"/>
        <v>132</v>
      </c>
      <c r="AD231" s="8">
        <f t="shared" si="6"/>
        <v>0</v>
      </c>
      <c r="AE231" s="9" t="str" cm="1">
        <f t="array" ref="AE231">IFERROR(_xlfn.XLOOKUP(H231,Sheet1!$G:$G,Sheet1!$F:$F),IFERROR(_xlfn.XLOOKUP(1,(--($X$2:$X$1074=X231))*(--ISNUMBER(MATCH($H$2:$H$1074,Sheet1!$G:$G,0))),_xlfn.XLOOKUP($H$2:$H$1074,Sheet1!$G:$G,Sheet1!$F:$F,"")),"NOT FOUND"))</f>
        <v>GETKRTSFUT6012</v>
      </c>
      <c r="AF231" s="10" t="str">
        <f t="shared" si="13"/>
        <v>MAROON</v>
      </c>
      <c r="AG231" s="11" t="str">
        <f t="shared" si="14"/>
        <v>JHAJJAR</v>
      </c>
      <c r="AH231" s="9" t="str">
        <f>IF(OR(J231="",AE231="",AE231="NOT FOUND"),"",IF(Y231="RP",IFERROR(LEFT(_xlfn.XLOOKUP(AE231,Sheet1!$F:$F,Sheet1!$W:$W),FIND("-",_xlfn.XLOOKUP(AE231,Sheet1!$F:$F,Sheet1!$W:$W),FIND("-",_xlfn.XLOOKUP(AE231,Sheet1!$F:$F,Sheet1!$W:$W))+1))&amp;AE231,"NOT FOUND"),LEFT(J231,FIND("-",J231,FIND("-",J231)+1))&amp;AE231))</f>
        <v>KRTS-APWN26-GETKRTSFUT6012</v>
      </c>
    </row>
    <row r="232" spans="1:34" ht="15.75" customHeight="1" x14ac:dyDescent="0.2">
      <c r="A232" s="4" t="s">
        <v>61</v>
      </c>
      <c r="B232" s="4" t="s">
        <v>361</v>
      </c>
      <c r="C232" s="4" t="s">
        <v>64</v>
      </c>
      <c r="D232" s="4" t="s">
        <v>218</v>
      </c>
      <c r="E232" s="4" t="s">
        <v>34</v>
      </c>
      <c r="F232" s="4" t="s">
        <v>35</v>
      </c>
      <c r="G232" s="4" t="s">
        <v>36</v>
      </c>
      <c r="H232" s="4" t="s">
        <v>278</v>
      </c>
      <c r="I232" s="4" t="s">
        <v>279</v>
      </c>
      <c r="J232" s="4" t="s">
        <v>280</v>
      </c>
      <c r="L232" s="4" t="s">
        <v>40</v>
      </c>
      <c r="M232" s="4">
        <v>1</v>
      </c>
      <c r="N232" s="4">
        <v>30</v>
      </c>
      <c r="O232" s="4">
        <v>30</v>
      </c>
      <c r="P232" s="4" t="s">
        <v>41</v>
      </c>
      <c r="Q232" s="4">
        <v>374.7</v>
      </c>
      <c r="R232" s="4">
        <v>374.7</v>
      </c>
      <c r="S232" s="4">
        <v>562.04999999999995</v>
      </c>
      <c r="T232" s="4">
        <v>11241</v>
      </c>
      <c r="U232" s="4">
        <v>5</v>
      </c>
      <c r="V232" s="4" t="s">
        <v>42</v>
      </c>
      <c r="X232" s="7" t="str">
        <f t="shared" si="0"/>
        <v>441811097</v>
      </c>
      <c r="Y232" s="8" t="str">
        <f t="shared" si="1"/>
        <v>DC</v>
      </c>
      <c r="Z232" s="8">
        <f t="shared" si="2"/>
        <v>0</v>
      </c>
      <c r="AA232" s="8">
        <f t="shared" si="3"/>
        <v>0</v>
      </c>
      <c r="AB232" s="8">
        <f t="shared" si="4"/>
        <v>0</v>
      </c>
      <c r="AC232" s="8">
        <f t="shared" si="5"/>
        <v>0</v>
      </c>
      <c r="AD232" s="8">
        <f t="shared" si="6"/>
        <v>30</v>
      </c>
      <c r="AE232" s="9" t="str" cm="1">
        <f t="array" ref="AE232">IFERROR(_xlfn.XLOOKUP(H232,Sheet1!$G:$G,Sheet1!$F:$F),IFERROR(_xlfn.XLOOKUP(1,(--($X$2:$X$1074=X232))*(--ISNUMBER(MATCH($H$2:$H$1074,Sheet1!$G:$G,0))),_xlfn.XLOOKUP($H$2:$H$1074,Sheet1!$G:$G,Sheet1!$F:$F,"")),"NOT FOUND"))</f>
        <v>GETKRTSFUT6089</v>
      </c>
      <c r="AF232" s="10" t="str">
        <f t="shared" si="13"/>
        <v>PINK</v>
      </c>
      <c r="AG232" s="11" t="str">
        <f t="shared" si="14"/>
        <v>HARIPAL</v>
      </c>
      <c r="AH232" s="9" t="str">
        <f>IF(OR(J232="",AE232="",AE232="NOT FOUND"),"",IF(Y232="RP",IFERROR(LEFT(_xlfn.XLOOKUP(AE232,Sheet1!$F:$F,Sheet1!$W:$W),FIND("-",_xlfn.XLOOKUP(AE232,Sheet1!$F:$F,Sheet1!$W:$W),FIND("-",_xlfn.XLOOKUP(AE232,Sheet1!$F:$F,Sheet1!$W:$W))+1))&amp;AE232,"NOT FOUND"),LEFT(J232,FIND("-",J232,FIND("-",J232)+1))&amp;AE232))</f>
        <v>KRTS-APWN26-GETKRTSFUT6089</v>
      </c>
    </row>
    <row r="233" spans="1:34" ht="15.75" customHeight="1" x14ac:dyDescent="0.2">
      <c r="A233" s="4" t="s">
        <v>61</v>
      </c>
      <c r="B233" s="4" t="s">
        <v>361</v>
      </c>
      <c r="C233" s="4" t="s">
        <v>64</v>
      </c>
      <c r="D233" s="4" t="s">
        <v>218</v>
      </c>
      <c r="E233" s="4" t="s">
        <v>34</v>
      </c>
      <c r="F233" s="4" t="s">
        <v>35</v>
      </c>
      <c r="G233" s="4" t="s">
        <v>43</v>
      </c>
      <c r="H233" s="4" t="s">
        <v>281</v>
      </c>
      <c r="I233" s="4" t="s">
        <v>282</v>
      </c>
      <c r="J233" s="4" t="s">
        <v>283</v>
      </c>
      <c r="L233" s="4" t="s">
        <v>40</v>
      </c>
      <c r="M233" s="4">
        <v>1</v>
      </c>
      <c r="N233" s="4">
        <v>135</v>
      </c>
      <c r="O233" s="4">
        <v>135</v>
      </c>
      <c r="P233" s="4" t="s">
        <v>41</v>
      </c>
      <c r="Q233" s="4">
        <v>374.7</v>
      </c>
      <c r="R233" s="4">
        <v>374.7</v>
      </c>
      <c r="S233" s="4">
        <v>2529.23</v>
      </c>
      <c r="T233" s="4">
        <v>50584.5</v>
      </c>
      <c r="U233" s="4">
        <v>5</v>
      </c>
      <c r="V233" s="4" t="s">
        <v>42</v>
      </c>
      <c r="X233" s="7" t="str">
        <f t="shared" si="0"/>
        <v>441811097</v>
      </c>
      <c r="Y233" s="8" t="str">
        <f t="shared" si="1"/>
        <v>DC</v>
      </c>
      <c r="Z233" s="8">
        <f t="shared" si="2"/>
        <v>0</v>
      </c>
      <c r="AA233" s="8">
        <f t="shared" si="3"/>
        <v>0</v>
      </c>
      <c r="AB233" s="8">
        <f t="shared" si="4"/>
        <v>135</v>
      </c>
      <c r="AC233" s="8">
        <f t="shared" si="5"/>
        <v>0</v>
      </c>
      <c r="AD233" s="8">
        <f t="shared" si="6"/>
        <v>0</v>
      </c>
      <c r="AE233" s="9" t="str" cm="1">
        <f t="array" ref="AE233">IFERROR(_xlfn.XLOOKUP(H233,Sheet1!$G:$G,Sheet1!$F:$F),IFERROR(_xlfn.XLOOKUP(1,(--($X$2:$X$1074=X233))*(--ISNUMBER(MATCH($H$2:$H$1074,Sheet1!$G:$G,0))),_xlfn.XLOOKUP($H$2:$H$1074,Sheet1!$G:$G,Sheet1!$F:$F,"")),"NOT FOUND"))</f>
        <v>GETKRTSFUT6089</v>
      </c>
      <c r="AF233" s="10" t="str">
        <f t="shared" si="13"/>
        <v>PINK</v>
      </c>
      <c r="AG233" s="11" t="str">
        <f t="shared" si="14"/>
        <v>HARIPAL</v>
      </c>
      <c r="AH233" s="9" t="str">
        <f>IF(OR(J233="",AE233="",AE233="NOT FOUND"),"",IF(Y233="RP",IFERROR(LEFT(_xlfn.XLOOKUP(AE233,Sheet1!$F:$F,Sheet1!$W:$W),FIND("-",_xlfn.XLOOKUP(AE233,Sheet1!$F:$F,Sheet1!$W:$W),FIND("-",_xlfn.XLOOKUP(AE233,Sheet1!$F:$F,Sheet1!$W:$W))+1))&amp;AE233,"NOT FOUND"),LEFT(J233,FIND("-",J233,FIND("-",J233)+1))&amp;AE233))</f>
        <v>KRTS-APWN26-GETKRTSFUT6089</v>
      </c>
    </row>
    <row r="234" spans="1:34" ht="15.75" customHeight="1" x14ac:dyDescent="0.2">
      <c r="A234" s="4" t="s">
        <v>61</v>
      </c>
      <c r="B234" s="4" t="s">
        <v>361</v>
      </c>
      <c r="C234" s="4" t="s">
        <v>64</v>
      </c>
      <c r="D234" s="4" t="s">
        <v>218</v>
      </c>
      <c r="E234" s="4" t="s">
        <v>34</v>
      </c>
      <c r="F234" s="4" t="s">
        <v>35</v>
      </c>
      <c r="G234" s="4" t="s">
        <v>47</v>
      </c>
      <c r="H234" s="4" t="s">
        <v>284</v>
      </c>
      <c r="I234" s="4" t="s">
        <v>285</v>
      </c>
      <c r="J234" s="4" t="s">
        <v>286</v>
      </c>
      <c r="L234" s="4" t="s">
        <v>40</v>
      </c>
      <c r="M234" s="4">
        <v>1</v>
      </c>
      <c r="N234" s="4">
        <v>135</v>
      </c>
      <c r="O234" s="4">
        <v>135</v>
      </c>
      <c r="P234" s="4" t="s">
        <v>41</v>
      </c>
      <c r="Q234" s="4">
        <v>374.7</v>
      </c>
      <c r="R234" s="4">
        <v>374.7</v>
      </c>
      <c r="S234" s="4">
        <v>2529.23</v>
      </c>
      <c r="T234" s="4">
        <v>50584.5</v>
      </c>
      <c r="U234" s="4">
        <v>5</v>
      </c>
      <c r="V234" s="4" t="s">
        <v>42</v>
      </c>
      <c r="X234" s="7" t="str">
        <f t="shared" si="0"/>
        <v>441811097</v>
      </c>
      <c r="Y234" s="8" t="str">
        <f t="shared" si="1"/>
        <v>DC</v>
      </c>
      <c r="Z234" s="8">
        <f t="shared" si="2"/>
        <v>0</v>
      </c>
      <c r="AA234" s="8">
        <f t="shared" si="3"/>
        <v>135</v>
      </c>
      <c r="AB234" s="8">
        <f t="shared" si="4"/>
        <v>0</v>
      </c>
      <c r="AC234" s="8">
        <f t="shared" si="5"/>
        <v>0</v>
      </c>
      <c r="AD234" s="8">
        <f t="shared" si="6"/>
        <v>0</v>
      </c>
      <c r="AE234" s="9" t="str" cm="1">
        <f t="array" ref="AE234">IFERROR(_xlfn.XLOOKUP(H234,Sheet1!$G:$G,Sheet1!$F:$F),IFERROR(_xlfn.XLOOKUP(1,(--($X$2:$X$1074=X234))*(--ISNUMBER(MATCH($H$2:$H$1074,Sheet1!$G:$G,0))),_xlfn.XLOOKUP($H$2:$H$1074,Sheet1!$G:$G,Sheet1!$F:$F,"")),"NOT FOUND"))</f>
        <v>GETKRTSFUT6089</v>
      </c>
      <c r="AF234" s="10" t="str">
        <f t="shared" si="13"/>
        <v>PINK</v>
      </c>
      <c r="AG234" s="11" t="str">
        <f t="shared" si="14"/>
        <v>HARIPAL</v>
      </c>
      <c r="AH234" s="9" t="str">
        <f>IF(OR(J234="",AE234="",AE234="NOT FOUND"),"",IF(Y234="RP",IFERROR(LEFT(_xlfn.XLOOKUP(AE234,Sheet1!$F:$F,Sheet1!$W:$W),FIND("-",_xlfn.XLOOKUP(AE234,Sheet1!$F:$F,Sheet1!$W:$W),FIND("-",_xlfn.XLOOKUP(AE234,Sheet1!$F:$F,Sheet1!$W:$W))+1))&amp;AE234,"NOT FOUND"),LEFT(J234,FIND("-",J234,FIND("-",J234)+1))&amp;AE234))</f>
        <v>KRTS-APWN26-GETKRTSFUT6089</v>
      </c>
    </row>
    <row r="235" spans="1:34" ht="15.75" customHeight="1" x14ac:dyDescent="0.2">
      <c r="A235" s="4" t="s">
        <v>61</v>
      </c>
      <c r="B235" s="4" t="s">
        <v>361</v>
      </c>
      <c r="C235" s="4" t="s">
        <v>64</v>
      </c>
      <c r="D235" s="4" t="s">
        <v>218</v>
      </c>
      <c r="E235" s="4" t="s">
        <v>34</v>
      </c>
      <c r="F235" s="4" t="s">
        <v>35</v>
      </c>
      <c r="G235" s="4" t="s">
        <v>51</v>
      </c>
      <c r="H235" s="4" t="s">
        <v>287</v>
      </c>
      <c r="I235" s="4" t="s">
        <v>288</v>
      </c>
      <c r="J235" s="4" t="s">
        <v>289</v>
      </c>
      <c r="L235" s="4" t="s">
        <v>40</v>
      </c>
      <c r="M235" s="4">
        <v>1</v>
      </c>
      <c r="N235" s="4">
        <v>30</v>
      </c>
      <c r="O235" s="4">
        <v>30</v>
      </c>
      <c r="P235" s="4" t="s">
        <v>41</v>
      </c>
      <c r="Q235" s="4">
        <v>374.7</v>
      </c>
      <c r="R235" s="4">
        <v>374.7</v>
      </c>
      <c r="S235" s="4">
        <v>562.04999999999995</v>
      </c>
      <c r="T235" s="4">
        <v>11241</v>
      </c>
      <c r="U235" s="4">
        <v>5</v>
      </c>
      <c r="V235" s="4" t="s">
        <v>42</v>
      </c>
      <c r="X235" s="7" t="str">
        <f t="shared" si="0"/>
        <v>441811097</v>
      </c>
      <c r="Y235" s="8" t="str">
        <f t="shared" si="1"/>
        <v>DC</v>
      </c>
      <c r="Z235" s="8">
        <f t="shared" si="2"/>
        <v>30</v>
      </c>
      <c r="AA235" s="8">
        <f t="shared" si="3"/>
        <v>0</v>
      </c>
      <c r="AB235" s="8">
        <f t="shared" si="4"/>
        <v>0</v>
      </c>
      <c r="AC235" s="8">
        <f t="shared" si="5"/>
        <v>0</v>
      </c>
      <c r="AD235" s="8">
        <f t="shared" si="6"/>
        <v>0</v>
      </c>
      <c r="AE235" s="9" t="str" cm="1">
        <f t="array" ref="AE235">IFERROR(_xlfn.XLOOKUP(H235,Sheet1!$G:$G,Sheet1!$F:$F),IFERROR(_xlfn.XLOOKUP(1,(--($X$2:$X$1074=X235))*(--ISNUMBER(MATCH($H$2:$H$1074,Sheet1!$G:$G,0))),_xlfn.XLOOKUP($H$2:$H$1074,Sheet1!$G:$G,Sheet1!$F:$F,"")),"NOT FOUND"))</f>
        <v>GETKRTSFUT6089</v>
      </c>
      <c r="AF235" s="10" t="str">
        <f t="shared" si="13"/>
        <v>PINK</v>
      </c>
      <c r="AG235" s="11" t="str">
        <f t="shared" si="14"/>
        <v>HARIPAL</v>
      </c>
      <c r="AH235" s="9" t="str">
        <f>IF(OR(J235="",AE235="",AE235="NOT FOUND"),"",IF(Y235="RP",IFERROR(LEFT(_xlfn.XLOOKUP(AE235,Sheet1!$F:$F,Sheet1!$W:$W),FIND("-",_xlfn.XLOOKUP(AE235,Sheet1!$F:$F,Sheet1!$W:$W),FIND("-",_xlfn.XLOOKUP(AE235,Sheet1!$F:$F,Sheet1!$W:$W))+1))&amp;AE235,"NOT FOUND"),LEFT(J235,FIND("-",J235,FIND("-",J235)+1))&amp;AE235))</f>
        <v>KRTS-APWN26-GETKRTSFUT6089</v>
      </c>
    </row>
    <row r="236" spans="1:34" ht="15.75" customHeight="1" x14ac:dyDescent="0.2">
      <c r="A236" s="4" t="s">
        <v>61</v>
      </c>
      <c r="B236" s="4" t="s">
        <v>361</v>
      </c>
      <c r="C236" s="4" t="s">
        <v>64</v>
      </c>
      <c r="D236" s="4" t="s">
        <v>218</v>
      </c>
      <c r="E236" s="4" t="s">
        <v>34</v>
      </c>
      <c r="F236" s="4" t="s">
        <v>35</v>
      </c>
      <c r="G236" s="4" t="s">
        <v>55</v>
      </c>
      <c r="H236" s="4" t="s">
        <v>290</v>
      </c>
      <c r="I236" s="4" t="s">
        <v>291</v>
      </c>
      <c r="J236" s="4" t="s">
        <v>292</v>
      </c>
      <c r="L236" s="4" t="s">
        <v>40</v>
      </c>
      <c r="M236" s="4">
        <v>1</v>
      </c>
      <c r="N236" s="4">
        <v>114</v>
      </c>
      <c r="O236" s="4">
        <v>114</v>
      </c>
      <c r="P236" s="4" t="s">
        <v>41</v>
      </c>
      <c r="Q236" s="4">
        <v>374.7</v>
      </c>
      <c r="R236" s="4">
        <v>374.7</v>
      </c>
      <c r="S236" s="4">
        <v>2135.79</v>
      </c>
      <c r="T236" s="4">
        <v>42715.8</v>
      </c>
      <c r="U236" s="4">
        <v>5</v>
      </c>
      <c r="V236" s="4" t="s">
        <v>42</v>
      </c>
      <c r="X236" s="7" t="str">
        <f t="shared" si="0"/>
        <v>441811097</v>
      </c>
      <c r="Y236" s="8" t="str">
        <f t="shared" si="1"/>
        <v>DC</v>
      </c>
      <c r="Z236" s="8">
        <f t="shared" si="2"/>
        <v>0</v>
      </c>
      <c r="AA236" s="8">
        <f t="shared" si="3"/>
        <v>0</v>
      </c>
      <c r="AB236" s="8">
        <f t="shared" si="4"/>
        <v>0</v>
      </c>
      <c r="AC236" s="8">
        <f t="shared" si="5"/>
        <v>114</v>
      </c>
      <c r="AD236" s="8">
        <f t="shared" si="6"/>
        <v>0</v>
      </c>
      <c r="AE236" s="9" t="str" cm="1">
        <f t="array" ref="AE236">IFERROR(_xlfn.XLOOKUP(H236,Sheet1!$G:$G,Sheet1!$F:$F),IFERROR(_xlfn.XLOOKUP(1,(--($X$2:$X$1074=X236))*(--ISNUMBER(MATCH($H$2:$H$1074,Sheet1!$G:$G,0))),_xlfn.XLOOKUP($H$2:$H$1074,Sheet1!$G:$G,Sheet1!$F:$F,"")),"NOT FOUND"))</f>
        <v>GETKRTSFUT6089</v>
      </c>
      <c r="AF236" s="10" t="str">
        <f t="shared" si="13"/>
        <v>PINK</v>
      </c>
      <c r="AG236" s="11" t="str">
        <f t="shared" si="14"/>
        <v>HARIPAL</v>
      </c>
      <c r="AH236" s="9" t="str">
        <f>IF(OR(J236="",AE236="",AE236="NOT FOUND"),"",IF(Y236="RP",IFERROR(LEFT(_xlfn.XLOOKUP(AE236,Sheet1!$F:$F,Sheet1!$W:$W),FIND("-",_xlfn.XLOOKUP(AE236,Sheet1!$F:$F,Sheet1!$W:$W),FIND("-",_xlfn.XLOOKUP(AE236,Sheet1!$F:$F,Sheet1!$W:$W))+1))&amp;AE236,"NOT FOUND"),LEFT(J236,FIND("-",J236,FIND("-",J236)+1))&amp;AE236))</f>
        <v>KRTS-APWN26-GETKRTSFUT6089</v>
      </c>
    </row>
    <row r="237" spans="1:34" ht="15.75" customHeight="1" x14ac:dyDescent="0.2">
      <c r="A237" s="4" t="s">
        <v>59</v>
      </c>
      <c r="B237" s="4" t="s">
        <v>362</v>
      </c>
      <c r="C237" s="4" t="s">
        <v>64</v>
      </c>
      <c r="D237" s="4" t="s">
        <v>327</v>
      </c>
      <c r="E237" s="4" t="s">
        <v>34</v>
      </c>
      <c r="F237" s="4" t="s">
        <v>35</v>
      </c>
      <c r="G237" s="4" t="s">
        <v>36</v>
      </c>
      <c r="H237" s="4" t="s">
        <v>328</v>
      </c>
      <c r="I237" s="4" t="s">
        <v>329</v>
      </c>
      <c r="J237" s="4" t="s">
        <v>330</v>
      </c>
      <c r="L237" s="4" t="s">
        <v>40</v>
      </c>
      <c r="M237" s="4">
        <v>1</v>
      </c>
      <c r="N237" s="4">
        <v>30</v>
      </c>
      <c r="O237" s="4">
        <v>30</v>
      </c>
      <c r="P237" s="4" t="s">
        <v>41</v>
      </c>
      <c r="Q237" s="4">
        <v>374.7</v>
      </c>
      <c r="R237" s="4">
        <v>374.7</v>
      </c>
      <c r="S237" s="4">
        <v>562.04999999999995</v>
      </c>
      <c r="T237" s="4">
        <v>11241</v>
      </c>
      <c r="U237" s="4">
        <v>5</v>
      </c>
      <c r="V237" s="4" t="s">
        <v>42</v>
      </c>
      <c r="X237" s="7" t="str">
        <f t="shared" si="0"/>
        <v>441811094</v>
      </c>
      <c r="Y237" s="8" t="str">
        <f t="shared" si="1"/>
        <v>DC</v>
      </c>
      <c r="Z237" s="8">
        <f t="shared" si="2"/>
        <v>0</v>
      </c>
      <c r="AA237" s="8">
        <f t="shared" si="3"/>
        <v>0</v>
      </c>
      <c r="AB237" s="8">
        <f t="shared" si="4"/>
        <v>0</v>
      </c>
      <c r="AC237" s="8">
        <f t="shared" si="5"/>
        <v>0</v>
      </c>
      <c r="AD237" s="8">
        <f t="shared" si="6"/>
        <v>30</v>
      </c>
      <c r="AE237" s="9" t="str" cm="1">
        <f t="array" ref="AE237">IFERROR(_xlfn.XLOOKUP(H237,Sheet1!$G:$G,Sheet1!$F:$F),IFERROR(_xlfn.XLOOKUP(1,(--($X$2:$X$1074=X237))*(--ISNUMBER(MATCH($H$2:$H$1074,Sheet1!$G:$G,0))),_xlfn.XLOOKUP($H$2:$H$1074,Sheet1!$G:$G,Sheet1!$F:$F,"")),"NOT FOUND"))</f>
        <v>GETKRTSFUT6002</v>
      </c>
      <c r="AF237" s="10" t="str">
        <f t="shared" si="13"/>
        <v>MUSTARD</v>
      </c>
      <c r="AG237" s="11" t="str">
        <f t="shared" si="14"/>
        <v>JHAJJAR</v>
      </c>
      <c r="AH237" s="9" t="str">
        <f>IF(OR(J237="",AE237="",AE237="NOT FOUND"),"",IF(Y237="RP",IFERROR(LEFT(_xlfn.XLOOKUP(AE237,Sheet1!$F:$F,Sheet1!$W:$W),FIND("-",_xlfn.XLOOKUP(AE237,Sheet1!$F:$F,Sheet1!$W:$W),FIND("-",_xlfn.XLOOKUP(AE237,Sheet1!$F:$F,Sheet1!$W:$W))+1))&amp;AE237,"NOT FOUND"),LEFT(J237,FIND("-",J237,FIND("-",J237)+1))&amp;AE237))</f>
        <v>KRTS-APWN26-GETKRTSFUT6002</v>
      </c>
    </row>
    <row r="238" spans="1:34" ht="15.75" customHeight="1" x14ac:dyDescent="0.2">
      <c r="A238" s="4" t="s">
        <v>59</v>
      </c>
      <c r="B238" s="4" t="s">
        <v>362</v>
      </c>
      <c r="C238" s="4" t="s">
        <v>64</v>
      </c>
      <c r="D238" s="4" t="s">
        <v>327</v>
      </c>
      <c r="E238" s="4" t="s">
        <v>34</v>
      </c>
      <c r="F238" s="4" t="s">
        <v>35</v>
      </c>
      <c r="G238" s="4" t="s">
        <v>43</v>
      </c>
      <c r="H238" s="4" t="s">
        <v>331</v>
      </c>
      <c r="I238" s="4" t="s">
        <v>332</v>
      </c>
      <c r="J238" s="4" t="s">
        <v>333</v>
      </c>
      <c r="L238" s="4" t="s">
        <v>40</v>
      </c>
      <c r="M238" s="4">
        <v>1</v>
      </c>
      <c r="N238" s="4">
        <v>119</v>
      </c>
      <c r="O238" s="4">
        <v>119</v>
      </c>
      <c r="P238" s="4" t="s">
        <v>41</v>
      </c>
      <c r="Q238" s="4">
        <v>374.7</v>
      </c>
      <c r="R238" s="4">
        <v>374.7</v>
      </c>
      <c r="S238" s="4">
        <v>2229.4699999999998</v>
      </c>
      <c r="T238" s="4">
        <v>44589.3</v>
      </c>
      <c r="U238" s="4">
        <v>5</v>
      </c>
      <c r="V238" s="4" t="s">
        <v>42</v>
      </c>
      <c r="X238" s="7" t="str">
        <f t="shared" si="0"/>
        <v>441811094</v>
      </c>
      <c r="Y238" s="8" t="str">
        <f t="shared" si="1"/>
        <v>DC</v>
      </c>
      <c r="Z238" s="8">
        <f t="shared" si="2"/>
        <v>0</v>
      </c>
      <c r="AA238" s="8">
        <f t="shared" si="3"/>
        <v>0</v>
      </c>
      <c r="AB238" s="8">
        <f t="shared" si="4"/>
        <v>119</v>
      </c>
      <c r="AC238" s="8">
        <f t="shared" si="5"/>
        <v>0</v>
      </c>
      <c r="AD238" s="8">
        <f t="shared" si="6"/>
        <v>0</v>
      </c>
      <c r="AE238" s="9" t="str" cm="1">
        <f t="array" ref="AE238">IFERROR(_xlfn.XLOOKUP(H238,Sheet1!$G:$G,Sheet1!$F:$F),IFERROR(_xlfn.XLOOKUP(1,(--($X$2:$X$1074=X238))*(--ISNUMBER(MATCH($H$2:$H$1074,Sheet1!$G:$G,0))),_xlfn.XLOOKUP($H$2:$H$1074,Sheet1!$G:$G,Sheet1!$F:$F,"")),"NOT FOUND"))</f>
        <v>GETKRTSFUT6002</v>
      </c>
      <c r="AF238" s="10" t="str">
        <f t="shared" si="13"/>
        <v>MUSTARD</v>
      </c>
      <c r="AG238" s="11" t="str">
        <f t="shared" si="14"/>
        <v>JHAJJAR</v>
      </c>
      <c r="AH238" s="9" t="str">
        <f>IF(OR(J238="",AE238="",AE238="NOT FOUND"),"",IF(Y238="RP",IFERROR(LEFT(_xlfn.XLOOKUP(AE238,Sheet1!$F:$F,Sheet1!$W:$W),FIND("-",_xlfn.XLOOKUP(AE238,Sheet1!$F:$F,Sheet1!$W:$W),FIND("-",_xlfn.XLOOKUP(AE238,Sheet1!$F:$F,Sheet1!$W:$W))+1))&amp;AE238,"NOT FOUND"),LEFT(J238,FIND("-",J238,FIND("-",J238)+1))&amp;AE238))</f>
        <v>KRTS-APWN26-GETKRTSFUT6002</v>
      </c>
    </row>
    <row r="239" spans="1:34" ht="15.75" customHeight="1" x14ac:dyDescent="0.2">
      <c r="A239" s="4" t="s">
        <v>59</v>
      </c>
      <c r="B239" s="4" t="s">
        <v>362</v>
      </c>
      <c r="C239" s="4" t="s">
        <v>64</v>
      </c>
      <c r="D239" s="4" t="s">
        <v>327</v>
      </c>
      <c r="E239" s="4" t="s">
        <v>34</v>
      </c>
      <c r="F239" s="4" t="s">
        <v>35</v>
      </c>
      <c r="G239" s="4" t="s">
        <v>47</v>
      </c>
      <c r="H239" s="4" t="s">
        <v>334</v>
      </c>
      <c r="I239" s="4" t="s">
        <v>335</v>
      </c>
      <c r="J239" s="4" t="s">
        <v>336</v>
      </c>
      <c r="L239" s="4" t="s">
        <v>40</v>
      </c>
      <c r="M239" s="4">
        <v>1</v>
      </c>
      <c r="N239" s="4">
        <v>119</v>
      </c>
      <c r="O239" s="4">
        <v>119</v>
      </c>
      <c r="P239" s="4" t="s">
        <v>41</v>
      </c>
      <c r="Q239" s="4">
        <v>374.7</v>
      </c>
      <c r="R239" s="4">
        <v>374.7</v>
      </c>
      <c r="S239" s="4">
        <v>2229.4699999999998</v>
      </c>
      <c r="T239" s="4">
        <v>44589.3</v>
      </c>
      <c r="U239" s="4">
        <v>5</v>
      </c>
      <c r="V239" s="4" t="s">
        <v>42</v>
      </c>
      <c r="X239" s="7" t="str">
        <f t="shared" si="0"/>
        <v>441811094</v>
      </c>
      <c r="Y239" s="8" t="str">
        <f t="shared" si="1"/>
        <v>DC</v>
      </c>
      <c r="Z239" s="8">
        <f t="shared" si="2"/>
        <v>0</v>
      </c>
      <c r="AA239" s="8">
        <f t="shared" si="3"/>
        <v>119</v>
      </c>
      <c r="AB239" s="8">
        <f t="shared" si="4"/>
        <v>0</v>
      </c>
      <c r="AC239" s="8">
        <f t="shared" si="5"/>
        <v>0</v>
      </c>
      <c r="AD239" s="8">
        <f t="shared" si="6"/>
        <v>0</v>
      </c>
      <c r="AE239" s="9" t="str" cm="1">
        <f t="array" ref="AE239">IFERROR(_xlfn.XLOOKUP(H239,Sheet1!$G:$G,Sheet1!$F:$F),IFERROR(_xlfn.XLOOKUP(1,(--($X$2:$X$1074=X239))*(--ISNUMBER(MATCH($H$2:$H$1074,Sheet1!$G:$G,0))),_xlfn.XLOOKUP($H$2:$H$1074,Sheet1!$G:$G,Sheet1!$F:$F,"")),"NOT FOUND"))</f>
        <v>GETKRTSFUT6002</v>
      </c>
      <c r="AF239" s="10" t="str">
        <f t="shared" si="13"/>
        <v>MUSTARD</v>
      </c>
      <c r="AG239" s="11" t="str">
        <f t="shared" si="14"/>
        <v>JHAJJAR</v>
      </c>
      <c r="AH239" s="9" t="str">
        <f>IF(OR(J239="",AE239="",AE239="NOT FOUND"),"",IF(Y239="RP",IFERROR(LEFT(_xlfn.XLOOKUP(AE239,Sheet1!$F:$F,Sheet1!$W:$W),FIND("-",_xlfn.XLOOKUP(AE239,Sheet1!$F:$F,Sheet1!$W:$W),FIND("-",_xlfn.XLOOKUP(AE239,Sheet1!$F:$F,Sheet1!$W:$W))+1))&amp;AE239,"NOT FOUND"),LEFT(J239,FIND("-",J239,FIND("-",J239)+1))&amp;AE239))</f>
        <v>KRTS-APWN26-GETKRTSFUT6002</v>
      </c>
    </row>
    <row r="240" spans="1:34" ht="15.75" customHeight="1" x14ac:dyDescent="0.2">
      <c r="A240" s="4" t="s">
        <v>59</v>
      </c>
      <c r="B240" s="4" t="s">
        <v>362</v>
      </c>
      <c r="C240" s="4" t="s">
        <v>64</v>
      </c>
      <c r="D240" s="4" t="s">
        <v>327</v>
      </c>
      <c r="E240" s="4" t="s">
        <v>34</v>
      </c>
      <c r="F240" s="4" t="s">
        <v>35</v>
      </c>
      <c r="G240" s="4" t="s">
        <v>51</v>
      </c>
      <c r="H240" s="4" t="s">
        <v>337</v>
      </c>
      <c r="I240" s="4" t="s">
        <v>338</v>
      </c>
      <c r="J240" s="4" t="s">
        <v>339</v>
      </c>
      <c r="L240" s="4" t="s">
        <v>40</v>
      </c>
      <c r="M240" s="4">
        <v>1</v>
      </c>
      <c r="N240" s="4">
        <v>30</v>
      </c>
      <c r="O240" s="4">
        <v>30</v>
      </c>
      <c r="P240" s="4" t="s">
        <v>41</v>
      </c>
      <c r="Q240" s="4">
        <v>374.7</v>
      </c>
      <c r="R240" s="4">
        <v>374.7</v>
      </c>
      <c r="S240" s="4">
        <v>562.04999999999995</v>
      </c>
      <c r="T240" s="4">
        <v>11241</v>
      </c>
      <c r="U240" s="4">
        <v>5</v>
      </c>
      <c r="V240" s="4" t="s">
        <v>42</v>
      </c>
      <c r="X240" s="7" t="str">
        <f t="shared" si="0"/>
        <v>441811094</v>
      </c>
      <c r="Y240" s="8" t="str">
        <f t="shared" si="1"/>
        <v>DC</v>
      </c>
      <c r="Z240" s="8">
        <f t="shared" si="2"/>
        <v>30</v>
      </c>
      <c r="AA240" s="8">
        <f t="shared" si="3"/>
        <v>0</v>
      </c>
      <c r="AB240" s="8">
        <f t="shared" si="4"/>
        <v>0</v>
      </c>
      <c r="AC240" s="8">
        <f t="shared" si="5"/>
        <v>0</v>
      </c>
      <c r="AD240" s="8">
        <f t="shared" si="6"/>
        <v>0</v>
      </c>
      <c r="AE240" s="9" t="str" cm="1">
        <f t="array" ref="AE240">IFERROR(_xlfn.XLOOKUP(H240,Sheet1!$G:$G,Sheet1!$F:$F),IFERROR(_xlfn.XLOOKUP(1,(--($X$2:$X$1074=X240))*(--ISNUMBER(MATCH($H$2:$H$1074,Sheet1!$G:$G,0))),_xlfn.XLOOKUP($H$2:$H$1074,Sheet1!$G:$G,Sheet1!$F:$F,"")),"NOT FOUND"))</f>
        <v>GETKRTSFUT6002</v>
      </c>
      <c r="AF240" s="10" t="str">
        <f t="shared" si="13"/>
        <v>MUSTARD</v>
      </c>
      <c r="AG240" s="11" t="str">
        <f t="shared" si="14"/>
        <v>JHAJJAR</v>
      </c>
      <c r="AH240" s="9" t="str">
        <f>IF(OR(J240="",AE240="",AE240="NOT FOUND"),"",IF(Y240="RP",IFERROR(LEFT(_xlfn.XLOOKUP(AE240,Sheet1!$F:$F,Sheet1!$W:$W),FIND("-",_xlfn.XLOOKUP(AE240,Sheet1!$F:$F,Sheet1!$W:$W),FIND("-",_xlfn.XLOOKUP(AE240,Sheet1!$F:$F,Sheet1!$W:$W))+1))&amp;AE240,"NOT FOUND"),LEFT(J240,FIND("-",J240,FIND("-",J240)+1))&amp;AE240))</f>
        <v>KRTS-APWN26-GETKRTSFUT6002</v>
      </c>
    </row>
    <row r="241" spans="1:34" ht="15.75" customHeight="1" x14ac:dyDescent="0.2">
      <c r="A241" s="4" t="s">
        <v>59</v>
      </c>
      <c r="B241" s="4" t="s">
        <v>362</v>
      </c>
      <c r="C241" s="4" t="s">
        <v>64</v>
      </c>
      <c r="D241" s="4" t="s">
        <v>327</v>
      </c>
      <c r="E241" s="4" t="s">
        <v>34</v>
      </c>
      <c r="F241" s="4" t="s">
        <v>35</v>
      </c>
      <c r="G241" s="4" t="s">
        <v>55</v>
      </c>
      <c r="H241" s="4" t="s">
        <v>340</v>
      </c>
      <c r="I241" s="4" t="s">
        <v>341</v>
      </c>
      <c r="J241" s="4" t="s">
        <v>342</v>
      </c>
      <c r="L241" s="4" t="s">
        <v>40</v>
      </c>
      <c r="M241" s="4">
        <v>1</v>
      </c>
      <c r="N241" s="4">
        <v>100</v>
      </c>
      <c r="O241" s="4">
        <v>100</v>
      </c>
      <c r="P241" s="4" t="s">
        <v>41</v>
      </c>
      <c r="Q241" s="4">
        <v>374.7</v>
      </c>
      <c r="R241" s="4">
        <v>374.7</v>
      </c>
      <c r="S241" s="4">
        <v>1873.5</v>
      </c>
      <c r="T241" s="4">
        <v>37470</v>
      </c>
      <c r="U241" s="4">
        <v>5</v>
      </c>
      <c r="V241" s="4" t="s">
        <v>42</v>
      </c>
      <c r="X241" s="7" t="str">
        <f t="shared" si="0"/>
        <v>441811094</v>
      </c>
      <c r="Y241" s="8" t="str">
        <f t="shared" si="1"/>
        <v>DC</v>
      </c>
      <c r="Z241" s="8">
        <f t="shared" si="2"/>
        <v>0</v>
      </c>
      <c r="AA241" s="8">
        <f t="shared" si="3"/>
        <v>0</v>
      </c>
      <c r="AB241" s="8">
        <f t="shared" si="4"/>
        <v>0</v>
      </c>
      <c r="AC241" s="8">
        <f t="shared" si="5"/>
        <v>100</v>
      </c>
      <c r="AD241" s="8">
        <f t="shared" si="6"/>
        <v>0</v>
      </c>
      <c r="AE241" s="9" t="str" cm="1">
        <f t="array" ref="AE241">IFERROR(_xlfn.XLOOKUP(H241,Sheet1!$G:$G,Sheet1!$F:$F),IFERROR(_xlfn.XLOOKUP(1,(--($X$2:$X$1074=X241))*(--ISNUMBER(MATCH($H$2:$H$1074,Sheet1!$G:$G,0))),_xlfn.XLOOKUP($H$2:$H$1074,Sheet1!$G:$G,Sheet1!$F:$F,"")),"NOT FOUND"))</f>
        <v>GETKRTSFUT6002</v>
      </c>
      <c r="AF241" s="10" t="str">
        <f t="shared" si="13"/>
        <v>MUSTARD</v>
      </c>
      <c r="AG241" s="11" t="str">
        <f t="shared" si="14"/>
        <v>JHAJJAR</v>
      </c>
      <c r="AH241" s="9" t="str">
        <f>IF(OR(J241="",AE241="",AE241="NOT FOUND"),"",IF(Y241="RP",IFERROR(LEFT(_xlfn.XLOOKUP(AE241,Sheet1!$F:$F,Sheet1!$W:$W),FIND("-",_xlfn.XLOOKUP(AE241,Sheet1!$F:$F,Sheet1!$W:$W),FIND("-",_xlfn.XLOOKUP(AE241,Sheet1!$F:$F,Sheet1!$W:$W))+1))&amp;AE241,"NOT FOUND"),LEFT(J241,FIND("-",J241,FIND("-",J241)+1))&amp;AE241))</f>
        <v>KRTS-APWN26-GETKRTSFUT6002</v>
      </c>
    </row>
    <row r="242" spans="1:34" ht="15.75" customHeight="1" x14ac:dyDescent="0.2">
      <c r="A242" s="4" t="s">
        <v>59</v>
      </c>
      <c r="B242" s="4" t="s">
        <v>363</v>
      </c>
      <c r="C242" s="4" t="s">
        <v>64</v>
      </c>
      <c r="D242" s="4" t="s">
        <v>327</v>
      </c>
      <c r="E242" s="4" t="s">
        <v>34</v>
      </c>
      <c r="F242" s="4" t="s">
        <v>35</v>
      </c>
      <c r="G242" s="4" t="s">
        <v>36</v>
      </c>
      <c r="H242" s="4" t="s">
        <v>344</v>
      </c>
      <c r="I242" s="4" t="s">
        <v>345</v>
      </c>
      <c r="J242" s="4" t="s">
        <v>346</v>
      </c>
      <c r="L242" s="4" t="s">
        <v>40</v>
      </c>
      <c r="M242" s="4">
        <v>1</v>
      </c>
      <c r="N242" s="4">
        <v>30</v>
      </c>
      <c r="O242" s="4">
        <v>30</v>
      </c>
      <c r="P242" s="4" t="s">
        <v>41</v>
      </c>
      <c r="Q242" s="4">
        <v>374.7</v>
      </c>
      <c r="R242" s="4">
        <v>374.7</v>
      </c>
      <c r="S242" s="4">
        <v>562.04999999999995</v>
      </c>
      <c r="T242" s="4">
        <v>11241</v>
      </c>
      <c r="U242" s="4">
        <v>5</v>
      </c>
      <c r="V242" s="4" t="s">
        <v>42</v>
      </c>
      <c r="X242" s="7" t="str">
        <f t="shared" si="0"/>
        <v>441811094</v>
      </c>
      <c r="Y242" s="8" t="str">
        <f t="shared" si="1"/>
        <v>DC</v>
      </c>
      <c r="Z242" s="8">
        <f t="shared" si="2"/>
        <v>0</v>
      </c>
      <c r="AA242" s="8">
        <f t="shared" si="3"/>
        <v>0</v>
      </c>
      <c r="AB242" s="8">
        <f t="shared" si="4"/>
        <v>0</v>
      </c>
      <c r="AC242" s="8">
        <f t="shared" si="5"/>
        <v>0</v>
      </c>
      <c r="AD242" s="8">
        <f t="shared" si="6"/>
        <v>30</v>
      </c>
      <c r="AE242" s="9" t="str" cm="1">
        <f t="array" ref="AE242">IFERROR(_xlfn.XLOOKUP(H242,Sheet1!$G:$G,Sheet1!$F:$F),IFERROR(_xlfn.XLOOKUP(1,(--($X$2:$X$1074=X242))*(--ISNUMBER(MATCH($H$2:$H$1074,Sheet1!$G:$G,0))),_xlfn.XLOOKUP($H$2:$H$1074,Sheet1!$G:$G,Sheet1!$F:$F,"")),"NOT FOUND"))</f>
        <v>GETKRTSFUT6002</v>
      </c>
      <c r="AF242" s="10" t="str">
        <f t="shared" si="13"/>
        <v>MAROON</v>
      </c>
      <c r="AG242" s="11" t="str">
        <f t="shared" si="14"/>
        <v>JHAJJAR</v>
      </c>
      <c r="AH242" s="9" t="str">
        <f>IF(OR(J242="",AE242="",AE242="NOT FOUND"),"",IF(Y242="RP",IFERROR(LEFT(_xlfn.XLOOKUP(AE242,Sheet1!$F:$F,Sheet1!$W:$W),FIND("-",_xlfn.XLOOKUP(AE242,Sheet1!$F:$F,Sheet1!$W:$W),FIND("-",_xlfn.XLOOKUP(AE242,Sheet1!$F:$F,Sheet1!$W:$W))+1))&amp;AE242,"NOT FOUND"),LEFT(J242,FIND("-",J242,FIND("-",J242)+1))&amp;AE242))</f>
        <v>KRTS-APWN26-GETKRTSFUT6002</v>
      </c>
    </row>
    <row r="243" spans="1:34" ht="15.75" customHeight="1" x14ac:dyDescent="0.2">
      <c r="A243" s="4" t="s">
        <v>59</v>
      </c>
      <c r="B243" s="4" t="s">
        <v>363</v>
      </c>
      <c r="C243" s="4" t="s">
        <v>64</v>
      </c>
      <c r="D243" s="4" t="s">
        <v>327</v>
      </c>
      <c r="E243" s="4" t="s">
        <v>34</v>
      </c>
      <c r="F243" s="4" t="s">
        <v>35</v>
      </c>
      <c r="G243" s="4" t="s">
        <v>43</v>
      </c>
      <c r="H243" s="4" t="s">
        <v>347</v>
      </c>
      <c r="I243" s="4" t="s">
        <v>348</v>
      </c>
      <c r="J243" s="4" t="s">
        <v>349</v>
      </c>
      <c r="L243" s="4" t="s">
        <v>40</v>
      </c>
      <c r="M243" s="4">
        <v>1</v>
      </c>
      <c r="N243" s="4">
        <v>119</v>
      </c>
      <c r="O243" s="4">
        <v>119</v>
      </c>
      <c r="P243" s="4" t="s">
        <v>41</v>
      </c>
      <c r="Q243" s="4">
        <v>374.7</v>
      </c>
      <c r="R243" s="4">
        <v>374.7</v>
      </c>
      <c r="S243" s="4">
        <v>2229.4699999999998</v>
      </c>
      <c r="T243" s="4">
        <v>44589.3</v>
      </c>
      <c r="U243" s="4">
        <v>5</v>
      </c>
      <c r="V243" s="4" t="s">
        <v>42</v>
      </c>
      <c r="X243" s="7" t="str">
        <f t="shared" si="0"/>
        <v>441811094</v>
      </c>
      <c r="Y243" s="8" t="str">
        <f t="shared" si="1"/>
        <v>DC</v>
      </c>
      <c r="Z243" s="8">
        <f t="shared" si="2"/>
        <v>0</v>
      </c>
      <c r="AA243" s="8">
        <f t="shared" si="3"/>
        <v>0</v>
      </c>
      <c r="AB243" s="8">
        <f t="shared" si="4"/>
        <v>119</v>
      </c>
      <c r="AC243" s="8">
        <f t="shared" si="5"/>
        <v>0</v>
      </c>
      <c r="AD243" s="8">
        <f t="shared" si="6"/>
        <v>0</v>
      </c>
      <c r="AE243" s="9" t="str" cm="1">
        <f t="array" ref="AE243">IFERROR(_xlfn.XLOOKUP(H243,Sheet1!$G:$G,Sheet1!$F:$F),IFERROR(_xlfn.XLOOKUP(1,(--($X$2:$X$1074=X243))*(--ISNUMBER(MATCH($H$2:$H$1074,Sheet1!$G:$G,0))),_xlfn.XLOOKUP($H$2:$H$1074,Sheet1!$G:$G,Sheet1!$F:$F,"")),"NOT FOUND"))</f>
        <v>GETKRTSFUT6002</v>
      </c>
      <c r="AF243" s="10" t="str">
        <f t="shared" si="13"/>
        <v>MAROON</v>
      </c>
      <c r="AG243" s="11" t="str">
        <f t="shared" si="14"/>
        <v>JHAJJAR</v>
      </c>
      <c r="AH243" s="9" t="str">
        <f>IF(OR(J243="",AE243="",AE243="NOT FOUND"),"",IF(Y243="RP",IFERROR(LEFT(_xlfn.XLOOKUP(AE243,Sheet1!$F:$F,Sheet1!$W:$W),FIND("-",_xlfn.XLOOKUP(AE243,Sheet1!$F:$F,Sheet1!$W:$W),FIND("-",_xlfn.XLOOKUP(AE243,Sheet1!$F:$F,Sheet1!$W:$W))+1))&amp;AE243,"NOT FOUND"),LEFT(J243,FIND("-",J243,FIND("-",J243)+1))&amp;AE243))</f>
        <v>KRTS-APWN26-GETKRTSFUT6002</v>
      </c>
    </row>
    <row r="244" spans="1:34" ht="15.75" customHeight="1" x14ac:dyDescent="0.2">
      <c r="A244" s="4" t="s">
        <v>59</v>
      </c>
      <c r="B244" s="4" t="s">
        <v>363</v>
      </c>
      <c r="C244" s="4" t="s">
        <v>64</v>
      </c>
      <c r="D244" s="4" t="s">
        <v>327</v>
      </c>
      <c r="E244" s="4" t="s">
        <v>34</v>
      </c>
      <c r="F244" s="4" t="s">
        <v>35</v>
      </c>
      <c r="G244" s="4" t="s">
        <v>47</v>
      </c>
      <c r="H244" s="4" t="s">
        <v>350</v>
      </c>
      <c r="I244" s="4" t="s">
        <v>351</v>
      </c>
      <c r="J244" s="4" t="s">
        <v>352</v>
      </c>
      <c r="L244" s="4" t="s">
        <v>40</v>
      </c>
      <c r="M244" s="4">
        <v>1</v>
      </c>
      <c r="N244" s="4">
        <v>119</v>
      </c>
      <c r="O244" s="4">
        <v>119</v>
      </c>
      <c r="P244" s="4" t="s">
        <v>41</v>
      </c>
      <c r="Q244" s="4">
        <v>374.7</v>
      </c>
      <c r="R244" s="4">
        <v>374.7</v>
      </c>
      <c r="S244" s="4">
        <v>2229.4699999999998</v>
      </c>
      <c r="T244" s="4">
        <v>44589.3</v>
      </c>
      <c r="U244" s="4">
        <v>5</v>
      </c>
      <c r="V244" s="4" t="s">
        <v>42</v>
      </c>
      <c r="X244" s="7" t="str">
        <f t="shared" si="0"/>
        <v>441811094</v>
      </c>
      <c r="Y244" s="8" t="str">
        <f t="shared" si="1"/>
        <v>DC</v>
      </c>
      <c r="Z244" s="8">
        <f t="shared" si="2"/>
        <v>0</v>
      </c>
      <c r="AA244" s="8">
        <f t="shared" si="3"/>
        <v>119</v>
      </c>
      <c r="AB244" s="8">
        <f t="shared" si="4"/>
        <v>0</v>
      </c>
      <c r="AC244" s="8">
        <f t="shared" si="5"/>
        <v>0</v>
      </c>
      <c r="AD244" s="8">
        <f t="shared" si="6"/>
        <v>0</v>
      </c>
      <c r="AE244" s="9" t="str" cm="1">
        <f t="array" ref="AE244">IFERROR(_xlfn.XLOOKUP(H244,Sheet1!$G:$G,Sheet1!$F:$F),IFERROR(_xlfn.XLOOKUP(1,(--($X$2:$X$1074=X244))*(--ISNUMBER(MATCH($H$2:$H$1074,Sheet1!$G:$G,0))),_xlfn.XLOOKUP($H$2:$H$1074,Sheet1!$G:$G,Sheet1!$F:$F,"")),"NOT FOUND"))</f>
        <v>GETKRTSFUT6002</v>
      </c>
      <c r="AF244" s="10" t="str">
        <f t="shared" si="13"/>
        <v>MAROON</v>
      </c>
      <c r="AG244" s="11" t="str">
        <f t="shared" si="14"/>
        <v>JHAJJAR</v>
      </c>
      <c r="AH244" s="9" t="str">
        <f>IF(OR(J244="",AE244="",AE244="NOT FOUND"),"",IF(Y244="RP",IFERROR(LEFT(_xlfn.XLOOKUP(AE244,Sheet1!$F:$F,Sheet1!$W:$W),FIND("-",_xlfn.XLOOKUP(AE244,Sheet1!$F:$F,Sheet1!$W:$W),FIND("-",_xlfn.XLOOKUP(AE244,Sheet1!$F:$F,Sheet1!$W:$W))+1))&amp;AE244,"NOT FOUND"),LEFT(J244,FIND("-",J244,FIND("-",J244)+1))&amp;AE244))</f>
        <v>KRTS-APWN26-GETKRTSFUT6002</v>
      </c>
    </row>
    <row r="245" spans="1:34" ht="15.75" customHeight="1" x14ac:dyDescent="0.2">
      <c r="A245" s="4" t="s">
        <v>59</v>
      </c>
      <c r="B245" s="4" t="s">
        <v>363</v>
      </c>
      <c r="C245" s="4" t="s">
        <v>64</v>
      </c>
      <c r="D245" s="4" t="s">
        <v>327</v>
      </c>
      <c r="E245" s="4" t="s">
        <v>34</v>
      </c>
      <c r="F245" s="4" t="s">
        <v>35</v>
      </c>
      <c r="G245" s="4" t="s">
        <v>51</v>
      </c>
      <c r="H245" s="4" t="s">
        <v>353</v>
      </c>
      <c r="I245" s="4" t="s">
        <v>354</v>
      </c>
      <c r="J245" s="4" t="s">
        <v>355</v>
      </c>
      <c r="L245" s="4" t="s">
        <v>40</v>
      </c>
      <c r="M245" s="4">
        <v>1</v>
      </c>
      <c r="N245" s="4">
        <v>30</v>
      </c>
      <c r="O245" s="4">
        <v>30</v>
      </c>
      <c r="P245" s="4" t="s">
        <v>41</v>
      </c>
      <c r="Q245" s="4">
        <v>374.7</v>
      </c>
      <c r="R245" s="4">
        <v>374.7</v>
      </c>
      <c r="S245" s="4">
        <v>562.04999999999995</v>
      </c>
      <c r="T245" s="4">
        <v>11241</v>
      </c>
      <c r="U245" s="4">
        <v>5</v>
      </c>
      <c r="V245" s="4" t="s">
        <v>42</v>
      </c>
      <c r="X245" s="7" t="str">
        <f t="shared" si="0"/>
        <v>441811094</v>
      </c>
      <c r="Y245" s="8" t="str">
        <f t="shared" si="1"/>
        <v>DC</v>
      </c>
      <c r="Z245" s="8">
        <f t="shared" si="2"/>
        <v>30</v>
      </c>
      <c r="AA245" s="8">
        <f t="shared" si="3"/>
        <v>0</v>
      </c>
      <c r="AB245" s="8">
        <f t="shared" si="4"/>
        <v>0</v>
      </c>
      <c r="AC245" s="8">
        <f t="shared" si="5"/>
        <v>0</v>
      </c>
      <c r="AD245" s="8">
        <f t="shared" si="6"/>
        <v>0</v>
      </c>
      <c r="AE245" s="9" t="str" cm="1">
        <f t="array" ref="AE245">IFERROR(_xlfn.XLOOKUP(H245,Sheet1!$G:$G,Sheet1!$F:$F),IFERROR(_xlfn.XLOOKUP(1,(--($X$2:$X$1074=X245))*(--ISNUMBER(MATCH($H$2:$H$1074,Sheet1!$G:$G,0))),_xlfn.XLOOKUP($H$2:$H$1074,Sheet1!$G:$G,Sheet1!$F:$F,"")),"NOT FOUND"))</f>
        <v>GETKRTSFUT6002</v>
      </c>
      <c r="AF245" s="10" t="str">
        <f t="shared" si="13"/>
        <v>MAROON</v>
      </c>
      <c r="AG245" s="11" t="str">
        <f t="shared" si="14"/>
        <v>JHAJJAR</v>
      </c>
      <c r="AH245" s="9" t="str">
        <f>IF(OR(J245="",AE245="",AE245="NOT FOUND"),"",IF(Y245="RP",IFERROR(LEFT(_xlfn.XLOOKUP(AE245,Sheet1!$F:$F,Sheet1!$W:$W),FIND("-",_xlfn.XLOOKUP(AE245,Sheet1!$F:$F,Sheet1!$W:$W),FIND("-",_xlfn.XLOOKUP(AE245,Sheet1!$F:$F,Sheet1!$W:$W))+1))&amp;AE245,"NOT FOUND"),LEFT(J245,FIND("-",J245,FIND("-",J245)+1))&amp;AE245))</f>
        <v>KRTS-APWN26-GETKRTSFUT6002</v>
      </c>
    </row>
    <row r="246" spans="1:34" ht="15.75" customHeight="1" x14ac:dyDescent="0.2">
      <c r="A246" s="4" t="s">
        <v>59</v>
      </c>
      <c r="B246" s="4" t="s">
        <v>363</v>
      </c>
      <c r="C246" s="4" t="s">
        <v>64</v>
      </c>
      <c r="D246" s="4" t="s">
        <v>327</v>
      </c>
      <c r="E246" s="4" t="s">
        <v>34</v>
      </c>
      <c r="F246" s="4" t="s">
        <v>35</v>
      </c>
      <c r="G246" s="4" t="s">
        <v>55</v>
      </c>
      <c r="H246" s="4" t="s">
        <v>356</v>
      </c>
      <c r="I246" s="4" t="s">
        <v>357</v>
      </c>
      <c r="J246" s="4" t="s">
        <v>358</v>
      </c>
      <c r="L246" s="4" t="s">
        <v>40</v>
      </c>
      <c r="M246" s="4">
        <v>1</v>
      </c>
      <c r="N246" s="4">
        <v>100</v>
      </c>
      <c r="O246" s="4">
        <v>100</v>
      </c>
      <c r="P246" s="4" t="s">
        <v>41</v>
      </c>
      <c r="Q246" s="4">
        <v>374.7</v>
      </c>
      <c r="R246" s="4">
        <v>374.7</v>
      </c>
      <c r="S246" s="4">
        <v>1873.5</v>
      </c>
      <c r="T246" s="4">
        <v>37470</v>
      </c>
      <c r="U246" s="4">
        <v>5</v>
      </c>
      <c r="V246" s="4" t="s">
        <v>42</v>
      </c>
      <c r="X246" s="7" t="str">
        <f t="shared" si="0"/>
        <v>441811094</v>
      </c>
      <c r="Y246" s="8" t="str">
        <f t="shared" si="1"/>
        <v>DC</v>
      </c>
      <c r="Z246" s="8">
        <f t="shared" si="2"/>
        <v>0</v>
      </c>
      <c r="AA246" s="8">
        <f t="shared" si="3"/>
        <v>0</v>
      </c>
      <c r="AB246" s="8">
        <f t="shared" si="4"/>
        <v>0</v>
      </c>
      <c r="AC246" s="8">
        <f t="shared" si="5"/>
        <v>100</v>
      </c>
      <c r="AD246" s="8">
        <f t="shared" si="6"/>
        <v>0</v>
      </c>
      <c r="AE246" s="9" t="str" cm="1">
        <f t="array" ref="AE246">IFERROR(_xlfn.XLOOKUP(H246,Sheet1!$G:$G,Sheet1!$F:$F),IFERROR(_xlfn.XLOOKUP(1,(--($X$2:$X$1074=X246))*(--ISNUMBER(MATCH($H$2:$H$1074,Sheet1!$G:$G,0))),_xlfn.XLOOKUP($H$2:$H$1074,Sheet1!$G:$G,Sheet1!$F:$F,"")),"NOT FOUND"))</f>
        <v>GETKRTSFUT6002</v>
      </c>
      <c r="AF246" s="10" t="str">
        <f t="shared" si="13"/>
        <v>MAROON</v>
      </c>
      <c r="AG246" s="11" t="str">
        <f t="shared" si="14"/>
        <v>JHAJJAR</v>
      </c>
      <c r="AH246" s="9" t="str">
        <f>IF(OR(J246="",AE246="",AE246="NOT FOUND"),"",IF(Y246="RP",IFERROR(LEFT(_xlfn.XLOOKUP(AE246,Sheet1!$F:$F,Sheet1!$W:$W),FIND("-",_xlfn.XLOOKUP(AE246,Sheet1!$F:$F,Sheet1!$W:$W),FIND("-",_xlfn.XLOOKUP(AE246,Sheet1!$F:$F,Sheet1!$W:$W))+1))&amp;AE246,"NOT FOUND"),LEFT(J246,FIND("-",J246,FIND("-",J246)+1))&amp;AE246))</f>
        <v>KRTS-APWN26-GETKRTSFUT6002</v>
      </c>
    </row>
    <row r="247" spans="1:34" ht="15.75" customHeight="1" x14ac:dyDescent="0.2">
      <c r="A247" s="4" t="s">
        <v>61</v>
      </c>
      <c r="B247" s="4" t="s">
        <v>364</v>
      </c>
      <c r="C247" s="4" t="s">
        <v>64</v>
      </c>
      <c r="D247" s="4" t="s">
        <v>98</v>
      </c>
      <c r="E247" s="4" t="s">
        <v>34</v>
      </c>
      <c r="F247" s="4" t="s">
        <v>35</v>
      </c>
      <c r="G247" s="4" t="s">
        <v>36</v>
      </c>
      <c r="H247" s="4" t="s">
        <v>294</v>
      </c>
      <c r="I247" s="4" t="s">
        <v>295</v>
      </c>
      <c r="J247" s="4" t="s">
        <v>296</v>
      </c>
      <c r="L247" s="4" t="s">
        <v>40</v>
      </c>
      <c r="M247" s="4">
        <v>1</v>
      </c>
      <c r="N247" s="4">
        <v>30</v>
      </c>
      <c r="O247" s="4">
        <v>30</v>
      </c>
      <c r="P247" s="4" t="s">
        <v>41</v>
      </c>
      <c r="Q247" s="4">
        <v>324.7</v>
      </c>
      <c r="R247" s="4">
        <v>324.7</v>
      </c>
      <c r="S247" s="4">
        <v>487.05</v>
      </c>
      <c r="T247" s="4">
        <v>9741</v>
      </c>
      <c r="U247" s="4">
        <v>5</v>
      </c>
      <c r="V247" s="4" t="s">
        <v>42</v>
      </c>
      <c r="X247" s="7" t="str">
        <f t="shared" si="0"/>
        <v>441811096</v>
      </c>
      <c r="Y247" s="8" t="str">
        <f t="shared" si="1"/>
        <v>DC</v>
      </c>
      <c r="Z247" s="8">
        <f t="shared" si="2"/>
        <v>0</v>
      </c>
      <c r="AA247" s="8">
        <f t="shared" si="3"/>
        <v>0</v>
      </c>
      <c r="AB247" s="8">
        <f t="shared" si="4"/>
        <v>0</v>
      </c>
      <c r="AC247" s="8">
        <f t="shared" si="5"/>
        <v>0</v>
      </c>
      <c r="AD247" s="8">
        <f t="shared" si="6"/>
        <v>30</v>
      </c>
      <c r="AE247" s="9" t="str" cm="1">
        <f t="array" ref="AE247">IFERROR(_xlfn.XLOOKUP(H247,Sheet1!$G:$G,Sheet1!$F:$F),IFERROR(_xlfn.XLOOKUP(1,(--($X$2:$X$1074=X247))*(--ISNUMBER(MATCH($H$2:$H$1074,Sheet1!$G:$G,0))),_xlfn.XLOOKUP($H$2:$H$1074,Sheet1!$G:$G,Sheet1!$F:$F,"")),"NOT FOUND"))</f>
        <v>GETKRTSFUT6087</v>
      </c>
      <c r="AF247" s="10" t="str">
        <f t="shared" si="13"/>
        <v>CORAL</v>
      </c>
      <c r="AG247" s="11" t="str">
        <f t="shared" si="14"/>
        <v>HARIPAL</v>
      </c>
      <c r="AH247" s="9" t="str">
        <f>IF(OR(J247="",AE247="",AE247="NOT FOUND"),"",IF(Y247="RP",IFERROR(LEFT(_xlfn.XLOOKUP(AE247,Sheet1!$F:$F,Sheet1!$W:$W),FIND("-",_xlfn.XLOOKUP(AE247,Sheet1!$F:$F,Sheet1!$W:$W),FIND("-",_xlfn.XLOOKUP(AE247,Sheet1!$F:$F,Sheet1!$W:$W))+1))&amp;AE247,"NOT FOUND"),LEFT(J247,FIND("-",J247,FIND("-",J247)+1))&amp;AE247))</f>
        <v>KRTS-APWN26-GETKRTSFUT6087</v>
      </c>
    </row>
    <row r="248" spans="1:34" ht="15.75" customHeight="1" x14ac:dyDescent="0.2">
      <c r="A248" s="4" t="s">
        <v>61</v>
      </c>
      <c r="B248" s="4" t="s">
        <v>364</v>
      </c>
      <c r="C248" s="4" t="s">
        <v>64</v>
      </c>
      <c r="D248" s="4" t="s">
        <v>98</v>
      </c>
      <c r="E248" s="4" t="s">
        <v>34</v>
      </c>
      <c r="F248" s="4" t="s">
        <v>35</v>
      </c>
      <c r="G248" s="4" t="s">
        <v>43</v>
      </c>
      <c r="H248" s="4" t="s">
        <v>297</v>
      </c>
      <c r="I248" s="4" t="s">
        <v>298</v>
      </c>
      <c r="J248" s="4" t="s">
        <v>299</v>
      </c>
      <c r="L248" s="4" t="s">
        <v>40</v>
      </c>
      <c r="M248" s="4">
        <v>1</v>
      </c>
      <c r="N248" s="4">
        <v>186</v>
      </c>
      <c r="O248" s="4">
        <v>186</v>
      </c>
      <c r="P248" s="4" t="s">
        <v>41</v>
      </c>
      <c r="Q248" s="4">
        <v>324.7</v>
      </c>
      <c r="R248" s="4">
        <v>324.7</v>
      </c>
      <c r="S248" s="4">
        <v>3019.71</v>
      </c>
      <c r="T248" s="4">
        <v>60394.2</v>
      </c>
      <c r="U248" s="4">
        <v>5</v>
      </c>
      <c r="V248" s="4" t="s">
        <v>42</v>
      </c>
      <c r="X248" s="7" t="str">
        <f t="shared" si="0"/>
        <v>441811096</v>
      </c>
      <c r="Y248" s="8" t="str">
        <f t="shared" si="1"/>
        <v>DC</v>
      </c>
      <c r="Z248" s="8">
        <f t="shared" si="2"/>
        <v>0</v>
      </c>
      <c r="AA248" s="8">
        <f t="shared" si="3"/>
        <v>0</v>
      </c>
      <c r="AB248" s="8">
        <f t="shared" si="4"/>
        <v>186</v>
      </c>
      <c r="AC248" s="8">
        <f t="shared" si="5"/>
        <v>0</v>
      </c>
      <c r="AD248" s="8">
        <f t="shared" si="6"/>
        <v>0</v>
      </c>
      <c r="AE248" s="9" t="str" cm="1">
        <f t="array" ref="AE248">IFERROR(_xlfn.XLOOKUP(H248,Sheet1!$G:$G,Sheet1!$F:$F),IFERROR(_xlfn.XLOOKUP(1,(--($X$2:$X$1074=X248))*(--ISNUMBER(MATCH($H$2:$H$1074,Sheet1!$G:$G,0))),_xlfn.XLOOKUP($H$2:$H$1074,Sheet1!$G:$G,Sheet1!$F:$F,"")),"NOT FOUND"))</f>
        <v>GETKRTSFUT6087</v>
      </c>
      <c r="AF248" s="10" t="str">
        <f t="shared" si="13"/>
        <v>CORAL</v>
      </c>
      <c r="AG248" s="11" t="str">
        <f t="shared" si="14"/>
        <v>HARIPAL</v>
      </c>
      <c r="AH248" s="9" t="str">
        <f>IF(OR(J248="",AE248="",AE248="NOT FOUND"),"",IF(Y248="RP",IFERROR(LEFT(_xlfn.XLOOKUP(AE248,Sheet1!$F:$F,Sheet1!$W:$W),FIND("-",_xlfn.XLOOKUP(AE248,Sheet1!$F:$F,Sheet1!$W:$W),FIND("-",_xlfn.XLOOKUP(AE248,Sheet1!$F:$F,Sheet1!$W:$W))+1))&amp;AE248,"NOT FOUND"),LEFT(J248,FIND("-",J248,FIND("-",J248)+1))&amp;AE248))</f>
        <v>KRTS-APWN26-GETKRTSFUT6087</v>
      </c>
    </row>
    <row r="249" spans="1:34" ht="15.75" customHeight="1" x14ac:dyDescent="0.2">
      <c r="A249" s="4" t="s">
        <v>61</v>
      </c>
      <c r="B249" s="4" t="s">
        <v>364</v>
      </c>
      <c r="C249" s="4" t="s">
        <v>64</v>
      </c>
      <c r="D249" s="4" t="s">
        <v>98</v>
      </c>
      <c r="E249" s="4" t="s">
        <v>34</v>
      </c>
      <c r="F249" s="4" t="s">
        <v>35</v>
      </c>
      <c r="G249" s="4" t="s">
        <v>47</v>
      </c>
      <c r="H249" s="4" t="s">
        <v>300</v>
      </c>
      <c r="I249" s="4" t="s">
        <v>301</v>
      </c>
      <c r="J249" s="4" t="s">
        <v>302</v>
      </c>
      <c r="L249" s="4" t="s">
        <v>40</v>
      </c>
      <c r="M249" s="4">
        <v>1</v>
      </c>
      <c r="N249" s="4">
        <v>186</v>
      </c>
      <c r="O249" s="4">
        <v>186</v>
      </c>
      <c r="P249" s="4" t="s">
        <v>41</v>
      </c>
      <c r="Q249" s="4">
        <v>324.7</v>
      </c>
      <c r="R249" s="4">
        <v>324.7</v>
      </c>
      <c r="S249" s="4">
        <v>3019.71</v>
      </c>
      <c r="T249" s="4">
        <v>60394.2</v>
      </c>
      <c r="U249" s="4">
        <v>5</v>
      </c>
      <c r="V249" s="4" t="s">
        <v>42</v>
      </c>
      <c r="X249" s="7" t="str">
        <f t="shared" si="0"/>
        <v>441811096</v>
      </c>
      <c r="Y249" s="8" t="str">
        <f t="shared" si="1"/>
        <v>DC</v>
      </c>
      <c r="Z249" s="8">
        <f t="shared" si="2"/>
        <v>0</v>
      </c>
      <c r="AA249" s="8">
        <f t="shared" si="3"/>
        <v>186</v>
      </c>
      <c r="AB249" s="8">
        <f t="shared" si="4"/>
        <v>0</v>
      </c>
      <c r="AC249" s="8">
        <f t="shared" si="5"/>
        <v>0</v>
      </c>
      <c r="AD249" s="8">
        <f t="shared" si="6"/>
        <v>0</v>
      </c>
      <c r="AE249" s="9" t="str" cm="1">
        <f t="array" ref="AE249">IFERROR(_xlfn.XLOOKUP(H249,Sheet1!$G:$G,Sheet1!$F:$F),IFERROR(_xlfn.XLOOKUP(1,(--($X$2:$X$1074=X249))*(--ISNUMBER(MATCH($H$2:$H$1074,Sheet1!$G:$G,0))),_xlfn.XLOOKUP($H$2:$H$1074,Sheet1!$G:$G,Sheet1!$F:$F,"")),"NOT FOUND"))</f>
        <v>GETKRTSFUT6087</v>
      </c>
      <c r="AF249" s="10" t="str">
        <f t="shared" si="13"/>
        <v>CORAL</v>
      </c>
      <c r="AG249" s="11" t="str">
        <f t="shared" si="14"/>
        <v>HARIPAL</v>
      </c>
      <c r="AH249" s="9" t="str">
        <f>IF(OR(J249="",AE249="",AE249="NOT FOUND"),"",IF(Y249="RP",IFERROR(LEFT(_xlfn.XLOOKUP(AE249,Sheet1!$F:$F,Sheet1!$W:$W),FIND("-",_xlfn.XLOOKUP(AE249,Sheet1!$F:$F,Sheet1!$W:$W),FIND("-",_xlfn.XLOOKUP(AE249,Sheet1!$F:$F,Sheet1!$W:$W))+1))&amp;AE249,"NOT FOUND"),LEFT(J249,FIND("-",J249,FIND("-",J249)+1))&amp;AE249))</f>
        <v>KRTS-APWN26-GETKRTSFUT6087</v>
      </c>
    </row>
    <row r="250" spans="1:34" ht="15.75" customHeight="1" x14ac:dyDescent="0.2">
      <c r="A250" s="4" t="s">
        <v>61</v>
      </c>
      <c r="B250" s="4" t="s">
        <v>364</v>
      </c>
      <c r="C250" s="4" t="s">
        <v>64</v>
      </c>
      <c r="D250" s="4" t="s">
        <v>98</v>
      </c>
      <c r="E250" s="4" t="s">
        <v>34</v>
      </c>
      <c r="F250" s="4" t="s">
        <v>35</v>
      </c>
      <c r="G250" s="4" t="s">
        <v>51</v>
      </c>
      <c r="H250" s="4" t="s">
        <v>303</v>
      </c>
      <c r="I250" s="4" t="s">
        <v>304</v>
      </c>
      <c r="J250" s="4" t="s">
        <v>305</v>
      </c>
      <c r="L250" s="4" t="s">
        <v>40</v>
      </c>
      <c r="M250" s="4">
        <v>1</v>
      </c>
      <c r="N250" s="4">
        <v>30</v>
      </c>
      <c r="O250" s="4">
        <v>30</v>
      </c>
      <c r="P250" s="4" t="s">
        <v>41</v>
      </c>
      <c r="Q250" s="4">
        <v>324.7</v>
      </c>
      <c r="R250" s="4">
        <v>324.7</v>
      </c>
      <c r="S250" s="4">
        <v>487.05</v>
      </c>
      <c r="T250" s="4">
        <v>9741</v>
      </c>
      <c r="U250" s="4">
        <v>5</v>
      </c>
      <c r="V250" s="4" t="s">
        <v>42</v>
      </c>
      <c r="X250" s="7" t="str">
        <f t="shared" si="0"/>
        <v>441811096</v>
      </c>
      <c r="Y250" s="8" t="str">
        <f t="shared" si="1"/>
        <v>DC</v>
      </c>
      <c r="Z250" s="8">
        <f t="shared" si="2"/>
        <v>30</v>
      </c>
      <c r="AA250" s="8">
        <f t="shared" si="3"/>
        <v>0</v>
      </c>
      <c r="AB250" s="8">
        <f t="shared" si="4"/>
        <v>0</v>
      </c>
      <c r="AC250" s="8">
        <f t="shared" si="5"/>
        <v>0</v>
      </c>
      <c r="AD250" s="8">
        <f t="shared" si="6"/>
        <v>0</v>
      </c>
      <c r="AE250" s="9" t="str" cm="1">
        <f t="array" ref="AE250">IFERROR(_xlfn.XLOOKUP(H250,Sheet1!$G:$G,Sheet1!$F:$F),IFERROR(_xlfn.XLOOKUP(1,(--($X$2:$X$1074=X250))*(--ISNUMBER(MATCH($H$2:$H$1074,Sheet1!$G:$G,0))),_xlfn.XLOOKUP($H$2:$H$1074,Sheet1!$G:$G,Sheet1!$F:$F,"")),"NOT FOUND"))</f>
        <v>GETKRTSFUT6087</v>
      </c>
      <c r="AF250" s="10" t="str">
        <f t="shared" si="13"/>
        <v>CORAL</v>
      </c>
      <c r="AG250" s="11" t="str">
        <f t="shared" si="14"/>
        <v>HARIPAL</v>
      </c>
      <c r="AH250" s="9" t="str">
        <f>IF(OR(J250="",AE250="",AE250="NOT FOUND"),"",IF(Y250="RP",IFERROR(LEFT(_xlfn.XLOOKUP(AE250,Sheet1!$F:$F,Sheet1!$W:$W),FIND("-",_xlfn.XLOOKUP(AE250,Sheet1!$F:$F,Sheet1!$W:$W),FIND("-",_xlfn.XLOOKUP(AE250,Sheet1!$F:$F,Sheet1!$W:$W))+1))&amp;AE250,"NOT FOUND"),LEFT(J250,FIND("-",J250,FIND("-",J250)+1))&amp;AE250))</f>
        <v>KRTS-APWN26-GETKRTSFUT6087</v>
      </c>
    </row>
    <row r="251" spans="1:34" ht="15.75" customHeight="1" x14ac:dyDescent="0.2">
      <c r="A251" s="4" t="s">
        <v>61</v>
      </c>
      <c r="B251" s="4" t="s">
        <v>364</v>
      </c>
      <c r="C251" s="4" t="s">
        <v>64</v>
      </c>
      <c r="D251" s="4" t="s">
        <v>98</v>
      </c>
      <c r="E251" s="4" t="s">
        <v>34</v>
      </c>
      <c r="F251" s="4" t="s">
        <v>35</v>
      </c>
      <c r="G251" s="4" t="s">
        <v>55</v>
      </c>
      <c r="H251" s="4" t="s">
        <v>306</v>
      </c>
      <c r="I251" s="4" t="s">
        <v>307</v>
      </c>
      <c r="J251" s="4" t="s">
        <v>308</v>
      </c>
      <c r="L251" s="4" t="s">
        <v>40</v>
      </c>
      <c r="M251" s="4">
        <v>1</v>
      </c>
      <c r="N251" s="4">
        <v>157</v>
      </c>
      <c r="O251" s="4">
        <v>157</v>
      </c>
      <c r="P251" s="4" t="s">
        <v>41</v>
      </c>
      <c r="Q251" s="4">
        <v>324.7</v>
      </c>
      <c r="R251" s="4">
        <v>324.7</v>
      </c>
      <c r="S251" s="4">
        <v>2548.9</v>
      </c>
      <c r="T251" s="4">
        <v>50977.9</v>
      </c>
      <c r="U251" s="4">
        <v>5</v>
      </c>
      <c r="V251" s="4" t="s">
        <v>42</v>
      </c>
      <c r="X251" s="7" t="str">
        <f t="shared" si="0"/>
        <v>441811096</v>
      </c>
      <c r="Y251" s="8" t="str">
        <f t="shared" si="1"/>
        <v>DC</v>
      </c>
      <c r="Z251" s="8">
        <f t="shared" si="2"/>
        <v>0</v>
      </c>
      <c r="AA251" s="8">
        <f t="shared" si="3"/>
        <v>0</v>
      </c>
      <c r="AB251" s="8">
        <f t="shared" si="4"/>
        <v>0</v>
      </c>
      <c r="AC251" s="8">
        <f t="shared" si="5"/>
        <v>157</v>
      </c>
      <c r="AD251" s="8">
        <f t="shared" si="6"/>
        <v>0</v>
      </c>
      <c r="AE251" s="9" t="str" cm="1">
        <f t="array" ref="AE251">IFERROR(_xlfn.XLOOKUP(H251,Sheet1!$G:$G,Sheet1!$F:$F),IFERROR(_xlfn.XLOOKUP(1,(--($X$2:$X$1074=X251))*(--ISNUMBER(MATCH($H$2:$H$1074,Sheet1!$G:$G,0))),_xlfn.XLOOKUP($H$2:$H$1074,Sheet1!$G:$G,Sheet1!$F:$F,"")),"NOT FOUND"))</f>
        <v>GETKRTSFUT6087</v>
      </c>
      <c r="AF251" s="10" t="str">
        <f t="shared" si="13"/>
        <v>CORAL</v>
      </c>
      <c r="AG251" s="11" t="str">
        <f t="shared" si="14"/>
        <v>HARIPAL</v>
      </c>
      <c r="AH251" s="9" t="str">
        <f>IF(OR(J251="",AE251="",AE251="NOT FOUND"),"",IF(Y251="RP",IFERROR(LEFT(_xlfn.XLOOKUP(AE251,Sheet1!$F:$F,Sheet1!$W:$W),FIND("-",_xlfn.XLOOKUP(AE251,Sheet1!$F:$F,Sheet1!$W:$W),FIND("-",_xlfn.XLOOKUP(AE251,Sheet1!$F:$F,Sheet1!$W:$W))+1))&amp;AE251,"NOT FOUND"),LEFT(J251,FIND("-",J251,FIND("-",J251)+1))&amp;AE251))</f>
        <v>KRTS-APWN26-GETKRTSFUT6087</v>
      </c>
    </row>
    <row r="252" spans="1:34" ht="15.75" customHeight="1" x14ac:dyDescent="0.2">
      <c r="A252" s="4" t="s">
        <v>61</v>
      </c>
      <c r="B252" s="4" t="s">
        <v>365</v>
      </c>
      <c r="C252" s="4" t="s">
        <v>64</v>
      </c>
      <c r="D252" s="4" t="s">
        <v>33</v>
      </c>
      <c r="E252" s="4" t="s">
        <v>34</v>
      </c>
      <c r="F252" s="4" t="s">
        <v>35</v>
      </c>
      <c r="G252" s="4" t="s">
        <v>36</v>
      </c>
      <c r="H252" s="4" t="s">
        <v>310</v>
      </c>
      <c r="I252" s="4" t="s">
        <v>311</v>
      </c>
      <c r="J252" s="4" t="s">
        <v>312</v>
      </c>
      <c r="L252" s="4" t="s">
        <v>40</v>
      </c>
      <c r="M252" s="4">
        <v>1</v>
      </c>
      <c r="N252" s="4">
        <v>30</v>
      </c>
      <c r="O252" s="4">
        <v>30</v>
      </c>
      <c r="P252" s="4" t="s">
        <v>41</v>
      </c>
      <c r="Q252" s="4">
        <v>324.7</v>
      </c>
      <c r="R252" s="4">
        <v>324.7</v>
      </c>
      <c r="S252" s="4">
        <v>487.05</v>
      </c>
      <c r="T252" s="4">
        <v>9741</v>
      </c>
      <c r="U252" s="4">
        <v>5</v>
      </c>
      <c r="V252" s="4" t="s">
        <v>42</v>
      </c>
      <c r="X252" s="7" t="str">
        <f t="shared" si="0"/>
        <v>441811095</v>
      </c>
      <c r="Y252" s="8" t="str">
        <f t="shared" si="1"/>
        <v>DC</v>
      </c>
      <c r="Z252" s="8">
        <f t="shared" si="2"/>
        <v>0</v>
      </c>
      <c r="AA252" s="8">
        <f t="shared" si="3"/>
        <v>0</v>
      </c>
      <c r="AB252" s="8">
        <f t="shared" si="4"/>
        <v>0</v>
      </c>
      <c r="AC252" s="8">
        <f t="shared" si="5"/>
        <v>0</v>
      </c>
      <c r="AD252" s="8">
        <f t="shared" si="6"/>
        <v>30</v>
      </c>
      <c r="AE252" s="9" t="str" cm="1">
        <f t="array" ref="AE252">IFERROR(_xlfn.XLOOKUP(H252,Sheet1!$G:$G,Sheet1!$F:$F),IFERROR(_xlfn.XLOOKUP(1,(--($X$2:$X$1074=X252))*(--ISNUMBER(MATCH($H$2:$H$1074,Sheet1!$G:$G,0))),_xlfn.XLOOKUP($H$2:$H$1074,Sheet1!$G:$G,Sheet1!$F:$F,"")),"NOT FOUND"))</f>
        <v>GETKRTSFUT6012</v>
      </c>
      <c r="AF252" s="10" t="str">
        <f t="shared" si="13"/>
        <v>MAROON</v>
      </c>
      <c r="AG252" s="11" t="str">
        <f t="shared" si="14"/>
        <v>HARIPAL</v>
      </c>
      <c r="AH252" s="9" t="str">
        <f>IF(OR(J252="",AE252="",AE252="NOT FOUND"),"",IF(Y252="RP",IFERROR(LEFT(_xlfn.XLOOKUP(AE252,Sheet1!$F:$F,Sheet1!$W:$W),FIND("-",_xlfn.XLOOKUP(AE252,Sheet1!$F:$F,Sheet1!$W:$W),FIND("-",_xlfn.XLOOKUP(AE252,Sheet1!$F:$F,Sheet1!$W:$W))+1))&amp;AE252,"NOT FOUND"),LEFT(J252,FIND("-",J252,FIND("-",J252)+1))&amp;AE252))</f>
        <v>KRTS-APWN26-GETKRTSFUT6012</v>
      </c>
    </row>
    <row r="253" spans="1:34" ht="15.75" customHeight="1" x14ac:dyDescent="0.2">
      <c r="A253" s="4" t="s">
        <v>61</v>
      </c>
      <c r="B253" s="4" t="s">
        <v>365</v>
      </c>
      <c r="C253" s="4" t="s">
        <v>64</v>
      </c>
      <c r="D253" s="4" t="s">
        <v>33</v>
      </c>
      <c r="E253" s="4" t="s">
        <v>34</v>
      </c>
      <c r="F253" s="4" t="s">
        <v>35</v>
      </c>
      <c r="G253" s="4" t="s">
        <v>43</v>
      </c>
      <c r="H253" s="4" t="s">
        <v>313</v>
      </c>
      <c r="I253" s="4" t="s">
        <v>314</v>
      </c>
      <c r="J253" s="4" t="s">
        <v>315</v>
      </c>
      <c r="L253" s="4" t="s">
        <v>40</v>
      </c>
      <c r="M253" s="4">
        <v>1</v>
      </c>
      <c r="N253" s="4">
        <v>186</v>
      </c>
      <c r="O253" s="4">
        <v>186</v>
      </c>
      <c r="P253" s="4" t="s">
        <v>41</v>
      </c>
      <c r="Q253" s="4">
        <v>324.7</v>
      </c>
      <c r="R253" s="4">
        <v>324.7</v>
      </c>
      <c r="S253" s="4">
        <v>3019.71</v>
      </c>
      <c r="T253" s="4">
        <v>60394.2</v>
      </c>
      <c r="U253" s="4">
        <v>5</v>
      </c>
      <c r="V253" s="4" t="s">
        <v>42</v>
      </c>
      <c r="X253" s="7" t="str">
        <f t="shared" si="0"/>
        <v>441811095</v>
      </c>
      <c r="Y253" s="8" t="str">
        <f t="shared" si="1"/>
        <v>DC</v>
      </c>
      <c r="Z253" s="8">
        <f t="shared" si="2"/>
        <v>0</v>
      </c>
      <c r="AA253" s="8">
        <f t="shared" si="3"/>
        <v>0</v>
      </c>
      <c r="AB253" s="8">
        <f t="shared" si="4"/>
        <v>186</v>
      </c>
      <c r="AC253" s="8">
        <f t="shared" si="5"/>
        <v>0</v>
      </c>
      <c r="AD253" s="8">
        <f t="shared" si="6"/>
        <v>0</v>
      </c>
      <c r="AE253" s="9" t="str" cm="1">
        <f t="array" ref="AE253">IFERROR(_xlfn.XLOOKUP(H253,Sheet1!$G:$G,Sheet1!$F:$F),IFERROR(_xlfn.XLOOKUP(1,(--($X$2:$X$1074=X253))*(--ISNUMBER(MATCH($H$2:$H$1074,Sheet1!$G:$G,0))),_xlfn.XLOOKUP($H$2:$H$1074,Sheet1!$G:$G,Sheet1!$F:$F,"")),"NOT FOUND"))</f>
        <v>GETKRTSFUT6012</v>
      </c>
      <c r="AF253" s="10" t="str">
        <f t="shared" si="13"/>
        <v>MAROON</v>
      </c>
      <c r="AG253" s="11" t="str">
        <f t="shared" si="14"/>
        <v>HARIPAL</v>
      </c>
      <c r="AH253" s="9" t="str">
        <f>IF(OR(J253="",AE253="",AE253="NOT FOUND"),"",IF(Y253="RP",IFERROR(LEFT(_xlfn.XLOOKUP(AE253,Sheet1!$F:$F,Sheet1!$W:$W),FIND("-",_xlfn.XLOOKUP(AE253,Sheet1!$F:$F,Sheet1!$W:$W),FIND("-",_xlfn.XLOOKUP(AE253,Sheet1!$F:$F,Sheet1!$W:$W))+1))&amp;AE253,"NOT FOUND"),LEFT(J253,FIND("-",J253,FIND("-",J253)+1))&amp;AE253))</f>
        <v>KRTS-APWN26-GETKRTSFUT6012</v>
      </c>
    </row>
    <row r="254" spans="1:34" ht="15.75" customHeight="1" x14ac:dyDescent="0.2">
      <c r="A254" s="4" t="s">
        <v>61</v>
      </c>
      <c r="B254" s="4" t="s">
        <v>365</v>
      </c>
      <c r="C254" s="4" t="s">
        <v>64</v>
      </c>
      <c r="D254" s="4" t="s">
        <v>33</v>
      </c>
      <c r="E254" s="4" t="s">
        <v>34</v>
      </c>
      <c r="F254" s="4" t="s">
        <v>35</v>
      </c>
      <c r="G254" s="4" t="s">
        <v>47</v>
      </c>
      <c r="H254" s="4" t="s">
        <v>316</v>
      </c>
      <c r="I254" s="4" t="s">
        <v>317</v>
      </c>
      <c r="J254" s="4" t="s">
        <v>318</v>
      </c>
      <c r="L254" s="4" t="s">
        <v>40</v>
      </c>
      <c r="M254" s="4">
        <v>1</v>
      </c>
      <c r="N254" s="4">
        <v>186</v>
      </c>
      <c r="O254" s="4">
        <v>186</v>
      </c>
      <c r="P254" s="4" t="s">
        <v>41</v>
      </c>
      <c r="Q254" s="4">
        <v>324.7</v>
      </c>
      <c r="R254" s="4">
        <v>324.7</v>
      </c>
      <c r="S254" s="4">
        <v>3019.71</v>
      </c>
      <c r="T254" s="4">
        <v>60394.2</v>
      </c>
      <c r="U254" s="4">
        <v>5</v>
      </c>
      <c r="V254" s="4" t="s">
        <v>42</v>
      </c>
      <c r="X254" s="7" t="str">
        <f t="shared" si="0"/>
        <v>441811095</v>
      </c>
      <c r="Y254" s="8" t="str">
        <f t="shared" si="1"/>
        <v>DC</v>
      </c>
      <c r="Z254" s="8">
        <f t="shared" si="2"/>
        <v>0</v>
      </c>
      <c r="AA254" s="8">
        <f t="shared" si="3"/>
        <v>186</v>
      </c>
      <c r="AB254" s="8">
        <f t="shared" si="4"/>
        <v>0</v>
      </c>
      <c r="AC254" s="8">
        <f t="shared" si="5"/>
        <v>0</v>
      </c>
      <c r="AD254" s="8">
        <f t="shared" si="6"/>
        <v>0</v>
      </c>
      <c r="AE254" s="9" t="str" cm="1">
        <f t="array" ref="AE254">IFERROR(_xlfn.XLOOKUP(H254,Sheet1!$G:$G,Sheet1!$F:$F),IFERROR(_xlfn.XLOOKUP(1,(--($X$2:$X$1074=X254))*(--ISNUMBER(MATCH($H$2:$H$1074,Sheet1!$G:$G,0))),_xlfn.XLOOKUP($H$2:$H$1074,Sheet1!$G:$G,Sheet1!$F:$F,"")),"NOT FOUND"))</f>
        <v>GETKRTSFUT6012</v>
      </c>
      <c r="AF254" s="10" t="str">
        <f t="shared" si="13"/>
        <v>MAROON</v>
      </c>
      <c r="AG254" s="11" t="str">
        <f t="shared" si="14"/>
        <v>HARIPAL</v>
      </c>
      <c r="AH254" s="9" t="str">
        <f>IF(OR(J254="",AE254="",AE254="NOT FOUND"),"",IF(Y254="RP",IFERROR(LEFT(_xlfn.XLOOKUP(AE254,Sheet1!$F:$F,Sheet1!$W:$W),FIND("-",_xlfn.XLOOKUP(AE254,Sheet1!$F:$F,Sheet1!$W:$W),FIND("-",_xlfn.XLOOKUP(AE254,Sheet1!$F:$F,Sheet1!$W:$W))+1))&amp;AE254,"NOT FOUND"),LEFT(J254,FIND("-",J254,FIND("-",J254)+1))&amp;AE254))</f>
        <v>KRTS-APWN26-GETKRTSFUT6012</v>
      </c>
    </row>
    <row r="255" spans="1:34" ht="15.75" customHeight="1" x14ac:dyDescent="0.2">
      <c r="A255" s="4" t="s">
        <v>61</v>
      </c>
      <c r="B255" s="4" t="s">
        <v>365</v>
      </c>
      <c r="C255" s="4" t="s">
        <v>64</v>
      </c>
      <c r="D255" s="4" t="s">
        <v>33</v>
      </c>
      <c r="E255" s="4" t="s">
        <v>34</v>
      </c>
      <c r="F255" s="4" t="s">
        <v>35</v>
      </c>
      <c r="G255" s="4" t="s">
        <v>51</v>
      </c>
      <c r="H255" s="4" t="s">
        <v>319</v>
      </c>
      <c r="I255" s="4" t="s">
        <v>320</v>
      </c>
      <c r="J255" s="4" t="s">
        <v>321</v>
      </c>
      <c r="L255" s="4" t="s">
        <v>40</v>
      </c>
      <c r="M255" s="4">
        <v>1</v>
      </c>
      <c r="N255" s="4">
        <v>30</v>
      </c>
      <c r="O255" s="4">
        <v>30</v>
      </c>
      <c r="P255" s="4" t="s">
        <v>41</v>
      </c>
      <c r="Q255" s="4">
        <v>324.7</v>
      </c>
      <c r="R255" s="4">
        <v>324.7</v>
      </c>
      <c r="S255" s="4">
        <v>487.05</v>
      </c>
      <c r="T255" s="4">
        <v>9741</v>
      </c>
      <c r="U255" s="4">
        <v>5</v>
      </c>
      <c r="V255" s="4" t="s">
        <v>42</v>
      </c>
      <c r="X255" s="7" t="str">
        <f t="shared" si="0"/>
        <v>441811095</v>
      </c>
      <c r="Y255" s="8" t="str">
        <f t="shared" si="1"/>
        <v>DC</v>
      </c>
      <c r="Z255" s="8">
        <f t="shared" si="2"/>
        <v>30</v>
      </c>
      <c r="AA255" s="8">
        <f t="shared" si="3"/>
        <v>0</v>
      </c>
      <c r="AB255" s="8">
        <f t="shared" si="4"/>
        <v>0</v>
      </c>
      <c r="AC255" s="8">
        <f t="shared" si="5"/>
        <v>0</v>
      </c>
      <c r="AD255" s="8">
        <f t="shared" si="6"/>
        <v>0</v>
      </c>
      <c r="AE255" s="9" t="str" cm="1">
        <f t="array" ref="AE255">IFERROR(_xlfn.XLOOKUP(H255,Sheet1!$G:$G,Sheet1!$F:$F),IFERROR(_xlfn.XLOOKUP(1,(--($X$2:$X$1074=X255))*(--ISNUMBER(MATCH($H$2:$H$1074,Sheet1!$G:$G,0))),_xlfn.XLOOKUP($H$2:$H$1074,Sheet1!$G:$G,Sheet1!$F:$F,"")),"NOT FOUND"))</f>
        <v>GETKRTSFUT6012</v>
      </c>
      <c r="AF255" s="10" t="str">
        <f t="shared" si="13"/>
        <v>MAROON</v>
      </c>
      <c r="AG255" s="11" t="str">
        <f t="shared" si="14"/>
        <v>HARIPAL</v>
      </c>
      <c r="AH255" s="9" t="str">
        <f>IF(OR(J255="",AE255="",AE255="NOT FOUND"),"",IF(Y255="RP",IFERROR(LEFT(_xlfn.XLOOKUP(AE255,Sheet1!$F:$F,Sheet1!$W:$W),FIND("-",_xlfn.XLOOKUP(AE255,Sheet1!$F:$F,Sheet1!$W:$W),FIND("-",_xlfn.XLOOKUP(AE255,Sheet1!$F:$F,Sheet1!$W:$W))+1))&amp;AE255,"NOT FOUND"),LEFT(J255,FIND("-",J255,FIND("-",J255)+1))&amp;AE255))</f>
        <v>KRTS-APWN26-GETKRTSFUT6012</v>
      </c>
    </row>
    <row r="256" spans="1:34" ht="15.75" customHeight="1" x14ac:dyDescent="0.2">
      <c r="A256" s="4" t="s">
        <v>61</v>
      </c>
      <c r="B256" s="4" t="s">
        <v>365</v>
      </c>
      <c r="C256" s="4" t="s">
        <v>64</v>
      </c>
      <c r="D256" s="4" t="s">
        <v>33</v>
      </c>
      <c r="E256" s="4" t="s">
        <v>34</v>
      </c>
      <c r="F256" s="4" t="s">
        <v>35</v>
      </c>
      <c r="G256" s="4" t="s">
        <v>55</v>
      </c>
      <c r="H256" s="4" t="s">
        <v>322</v>
      </c>
      <c r="I256" s="4" t="s">
        <v>323</v>
      </c>
      <c r="J256" s="4" t="s">
        <v>324</v>
      </c>
      <c r="L256" s="4" t="s">
        <v>40</v>
      </c>
      <c r="M256" s="4">
        <v>1</v>
      </c>
      <c r="N256" s="4">
        <v>157</v>
      </c>
      <c r="O256" s="4">
        <v>157</v>
      </c>
      <c r="P256" s="4" t="s">
        <v>41</v>
      </c>
      <c r="Q256" s="4">
        <v>324.7</v>
      </c>
      <c r="R256" s="4">
        <v>324.7</v>
      </c>
      <c r="S256" s="4">
        <v>2548.9</v>
      </c>
      <c r="T256" s="4">
        <v>50977.9</v>
      </c>
      <c r="U256" s="4">
        <v>5</v>
      </c>
      <c r="V256" s="4" t="s">
        <v>42</v>
      </c>
      <c r="X256" s="7" t="str">
        <f t="shared" si="0"/>
        <v>441811095</v>
      </c>
      <c r="Y256" s="8" t="str">
        <f t="shared" si="1"/>
        <v>DC</v>
      </c>
      <c r="Z256" s="8">
        <f t="shared" si="2"/>
        <v>0</v>
      </c>
      <c r="AA256" s="8">
        <f t="shared" si="3"/>
        <v>0</v>
      </c>
      <c r="AB256" s="8">
        <f t="shared" si="4"/>
        <v>0</v>
      </c>
      <c r="AC256" s="8">
        <f t="shared" si="5"/>
        <v>157</v>
      </c>
      <c r="AD256" s="8">
        <f t="shared" si="6"/>
        <v>0</v>
      </c>
      <c r="AE256" s="9" t="str" cm="1">
        <f t="array" ref="AE256">IFERROR(_xlfn.XLOOKUP(H256,Sheet1!$G:$G,Sheet1!$F:$F),IFERROR(_xlfn.XLOOKUP(1,(--($X$2:$X$1074=X256))*(--ISNUMBER(MATCH($H$2:$H$1074,Sheet1!$G:$G,0))),_xlfn.XLOOKUP($H$2:$H$1074,Sheet1!$G:$G,Sheet1!$F:$F,"")),"NOT FOUND"))</f>
        <v>GETKRTSFUT6012</v>
      </c>
      <c r="AF256" s="10" t="str">
        <f t="shared" si="13"/>
        <v>MAROON</v>
      </c>
      <c r="AG256" s="11" t="str">
        <f t="shared" si="14"/>
        <v>HARIPAL</v>
      </c>
      <c r="AH256" s="9" t="str">
        <f>IF(OR(J256="",AE256="",AE256="NOT FOUND"),"",IF(Y256="RP",IFERROR(LEFT(_xlfn.XLOOKUP(AE256,Sheet1!$F:$F,Sheet1!$W:$W),FIND("-",_xlfn.XLOOKUP(AE256,Sheet1!$F:$F,Sheet1!$W:$W),FIND("-",_xlfn.XLOOKUP(AE256,Sheet1!$F:$F,Sheet1!$W:$W))+1))&amp;AE256,"NOT FOUND"),LEFT(J256,FIND("-",J256,FIND("-",J256)+1))&amp;AE256))</f>
        <v>KRTS-APWN26-GETKRTSFUT6012</v>
      </c>
    </row>
    <row r="257" spans="1:34" ht="15.75" customHeight="1" x14ac:dyDescent="0.2">
      <c r="A257" s="4" t="s">
        <v>61</v>
      </c>
      <c r="B257" s="4" t="s">
        <v>366</v>
      </c>
      <c r="C257" s="4" t="s">
        <v>64</v>
      </c>
      <c r="D257" s="4" t="s">
        <v>327</v>
      </c>
      <c r="E257" s="4" t="s">
        <v>34</v>
      </c>
      <c r="F257" s="4" t="s">
        <v>35</v>
      </c>
      <c r="G257" s="4" t="s">
        <v>36</v>
      </c>
      <c r="H257" s="4" t="s">
        <v>328</v>
      </c>
      <c r="I257" s="4" t="s">
        <v>329</v>
      </c>
      <c r="J257" s="4" t="s">
        <v>330</v>
      </c>
      <c r="L257" s="4" t="s">
        <v>40</v>
      </c>
      <c r="M257" s="4">
        <v>1</v>
      </c>
      <c r="N257" s="4">
        <v>30</v>
      </c>
      <c r="O257" s="4">
        <v>30</v>
      </c>
      <c r="P257" s="4" t="s">
        <v>41</v>
      </c>
      <c r="Q257" s="4">
        <v>374.7</v>
      </c>
      <c r="R257" s="4">
        <v>374.7</v>
      </c>
      <c r="S257" s="4">
        <v>562.04999999999995</v>
      </c>
      <c r="T257" s="4">
        <v>11241</v>
      </c>
      <c r="U257" s="4">
        <v>5</v>
      </c>
      <c r="V257" s="4" t="s">
        <v>42</v>
      </c>
      <c r="X257" s="7" t="str">
        <f t="shared" ref="X257:X511" si="15">IF(ISNUMBER(VALUE(LEFT(J257,1))),LEFT(J257,MIN(IFERROR(FIND("A",UPPER(J257)),LEN(J257)+1),IFERROR(FIND("B",UPPER(J257)),LEN(J257)+1),IFERROR(FIND("C",UPPER(J257)),LEN(J257)+1),IFERROR(FIND("D",UPPER(J257)),LEN(J257)+1),IFERROR(FIND("E",UPPER(J257)),LEN(J257)+1),IFERROR(FIND("F",UPPER(J257)),LEN(J257)+1),IFERROR(FIND("G",UPPER(J257)),LEN(J257)+1),IFERROR(FIND("H",UPPER(J257)),LEN(J257)+1),IFERROR(FIND("I",UPPER(J257)),LEN(J257)+1),IFERROR(FIND("J",UPPER(J257)),LEN(J257)+1),IFERROR(FIND("K",UPPER(J257)),LEN(J257)+1),IFERROR(FIND("L",UPPER(J257)),LEN(J257)+1),IFERROR(FIND("M",UPPER(J257)),LEN(J257)+1),IFERROR(FIND("N",UPPER(J257)),LEN(J257)+1),IFERROR(FIND("O",UPPER(J257)),LEN(J257)+1),IFERROR(FIND("P",UPPER(J257)),LEN(J257)+1),IFERROR(FIND("Q",UPPER(J257)),LEN(J257)+1),IFERROR(FIND("R",UPPER(J257)),LEN(J257)+1),IFERROR(FIND("S",UPPER(J257)),LEN(J257)+1),IFERROR(FIND("T",UPPER(J257)),LEN(J257)+1),IFERROR(FIND("U",UPPER(J257)),LEN(J257)+1),IFERROR(FIND("V",UPPER(J257)),LEN(J257)+1),IFERROR(FIND("W",UPPER(J257)),LEN(J257)+1),IFERROR(FIND("X",UPPER(J257)),LEN(J257)+1),IFERROR(FIND("Y",UPPER(J257)),LEN(J257)+1),IFERROR(FIND("Z",UPPER(J257)),LEN(J257)+1))-1),LEFT(TEXT(I257,"0"),LEN(TEXT(I257,"0"))-3))</f>
        <v>441811094</v>
      </c>
      <c r="Y257" s="8" t="str">
        <f t="shared" ref="Y257:Y511" si="16">IF(ISNUMBER(SEARCH("(RP)",J257)),"RP","DC")</f>
        <v>DC</v>
      </c>
      <c r="Z257" s="8">
        <f t="shared" ref="Z257:Z511" si="17">IF(ISNUMBER(SEARCH("(RP)",J257)),O257,IF(RIGHT(TRIM(J257),3)=", S",O257,0))</f>
        <v>0</v>
      </c>
      <c r="AA257" s="8">
        <f t="shared" ref="AA257:AA511" si="18">IF(ISNUMBER(SEARCH("(RP)",J257)),O257,IF(RIGHT(TRIM(J257),3)=", M",O257,0))</f>
        <v>0</v>
      </c>
      <c r="AB257" s="8">
        <f t="shared" ref="AB257:AB511" si="19">IF(ISNUMBER(SEARCH("(RP)",J257)),O257,IF(RIGHT(TRIM(J257),3)=", L",O257,0))</f>
        <v>0</v>
      </c>
      <c r="AC257" s="8">
        <f t="shared" ref="AC257:AC511" si="20">IF(ISNUMBER(SEARCH("(RP)",J257)),O257,IF(RIGHT(TRIM(J257),4)=", XL",O257,0))</f>
        <v>0</v>
      </c>
      <c r="AD257" s="8">
        <f t="shared" ref="AD257:AD511" si="21">IF(ISNUMBER(SEARCH("(RP)",J257)),O257,IF(OR(RIGHT(TRIM(J257),5)=", XXL",RIGHT(TRIM(J257),5)=", 2XL"),O257,0))</f>
        <v>30</v>
      </c>
      <c r="AE257" s="9" t="str" cm="1">
        <f t="array" ref="AE257">IFERROR(_xlfn.XLOOKUP(H257,Sheet1!$G:$G,Sheet1!$F:$F),IFERROR(_xlfn.XLOOKUP(1,(--($X$2:$X$1074=X257))*(--ISNUMBER(MATCH($H$2:$H$1074,Sheet1!$G:$G,0))),_xlfn.XLOOKUP($H$2:$H$1074,Sheet1!$G:$G,Sheet1!$F:$F,"")),"NOT FOUND"))</f>
        <v>GETKRTSFUT6002</v>
      </c>
      <c r="AF257" s="10" t="str">
        <f t="shared" si="13"/>
        <v>MUSTARD</v>
      </c>
      <c r="AG257" s="11" t="str">
        <f t="shared" si="14"/>
        <v>HARIPAL</v>
      </c>
      <c r="AH257" s="9" t="str">
        <f>IF(OR(J257="",AE257="",AE257="NOT FOUND"),"",IF(Y257="RP",IFERROR(LEFT(_xlfn.XLOOKUP(AE257,Sheet1!$F:$F,Sheet1!$W:$W),FIND("-",_xlfn.XLOOKUP(AE257,Sheet1!$F:$F,Sheet1!$W:$W),FIND("-",_xlfn.XLOOKUP(AE257,Sheet1!$F:$F,Sheet1!$W:$W))+1))&amp;AE257,"NOT FOUND"),LEFT(J257,FIND("-",J257,FIND("-",J257)+1))&amp;AE257))</f>
        <v>KRTS-APWN26-GETKRTSFUT6002</v>
      </c>
    </row>
    <row r="258" spans="1:34" ht="15.75" customHeight="1" x14ac:dyDescent="0.2">
      <c r="A258" s="4" t="s">
        <v>61</v>
      </c>
      <c r="B258" s="4" t="s">
        <v>366</v>
      </c>
      <c r="C258" s="4" t="s">
        <v>64</v>
      </c>
      <c r="D258" s="4" t="s">
        <v>327</v>
      </c>
      <c r="E258" s="4" t="s">
        <v>34</v>
      </c>
      <c r="F258" s="4" t="s">
        <v>35</v>
      </c>
      <c r="G258" s="4" t="s">
        <v>43</v>
      </c>
      <c r="H258" s="4" t="s">
        <v>331</v>
      </c>
      <c r="I258" s="4" t="s">
        <v>332</v>
      </c>
      <c r="J258" s="4" t="s">
        <v>333</v>
      </c>
      <c r="L258" s="4" t="s">
        <v>40</v>
      </c>
      <c r="M258" s="4">
        <v>1</v>
      </c>
      <c r="N258" s="4">
        <v>142</v>
      </c>
      <c r="O258" s="4">
        <v>142</v>
      </c>
      <c r="P258" s="4" t="s">
        <v>41</v>
      </c>
      <c r="Q258" s="4">
        <v>374.7</v>
      </c>
      <c r="R258" s="4">
        <v>374.7</v>
      </c>
      <c r="S258" s="4">
        <v>2660.37</v>
      </c>
      <c r="T258" s="4">
        <v>53207.4</v>
      </c>
      <c r="U258" s="4">
        <v>5</v>
      </c>
      <c r="V258" s="4" t="s">
        <v>42</v>
      </c>
      <c r="X258" s="7" t="str">
        <f t="shared" si="15"/>
        <v>441811094</v>
      </c>
      <c r="Y258" s="8" t="str">
        <f t="shared" si="16"/>
        <v>DC</v>
      </c>
      <c r="Z258" s="8">
        <f t="shared" si="17"/>
        <v>0</v>
      </c>
      <c r="AA258" s="8">
        <f t="shared" si="18"/>
        <v>0</v>
      </c>
      <c r="AB258" s="8">
        <f t="shared" si="19"/>
        <v>142</v>
      </c>
      <c r="AC258" s="8">
        <f t="shared" si="20"/>
        <v>0</v>
      </c>
      <c r="AD258" s="8">
        <f t="shared" si="21"/>
        <v>0</v>
      </c>
      <c r="AE258" s="9" t="str" cm="1">
        <f t="array" ref="AE258">IFERROR(_xlfn.XLOOKUP(H258,Sheet1!$G:$G,Sheet1!$F:$F),IFERROR(_xlfn.XLOOKUP(1,(--($X$2:$X$1074=X258))*(--ISNUMBER(MATCH($H$2:$H$1074,Sheet1!$G:$G,0))),_xlfn.XLOOKUP($H$2:$H$1074,Sheet1!$G:$G,Sheet1!$F:$F,"")),"NOT FOUND"))</f>
        <v>GETKRTSFUT6002</v>
      </c>
      <c r="AF258" s="10" t="str">
        <f t="shared" si="13"/>
        <v>MUSTARD</v>
      </c>
      <c r="AG258" s="11" t="str">
        <f t="shared" si="14"/>
        <v>HARIPAL</v>
      </c>
      <c r="AH258" s="9" t="str">
        <f>IF(OR(J258="",AE258="",AE258="NOT FOUND"),"",IF(Y258="RP",IFERROR(LEFT(_xlfn.XLOOKUP(AE258,Sheet1!$F:$F,Sheet1!$W:$W),FIND("-",_xlfn.XLOOKUP(AE258,Sheet1!$F:$F,Sheet1!$W:$W),FIND("-",_xlfn.XLOOKUP(AE258,Sheet1!$F:$F,Sheet1!$W:$W))+1))&amp;AE258,"NOT FOUND"),LEFT(J258,FIND("-",J258,FIND("-",J258)+1))&amp;AE258))</f>
        <v>KRTS-APWN26-GETKRTSFUT6002</v>
      </c>
    </row>
    <row r="259" spans="1:34" ht="15.75" customHeight="1" x14ac:dyDescent="0.2">
      <c r="A259" s="4" t="s">
        <v>61</v>
      </c>
      <c r="B259" s="4" t="s">
        <v>366</v>
      </c>
      <c r="C259" s="4" t="s">
        <v>64</v>
      </c>
      <c r="D259" s="4" t="s">
        <v>327</v>
      </c>
      <c r="E259" s="4" t="s">
        <v>34</v>
      </c>
      <c r="F259" s="4" t="s">
        <v>35</v>
      </c>
      <c r="G259" s="4" t="s">
        <v>47</v>
      </c>
      <c r="H259" s="4" t="s">
        <v>334</v>
      </c>
      <c r="I259" s="4" t="s">
        <v>335</v>
      </c>
      <c r="J259" s="4" t="s">
        <v>336</v>
      </c>
      <c r="L259" s="4" t="s">
        <v>40</v>
      </c>
      <c r="M259" s="4">
        <v>1</v>
      </c>
      <c r="N259" s="4">
        <v>142</v>
      </c>
      <c r="O259" s="4">
        <v>142</v>
      </c>
      <c r="P259" s="4" t="s">
        <v>41</v>
      </c>
      <c r="Q259" s="4">
        <v>374.7</v>
      </c>
      <c r="R259" s="4">
        <v>374.7</v>
      </c>
      <c r="S259" s="4">
        <v>2660.37</v>
      </c>
      <c r="T259" s="4">
        <v>53207.4</v>
      </c>
      <c r="U259" s="4">
        <v>5</v>
      </c>
      <c r="V259" s="4" t="s">
        <v>42</v>
      </c>
      <c r="X259" s="7" t="str">
        <f t="shared" si="15"/>
        <v>441811094</v>
      </c>
      <c r="Y259" s="8" t="str">
        <f t="shared" si="16"/>
        <v>DC</v>
      </c>
      <c r="Z259" s="8">
        <f t="shared" si="17"/>
        <v>0</v>
      </c>
      <c r="AA259" s="8">
        <f t="shared" si="18"/>
        <v>142</v>
      </c>
      <c r="AB259" s="8">
        <f t="shared" si="19"/>
        <v>0</v>
      </c>
      <c r="AC259" s="8">
        <f t="shared" si="20"/>
        <v>0</v>
      </c>
      <c r="AD259" s="8">
        <f t="shared" si="21"/>
        <v>0</v>
      </c>
      <c r="AE259" s="9" t="str" cm="1">
        <f t="array" ref="AE259">IFERROR(_xlfn.XLOOKUP(H259,Sheet1!$G:$G,Sheet1!$F:$F),IFERROR(_xlfn.XLOOKUP(1,(--($X$2:$X$1074=X259))*(--ISNUMBER(MATCH($H$2:$H$1074,Sheet1!$G:$G,0))),_xlfn.XLOOKUP($H$2:$H$1074,Sheet1!$G:$G,Sheet1!$F:$F,"")),"NOT FOUND"))</f>
        <v>GETKRTSFUT6002</v>
      </c>
      <c r="AF259" s="10" t="str">
        <f t="shared" ref="AF259:AF322" si="22">IFERROR(IF(ISNUMBER(SEARCH("(RP)",J259)),TRIM(SUBSTITUTE(MID(J259,10,LEN(J259)),"(RP)","")),TRIM(MID(J259,FIND(",",J259)+1,FIND(",",J259,FIND(",",J259)+1)-FIND(",",J259)-1))),"")</f>
        <v>MUSTARD</v>
      </c>
      <c r="AG259" s="11" t="str">
        <f t="shared" ref="AG259:AG322" si="23">IF(A259="SZAF","Bangalore",IF(A259="SAEX","JHAJJAR",IF(A259="S0EU","HARIPAL","")))</f>
        <v>HARIPAL</v>
      </c>
      <c r="AH259" s="9" t="str">
        <f>IF(OR(J259="",AE259="",AE259="NOT FOUND"),"",IF(Y259="RP",IFERROR(LEFT(_xlfn.XLOOKUP(AE259,Sheet1!$F:$F,Sheet1!$W:$W),FIND("-",_xlfn.XLOOKUP(AE259,Sheet1!$F:$F,Sheet1!$W:$W),FIND("-",_xlfn.XLOOKUP(AE259,Sheet1!$F:$F,Sheet1!$W:$W))+1))&amp;AE259,"NOT FOUND"),LEFT(J259,FIND("-",J259,FIND("-",J259)+1))&amp;AE259))</f>
        <v>KRTS-APWN26-GETKRTSFUT6002</v>
      </c>
    </row>
    <row r="260" spans="1:34" ht="15.75" customHeight="1" x14ac:dyDescent="0.2">
      <c r="A260" s="4" t="s">
        <v>61</v>
      </c>
      <c r="B260" s="4" t="s">
        <v>366</v>
      </c>
      <c r="C260" s="4" t="s">
        <v>64</v>
      </c>
      <c r="D260" s="4" t="s">
        <v>327</v>
      </c>
      <c r="E260" s="4" t="s">
        <v>34</v>
      </c>
      <c r="F260" s="4" t="s">
        <v>35</v>
      </c>
      <c r="G260" s="4" t="s">
        <v>51</v>
      </c>
      <c r="H260" s="4" t="s">
        <v>337</v>
      </c>
      <c r="I260" s="4" t="s">
        <v>338</v>
      </c>
      <c r="J260" s="4" t="s">
        <v>339</v>
      </c>
      <c r="L260" s="4" t="s">
        <v>40</v>
      </c>
      <c r="M260" s="4">
        <v>1</v>
      </c>
      <c r="N260" s="4">
        <v>30</v>
      </c>
      <c r="O260" s="4">
        <v>30</v>
      </c>
      <c r="P260" s="4" t="s">
        <v>41</v>
      </c>
      <c r="Q260" s="4">
        <v>374.7</v>
      </c>
      <c r="R260" s="4">
        <v>374.7</v>
      </c>
      <c r="S260" s="4">
        <v>562.04999999999995</v>
      </c>
      <c r="T260" s="4">
        <v>11241</v>
      </c>
      <c r="U260" s="4">
        <v>5</v>
      </c>
      <c r="V260" s="4" t="s">
        <v>42</v>
      </c>
      <c r="X260" s="7" t="str">
        <f t="shared" si="15"/>
        <v>441811094</v>
      </c>
      <c r="Y260" s="8" t="str">
        <f t="shared" si="16"/>
        <v>DC</v>
      </c>
      <c r="Z260" s="8">
        <f t="shared" si="17"/>
        <v>30</v>
      </c>
      <c r="AA260" s="8">
        <f t="shared" si="18"/>
        <v>0</v>
      </c>
      <c r="AB260" s="8">
        <f t="shared" si="19"/>
        <v>0</v>
      </c>
      <c r="AC260" s="8">
        <f t="shared" si="20"/>
        <v>0</v>
      </c>
      <c r="AD260" s="8">
        <f t="shared" si="21"/>
        <v>0</v>
      </c>
      <c r="AE260" s="9" t="str" cm="1">
        <f t="array" ref="AE260">IFERROR(_xlfn.XLOOKUP(H260,Sheet1!$G:$G,Sheet1!$F:$F),IFERROR(_xlfn.XLOOKUP(1,(--($X$2:$X$1074=X260))*(--ISNUMBER(MATCH($H$2:$H$1074,Sheet1!$G:$G,0))),_xlfn.XLOOKUP($H$2:$H$1074,Sheet1!$G:$G,Sheet1!$F:$F,"")),"NOT FOUND"))</f>
        <v>GETKRTSFUT6002</v>
      </c>
      <c r="AF260" s="10" t="str">
        <f t="shared" si="22"/>
        <v>MUSTARD</v>
      </c>
      <c r="AG260" s="11" t="str">
        <f t="shared" si="23"/>
        <v>HARIPAL</v>
      </c>
      <c r="AH260" s="9" t="str">
        <f>IF(OR(J260="",AE260="",AE260="NOT FOUND"),"",IF(Y260="RP",IFERROR(LEFT(_xlfn.XLOOKUP(AE260,Sheet1!$F:$F,Sheet1!$W:$W),FIND("-",_xlfn.XLOOKUP(AE260,Sheet1!$F:$F,Sheet1!$W:$W),FIND("-",_xlfn.XLOOKUP(AE260,Sheet1!$F:$F,Sheet1!$W:$W))+1))&amp;AE260,"NOT FOUND"),LEFT(J260,FIND("-",J260,FIND("-",J260)+1))&amp;AE260))</f>
        <v>KRTS-APWN26-GETKRTSFUT6002</v>
      </c>
    </row>
    <row r="261" spans="1:34" ht="15.75" customHeight="1" x14ac:dyDescent="0.2">
      <c r="A261" s="4" t="s">
        <v>61</v>
      </c>
      <c r="B261" s="4" t="s">
        <v>366</v>
      </c>
      <c r="C261" s="4" t="s">
        <v>64</v>
      </c>
      <c r="D261" s="4" t="s">
        <v>327</v>
      </c>
      <c r="E261" s="4" t="s">
        <v>34</v>
      </c>
      <c r="F261" s="4" t="s">
        <v>35</v>
      </c>
      <c r="G261" s="4" t="s">
        <v>55</v>
      </c>
      <c r="H261" s="4" t="s">
        <v>340</v>
      </c>
      <c r="I261" s="4" t="s">
        <v>341</v>
      </c>
      <c r="J261" s="4" t="s">
        <v>342</v>
      </c>
      <c r="L261" s="4" t="s">
        <v>40</v>
      </c>
      <c r="M261" s="4">
        <v>1</v>
      </c>
      <c r="N261" s="4">
        <v>120</v>
      </c>
      <c r="O261" s="4">
        <v>120</v>
      </c>
      <c r="P261" s="4" t="s">
        <v>41</v>
      </c>
      <c r="Q261" s="4">
        <v>374.7</v>
      </c>
      <c r="R261" s="4">
        <v>374.7</v>
      </c>
      <c r="S261" s="4">
        <v>2248.1999999999998</v>
      </c>
      <c r="T261" s="4">
        <v>44964</v>
      </c>
      <c r="U261" s="4">
        <v>5</v>
      </c>
      <c r="V261" s="4" t="s">
        <v>42</v>
      </c>
      <c r="X261" s="7" t="str">
        <f t="shared" si="15"/>
        <v>441811094</v>
      </c>
      <c r="Y261" s="8" t="str">
        <f t="shared" si="16"/>
        <v>DC</v>
      </c>
      <c r="Z261" s="8">
        <f t="shared" si="17"/>
        <v>0</v>
      </c>
      <c r="AA261" s="8">
        <f t="shared" si="18"/>
        <v>0</v>
      </c>
      <c r="AB261" s="8">
        <f t="shared" si="19"/>
        <v>0</v>
      </c>
      <c r="AC261" s="8">
        <f t="shared" si="20"/>
        <v>120</v>
      </c>
      <c r="AD261" s="8">
        <f t="shared" si="21"/>
        <v>0</v>
      </c>
      <c r="AE261" s="9" t="str" cm="1">
        <f t="array" ref="AE261">IFERROR(_xlfn.XLOOKUP(H261,Sheet1!$G:$G,Sheet1!$F:$F),IFERROR(_xlfn.XLOOKUP(1,(--($X$2:$X$1074=X261))*(--ISNUMBER(MATCH($H$2:$H$1074,Sheet1!$G:$G,0))),_xlfn.XLOOKUP($H$2:$H$1074,Sheet1!$G:$G,Sheet1!$F:$F,"")),"NOT FOUND"))</f>
        <v>GETKRTSFUT6002</v>
      </c>
      <c r="AF261" s="10" t="str">
        <f t="shared" si="22"/>
        <v>MUSTARD</v>
      </c>
      <c r="AG261" s="11" t="str">
        <f t="shared" si="23"/>
        <v>HARIPAL</v>
      </c>
      <c r="AH261" s="9" t="str">
        <f>IF(OR(J261="",AE261="",AE261="NOT FOUND"),"",IF(Y261="RP",IFERROR(LEFT(_xlfn.XLOOKUP(AE261,Sheet1!$F:$F,Sheet1!$W:$W),FIND("-",_xlfn.XLOOKUP(AE261,Sheet1!$F:$F,Sheet1!$W:$W),FIND("-",_xlfn.XLOOKUP(AE261,Sheet1!$F:$F,Sheet1!$W:$W))+1))&amp;AE261,"NOT FOUND"),LEFT(J261,FIND("-",J261,FIND("-",J261)+1))&amp;AE261))</f>
        <v>KRTS-APWN26-GETKRTSFUT6002</v>
      </c>
    </row>
    <row r="262" spans="1:34" ht="15.75" customHeight="1" x14ac:dyDescent="0.2">
      <c r="A262" s="4" t="s">
        <v>61</v>
      </c>
      <c r="B262" s="4" t="s">
        <v>367</v>
      </c>
      <c r="C262" s="4" t="s">
        <v>64</v>
      </c>
      <c r="D262" s="4" t="s">
        <v>327</v>
      </c>
      <c r="E262" s="4" t="s">
        <v>34</v>
      </c>
      <c r="F262" s="4" t="s">
        <v>35</v>
      </c>
      <c r="G262" s="4" t="s">
        <v>36</v>
      </c>
      <c r="H262" s="4" t="s">
        <v>344</v>
      </c>
      <c r="I262" s="4" t="s">
        <v>345</v>
      </c>
      <c r="J262" s="4" t="s">
        <v>346</v>
      </c>
      <c r="L262" s="4" t="s">
        <v>40</v>
      </c>
      <c r="M262" s="4">
        <v>1</v>
      </c>
      <c r="N262" s="4">
        <v>30</v>
      </c>
      <c r="O262" s="4">
        <v>30</v>
      </c>
      <c r="P262" s="4" t="s">
        <v>41</v>
      </c>
      <c r="Q262" s="4">
        <v>374.7</v>
      </c>
      <c r="R262" s="4">
        <v>374.7</v>
      </c>
      <c r="S262" s="4">
        <v>562.04999999999995</v>
      </c>
      <c r="T262" s="4">
        <v>11241</v>
      </c>
      <c r="U262" s="4">
        <v>5</v>
      </c>
      <c r="V262" s="4" t="s">
        <v>42</v>
      </c>
      <c r="X262" s="7" t="str">
        <f t="shared" si="15"/>
        <v>441811094</v>
      </c>
      <c r="Y262" s="8" t="str">
        <f t="shared" si="16"/>
        <v>DC</v>
      </c>
      <c r="Z262" s="8">
        <f t="shared" si="17"/>
        <v>0</v>
      </c>
      <c r="AA262" s="8">
        <f t="shared" si="18"/>
        <v>0</v>
      </c>
      <c r="AB262" s="8">
        <f t="shared" si="19"/>
        <v>0</v>
      </c>
      <c r="AC262" s="8">
        <f t="shared" si="20"/>
        <v>0</v>
      </c>
      <c r="AD262" s="8">
        <f t="shared" si="21"/>
        <v>30</v>
      </c>
      <c r="AE262" s="9" t="str" cm="1">
        <f t="array" ref="AE262">IFERROR(_xlfn.XLOOKUP(H262,Sheet1!$G:$G,Sheet1!$F:$F),IFERROR(_xlfn.XLOOKUP(1,(--($X$2:$X$1074=X262))*(--ISNUMBER(MATCH($H$2:$H$1074,Sheet1!$G:$G,0))),_xlfn.XLOOKUP($H$2:$H$1074,Sheet1!$G:$G,Sheet1!$F:$F,"")),"NOT FOUND"))</f>
        <v>GETKRTSFUT6002</v>
      </c>
      <c r="AF262" s="10" t="str">
        <f t="shared" si="22"/>
        <v>MAROON</v>
      </c>
      <c r="AG262" s="11" t="str">
        <f t="shared" si="23"/>
        <v>HARIPAL</v>
      </c>
      <c r="AH262" s="9" t="str">
        <f>IF(OR(J262="",AE262="",AE262="NOT FOUND"),"",IF(Y262="RP",IFERROR(LEFT(_xlfn.XLOOKUP(AE262,Sheet1!$F:$F,Sheet1!$W:$W),FIND("-",_xlfn.XLOOKUP(AE262,Sheet1!$F:$F,Sheet1!$W:$W),FIND("-",_xlfn.XLOOKUP(AE262,Sheet1!$F:$F,Sheet1!$W:$W))+1))&amp;AE262,"NOT FOUND"),LEFT(J262,FIND("-",J262,FIND("-",J262)+1))&amp;AE262))</f>
        <v>KRTS-APWN26-GETKRTSFUT6002</v>
      </c>
    </row>
    <row r="263" spans="1:34" ht="15.75" customHeight="1" x14ac:dyDescent="0.2">
      <c r="A263" s="4" t="s">
        <v>61</v>
      </c>
      <c r="B263" s="4" t="s">
        <v>367</v>
      </c>
      <c r="C263" s="4" t="s">
        <v>64</v>
      </c>
      <c r="D263" s="4" t="s">
        <v>327</v>
      </c>
      <c r="E263" s="4" t="s">
        <v>34</v>
      </c>
      <c r="F263" s="4" t="s">
        <v>35</v>
      </c>
      <c r="G263" s="4" t="s">
        <v>43</v>
      </c>
      <c r="H263" s="4" t="s">
        <v>347</v>
      </c>
      <c r="I263" s="4" t="s">
        <v>348</v>
      </c>
      <c r="J263" s="4" t="s">
        <v>349</v>
      </c>
      <c r="L263" s="4" t="s">
        <v>40</v>
      </c>
      <c r="M263" s="4">
        <v>1</v>
      </c>
      <c r="N263" s="4">
        <v>142</v>
      </c>
      <c r="O263" s="4">
        <v>142</v>
      </c>
      <c r="P263" s="4" t="s">
        <v>41</v>
      </c>
      <c r="Q263" s="4">
        <v>374.7</v>
      </c>
      <c r="R263" s="4">
        <v>374.7</v>
      </c>
      <c r="S263" s="4">
        <v>2660.37</v>
      </c>
      <c r="T263" s="4">
        <v>53207.4</v>
      </c>
      <c r="U263" s="4">
        <v>5</v>
      </c>
      <c r="V263" s="4" t="s">
        <v>42</v>
      </c>
      <c r="X263" s="7" t="str">
        <f t="shared" si="15"/>
        <v>441811094</v>
      </c>
      <c r="Y263" s="8" t="str">
        <f t="shared" si="16"/>
        <v>DC</v>
      </c>
      <c r="Z263" s="8">
        <f t="shared" si="17"/>
        <v>0</v>
      </c>
      <c r="AA263" s="8">
        <f t="shared" si="18"/>
        <v>0</v>
      </c>
      <c r="AB263" s="8">
        <f t="shared" si="19"/>
        <v>142</v>
      </c>
      <c r="AC263" s="8">
        <f t="shared" si="20"/>
        <v>0</v>
      </c>
      <c r="AD263" s="8">
        <f t="shared" si="21"/>
        <v>0</v>
      </c>
      <c r="AE263" s="9" t="str" cm="1">
        <f t="array" ref="AE263">IFERROR(_xlfn.XLOOKUP(H263,Sheet1!$G:$G,Sheet1!$F:$F),IFERROR(_xlfn.XLOOKUP(1,(--($X$2:$X$1074=X263))*(--ISNUMBER(MATCH($H$2:$H$1074,Sheet1!$G:$G,0))),_xlfn.XLOOKUP($H$2:$H$1074,Sheet1!$G:$G,Sheet1!$F:$F,"")),"NOT FOUND"))</f>
        <v>GETKRTSFUT6002</v>
      </c>
      <c r="AF263" s="10" t="str">
        <f t="shared" si="22"/>
        <v>MAROON</v>
      </c>
      <c r="AG263" s="11" t="str">
        <f t="shared" si="23"/>
        <v>HARIPAL</v>
      </c>
      <c r="AH263" s="9" t="str">
        <f>IF(OR(J263="",AE263="",AE263="NOT FOUND"),"",IF(Y263="RP",IFERROR(LEFT(_xlfn.XLOOKUP(AE263,Sheet1!$F:$F,Sheet1!$W:$W),FIND("-",_xlfn.XLOOKUP(AE263,Sheet1!$F:$F,Sheet1!$W:$W),FIND("-",_xlfn.XLOOKUP(AE263,Sheet1!$F:$F,Sheet1!$W:$W))+1))&amp;AE263,"NOT FOUND"),LEFT(J263,FIND("-",J263,FIND("-",J263)+1))&amp;AE263))</f>
        <v>KRTS-APWN26-GETKRTSFUT6002</v>
      </c>
    </row>
    <row r="264" spans="1:34" ht="15.75" customHeight="1" x14ac:dyDescent="0.2">
      <c r="A264" s="4" t="s">
        <v>61</v>
      </c>
      <c r="B264" s="4" t="s">
        <v>367</v>
      </c>
      <c r="C264" s="4" t="s">
        <v>64</v>
      </c>
      <c r="D264" s="4" t="s">
        <v>327</v>
      </c>
      <c r="E264" s="4" t="s">
        <v>34</v>
      </c>
      <c r="F264" s="4" t="s">
        <v>35</v>
      </c>
      <c r="G264" s="4" t="s">
        <v>47</v>
      </c>
      <c r="H264" s="4" t="s">
        <v>350</v>
      </c>
      <c r="I264" s="4" t="s">
        <v>351</v>
      </c>
      <c r="J264" s="4" t="s">
        <v>352</v>
      </c>
      <c r="L264" s="4" t="s">
        <v>40</v>
      </c>
      <c r="M264" s="4">
        <v>1</v>
      </c>
      <c r="N264" s="4">
        <v>142</v>
      </c>
      <c r="O264" s="4">
        <v>142</v>
      </c>
      <c r="P264" s="4" t="s">
        <v>41</v>
      </c>
      <c r="Q264" s="4">
        <v>374.7</v>
      </c>
      <c r="R264" s="4">
        <v>374.7</v>
      </c>
      <c r="S264" s="4">
        <v>2660.37</v>
      </c>
      <c r="T264" s="4">
        <v>53207.4</v>
      </c>
      <c r="U264" s="4">
        <v>5</v>
      </c>
      <c r="V264" s="4" t="s">
        <v>42</v>
      </c>
      <c r="X264" s="7" t="str">
        <f t="shared" si="15"/>
        <v>441811094</v>
      </c>
      <c r="Y264" s="8" t="str">
        <f t="shared" si="16"/>
        <v>DC</v>
      </c>
      <c r="Z264" s="8">
        <f t="shared" si="17"/>
        <v>0</v>
      </c>
      <c r="AA264" s="8">
        <f t="shared" si="18"/>
        <v>142</v>
      </c>
      <c r="AB264" s="8">
        <f t="shared" si="19"/>
        <v>0</v>
      </c>
      <c r="AC264" s="8">
        <f t="shared" si="20"/>
        <v>0</v>
      </c>
      <c r="AD264" s="8">
        <f t="shared" si="21"/>
        <v>0</v>
      </c>
      <c r="AE264" s="9" t="str" cm="1">
        <f t="array" ref="AE264">IFERROR(_xlfn.XLOOKUP(H264,Sheet1!$G:$G,Sheet1!$F:$F),IFERROR(_xlfn.XLOOKUP(1,(--($X$2:$X$1074=X264))*(--ISNUMBER(MATCH($H$2:$H$1074,Sheet1!$G:$G,0))),_xlfn.XLOOKUP($H$2:$H$1074,Sheet1!$G:$G,Sheet1!$F:$F,"")),"NOT FOUND"))</f>
        <v>GETKRTSFUT6002</v>
      </c>
      <c r="AF264" s="10" t="str">
        <f t="shared" si="22"/>
        <v>MAROON</v>
      </c>
      <c r="AG264" s="11" t="str">
        <f t="shared" si="23"/>
        <v>HARIPAL</v>
      </c>
      <c r="AH264" s="9" t="str">
        <f>IF(OR(J264="",AE264="",AE264="NOT FOUND"),"",IF(Y264="RP",IFERROR(LEFT(_xlfn.XLOOKUP(AE264,Sheet1!$F:$F,Sheet1!$W:$W),FIND("-",_xlfn.XLOOKUP(AE264,Sheet1!$F:$F,Sheet1!$W:$W),FIND("-",_xlfn.XLOOKUP(AE264,Sheet1!$F:$F,Sheet1!$W:$W))+1))&amp;AE264,"NOT FOUND"),LEFT(J264,FIND("-",J264,FIND("-",J264)+1))&amp;AE264))</f>
        <v>KRTS-APWN26-GETKRTSFUT6002</v>
      </c>
    </row>
    <row r="265" spans="1:34" ht="15.75" customHeight="1" x14ac:dyDescent="0.2">
      <c r="A265" s="4" t="s">
        <v>61</v>
      </c>
      <c r="B265" s="4" t="s">
        <v>367</v>
      </c>
      <c r="C265" s="4" t="s">
        <v>64</v>
      </c>
      <c r="D265" s="4" t="s">
        <v>327</v>
      </c>
      <c r="E265" s="4" t="s">
        <v>34</v>
      </c>
      <c r="F265" s="4" t="s">
        <v>35</v>
      </c>
      <c r="G265" s="4" t="s">
        <v>51</v>
      </c>
      <c r="H265" s="4" t="s">
        <v>353</v>
      </c>
      <c r="I265" s="4" t="s">
        <v>354</v>
      </c>
      <c r="J265" s="4" t="s">
        <v>355</v>
      </c>
      <c r="L265" s="4" t="s">
        <v>40</v>
      </c>
      <c r="M265" s="4">
        <v>1</v>
      </c>
      <c r="N265" s="4">
        <v>30</v>
      </c>
      <c r="O265" s="4">
        <v>30</v>
      </c>
      <c r="P265" s="4" t="s">
        <v>41</v>
      </c>
      <c r="Q265" s="4">
        <v>374.7</v>
      </c>
      <c r="R265" s="4">
        <v>374.7</v>
      </c>
      <c r="S265" s="4">
        <v>562.04999999999995</v>
      </c>
      <c r="T265" s="4">
        <v>11241</v>
      </c>
      <c r="U265" s="4">
        <v>5</v>
      </c>
      <c r="V265" s="4" t="s">
        <v>42</v>
      </c>
      <c r="X265" s="7" t="str">
        <f t="shared" si="15"/>
        <v>441811094</v>
      </c>
      <c r="Y265" s="8" t="str">
        <f t="shared" si="16"/>
        <v>DC</v>
      </c>
      <c r="Z265" s="8">
        <f t="shared" si="17"/>
        <v>30</v>
      </c>
      <c r="AA265" s="8">
        <f t="shared" si="18"/>
        <v>0</v>
      </c>
      <c r="AB265" s="8">
        <f t="shared" si="19"/>
        <v>0</v>
      </c>
      <c r="AC265" s="8">
        <f t="shared" si="20"/>
        <v>0</v>
      </c>
      <c r="AD265" s="8">
        <f t="shared" si="21"/>
        <v>0</v>
      </c>
      <c r="AE265" s="9" t="str" cm="1">
        <f t="array" ref="AE265">IFERROR(_xlfn.XLOOKUP(H265,Sheet1!$G:$G,Sheet1!$F:$F),IFERROR(_xlfn.XLOOKUP(1,(--($X$2:$X$1074=X265))*(--ISNUMBER(MATCH($H$2:$H$1074,Sheet1!$G:$G,0))),_xlfn.XLOOKUP($H$2:$H$1074,Sheet1!$G:$G,Sheet1!$F:$F,"")),"NOT FOUND"))</f>
        <v>GETKRTSFUT6002</v>
      </c>
      <c r="AF265" s="10" t="str">
        <f t="shared" si="22"/>
        <v>MAROON</v>
      </c>
      <c r="AG265" s="11" t="str">
        <f t="shared" si="23"/>
        <v>HARIPAL</v>
      </c>
      <c r="AH265" s="9" t="str">
        <f>IF(OR(J265="",AE265="",AE265="NOT FOUND"),"",IF(Y265="RP",IFERROR(LEFT(_xlfn.XLOOKUP(AE265,Sheet1!$F:$F,Sheet1!$W:$W),FIND("-",_xlfn.XLOOKUP(AE265,Sheet1!$F:$F,Sheet1!$W:$W),FIND("-",_xlfn.XLOOKUP(AE265,Sheet1!$F:$F,Sheet1!$W:$W))+1))&amp;AE265,"NOT FOUND"),LEFT(J265,FIND("-",J265,FIND("-",J265)+1))&amp;AE265))</f>
        <v>KRTS-APWN26-GETKRTSFUT6002</v>
      </c>
    </row>
    <row r="266" spans="1:34" ht="15.75" customHeight="1" x14ac:dyDescent="0.2">
      <c r="A266" s="4" t="s">
        <v>61</v>
      </c>
      <c r="B266" s="4" t="s">
        <v>367</v>
      </c>
      <c r="C266" s="4" t="s">
        <v>64</v>
      </c>
      <c r="D266" s="4" t="s">
        <v>327</v>
      </c>
      <c r="E266" s="4" t="s">
        <v>34</v>
      </c>
      <c r="F266" s="4" t="s">
        <v>35</v>
      </c>
      <c r="G266" s="4" t="s">
        <v>55</v>
      </c>
      <c r="H266" s="4" t="s">
        <v>356</v>
      </c>
      <c r="I266" s="4" t="s">
        <v>357</v>
      </c>
      <c r="J266" s="4" t="s">
        <v>358</v>
      </c>
      <c r="L266" s="4" t="s">
        <v>40</v>
      </c>
      <c r="M266" s="4">
        <v>1</v>
      </c>
      <c r="N266" s="4">
        <v>120</v>
      </c>
      <c r="O266" s="4">
        <v>120</v>
      </c>
      <c r="P266" s="4" t="s">
        <v>41</v>
      </c>
      <c r="Q266" s="4">
        <v>374.7</v>
      </c>
      <c r="R266" s="4">
        <v>374.7</v>
      </c>
      <c r="S266" s="4">
        <v>2248.1999999999998</v>
      </c>
      <c r="T266" s="4">
        <v>44964</v>
      </c>
      <c r="U266" s="4">
        <v>5</v>
      </c>
      <c r="V266" s="4" t="s">
        <v>42</v>
      </c>
      <c r="X266" s="7" t="str">
        <f t="shared" si="15"/>
        <v>441811094</v>
      </c>
      <c r="Y266" s="8" t="str">
        <f t="shared" si="16"/>
        <v>DC</v>
      </c>
      <c r="Z266" s="8">
        <f t="shared" si="17"/>
        <v>0</v>
      </c>
      <c r="AA266" s="8">
        <f t="shared" si="18"/>
        <v>0</v>
      </c>
      <c r="AB266" s="8">
        <f t="shared" si="19"/>
        <v>0</v>
      </c>
      <c r="AC266" s="8">
        <f t="shared" si="20"/>
        <v>120</v>
      </c>
      <c r="AD266" s="8">
        <f t="shared" si="21"/>
        <v>0</v>
      </c>
      <c r="AE266" s="9" t="str" cm="1">
        <f t="array" ref="AE266">IFERROR(_xlfn.XLOOKUP(H266,Sheet1!$G:$G,Sheet1!$F:$F),IFERROR(_xlfn.XLOOKUP(1,(--($X$2:$X$1074=X266))*(--ISNUMBER(MATCH($H$2:$H$1074,Sheet1!$G:$G,0))),_xlfn.XLOOKUP($H$2:$H$1074,Sheet1!$G:$G,Sheet1!$F:$F,"")),"NOT FOUND"))</f>
        <v>GETKRTSFUT6002</v>
      </c>
      <c r="AF266" s="10" t="str">
        <f t="shared" si="22"/>
        <v>MAROON</v>
      </c>
      <c r="AG266" s="11" t="str">
        <f t="shared" si="23"/>
        <v>HARIPAL</v>
      </c>
      <c r="AH266" s="9" t="str">
        <f>IF(OR(J266="",AE266="",AE266="NOT FOUND"),"",IF(Y266="RP",IFERROR(LEFT(_xlfn.XLOOKUP(AE266,Sheet1!$F:$F,Sheet1!$W:$W),FIND("-",_xlfn.XLOOKUP(AE266,Sheet1!$F:$F,Sheet1!$W:$W),FIND("-",_xlfn.XLOOKUP(AE266,Sheet1!$F:$F,Sheet1!$W:$W))+1))&amp;AE266,"NOT FOUND"),LEFT(J266,FIND("-",J266,FIND("-",J266)+1))&amp;AE266))</f>
        <v>KRTS-APWN26-GETKRTSFUT6002</v>
      </c>
    </row>
    <row r="267" spans="1:34" ht="15.75" customHeight="1" x14ac:dyDescent="0.2">
      <c r="A267" s="4" t="s">
        <v>30</v>
      </c>
      <c r="B267" s="4" t="s">
        <v>368</v>
      </c>
      <c r="C267" s="4" t="s">
        <v>64</v>
      </c>
      <c r="D267" s="4" t="s">
        <v>81</v>
      </c>
      <c r="E267" s="4" t="s">
        <v>34</v>
      </c>
      <c r="F267" s="4" t="s">
        <v>35</v>
      </c>
      <c r="G267" s="4" t="s">
        <v>36</v>
      </c>
      <c r="H267" s="4" t="s">
        <v>369</v>
      </c>
      <c r="I267" s="4" t="s">
        <v>370</v>
      </c>
      <c r="J267" s="4" t="s">
        <v>371</v>
      </c>
      <c r="L267" s="4" t="s">
        <v>40</v>
      </c>
      <c r="M267" s="4">
        <v>1</v>
      </c>
      <c r="N267" s="4">
        <v>30</v>
      </c>
      <c r="O267" s="4">
        <v>30</v>
      </c>
      <c r="P267" s="4" t="s">
        <v>41</v>
      </c>
      <c r="Q267" s="4">
        <v>504.7</v>
      </c>
      <c r="R267" s="4">
        <v>504.7</v>
      </c>
      <c r="S267" s="4">
        <v>757.05</v>
      </c>
      <c r="T267" s="4">
        <v>15141</v>
      </c>
      <c r="U267" s="4">
        <v>5</v>
      </c>
      <c r="V267" s="4" t="s">
        <v>42</v>
      </c>
      <c r="X267" s="7" t="str">
        <f t="shared" si="15"/>
        <v>441811012</v>
      </c>
      <c r="Y267" s="8" t="str">
        <f t="shared" si="16"/>
        <v>DC</v>
      </c>
      <c r="Z267" s="8">
        <f t="shared" si="17"/>
        <v>0</v>
      </c>
      <c r="AA267" s="8">
        <f t="shared" si="18"/>
        <v>0</v>
      </c>
      <c r="AB267" s="8">
        <f t="shared" si="19"/>
        <v>0</v>
      </c>
      <c r="AC267" s="8">
        <f t="shared" si="20"/>
        <v>0</v>
      </c>
      <c r="AD267" s="8">
        <f t="shared" si="21"/>
        <v>30</v>
      </c>
      <c r="AE267" s="9" t="str" cm="1">
        <f t="array" ref="AE267">IFERROR(_xlfn.XLOOKUP(H267,Sheet1!$G:$G,Sheet1!$F:$F),IFERROR(_xlfn.XLOOKUP(1,(--($X$2:$X$1074=X267))*(--ISNUMBER(MATCH($H$2:$H$1074,Sheet1!$G:$G,0))),_xlfn.XLOOKUP($H$2:$H$1074,Sheet1!$G:$G,Sheet1!$F:$F,"")),"NOT FOUND"))</f>
        <v>GETCRDSFUT6207</v>
      </c>
      <c r="AF267" s="10" t="str">
        <f t="shared" si="22"/>
        <v>ONION PINK</v>
      </c>
      <c r="AG267" s="11" t="str">
        <f t="shared" si="23"/>
        <v>Bangalore</v>
      </c>
      <c r="AH267" s="9" t="str">
        <f>IF(OR(J267="",AE267="",AE267="NOT FOUND"),"",IF(Y267="RP",IFERROR(LEFT(_xlfn.XLOOKUP(AE267,Sheet1!$F:$F,Sheet1!$W:$W),FIND("-",_xlfn.XLOOKUP(AE267,Sheet1!$F:$F,Sheet1!$W:$W),FIND("-",_xlfn.XLOOKUP(AE267,Sheet1!$F:$F,Sheet1!$W:$W))+1))&amp;AE267,"NOT FOUND"),LEFT(J267,FIND("-",J267,FIND("-",J267)+1))&amp;AE267))</f>
        <v>SKD-APWN26-GETCRDSFUT6207</v>
      </c>
    </row>
    <row r="268" spans="1:34" ht="15.75" customHeight="1" x14ac:dyDescent="0.2">
      <c r="A268" s="4" t="s">
        <v>30</v>
      </c>
      <c r="B268" s="4" t="s">
        <v>368</v>
      </c>
      <c r="C268" s="4" t="s">
        <v>64</v>
      </c>
      <c r="D268" s="4" t="s">
        <v>81</v>
      </c>
      <c r="E268" s="4" t="s">
        <v>34</v>
      </c>
      <c r="F268" s="4" t="s">
        <v>35</v>
      </c>
      <c r="G268" s="4" t="s">
        <v>43</v>
      </c>
      <c r="H268" s="4" t="s">
        <v>372</v>
      </c>
      <c r="I268" s="4" t="s">
        <v>373</v>
      </c>
      <c r="J268" s="4" t="s">
        <v>374</v>
      </c>
      <c r="L268" s="4" t="s">
        <v>40</v>
      </c>
      <c r="M268" s="4">
        <v>1</v>
      </c>
      <c r="N268" s="4">
        <v>114</v>
      </c>
      <c r="O268" s="4">
        <v>114</v>
      </c>
      <c r="P268" s="4" t="s">
        <v>41</v>
      </c>
      <c r="Q268" s="4">
        <v>504.7</v>
      </c>
      <c r="R268" s="4">
        <v>504.7</v>
      </c>
      <c r="S268" s="4">
        <v>2876.79</v>
      </c>
      <c r="T268" s="4">
        <v>57535.8</v>
      </c>
      <c r="U268" s="4">
        <v>5</v>
      </c>
      <c r="V268" s="4" t="s">
        <v>42</v>
      </c>
      <c r="X268" s="7" t="str">
        <f t="shared" si="15"/>
        <v>441811012</v>
      </c>
      <c r="Y268" s="8" t="str">
        <f t="shared" si="16"/>
        <v>DC</v>
      </c>
      <c r="Z268" s="8">
        <f t="shared" si="17"/>
        <v>0</v>
      </c>
      <c r="AA268" s="8">
        <f t="shared" si="18"/>
        <v>0</v>
      </c>
      <c r="AB268" s="8">
        <f t="shared" si="19"/>
        <v>114</v>
      </c>
      <c r="AC268" s="8">
        <f t="shared" si="20"/>
        <v>0</v>
      </c>
      <c r="AD268" s="8">
        <f t="shared" si="21"/>
        <v>0</v>
      </c>
      <c r="AE268" s="9" t="str" cm="1">
        <f t="array" ref="AE268">IFERROR(_xlfn.XLOOKUP(H268,Sheet1!$G:$G,Sheet1!$F:$F),IFERROR(_xlfn.XLOOKUP(1,(--($X$2:$X$1074=X268))*(--ISNUMBER(MATCH($H$2:$H$1074,Sheet1!$G:$G,0))),_xlfn.XLOOKUP($H$2:$H$1074,Sheet1!$G:$G,Sheet1!$F:$F,"")),"NOT FOUND"))</f>
        <v>GETCRDSFUT6207</v>
      </c>
      <c r="AF268" s="10" t="str">
        <f t="shared" si="22"/>
        <v>ONION PINK</v>
      </c>
      <c r="AG268" s="11" t="str">
        <f t="shared" si="23"/>
        <v>Bangalore</v>
      </c>
      <c r="AH268" s="9" t="str">
        <f>IF(OR(J268="",AE268="",AE268="NOT FOUND"),"",IF(Y268="RP",IFERROR(LEFT(_xlfn.XLOOKUP(AE268,Sheet1!$F:$F,Sheet1!$W:$W),FIND("-",_xlfn.XLOOKUP(AE268,Sheet1!$F:$F,Sheet1!$W:$W),FIND("-",_xlfn.XLOOKUP(AE268,Sheet1!$F:$F,Sheet1!$W:$W))+1))&amp;AE268,"NOT FOUND"),LEFT(J268,FIND("-",J268,FIND("-",J268)+1))&amp;AE268))</f>
        <v>SKD-APWN26-GETCRDSFUT6207</v>
      </c>
    </row>
    <row r="269" spans="1:34" ht="15.75" customHeight="1" x14ac:dyDescent="0.2">
      <c r="A269" s="4" t="s">
        <v>30</v>
      </c>
      <c r="B269" s="4" t="s">
        <v>368</v>
      </c>
      <c r="C269" s="4" t="s">
        <v>64</v>
      </c>
      <c r="D269" s="4" t="s">
        <v>81</v>
      </c>
      <c r="E269" s="4" t="s">
        <v>34</v>
      </c>
      <c r="F269" s="4" t="s">
        <v>35</v>
      </c>
      <c r="G269" s="4" t="s">
        <v>47</v>
      </c>
      <c r="H269" s="4" t="s">
        <v>375</v>
      </c>
      <c r="I269" s="4" t="s">
        <v>376</v>
      </c>
      <c r="J269" s="4" t="s">
        <v>377</v>
      </c>
      <c r="L269" s="4" t="s">
        <v>40</v>
      </c>
      <c r="M269" s="4">
        <v>1</v>
      </c>
      <c r="N269" s="4">
        <v>120</v>
      </c>
      <c r="O269" s="4">
        <v>120</v>
      </c>
      <c r="P269" s="4" t="s">
        <v>41</v>
      </c>
      <c r="Q269" s="4">
        <v>504.7</v>
      </c>
      <c r="R269" s="4">
        <v>504.7</v>
      </c>
      <c r="S269" s="4">
        <v>3028.2</v>
      </c>
      <c r="T269" s="4">
        <v>60564</v>
      </c>
      <c r="U269" s="4">
        <v>5</v>
      </c>
      <c r="V269" s="4" t="s">
        <v>42</v>
      </c>
      <c r="X269" s="7" t="str">
        <f t="shared" si="15"/>
        <v>441811012</v>
      </c>
      <c r="Y269" s="8" t="str">
        <f t="shared" si="16"/>
        <v>DC</v>
      </c>
      <c r="Z269" s="8">
        <f t="shared" si="17"/>
        <v>0</v>
      </c>
      <c r="AA269" s="8">
        <f t="shared" si="18"/>
        <v>120</v>
      </c>
      <c r="AB269" s="8">
        <f t="shared" si="19"/>
        <v>0</v>
      </c>
      <c r="AC269" s="8">
        <f t="shared" si="20"/>
        <v>0</v>
      </c>
      <c r="AD269" s="8">
        <f t="shared" si="21"/>
        <v>0</v>
      </c>
      <c r="AE269" s="9" t="str" cm="1">
        <f t="array" ref="AE269">IFERROR(_xlfn.XLOOKUP(H269,Sheet1!$G:$G,Sheet1!$F:$F),IFERROR(_xlfn.XLOOKUP(1,(--($X$2:$X$1074=X269))*(--ISNUMBER(MATCH($H$2:$H$1074,Sheet1!$G:$G,0))),_xlfn.XLOOKUP($H$2:$H$1074,Sheet1!$G:$G,Sheet1!$F:$F,"")),"NOT FOUND"))</f>
        <v>GETCRDSFUT6207</v>
      </c>
      <c r="AF269" s="10" t="str">
        <f t="shared" si="22"/>
        <v>ONION PINK</v>
      </c>
      <c r="AG269" s="11" t="str">
        <f t="shared" si="23"/>
        <v>Bangalore</v>
      </c>
      <c r="AH269" s="9" t="str">
        <f>IF(OR(J269="",AE269="",AE269="NOT FOUND"),"",IF(Y269="RP",IFERROR(LEFT(_xlfn.XLOOKUP(AE269,Sheet1!$F:$F,Sheet1!$W:$W),FIND("-",_xlfn.XLOOKUP(AE269,Sheet1!$F:$F,Sheet1!$W:$W),FIND("-",_xlfn.XLOOKUP(AE269,Sheet1!$F:$F,Sheet1!$W:$W))+1))&amp;AE269,"NOT FOUND"),LEFT(J269,FIND("-",J269,FIND("-",J269)+1))&amp;AE269))</f>
        <v>SKD-APWN26-GETCRDSFUT6207</v>
      </c>
    </row>
    <row r="270" spans="1:34" ht="15.75" customHeight="1" x14ac:dyDescent="0.2">
      <c r="A270" s="4" t="s">
        <v>30</v>
      </c>
      <c r="B270" s="4" t="s">
        <v>368</v>
      </c>
      <c r="C270" s="4" t="s">
        <v>64</v>
      </c>
      <c r="D270" s="4" t="s">
        <v>81</v>
      </c>
      <c r="E270" s="4" t="s">
        <v>34</v>
      </c>
      <c r="F270" s="4" t="s">
        <v>35</v>
      </c>
      <c r="G270" s="4" t="s">
        <v>51</v>
      </c>
      <c r="H270" s="4" t="s">
        <v>378</v>
      </c>
      <c r="I270" s="4" t="s">
        <v>379</v>
      </c>
      <c r="J270" s="4" t="s">
        <v>380</v>
      </c>
      <c r="L270" s="4" t="s">
        <v>40</v>
      </c>
      <c r="M270" s="4">
        <v>1</v>
      </c>
      <c r="N270" s="4">
        <v>36</v>
      </c>
      <c r="O270" s="4">
        <v>36</v>
      </c>
      <c r="P270" s="4" t="s">
        <v>41</v>
      </c>
      <c r="Q270" s="4">
        <v>504.7</v>
      </c>
      <c r="R270" s="4">
        <v>504.7</v>
      </c>
      <c r="S270" s="4">
        <v>908.46</v>
      </c>
      <c r="T270" s="4">
        <v>18169.2</v>
      </c>
      <c r="U270" s="4">
        <v>5</v>
      </c>
      <c r="V270" s="4" t="s">
        <v>42</v>
      </c>
      <c r="X270" s="7" t="str">
        <f t="shared" si="15"/>
        <v>441811012</v>
      </c>
      <c r="Y270" s="8" t="str">
        <f t="shared" si="16"/>
        <v>DC</v>
      </c>
      <c r="Z270" s="8">
        <f t="shared" si="17"/>
        <v>36</v>
      </c>
      <c r="AA270" s="8">
        <f t="shared" si="18"/>
        <v>0</v>
      </c>
      <c r="AB270" s="8">
        <f t="shared" si="19"/>
        <v>0</v>
      </c>
      <c r="AC270" s="8">
        <f t="shared" si="20"/>
        <v>0</v>
      </c>
      <c r="AD270" s="8">
        <f t="shared" si="21"/>
        <v>0</v>
      </c>
      <c r="AE270" s="9" t="str" cm="1">
        <f t="array" ref="AE270">IFERROR(_xlfn.XLOOKUP(H270,Sheet1!$G:$G,Sheet1!$F:$F),IFERROR(_xlfn.XLOOKUP(1,(--($X$2:$X$1074=X270))*(--ISNUMBER(MATCH($H$2:$H$1074,Sheet1!$G:$G,0))),_xlfn.XLOOKUP($H$2:$H$1074,Sheet1!$G:$G,Sheet1!$F:$F,"")),"NOT FOUND"))</f>
        <v>GETCRDSFUT6207</v>
      </c>
      <c r="AF270" s="10" t="str">
        <f t="shared" si="22"/>
        <v>ONION PINK</v>
      </c>
      <c r="AG270" s="11" t="str">
        <f t="shared" si="23"/>
        <v>Bangalore</v>
      </c>
      <c r="AH270" s="9" t="str">
        <f>IF(OR(J270="",AE270="",AE270="NOT FOUND"),"",IF(Y270="RP",IFERROR(LEFT(_xlfn.XLOOKUP(AE270,Sheet1!$F:$F,Sheet1!$W:$W),FIND("-",_xlfn.XLOOKUP(AE270,Sheet1!$F:$F,Sheet1!$W:$W),FIND("-",_xlfn.XLOOKUP(AE270,Sheet1!$F:$F,Sheet1!$W:$W))+1))&amp;AE270,"NOT FOUND"),LEFT(J270,FIND("-",J270,FIND("-",J270)+1))&amp;AE270))</f>
        <v>SKD-APWN26-GETCRDSFUT6207</v>
      </c>
    </row>
    <row r="271" spans="1:34" ht="15.75" customHeight="1" x14ac:dyDescent="0.2">
      <c r="A271" s="4" t="s">
        <v>30</v>
      </c>
      <c r="B271" s="4" t="s">
        <v>368</v>
      </c>
      <c r="C271" s="4" t="s">
        <v>64</v>
      </c>
      <c r="D271" s="4" t="s">
        <v>81</v>
      </c>
      <c r="E271" s="4" t="s">
        <v>34</v>
      </c>
      <c r="F271" s="4" t="s">
        <v>35</v>
      </c>
      <c r="G271" s="4" t="s">
        <v>55</v>
      </c>
      <c r="H271" s="4" t="s">
        <v>381</v>
      </c>
      <c r="I271" s="4" t="s">
        <v>382</v>
      </c>
      <c r="J271" s="4" t="s">
        <v>383</v>
      </c>
      <c r="L271" s="4" t="s">
        <v>40</v>
      </c>
      <c r="M271" s="4">
        <v>1</v>
      </c>
      <c r="N271" s="4">
        <v>114</v>
      </c>
      <c r="O271" s="4">
        <v>114</v>
      </c>
      <c r="P271" s="4" t="s">
        <v>41</v>
      </c>
      <c r="Q271" s="4">
        <v>504.7</v>
      </c>
      <c r="R271" s="4">
        <v>504.7</v>
      </c>
      <c r="S271" s="4">
        <v>2876.79</v>
      </c>
      <c r="T271" s="4">
        <v>57535.8</v>
      </c>
      <c r="U271" s="4">
        <v>5</v>
      </c>
      <c r="V271" s="4" t="s">
        <v>42</v>
      </c>
      <c r="X271" s="7" t="str">
        <f t="shared" si="15"/>
        <v>441811012</v>
      </c>
      <c r="Y271" s="8" t="str">
        <f t="shared" si="16"/>
        <v>DC</v>
      </c>
      <c r="Z271" s="8">
        <f t="shared" si="17"/>
        <v>0</v>
      </c>
      <c r="AA271" s="8">
        <f t="shared" si="18"/>
        <v>0</v>
      </c>
      <c r="AB271" s="8">
        <f t="shared" si="19"/>
        <v>0</v>
      </c>
      <c r="AC271" s="8">
        <f t="shared" si="20"/>
        <v>114</v>
      </c>
      <c r="AD271" s="8">
        <f t="shared" si="21"/>
        <v>0</v>
      </c>
      <c r="AE271" s="9" t="str" cm="1">
        <f t="array" ref="AE271">IFERROR(_xlfn.XLOOKUP(H271,Sheet1!$G:$G,Sheet1!$F:$F),IFERROR(_xlfn.XLOOKUP(1,(--($X$2:$X$1074=X271))*(--ISNUMBER(MATCH($H$2:$H$1074,Sheet1!$G:$G,0))),_xlfn.XLOOKUP($H$2:$H$1074,Sheet1!$G:$G,Sheet1!$F:$F,"")),"NOT FOUND"))</f>
        <v>GETCRDSFUT6207</v>
      </c>
      <c r="AF271" s="10" t="str">
        <f t="shared" si="22"/>
        <v>ONION PINK</v>
      </c>
      <c r="AG271" s="11" t="str">
        <f t="shared" si="23"/>
        <v>Bangalore</v>
      </c>
      <c r="AH271" s="9" t="str">
        <f>IF(OR(J271="",AE271="",AE271="NOT FOUND"),"",IF(Y271="RP",IFERROR(LEFT(_xlfn.XLOOKUP(AE271,Sheet1!$F:$F,Sheet1!$W:$W),FIND("-",_xlfn.XLOOKUP(AE271,Sheet1!$F:$F,Sheet1!$W:$W),FIND("-",_xlfn.XLOOKUP(AE271,Sheet1!$F:$F,Sheet1!$W:$W))+1))&amp;AE271,"NOT FOUND"),LEFT(J271,FIND("-",J271,FIND("-",J271)+1))&amp;AE271))</f>
        <v>SKD-APWN26-GETCRDSFUT6207</v>
      </c>
    </row>
    <row r="272" spans="1:34" ht="15.75" customHeight="1" x14ac:dyDescent="0.2">
      <c r="A272" s="4" t="s">
        <v>30</v>
      </c>
      <c r="B272" s="4" t="s">
        <v>384</v>
      </c>
      <c r="C272" s="4" t="s">
        <v>64</v>
      </c>
      <c r="D272" s="4" t="s">
        <v>327</v>
      </c>
      <c r="E272" s="4" t="s">
        <v>34</v>
      </c>
      <c r="F272" s="4" t="s">
        <v>35</v>
      </c>
      <c r="G272" s="4" t="s">
        <v>36</v>
      </c>
      <c r="H272" s="4" t="s">
        <v>385</v>
      </c>
      <c r="I272" s="4" t="s">
        <v>386</v>
      </c>
      <c r="J272" s="4" t="s">
        <v>387</v>
      </c>
      <c r="L272" s="4" t="s">
        <v>40</v>
      </c>
      <c r="M272" s="4">
        <v>1</v>
      </c>
      <c r="N272" s="4">
        <v>30</v>
      </c>
      <c r="O272" s="4">
        <v>30</v>
      </c>
      <c r="P272" s="4" t="s">
        <v>41</v>
      </c>
      <c r="Q272" s="4">
        <v>494.7</v>
      </c>
      <c r="R272" s="4">
        <v>494.7</v>
      </c>
      <c r="S272" s="4">
        <v>742.05</v>
      </c>
      <c r="T272" s="4">
        <v>14841</v>
      </c>
      <c r="U272" s="4">
        <v>5</v>
      </c>
      <c r="V272" s="4" t="s">
        <v>42</v>
      </c>
      <c r="X272" s="7" t="str">
        <f t="shared" si="15"/>
        <v>441811011</v>
      </c>
      <c r="Y272" s="8" t="str">
        <f t="shared" si="16"/>
        <v>DC</v>
      </c>
      <c r="Z272" s="8">
        <f t="shared" si="17"/>
        <v>0</v>
      </c>
      <c r="AA272" s="8">
        <f t="shared" si="18"/>
        <v>0</v>
      </c>
      <c r="AB272" s="8">
        <f t="shared" si="19"/>
        <v>0</v>
      </c>
      <c r="AC272" s="8">
        <f t="shared" si="20"/>
        <v>0</v>
      </c>
      <c r="AD272" s="8">
        <f t="shared" si="21"/>
        <v>30</v>
      </c>
      <c r="AE272" s="9" t="str" cm="1">
        <f t="array" ref="AE272">IFERROR(_xlfn.XLOOKUP(H272,Sheet1!$G:$G,Sheet1!$F:$F),IFERROR(_xlfn.XLOOKUP(1,(--($X$2:$X$1074=X272))*(--ISNUMBER(MATCH($H$2:$H$1074,Sheet1!$G:$G,0))),_xlfn.XLOOKUP($H$2:$H$1074,Sheet1!$G:$G,Sheet1!$F:$F,"")),"NOT FOUND"))</f>
        <v>GETCRDSFUT6206</v>
      </c>
      <c r="AF272" s="10" t="str">
        <f t="shared" si="22"/>
        <v>TEAL</v>
      </c>
      <c r="AG272" s="11" t="str">
        <f t="shared" si="23"/>
        <v>Bangalore</v>
      </c>
      <c r="AH272" s="9" t="str">
        <f>IF(OR(J272="",AE272="",AE272="NOT FOUND"),"",IF(Y272="RP",IFERROR(LEFT(_xlfn.XLOOKUP(AE272,Sheet1!$F:$F,Sheet1!$W:$W),FIND("-",_xlfn.XLOOKUP(AE272,Sheet1!$F:$F,Sheet1!$W:$W),FIND("-",_xlfn.XLOOKUP(AE272,Sheet1!$F:$F,Sheet1!$W:$W))+1))&amp;AE272,"NOT FOUND"),LEFT(J272,FIND("-",J272,FIND("-",J272)+1))&amp;AE272))</f>
        <v>SKD-APWN26-GETCRDSFUT6206</v>
      </c>
    </row>
    <row r="273" spans="1:34" ht="15.75" customHeight="1" x14ac:dyDescent="0.2">
      <c r="A273" s="4" t="s">
        <v>30</v>
      </c>
      <c r="B273" s="4" t="s">
        <v>384</v>
      </c>
      <c r="C273" s="4" t="s">
        <v>64</v>
      </c>
      <c r="D273" s="4" t="s">
        <v>327</v>
      </c>
      <c r="E273" s="4" t="s">
        <v>34</v>
      </c>
      <c r="F273" s="4" t="s">
        <v>35</v>
      </c>
      <c r="G273" s="4" t="s">
        <v>43</v>
      </c>
      <c r="H273" s="4" t="s">
        <v>388</v>
      </c>
      <c r="I273" s="4" t="s">
        <v>389</v>
      </c>
      <c r="J273" s="4" t="s">
        <v>390</v>
      </c>
      <c r="L273" s="4" t="s">
        <v>40</v>
      </c>
      <c r="M273" s="4">
        <v>1</v>
      </c>
      <c r="N273" s="4">
        <v>114</v>
      </c>
      <c r="O273" s="4">
        <v>114</v>
      </c>
      <c r="P273" s="4" t="s">
        <v>41</v>
      </c>
      <c r="Q273" s="4">
        <v>494.7</v>
      </c>
      <c r="R273" s="4">
        <v>494.7</v>
      </c>
      <c r="S273" s="4">
        <v>2819.79</v>
      </c>
      <c r="T273" s="4">
        <v>56395.8</v>
      </c>
      <c r="U273" s="4">
        <v>5</v>
      </c>
      <c r="V273" s="4" t="s">
        <v>42</v>
      </c>
      <c r="X273" s="7" t="str">
        <f t="shared" si="15"/>
        <v>441811011</v>
      </c>
      <c r="Y273" s="8" t="str">
        <f t="shared" si="16"/>
        <v>DC</v>
      </c>
      <c r="Z273" s="8">
        <f t="shared" si="17"/>
        <v>0</v>
      </c>
      <c r="AA273" s="8">
        <f t="shared" si="18"/>
        <v>0</v>
      </c>
      <c r="AB273" s="8">
        <f t="shared" si="19"/>
        <v>114</v>
      </c>
      <c r="AC273" s="8">
        <f t="shared" si="20"/>
        <v>0</v>
      </c>
      <c r="AD273" s="8">
        <f t="shared" si="21"/>
        <v>0</v>
      </c>
      <c r="AE273" s="9" t="str" cm="1">
        <f t="array" ref="AE273">IFERROR(_xlfn.XLOOKUP(H273,Sheet1!$G:$G,Sheet1!$F:$F),IFERROR(_xlfn.XLOOKUP(1,(--($X$2:$X$1074=X273))*(--ISNUMBER(MATCH($H$2:$H$1074,Sheet1!$G:$G,0))),_xlfn.XLOOKUP($H$2:$H$1074,Sheet1!$G:$G,Sheet1!$F:$F,"")),"NOT FOUND"))</f>
        <v>GETCRDSFUT6206</v>
      </c>
      <c r="AF273" s="10" t="str">
        <f t="shared" si="22"/>
        <v>TEAL</v>
      </c>
      <c r="AG273" s="11" t="str">
        <f t="shared" si="23"/>
        <v>Bangalore</v>
      </c>
      <c r="AH273" s="9" t="str">
        <f>IF(OR(J273="",AE273="",AE273="NOT FOUND"),"",IF(Y273="RP",IFERROR(LEFT(_xlfn.XLOOKUP(AE273,Sheet1!$F:$F,Sheet1!$W:$W),FIND("-",_xlfn.XLOOKUP(AE273,Sheet1!$F:$F,Sheet1!$W:$W),FIND("-",_xlfn.XLOOKUP(AE273,Sheet1!$F:$F,Sheet1!$W:$W))+1))&amp;AE273,"NOT FOUND"),LEFT(J273,FIND("-",J273,FIND("-",J273)+1))&amp;AE273))</f>
        <v>SKD-APWN26-GETCRDSFUT6206</v>
      </c>
    </row>
    <row r="274" spans="1:34" ht="15.75" customHeight="1" x14ac:dyDescent="0.2">
      <c r="A274" s="4" t="s">
        <v>30</v>
      </c>
      <c r="B274" s="4" t="s">
        <v>384</v>
      </c>
      <c r="C274" s="4" t="s">
        <v>64</v>
      </c>
      <c r="D274" s="4" t="s">
        <v>327</v>
      </c>
      <c r="E274" s="4" t="s">
        <v>34</v>
      </c>
      <c r="F274" s="4" t="s">
        <v>35</v>
      </c>
      <c r="G274" s="4" t="s">
        <v>47</v>
      </c>
      <c r="H274" s="4" t="s">
        <v>391</v>
      </c>
      <c r="I274" s="4" t="s">
        <v>392</v>
      </c>
      <c r="J274" s="4" t="s">
        <v>393</v>
      </c>
      <c r="L274" s="4" t="s">
        <v>40</v>
      </c>
      <c r="M274" s="4">
        <v>1</v>
      </c>
      <c r="N274" s="4">
        <v>120</v>
      </c>
      <c r="O274" s="4">
        <v>120</v>
      </c>
      <c r="P274" s="4" t="s">
        <v>41</v>
      </c>
      <c r="Q274" s="4">
        <v>494.7</v>
      </c>
      <c r="R274" s="4">
        <v>494.7</v>
      </c>
      <c r="S274" s="4">
        <v>2968.2</v>
      </c>
      <c r="T274" s="4">
        <v>59364</v>
      </c>
      <c r="U274" s="4">
        <v>5</v>
      </c>
      <c r="V274" s="4" t="s">
        <v>42</v>
      </c>
      <c r="X274" s="7" t="str">
        <f t="shared" si="15"/>
        <v>441811011</v>
      </c>
      <c r="Y274" s="8" t="str">
        <f t="shared" si="16"/>
        <v>DC</v>
      </c>
      <c r="Z274" s="8">
        <f t="shared" si="17"/>
        <v>0</v>
      </c>
      <c r="AA274" s="8">
        <f t="shared" si="18"/>
        <v>120</v>
      </c>
      <c r="AB274" s="8">
        <f t="shared" si="19"/>
        <v>0</v>
      </c>
      <c r="AC274" s="8">
        <f t="shared" si="20"/>
        <v>0</v>
      </c>
      <c r="AD274" s="8">
        <f t="shared" si="21"/>
        <v>0</v>
      </c>
      <c r="AE274" s="9" t="str" cm="1">
        <f t="array" ref="AE274">IFERROR(_xlfn.XLOOKUP(H274,Sheet1!$G:$G,Sheet1!$F:$F),IFERROR(_xlfn.XLOOKUP(1,(--($X$2:$X$1074=X274))*(--ISNUMBER(MATCH($H$2:$H$1074,Sheet1!$G:$G,0))),_xlfn.XLOOKUP($H$2:$H$1074,Sheet1!$G:$G,Sheet1!$F:$F,"")),"NOT FOUND"))</f>
        <v>GETCRDSFUT6206</v>
      </c>
      <c r="AF274" s="10" t="str">
        <f t="shared" si="22"/>
        <v>TEAL</v>
      </c>
      <c r="AG274" s="11" t="str">
        <f t="shared" si="23"/>
        <v>Bangalore</v>
      </c>
      <c r="AH274" s="9" t="str">
        <f>IF(OR(J274="",AE274="",AE274="NOT FOUND"),"",IF(Y274="RP",IFERROR(LEFT(_xlfn.XLOOKUP(AE274,Sheet1!$F:$F,Sheet1!$W:$W),FIND("-",_xlfn.XLOOKUP(AE274,Sheet1!$F:$F,Sheet1!$W:$W),FIND("-",_xlfn.XLOOKUP(AE274,Sheet1!$F:$F,Sheet1!$W:$W))+1))&amp;AE274,"NOT FOUND"),LEFT(J274,FIND("-",J274,FIND("-",J274)+1))&amp;AE274))</f>
        <v>SKD-APWN26-GETCRDSFUT6206</v>
      </c>
    </row>
    <row r="275" spans="1:34" ht="15.75" customHeight="1" x14ac:dyDescent="0.2">
      <c r="A275" s="4" t="s">
        <v>30</v>
      </c>
      <c r="B275" s="4" t="s">
        <v>384</v>
      </c>
      <c r="C275" s="4" t="s">
        <v>64</v>
      </c>
      <c r="D275" s="4" t="s">
        <v>327</v>
      </c>
      <c r="E275" s="4" t="s">
        <v>34</v>
      </c>
      <c r="F275" s="4" t="s">
        <v>35</v>
      </c>
      <c r="G275" s="4" t="s">
        <v>51</v>
      </c>
      <c r="H275" s="4" t="s">
        <v>394</v>
      </c>
      <c r="I275" s="4" t="s">
        <v>395</v>
      </c>
      <c r="J275" s="4" t="s">
        <v>396</v>
      </c>
      <c r="L275" s="4" t="s">
        <v>40</v>
      </c>
      <c r="M275" s="4">
        <v>1</v>
      </c>
      <c r="N275" s="4">
        <v>36</v>
      </c>
      <c r="O275" s="4">
        <v>36</v>
      </c>
      <c r="P275" s="4" t="s">
        <v>41</v>
      </c>
      <c r="Q275" s="4">
        <v>494.7</v>
      </c>
      <c r="R275" s="4">
        <v>494.7</v>
      </c>
      <c r="S275" s="4">
        <v>890.46</v>
      </c>
      <c r="T275" s="4">
        <v>17809.2</v>
      </c>
      <c r="U275" s="4">
        <v>5</v>
      </c>
      <c r="V275" s="4" t="s">
        <v>42</v>
      </c>
      <c r="X275" s="7" t="str">
        <f t="shared" si="15"/>
        <v>441811011</v>
      </c>
      <c r="Y275" s="8" t="str">
        <f t="shared" si="16"/>
        <v>DC</v>
      </c>
      <c r="Z275" s="8">
        <f t="shared" si="17"/>
        <v>36</v>
      </c>
      <c r="AA275" s="8">
        <f t="shared" si="18"/>
        <v>0</v>
      </c>
      <c r="AB275" s="8">
        <f t="shared" si="19"/>
        <v>0</v>
      </c>
      <c r="AC275" s="8">
        <f t="shared" si="20"/>
        <v>0</v>
      </c>
      <c r="AD275" s="8">
        <f t="shared" si="21"/>
        <v>0</v>
      </c>
      <c r="AE275" s="9" t="str" cm="1">
        <f t="array" ref="AE275">IFERROR(_xlfn.XLOOKUP(H275,Sheet1!$G:$G,Sheet1!$F:$F),IFERROR(_xlfn.XLOOKUP(1,(--($X$2:$X$1074=X275))*(--ISNUMBER(MATCH($H$2:$H$1074,Sheet1!$G:$G,0))),_xlfn.XLOOKUP($H$2:$H$1074,Sheet1!$G:$G,Sheet1!$F:$F,"")),"NOT FOUND"))</f>
        <v>GETCRDSFUT6206</v>
      </c>
      <c r="AF275" s="10" t="str">
        <f t="shared" si="22"/>
        <v>TEAL</v>
      </c>
      <c r="AG275" s="11" t="str">
        <f t="shared" si="23"/>
        <v>Bangalore</v>
      </c>
      <c r="AH275" s="9" t="str">
        <f>IF(OR(J275="",AE275="",AE275="NOT FOUND"),"",IF(Y275="RP",IFERROR(LEFT(_xlfn.XLOOKUP(AE275,Sheet1!$F:$F,Sheet1!$W:$W),FIND("-",_xlfn.XLOOKUP(AE275,Sheet1!$F:$F,Sheet1!$W:$W),FIND("-",_xlfn.XLOOKUP(AE275,Sheet1!$F:$F,Sheet1!$W:$W))+1))&amp;AE275,"NOT FOUND"),LEFT(J275,FIND("-",J275,FIND("-",J275)+1))&amp;AE275))</f>
        <v>SKD-APWN26-GETCRDSFUT6206</v>
      </c>
    </row>
    <row r="276" spans="1:34" ht="15.75" customHeight="1" x14ac:dyDescent="0.2">
      <c r="A276" s="4" t="s">
        <v>30</v>
      </c>
      <c r="B276" s="4" t="s">
        <v>384</v>
      </c>
      <c r="C276" s="4" t="s">
        <v>64</v>
      </c>
      <c r="D276" s="4" t="s">
        <v>327</v>
      </c>
      <c r="E276" s="4" t="s">
        <v>34</v>
      </c>
      <c r="F276" s="4" t="s">
        <v>35</v>
      </c>
      <c r="G276" s="4" t="s">
        <v>55</v>
      </c>
      <c r="H276" s="4" t="s">
        <v>397</v>
      </c>
      <c r="I276" s="4" t="s">
        <v>398</v>
      </c>
      <c r="J276" s="4" t="s">
        <v>399</v>
      </c>
      <c r="L276" s="4" t="s">
        <v>40</v>
      </c>
      <c r="M276" s="4">
        <v>1</v>
      </c>
      <c r="N276" s="4">
        <v>114</v>
      </c>
      <c r="O276" s="4">
        <v>114</v>
      </c>
      <c r="P276" s="4" t="s">
        <v>41</v>
      </c>
      <c r="Q276" s="4">
        <v>494.7</v>
      </c>
      <c r="R276" s="4">
        <v>494.7</v>
      </c>
      <c r="S276" s="4">
        <v>2819.79</v>
      </c>
      <c r="T276" s="4">
        <v>56395.8</v>
      </c>
      <c r="U276" s="4">
        <v>5</v>
      </c>
      <c r="V276" s="4" t="s">
        <v>42</v>
      </c>
      <c r="X276" s="7" t="str">
        <f t="shared" si="15"/>
        <v>441811011</v>
      </c>
      <c r="Y276" s="8" t="str">
        <f t="shared" si="16"/>
        <v>DC</v>
      </c>
      <c r="Z276" s="8">
        <f t="shared" si="17"/>
        <v>0</v>
      </c>
      <c r="AA276" s="8">
        <f t="shared" si="18"/>
        <v>0</v>
      </c>
      <c r="AB276" s="8">
        <f t="shared" si="19"/>
        <v>0</v>
      </c>
      <c r="AC276" s="8">
        <f t="shared" si="20"/>
        <v>114</v>
      </c>
      <c r="AD276" s="8">
        <f t="shared" si="21"/>
        <v>0</v>
      </c>
      <c r="AE276" s="9" t="str" cm="1">
        <f t="array" ref="AE276">IFERROR(_xlfn.XLOOKUP(H276,Sheet1!$G:$G,Sheet1!$F:$F),IFERROR(_xlfn.XLOOKUP(1,(--($X$2:$X$1074=X276))*(--ISNUMBER(MATCH($H$2:$H$1074,Sheet1!$G:$G,0))),_xlfn.XLOOKUP($H$2:$H$1074,Sheet1!$G:$G,Sheet1!$F:$F,"")),"NOT FOUND"))</f>
        <v>GETCRDSFUT6206</v>
      </c>
      <c r="AF276" s="10" t="str">
        <f t="shared" si="22"/>
        <v>TEAL</v>
      </c>
      <c r="AG276" s="11" t="str">
        <f t="shared" si="23"/>
        <v>Bangalore</v>
      </c>
      <c r="AH276" s="9" t="str">
        <f>IF(OR(J276="",AE276="",AE276="NOT FOUND"),"",IF(Y276="RP",IFERROR(LEFT(_xlfn.XLOOKUP(AE276,Sheet1!$F:$F,Sheet1!$W:$W),FIND("-",_xlfn.XLOOKUP(AE276,Sheet1!$F:$F,Sheet1!$W:$W),FIND("-",_xlfn.XLOOKUP(AE276,Sheet1!$F:$F,Sheet1!$W:$W))+1))&amp;AE276,"NOT FOUND"),LEFT(J276,FIND("-",J276,FIND("-",J276)+1))&amp;AE276))</f>
        <v>SKD-APWN26-GETCRDSFUT6206</v>
      </c>
    </row>
    <row r="277" spans="1:34" ht="15.75" customHeight="1" x14ac:dyDescent="0.2">
      <c r="A277" s="4" t="s">
        <v>30</v>
      </c>
      <c r="B277" s="4" t="s">
        <v>400</v>
      </c>
      <c r="C277" s="4" t="s">
        <v>64</v>
      </c>
      <c r="D277" s="4" t="s">
        <v>205</v>
      </c>
      <c r="E277" s="4" t="s">
        <v>34</v>
      </c>
      <c r="F277" s="4" t="s">
        <v>35</v>
      </c>
      <c r="G277" s="4" t="s">
        <v>36</v>
      </c>
      <c r="H277" s="4" t="s">
        <v>401</v>
      </c>
      <c r="I277" s="4" t="s">
        <v>402</v>
      </c>
      <c r="J277" s="4" t="s">
        <v>403</v>
      </c>
      <c r="L277" s="4" t="s">
        <v>40</v>
      </c>
      <c r="M277" s="4">
        <v>1</v>
      </c>
      <c r="N277" s="4">
        <v>30</v>
      </c>
      <c r="O277" s="4">
        <v>30</v>
      </c>
      <c r="P277" s="4" t="s">
        <v>41</v>
      </c>
      <c r="Q277" s="4">
        <v>592.70000000000005</v>
      </c>
      <c r="R277" s="4">
        <v>592.70000000000005</v>
      </c>
      <c r="S277" s="4">
        <v>889.05</v>
      </c>
      <c r="T277" s="4">
        <v>17781</v>
      </c>
      <c r="U277" s="4">
        <v>5</v>
      </c>
      <c r="V277" s="4" t="s">
        <v>42</v>
      </c>
      <c r="X277" s="7" t="str">
        <f t="shared" si="15"/>
        <v>441811009</v>
      </c>
      <c r="Y277" s="8" t="str">
        <f t="shared" si="16"/>
        <v>DC</v>
      </c>
      <c r="Z277" s="8">
        <f t="shared" si="17"/>
        <v>0</v>
      </c>
      <c r="AA277" s="8">
        <f t="shared" si="18"/>
        <v>0</v>
      </c>
      <c r="AB277" s="8">
        <f t="shared" si="19"/>
        <v>0</v>
      </c>
      <c r="AC277" s="8">
        <f t="shared" si="20"/>
        <v>0</v>
      </c>
      <c r="AD277" s="8">
        <f t="shared" si="21"/>
        <v>30</v>
      </c>
      <c r="AE277" s="9" t="str" cm="1">
        <f t="array" ref="AE277">IFERROR(_xlfn.XLOOKUP(H277,Sheet1!$G:$G,Sheet1!$F:$F),IFERROR(_xlfn.XLOOKUP(1,(--($X$2:$X$1074=X277))*(--ISNUMBER(MATCH($H$2:$H$1074,Sheet1!$G:$G,0))),_xlfn.XLOOKUP($H$2:$H$1074,Sheet1!$G:$G,Sheet1!$F:$F,"")),"NOT FOUND"))</f>
        <v>GETCRDSFUT6099</v>
      </c>
      <c r="AF277" s="10" t="str">
        <f t="shared" si="22"/>
        <v>LIME GREEN</v>
      </c>
      <c r="AG277" s="11" t="str">
        <f t="shared" si="23"/>
        <v>Bangalore</v>
      </c>
      <c r="AH277" s="9" t="str">
        <f>IF(OR(J277="",AE277="",AE277="NOT FOUND"),"",IF(Y277="RP",IFERROR(LEFT(_xlfn.XLOOKUP(AE277,Sheet1!$F:$F,Sheet1!$W:$W),FIND("-",_xlfn.XLOOKUP(AE277,Sheet1!$F:$F,Sheet1!$W:$W),FIND("-",_xlfn.XLOOKUP(AE277,Sheet1!$F:$F,Sheet1!$W:$W))+1))&amp;AE277,"NOT FOUND"),LEFT(J277,FIND("-",J277,FIND("-",J277)+1))&amp;AE277))</f>
        <v>SKD-APWN26-GETCRDSFUT6099</v>
      </c>
    </row>
    <row r="278" spans="1:34" ht="15.75" customHeight="1" x14ac:dyDescent="0.2">
      <c r="A278" s="4" t="s">
        <v>30</v>
      </c>
      <c r="B278" s="4" t="s">
        <v>400</v>
      </c>
      <c r="C278" s="4" t="s">
        <v>64</v>
      </c>
      <c r="D278" s="4" t="s">
        <v>205</v>
      </c>
      <c r="E278" s="4" t="s">
        <v>34</v>
      </c>
      <c r="F278" s="4" t="s">
        <v>35</v>
      </c>
      <c r="G278" s="4" t="s">
        <v>43</v>
      </c>
      <c r="H278" s="4" t="s">
        <v>404</v>
      </c>
      <c r="I278" s="4" t="s">
        <v>405</v>
      </c>
      <c r="J278" s="4" t="s">
        <v>406</v>
      </c>
      <c r="L278" s="4" t="s">
        <v>40</v>
      </c>
      <c r="M278" s="4">
        <v>1</v>
      </c>
      <c r="N278" s="4">
        <v>30</v>
      </c>
      <c r="O278" s="4">
        <v>30</v>
      </c>
      <c r="P278" s="4" t="s">
        <v>41</v>
      </c>
      <c r="Q278" s="4">
        <v>592.70000000000005</v>
      </c>
      <c r="R278" s="4">
        <v>592.70000000000005</v>
      </c>
      <c r="S278" s="4">
        <v>889.05</v>
      </c>
      <c r="T278" s="4">
        <v>17781</v>
      </c>
      <c r="U278" s="4">
        <v>5</v>
      </c>
      <c r="V278" s="4" t="s">
        <v>42</v>
      </c>
      <c r="X278" s="7" t="str">
        <f t="shared" si="15"/>
        <v>441811009</v>
      </c>
      <c r="Y278" s="8" t="str">
        <f t="shared" si="16"/>
        <v>DC</v>
      </c>
      <c r="Z278" s="8">
        <f t="shared" si="17"/>
        <v>0</v>
      </c>
      <c r="AA278" s="8">
        <f t="shared" si="18"/>
        <v>0</v>
      </c>
      <c r="AB278" s="8">
        <f t="shared" si="19"/>
        <v>30</v>
      </c>
      <c r="AC278" s="8">
        <f t="shared" si="20"/>
        <v>0</v>
      </c>
      <c r="AD278" s="8">
        <f t="shared" si="21"/>
        <v>0</v>
      </c>
      <c r="AE278" s="9" t="str" cm="1">
        <f t="array" ref="AE278">IFERROR(_xlfn.XLOOKUP(H278,Sheet1!$G:$G,Sheet1!$F:$F),IFERROR(_xlfn.XLOOKUP(1,(--($X$2:$X$1074=X278))*(--ISNUMBER(MATCH($H$2:$H$1074,Sheet1!$G:$G,0))),_xlfn.XLOOKUP($H$2:$H$1074,Sheet1!$G:$G,Sheet1!$F:$F,"")),"NOT FOUND"))</f>
        <v>GETCRDSFUT6099</v>
      </c>
      <c r="AF278" s="10" t="str">
        <f t="shared" si="22"/>
        <v>LIME GREEN</v>
      </c>
      <c r="AG278" s="11" t="str">
        <f t="shared" si="23"/>
        <v>Bangalore</v>
      </c>
      <c r="AH278" s="9" t="str">
        <f>IF(OR(J278="",AE278="",AE278="NOT FOUND"),"",IF(Y278="RP",IFERROR(LEFT(_xlfn.XLOOKUP(AE278,Sheet1!$F:$F,Sheet1!$W:$W),FIND("-",_xlfn.XLOOKUP(AE278,Sheet1!$F:$F,Sheet1!$W:$W),FIND("-",_xlfn.XLOOKUP(AE278,Sheet1!$F:$F,Sheet1!$W:$W))+1))&amp;AE278,"NOT FOUND"),LEFT(J278,FIND("-",J278,FIND("-",J278)+1))&amp;AE278))</f>
        <v>SKD-APWN26-GETCRDSFUT6099</v>
      </c>
    </row>
    <row r="279" spans="1:34" ht="15.75" customHeight="1" x14ac:dyDescent="0.2">
      <c r="A279" s="4" t="s">
        <v>30</v>
      </c>
      <c r="B279" s="4" t="s">
        <v>400</v>
      </c>
      <c r="C279" s="4" t="s">
        <v>64</v>
      </c>
      <c r="D279" s="4" t="s">
        <v>205</v>
      </c>
      <c r="E279" s="4" t="s">
        <v>34</v>
      </c>
      <c r="F279" s="4" t="s">
        <v>35</v>
      </c>
      <c r="G279" s="4" t="s">
        <v>47</v>
      </c>
      <c r="H279" s="4" t="s">
        <v>407</v>
      </c>
      <c r="I279" s="4" t="s">
        <v>408</v>
      </c>
      <c r="J279" s="4" t="s">
        <v>409</v>
      </c>
      <c r="L279" s="4" t="s">
        <v>40</v>
      </c>
      <c r="M279" s="4">
        <v>1</v>
      </c>
      <c r="N279" s="4">
        <v>32</v>
      </c>
      <c r="O279" s="4">
        <v>32</v>
      </c>
      <c r="P279" s="4" t="s">
        <v>41</v>
      </c>
      <c r="Q279" s="4">
        <v>592.70000000000005</v>
      </c>
      <c r="R279" s="4">
        <v>592.70000000000005</v>
      </c>
      <c r="S279" s="4">
        <v>948.32</v>
      </c>
      <c r="T279" s="4">
        <v>18966.400000000001</v>
      </c>
      <c r="U279" s="4">
        <v>5</v>
      </c>
      <c r="V279" s="4" t="s">
        <v>42</v>
      </c>
      <c r="X279" s="7" t="str">
        <f t="shared" si="15"/>
        <v>441811009</v>
      </c>
      <c r="Y279" s="8" t="str">
        <f t="shared" si="16"/>
        <v>DC</v>
      </c>
      <c r="Z279" s="8">
        <f t="shared" si="17"/>
        <v>0</v>
      </c>
      <c r="AA279" s="8">
        <f t="shared" si="18"/>
        <v>32</v>
      </c>
      <c r="AB279" s="8">
        <f t="shared" si="19"/>
        <v>0</v>
      </c>
      <c r="AC279" s="8">
        <f t="shared" si="20"/>
        <v>0</v>
      </c>
      <c r="AD279" s="8">
        <f t="shared" si="21"/>
        <v>0</v>
      </c>
      <c r="AE279" s="9" t="str" cm="1">
        <f t="array" ref="AE279">IFERROR(_xlfn.XLOOKUP(H279,Sheet1!$G:$G,Sheet1!$F:$F),IFERROR(_xlfn.XLOOKUP(1,(--($X$2:$X$1074=X279))*(--ISNUMBER(MATCH($H$2:$H$1074,Sheet1!$G:$G,0))),_xlfn.XLOOKUP($H$2:$H$1074,Sheet1!$G:$G,Sheet1!$F:$F,"")),"NOT FOUND"))</f>
        <v>GETCRDSFUT6099</v>
      </c>
      <c r="AF279" s="10" t="str">
        <f t="shared" si="22"/>
        <v>LIME GREEN</v>
      </c>
      <c r="AG279" s="11" t="str">
        <f t="shared" si="23"/>
        <v>Bangalore</v>
      </c>
      <c r="AH279" s="9" t="str">
        <f>IF(OR(J279="",AE279="",AE279="NOT FOUND"),"",IF(Y279="RP",IFERROR(LEFT(_xlfn.XLOOKUP(AE279,Sheet1!$F:$F,Sheet1!$W:$W),FIND("-",_xlfn.XLOOKUP(AE279,Sheet1!$F:$F,Sheet1!$W:$W),FIND("-",_xlfn.XLOOKUP(AE279,Sheet1!$F:$F,Sheet1!$W:$W))+1))&amp;AE279,"NOT FOUND"),LEFT(J279,FIND("-",J279,FIND("-",J279)+1))&amp;AE279))</f>
        <v>SKD-APWN26-GETCRDSFUT6099</v>
      </c>
    </row>
    <row r="280" spans="1:34" ht="15.75" customHeight="1" x14ac:dyDescent="0.2">
      <c r="A280" s="4" t="s">
        <v>30</v>
      </c>
      <c r="B280" s="4" t="s">
        <v>400</v>
      </c>
      <c r="C280" s="4" t="s">
        <v>64</v>
      </c>
      <c r="D280" s="4" t="s">
        <v>205</v>
      </c>
      <c r="E280" s="4" t="s">
        <v>34</v>
      </c>
      <c r="F280" s="4" t="s">
        <v>35</v>
      </c>
      <c r="G280" s="4" t="s">
        <v>51</v>
      </c>
      <c r="H280" s="4" t="s">
        <v>410</v>
      </c>
      <c r="I280" s="4" t="s">
        <v>411</v>
      </c>
      <c r="J280" s="4" t="s">
        <v>412</v>
      </c>
      <c r="L280" s="4" t="s">
        <v>40</v>
      </c>
      <c r="M280" s="4">
        <v>1</v>
      </c>
      <c r="N280" s="4">
        <v>30</v>
      </c>
      <c r="O280" s="4">
        <v>30</v>
      </c>
      <c r="P280" s="4" t="s">
        <v>41</v>
      </c>
      <c r="Q280" s="4">
        <v>592.70000000000005</v>
      </c>
      <c r="R280" s="4">
        <v>592.70000000000005</v>
      </c>
      <c r="S280" s="4">
        <v>889.05</v>
      </c>
      <c r="T280" s="4">
        <v>17781</v>
      </c>
      <c r="U280" s="4">
        <v>5</v>
      </c>
      <c r="V280" s="4" t="s">
        <v>42</v>
      </c>
      <c r="X280" s="7" t="str">
        <f t="shared" si="15"/>
        <v>441811009</v>
      </c>
      <c r="Y280" s="8" t="str">
        <f t="shared" si="16"/>
        <v>DC</v>
      </c>
      <c r="Z280" s="8">
        <f t="shared" si="17"/>
        <v>30</v>
      </c>
      <c r="AA280" s="8">
        <f t="shared" si="18"/>
        <v>0</v>
      </c>
      <c r="AB280" s="8">
        <f t="shared" si="19"/>
        <v>0</v>
      </c>
      <c r="AC280" s="8">
        <f t="shared" si="20"/>
        <v>0</v>
      </c>
      <c r="AD280" s="8">
        <f t="shared" si="21"/>
        <v>0</v>
      </c>
      <c r="AE280" s="9" t="str" cm="1">
        <f t="array" ref="AE280">IFERROR(_xlfn.XLOOKUP(H280,Sheet1!$G:$G,Sheet1!$F:$F),IFERROR(_xlfn.XLOOKUP(1,(--($X$2:$X$1074=X280))*(--ISNUMBER(MATCH($H$2:$H$1074,Sheet1!$G:$G,0))),_xlfn.XLOOKUP($H$2:$H$1074,Sheet1!$G:$G,Sheet1!$F:$F,"")),"NOT FOUND"))</f>
        <v>GETCRDSFUT6099</v>
      </c>
      <c r="AF280" s="10" t="str">
        <f t="shared" si="22"/>
        <v>LIME GREEN</v>
      </c>
      <c r="AG280" s="11" t="str">
        <f t="shared" si="23"/>
        <v>Bangalore</v>
      </c>
      <c r="AH280" s="9" t="str">
        <f>IF(OR(J280="",AE280="",AE280="NOT FOUND"),"",IF(Y280="RP",IFERROR(LEFT(_xlfn.XLOOKUP(AE280,Sheet1!$F:$F,Sheet1!$W:$W),FIND("-",_xlfn.XLOOKUP(AE280,Sheet1!$F:$F,Sheet1!$W:$W),FIND("-",_xlfn.XLOOKUP(AE280,Sheet1!$F:$F,Sheet1!$W:$W))+1))&amp;AE280,"NOT FOUND"),LEFT(J280,FIND("-",J280,FIND("-",J280)+1))&amp;AE280))</f>
        <v>SKD-APWN26-GETCRDSFUT6099</v>
      </c>
    </row>
    <row r="281" spans="1:34" ht="15.75" customHeight="1" x14ac:dyDescent="0.2">
      <c r="A281" s="4" t="s">
        <v>30</v>
      </c>
      <c r="B281" s="4" t="s">
        <v>400</v>
      </c>
      <c r="C281" s="4" t="s">
        <v>64</v>
      </c>
      <c r="D281" s="4" t="s">
        <v>205</v>
      </c>
      <c r="E281" s="4" t="s">
        <v>34</v>
      </c>
      <c r="F281" s="4" t="s">
        <v>35</v>
      </c>
      <c r="G281" s="4" t="s">
        <v>55</v>
      </c>
      <c r="H281" s="4" t="s">
        <v>413</v>
      </c>
      <c r="I281" s="4" t="s">
        <v>414</v>
      </c>
      <c r="J281" s="4" t="s">
        <v>415</v>
      </c>
      <c r="L281" s="4" t="s">
        <v>40</v>
      </c>
      <c r="M281" s="4">
        <v>1</v>
      </c>
      <c r="N281" s="4">
        <v>30</v>
      </c>
      <c r="O281" s="4">
        <v>30</v>
      </c>
      <c r="P281" s="4" t="s">
        <v>41</v>
      </c>
      <c r="Q281" s="4">
        <v>592.70000000000005</v>
      </c>
      <c r="R281" s="4">
        <v>592.70000000000005</v>
      </c>
      <c r="S281" s="4">
        <v>889.05</v>
      </c>
      <c r="T281" s="4">
        <v>17781</v>
      </c>
      <c r="U281" s="4">
        <v>5</v>
      </c>
      <c r="V281" s="4" t="s">
        <v>42</v>
      </c>
      <c r="X281" s="7" t="str">
        <f t="shared" si="15"/>
        <v>441811009</v>
      </c>
      <c r="Y281" s="8" t="str">
        <f t="shared" si="16"/>
        <v>DC</v>
      </c>
      <c r="Z281" s="8">
        <f t="shared" si="17"/>
        <v>0</v>
      </c>
      <c r="AA281" s="8">
        <f t="shared" si="18"/>
        <v>0</v>
      </c>
      <c r="AB281" s="8">
        <f t="shared" si="19"/>
        <v>0</v>
      </c>
      <c r="AC281" s="8">
        <f t="shared" si="20"/>
        <v>30</v>
      </c>
      <c r="AD281" s="8">
        <f t="shared" si="21"/>
        <v>0</v>
      </c>
      <c r="AE281" s="9" t="str" cm="1">
        <f t="array" ref="AE281">IFERROR(_xlfn.XLOOKUP(H281,Sheet1!$G:$G,Sheet1!$F:$F),IFERROR(_xlfn.XLOOKUP(1,(--($X$2:$X$1074=X281))*(--ISNUMBER(MATCH($H$2:$H$1074,Sheet1!$G:$G,0))),_xlfn.XLOOKUP($H$2:$H$1074,Sheet1!$G:$G,Sheet1!$F:$F,"")),"NOT FOUND"))</f>
        <v>GETCRDSFUT6099</v>
      </c>
      <c r="AF281" s="10" t="str">
        <f t="shared" si="22"/>
        <v>LIME GREEN</v>
      </c>
      <c r="AG281" s="11" t="str">
        <f t="shared" si="23"/>
        <v>Bangalore</v>
      </c>
      <c r="AH281" s="9" t="str">
        <f>IF(OR(J281="",AE281="",AE281="NOT FOUND"),"",IF(Y281="RP",IFERROR(LEFT(_xlfn.XLOOKUP(AE281,Sheet1!$F:$F,Sheet1!$W:$W),FIND("-",_xlfn.XLOOKUP(AE281,Sheet1!$F:$F,Sheet1!$W:$W),FIND("-",_xlfn.XLOOKUP(AE281,Sheet1!$F:$F,Sheet1!$W:$W))+1))&amp;AE281,"NOT FOUND"),LEFT(J281,FIND("-",J281,FIND("-",J281)+1))&amp;AE281))</f>
        <v>SKD-APWN26-GETCRDSFUT6099</v>
      </c>
    </row>
    <row r="282" spans="1:34" ht="15.75" customHeight="1" x14ac:dyDescent="0.2">
      <c r="A282" s="4" t="s">
        <v>59</v>
      </c>
      <c r="B282" s="4" t="s">
        <v>416</v>
      </c>
      <c r="C282" s="4" t="s">
        <v>64</v>
      </c>
      <c r="D282" s="4" t="s">
        <v>81</v>
      </c>
      <c r="E282" s="4" t="s">
        <v>34</v>
      </c>
      <c r="F282" s="4" t="s">
        <v>35</v>
      </c>
      <c r="G282" s="4" t="s">
        <v>36</v>
      </c>
      <c r="H282" s="4" t="s">
        <v>369</v>
      </c>
      <c r="I282" s="4" t="s">
        <v>370</v>
      </c>
      <c r="J282" s="4" t="s">
        <v>371</v>
      </c>
      <c r="L282" s="4" t="s">
        <v>40</v>
      </c>
      <c r="M282" s="4">
        <v>1</v>
      </c>
      <c r="N282" s="4">
        <v>30</v>
      </c>
      <c r="O282" s="4">
        <v>30</v>
      </c>
      <c r="P282" s="4" t="s">
        <v>41</v>
      </c>
      <c r="Q282" s="4">
        <v>504.7</v>
      </c>
      <c r="R282" s="4">
        <v>504.7</v>
      </c>
      <c r="S282" s="4">
        <v>757.05</v>
      </c>
      <c r="T282" s="4">
        <v>15141</v>
      </c>
      <c r="U282" s="4">
        <v>5</v>
      </c>
      <c r="V282" s="4" t="s">
        <v>42</v>
      </c>
      <c r="X282" s="7" t="str">
        <f t="shared" si="15"/>
        <v>441811012</v>
      </c>
      <c r="Y282" s="8" t="str">
        <f t="shared" si="16"/>
        <v>DC</v>
      </c>
      <c r="Z282" s="8">
        <f t="shared" si="17"/>
        <v>0</v>
      </c>
      <c r="AA282" s="8">
        <f t="shared" si="18"/>
        <v>0</v>
      </c>
      <c r="AB282" s="8">
        <f t="shared" si="19"/>
        <v>0</v>
      </c>
      <c r="AC282" s="8">
        <f t="shared" si="20"/>
        <v>0</v>
      </c>
      <c r="AD282" s="8">
        <f t="shared" si="21"/>
        <v>30</v>
      </c>
      <c r="AE282" s="9" t="str" cm="1">
        <f t="array" ref="AE282">IFERROR(_xlfn.XLOOKUP(H282,Sheet1!$G:$G,Sheet1!$F:$F),IFERROR(_xlfn.XLOOKUP(1,(--($X$2:$X$1074=X282))*(--ISNUMBER(MATCH($H$2:$H$1074,Sheet1!$G:$G,0))),_xlfn.XLOOKUP($H$2:$H$1074,Sheet1!$G:$G,Sheet1!$F:$F,"")),"NOT FOUND"))</f>
        <v>GETCRDSFUT6207</v>
      </c>
      <c r="AF282" s="10" t="str">
        <f t="shared" si="22"/>
        <v>ONION PINK</v>
      </c>
      <c r="AG282" s="11" t="str">
        <f t="shared" si="23"/>
        <v>JHAJJAR</v>
      </c>
      <c r="AH282" s="9" t="str">
        <f>IF(OR(J282="",AE282="",AE282="NOT FOUND"),"",IF(Y282="RP",IFERROR(LEFT(_xlfn.XLOOKUP(AE282,Sheet1!$F:$F,Sheet1!$W:$W),FIND("-",_xlfn.XLOOKUP(AE282,Sheet1!$F:$F,Sheet1!$W:$W),FIND("-",_xlfn.XLOOKUP(AE282,Sheet1!$F:$F,Sheet1!$W:$W))+1))&amp;AE282,"NOT FOUND"),LEFT(J282,FIND("-",J282,FIND("-",J282)+1))&amp;AE282))</f>
        <v>SKD-APWN26-GETCRDSFUT6207</v>
      </c>
    </row>
    <row r="283" spans="1:34" ht="15.75" customHeight="1" x14ac:dyDescent="0.2">
      <c r="A283" s="4" t="s">
        <v>59</v>
      </c>
      <c r="B283" s="4" t="s">
        <v>416</v>
      </c>
      <c r="C283" s="4" t="s">
        <v>64</v>
      </c>
      <c r="D283" s="4" t="s">
        <v>81</v>
      </c>
      <c r="E283" s="4" t="s">
        <v>34</v>
      </c>
      <c r="F283" s="4" t="s">
        <v>35</v>
      </c>
      <c r="G283" s="4" t="s">
        <v>43</v>
      </c>
      <c r="H283" s="4" t="s">
        <v>372</v>
      </c>
      <c r="I283" s="4" t="s">
        <v>373</v>
      </c>
      <c r="J283" s="4" t="s">
        <v>374</v>
      </c>
      <c r="L283" s="4" t="s">
        <v>40</v>
      </c>
      <c r="M283" s="4">
        <v>1</v>
      </c>
      <c r="N283" s="4">
        <v>71</v>
      </c>
      <c r="O283" s="4">
        <v>71</v>
      </c>
      <c r="P283" s="4" t="s">
        <v>41</v>
      </c>
      <c r="Q283" s="4">
        <v>504.7</v>
      </c>
      <c r="R283" s="4">
        <v>504.7</v>
      </c>
      <c r="S283" s="4">
        <v>1791.69</v>
      </c>
      <c r="T283" s="4">
        <v>35833.699999999997</v>
      </c>
      <c r="U283" s="4">
        <v>5</v>
      </c>
      <c r="V283" s="4" t="s">
        <v>42</v>
      </c>
      <c r="X283" s="7" t="str">
        <f t="shared" si="15"/>
        <v>441811012</v>
      </c>
      <c r="Y283" s="8" t="str">
        <f t="shared" si="16"/>
        <v>DC</v>
      </c>
      <c r="Z283" s="8">
        <f t="shared" si="17"/>
        <v>0</v>
      </c>
      <c r="AA283" s="8">
        <f t="shared" si="18"/>
        <v>0</v>
      </c>
      <c r="AB283" s="8">
        <f t="shared" si="19"/>
        <v>71</v>
      </c>
      <c r="AC283" s="8">
        <f t="shared" si="20"/>
        <v>0</v>
      </c>
      <c r="AD283" s="8">
        <f t="shared" si="21"/>
        <v>0</v>
      </c>
      <c r="AE283" s="9" t="str" cm="1">
        <f t="array" ref="AE283">IFERROR(_xlfn.XLOOKUP(H283,Sheet1!$G:$G,Sheet1!$F:$F),IFERROR(_xlfn.XLOOKUP(1,(--($X$2:$X$1074=X283))*(--ISNUMBER(MATCH($H$2:$H$1074,Sheet1!$G:$G,0))),_xlfn.XLOOKUP($H$2:$H$1074,Sheet1!$G:$G,Sheet1!$F:$F,"")),"NOT FOUND"))</f>
        <v>GETCRDSFUT6207</v>
      </c>
      <c r="AF283" s="10" t="str">
        <f t="shared" si="22"/>
        <v>ONION PINK</v>
      </c>
      <c r="AG283" s="11" t="str">
        <f t="shared" si="23"/>
        <v>JHAJJAR</v>
      </c>
      <c r="AH283" s="9" t="str">
        <f>IF(OR(J283="",AE283="",AE283="NOT FOUND"),"",IF(Y283="RP",IFERROR(LEFT(_xlfn.XLOOKUP(AE283,Sheet1!$F:$F,Sheet1!$W:$W),FIND("-",_xlfn.XLOOKUP(AE283,Sheet1!$F:$F,Sheet1!$W:$W),FIND("-",_xlfn.XLOOKUP(AE283,Sheet1!$F:$F,Sheet1!$W:$W))+1))&amp;AE283,"NOT FOUND"),LEFT(J283,FIND("-",J283,FIND("-",J283)+1))&amp;AE283))</f>
        <v>SKD-APWN26-GETCRDSFUT6207</v>
      </c>
    </row>
    <row r="284" spans="1:34" ht="15.75" customHeight="1" x14ac:dyDescent="0.2">
      <c r="A284" s="4" t="s">
        <v>59</v>
      </c>
      <c r="B284" s="4" t="s">
        <v>416</v>
      </c>
      <c r="C284" s="4" t="s">
        <v>64</v>
      </c>
      <c r="D284" s="4" t="s">
        <v>81</v>
      </c>
      <c r="E284" s="4" t="s">
        <v>34</v>
      </c>
      <c r="F284" s="4" t="s">
        <v>35</v>
      </c>
      <c r="G284" s="4" t="s">
        <v>47</v>
      </c>
      <c r="H284" s="4" t="s">
        <v>375</v>
      </c>
      <c r="I284" s="4" t="s">
        <v>376</v>
      </c>
      <c r="J284" s="4" t="s">
        <v>377</v>
      </c>
      <c r="L284" s="4" t="s">
        <v>40</v>
      </c>
      <c r="M284" s="4">
        <v>1</v>
      </c>
      <c r="N284" s="4">
        <v>75</v>
      </c>
      <c r="O284" s="4">
        <v>75</v>
      </c>
      <c r="P284" s="4" t="s">
        <v>41</v>
      </c>
      <c r="Q284" s="4">
        <v>504.7</v>
      </c>
      <c r="R284" s="4">
        <v>504.7</v>
      </c>
      <c r="S284" s="4">
        <v>1892.63</v>
      </c>
      <c r="T284" s="4">
        <v>37852.5</v>
      </c>
      <c r="U284" s="4">
        <v>5</v>
      </c>
      <c r="V284" s="4" t="s">
        <v>42</v>
      </c>
      <c r="X284" s="7" t="str">
        <f t="shared" si="15"/>
        <v>441811012</v>
      </c>
      <c r="Y284" s="8" t="str">
        <f t="shared" si="16"/>
        <v>DC</v>
      </c>
      <c r="Z284" s="8">
        <f t="shared" si="17"/>
        <v>0</v>
      </c>
      <c r="AA284" s="8">
        <f t="shared" si="18"/>
        <v>75</v>
      </c>
      <c r="AB284" s="8">
        <f t="shared" si="19"/>
        <v>0</v>
      </c>
      <c r="AC284" s="8">
        <f t="shared" si="20"/>
        <v>0</v>
      </c>
      <c r="AD284" s="8">
        <f t="shared" si="21"/>
        <v>0</v>
      </c>
      <c r="AE284" s="9" t="str" cm="1">
        <f t="array" ref="AE284">IFERROR(_xlfn.XLOOKUP(H284,Sheet1!$G:$G,Sheet1!$F:$F),IFERROR(_xlfn.XLOOKUP(1,(--($X$2:$X$1074=X284))*(--ISNUMBER(MATCH($H$2:$H$1074,Sheet1!$G:$G,0))),_xlfn.XLOOKUP($H$2:$H$1074,Sheet1!$G:$G,Sheet1!$F:$F,"")),"NOT FOUND"))</f>
        <v>GETCRDSFUT6207</v>
      </c>
      <c r="AF284" s="10" t="str">
        <f t="shared" si="22"/>
        <v>ONION PINK</v>
      </c>
      <c r="AG284" s="11" t="str">
        <f t="shared" si="23"/>
        <v>JHAJJAR</v>
      </c>
      <c r="AH284" s="9" t="str">
        <f>IF(OR(J284="",AE284="",AE284="NOT FOUND"),"",IF(Y284="RP",IFERROR(LEFT(_xlfn.XLOOKUP(AE284,Sheet1!$F:$F,Sheet1!$W:$W),FIND("-",_xlfn.XLOOKUP(AE284,Sheet1!$F:$F,Sheet1!$W:$W),FIND("-",_xlfn.XLOOKUP(AE284,Sheet1!$F:$F,Sheet1!$W:$W))+1))&amp;AE284,"NOT FOUND"),LEFT(J284,FIND("-",J284,FIND("-",J284)+1))&amp;AE284))</f>
        <v>SKD-APWN26-GETCRDSFUT6207</v>
      </c>
    </row>
    <row r="285" spans="1:34" ht="15.75" customHeight="1" x14ac:dyDescent="0.2">
      <c r="A285" s="4" t="s">
        <v>59</v>
      </c>
      <c r="B285" s="4" t="s">
        <v>416</v>
      </c>
      <c r="C285" s="4" t="s">
        <v>64</v>
      </c>
      <c r="D285" s="4" t="s">
        <v>81</v>
      </c>
      <c r="E285" s="4" t="s">
        <v>34</v>
      </c>
      <c r="F285" s="4" t="s">
        <v>35</v>
      </c>
      <c r="G285" s="4" t="s">
        <v>51</v>
      </c>
      <c r="H285" s="4" t="s">
        <v>378</v>
      </c>
      <c r="I285" s="4" t="s">
        <v>379</v>
      </c>
      <c r="J285" s="4" t="s">
        <v>380</v>
      </c>
      <c r="L285" s="4" t="s">
        <v>40</v>
      </c>
      <c r="M285" s="4">
        <v>1</v>
      </c>
      <c r="N285" s="4">
        <v>30</v>
      </c>
      <c r="O285" s="4">
        <v>30</v>
      </c>
      <c r="P285" s="4" t="s">
        <v>41</v>
      </c>
      <c r="Q285" s="4">
        <v>504.7</v>
      </c>
      <c r="R285" s="4">
        <v>504.7</v>
      </c>
      <c r="S285" s="4">
        <v>757.05</v>
      </c>
      <c r="T285" s="4">
        <v>15141</v>
      </c>
      <c r="U285" s="4">
        <v>5</v>
      </c>
      <c r="V285" s="4" t="s">
        <v>42</v>
      </c>
      <c r="X285" s="7" t="str">
        <f t="shared" si="15"/>
        <v>441811012</v>
      </c>
      <c r="Y285" s="8" t="str">
        <f t="shared" si="16"/>
        <v>DC</v>
      </c>
      <c r="Z285" s="8">
        <f t="shared" si="17"/>
        <v>30</v>
      </c>
      <c r="AA285" s="8">
        <f t="shared" si="18"/>
        <v>0</v>
      </c>
      <c r="AB285" s="8">
        <f t="shared" si="19"/>
        <v>0</v>
      </c>
      <c r="AC285" s="8">
        <f t="shared" si="20"/>
        <v>0</v>
      </c>
      <c r="AD285" s="8">
        <f t="shared" si="21"/>
        <v>0</v>
      </c>
      <c r="AE285" s="9" t="str" cm="1">
        <f t="array" ref="AE285">IFERROR(_xlfn.XLOOKUP(H285,Sheet1!$G:$G,Sheet1!$F:$F),IFERROR(_xlfn.XLOOKUP(1,(--($X$2:$X$1074=X285))*(--ISNUMBER(MATCH($H$2:$H$1074,Sheet1!$G:$G,0))),_xlfn.XLOOKUP($H$2:$H$1074,Sheet1!$G:$G,Sheet1!$F:$F,"")),"NOT FOUND"))</f>
        <v>GETCRDSFUT6207</v>
      </c>
      <c r="AF285" s="10" t="str">
        <f t="shared" si="22"/>
        <v>ONION PINK</v>
      </c>
      <c r="AG285" s="11" t="str">
        <f t="shared" si="23"/>
        <v>JHAJJAR</v>
      </c>
      <c r="AH285" s="9" t="str">
        <f>IF(OR(J285="",AE285="",AE285="NOT FOUND"),"",IF(Y285="RP",IFERROR(LEFT(_xlfn.XLOOKUP(AE285,Sheet1!$F:$F,Sheet1!$W:$W),FIND("-",_xlfn.XLOOKUP(AE285,Sheet1!$F:$F,Sheet1!$W:$W),FIND("-",_xlfn.XLOOKUP(AE285,Sheet1!$F:$F,Sheet1!$W:$W))+1))&amp;AE285,"NOT FOUND"),LEFT(J285,FIND("-",J285,FIND("-",J285)+1))&amp;AE285))</f>
        <v>SKD-APWN26-GETCRDSFUT6207</v>
      </c>
    </row>
    <row r="286" spans="1:34" ht="15.75" customHeight="1" x14ac:dyDescent="0.2">
      <c r="A286" s="4" t="s">
        <v>59</v>
      </c>
      <c r="B286" s="4" t="s">
        <v>416</v>
      </c>
      <c r="C286" s="4" t="s">
        <v>64</v>
      </c>
      <c r="D286" s="4" t="s">
        <v>81</v>
      </c>
      <c r="E286" s="4" t="s">
        <v>34</v>
      </c>
      <c r="F286" s="4" t="s">
        <v>35</v>
      </c>
      <c r="G286" s="4" t="s">
        <v>55</v>
      </c>
      <c r="H286" s="4" t="s">
        <v>381</v>
      </c>
      <c r="I286" s="4" t="s">
        <v>382</v>
      </c>
      <c r="J286" s="4" t="s">
        <v>383</v>
      </c>
      <c r="L286" s="4" t="s">
        <v>40</v>
      </c>
      <c r="M286" s="4">
        <v>1</v>
      </c>
      <c r="N286" s="4">
        <v>71</v>
      </c>
      <c r="O286" s="4">
        <v>71</v>
      </c>
      <c r="P286" s="4" t="s">
        <v>41</v>
      </c>
      <c r="Q286" s="4">
        <v>504.7</v>
      </c>
      <c r="R286" s="4">
        <v>504.7</v>
      </c>
      <c r="S286" s="4">
        <v>1791.69</v>
      </c>
      <c r="T286" s="4">
        <v>35833.699999999997</v>
      </c>
      <c r="U286" s="4">
        <v>5</v>
      </c>
      <c r="V286" s="4" t="s">
        <v>42</v>
      </c>
      <c r="X286" s="7" t="str">
        <f t="shared" si="15"/>
        <v>441811012</v>
      </c>
      <c r="Y286" s="8" t="str">
        <f t="shared" si="16"/>
        <v>DC</v>
      </c>
      <c r="Z286" s="8">
        <f t="shared" si="17"/>
        <v>0</v>
      </c>
      <c r="AA286" s="8">
        <f t="shared" si="18"/>
        <v>0</v>
      </c>
      <c r="AB286" s="8">
        <f t="shared" si="19"/>
        <v>0</v>
      </c>
      <c r="AC286" s="8">
        <f t="shared" si="20"/>
        <v>71</v>
      </c>
      <c r="AD286" s="8">
        <f t="shared" si="21"/>
        <v>0</v>
      </c>
      <c r="AE286" s="9" t="str" cm="1">
        <f t="array" ref="AE286">IFERROR(_xlfn.XLOOKUP(H286,Sheet1!$G:$G,Sheet1!$F:$F),IFERROR(_xlfn.XLOOKUP(1,(--($X$2:$X$1074=X286))*(--ISNUMBER(MATCH($H$2:$H$1074,Sheet1!$G:$G,0))),_xlfn.XLOOKUP($H$2:$H$1074,Sheet1!$G:$G,Sheet1!$F:$F,"")),"NOT FOUND"))</f>
        <v>GETCRDSFUT6207</v>
      </c>
      <c r="AF286" s="10" t="str">
        <f t="shared" si="22"/>
        <v>ONION PINK</v>
      </c>
      <c r="AG286" s="11" t="str">
        <f t="shared" si="23"/>
        <v>JHAJJAR</v>
      </c>
      <c r="AH286" s="9" t="str">
        <f>IF(OR(J286="",AE286="",AE286="NOT FOUND"),"",IF(Y286="RP",IFERROR(LEFT(_xlfn.XLOOKUP(AE286,Sheet1!$F:$F,Sheet1!$W:$W),FIND("-",_xlfn.XLOOKUP(AE286,Sheet1!$F:$F,Sheet1!$W:$W),FIND("-",_xlfn.XLOOKUP(AE286,Sheet1!$F:$F,Sheet1!$W:$W))+1))&amp;AE286,"NOT FOUND"),LEFT(J286,FIND("-",J286,FIND("-",J286)+1))&amp;AE286))</f>
        <v>SKD-APWN26-GETCRDSFUT6207</v>
      </c>
    </row>
    <row r="287" spans="1:34" ht="15.75" customHeight="1" x14ac:dyDescent="0.2">
      <c r="A287" s="4" t="s">
        <v>59</v>
      </c>
      <c r="B287" s="4" t="s">
        <v>417</v>
      </c>
      <c r="C287" s="4" t="s">
        <v>64</v>
      </c>
      <c r="D287" s="4" t="s">
        <v>327</v>
      </c>
      <c r="E287" s="4" t="s">
        <v>34</v>
      </c>
      <c r="F287" s="4" t="s">
        <v>35</v>
      </c>
      <c r="G287" s="4" t="s">
        <v>36</v>
      </c>
      <c r="H287" s="4" t="s">
        <v>385</v>
      </c>
      <c r="I287" s="4" t="s">
        <v>386</v>
      </c>
      <c r="J287" s="4" t="s">
        <v>387</v>
      </c>
      <c r="L287" s="4" t="s">
        <v>40</v>
      </c>
      <c r="M287" s="4">
        <v>1</v>
      </c>
      <c r="N287" s="4">
        <v>30</v>
      </c>
      <c r="O287" s="4">
        <v>30</v>
      </c>
      <c r="P287" s="4" t="s">
        <v>41</v>
      </c>
      <c r="Q287" s="4">
        <v>494.7</v>
      </c>
      <c r="R287" s="4">
        <v>494.7</v>
      </c>
      <c r="S287" s="4">
        <v>742.05</v>
      </c>
      <c r="T287" s="4">
        <v>14841</v>
      </c>
      <c r="U287" s="4">
        <v>5</v>
      </c>
      <c r="V287" s="4" t="s">
        <v>42</v>
      </c>
      <c r="X287" s="7" t="str">
        <f t="shared" si="15"/>
        <v>441811011</v>
      </c>
      <c r="Y287" s="8" t="str">
        <f t="shared" si="16"/>
        <v>DC</v>
      </c>
      <c r="Z287" s="8">
        <f t="shared" si="17"/>
        <v>0</v>
      </c>
      <c r="AA287" s="8">
        <f t="shared" si="18"/>
        <v>0</v>
      </c>
      <c r="AB287" s="8">
        <f t="shared" si="19"/>
        <v>0</v>
      </c>
      <c r="AC287" s="8">
        <f t="shared" si="20"/>
        <v>0</v>
      </c>
      <c r="AD287" s="8">
        <f t="shared" si="21"/>
        <v>30</v>
      </c>
      <c r="AE287" s="9" t="str" cm="1">
        <f t="array" ref="AE287">IFERROR(_xlfn.XLOOKUP(H287,Sheet1!$G:$G,Sheet1!$F:$F),IFERROR(_xlfn.XLOOKUP(1,(--($X$2:$X$1074=X287))*(--ISNUMBER(MATCH($H$2:$H$1074,Sheet1!$G:$G,0))),_xlfn.XLOOKUP($H$2:$H$1074,Sheet1!$G:$G,Sheet1!$F:$F,"")),"NOT FOUND"))</f>
        <v>GETCRDSFUT6206</v>
      </c>
      <c r="AF287" s="10" t="str">
        <f t="shared" si="22"/>
        <v>TEAL</v>
      </c>
      <c r="AG287" s="11" t="str">
        <f t="shared" si="23"/>
        <v>JHAJJAR</v>
      </c>
      <c r="AH287" s="9" t="str">
        <f>IF(OR(J287="",AE287="",AE287="NOT FOUND"),"",IF(Y287="RP",IFERROR(LEFT(_xlfn.XLOOKUP(AE287,Sheet1!$F:$F,Sheet1!$W:$W),FIND("-",_xlfn.XLOOKUP(AE287,Sheet1!$F:$F,Sheet1!$W:$W),FIND("-",_xlfn.XLOOKUP(AE287,Sheet1!$F:$F,Sheet1!$W:$W))+1))&amp;AE287,"NOT FOUND"),LEFT(J287,FIND("-",J287,FIND("-",J287)+1))&amp;AE287))</f>
        <v>SKD-APWN26-GETCRDSFUT6206</v>
      </c>
    </row>
    <row r="288" spans="1:34" ht="15.75" customHeight="1" x14ac:dyDescent="0.2">
      <c r="A288" s="4" t="s">
        <v>59</v>
      </c>
      <c r="B288" s="4" t="s">
        <v>417</v>
      </c>
      <c r="C288" s="4" t="s">
        <v>64</v>
      </c>
      <c r="D288" s="4" t="s">
        <v>327</v>
      </c>
      <c r="E288" s="4" t="s">
        <v>34</v>
      </c>
      <c r="F288" s="4" t="s">
        <v>35</v>
      </c>
      <c r="G288" s="4" t="s">
        <v>43</v>
      </c>
      <c r="H288" s="4" t="s">
        <v>388</v>
      </c>
      <c r="I288" s="4" t="s">
        <v>389</v>
      </c>
      <c r="J288" s="4" t="s">
        <v>390</v>
      </c>
      <c r="L288" s="4" t="s">
        <v>40</v>
      </c>
      <c r="M288" s="4">
        <v>1</v>
      </c>
      <c r="N288" s="4">
        <v>71</v>
      </c>
      <c r="O288" s="4">
        <v>71</v>
      </c>
      <c r="P288" s="4" t="s">
        <v>41</v>
      </c>
      <c r="Q288" s="4">
        <v>494.7</v>
      </c>
      <c r="R288" s="4">
        <v>494.7</v>
      </c>
      <c r="S288" s="4">
        <v>1756.19</v>
      </c>
      <c r="T288" s="4">
        <v>35123.699999999997</v>
      </c>
      <c r="U288" s="4">
        <v>5</v>
      </c>
      <c r="V288" s="4" t="s">
        <v>42</v>
      </c>
      <c r="X288" s="7" t="str">
        <f t="shared" si="15"/>
        <v>441811011</v>
      </c>
      <c r="Y288" s="8" t="str">
        <f t="shared" si="16"/>
        <v>DC</v>
      </c>
      <c r="Z288" s="8">
        <f t="shared" si="17"/>
        <v>0</v>
      </c>
      <c r="AA288" s="8">
        <f t="shared" si="18"/>
        <v>0</v>
      </c>
      <c r="AB288" s="8">
        <f t="shared" si="19"/>
        <v>71</v>
      </c>
      <c r="AC288" s="8">
        <f t="shared" si="20"/>
        <v>0</v>
      </c>
      <c r="AD288" s="8">
        <f t="shared" si="21"/>
        <v>0</v>
      </c>
      <c r="AE288" s="9" t="str" cm="1">
        <f t="array" ref="AE288">IFERROR(_xlfn.XLOOKUP(H288,Sheet1!$G:$G,Sheet1!$F:$F),IFERROR(_xlfn.XLOOKUP(1,(--($X$2:$X$1074=X288))*(--ISNUMBER(MATCH($H$2:$H$1074,Sheet1!$G:$G,0))),_xlfn.XLOOKUP($H$2:$H$1074,Sheet1!$G:$G,Sheet1!$F:$F,"")),"NOT FOUND"))</f>
        <v>GETCRDSFUT6206</v>
      </c>
      <c r="AF288" s="10" t="str">
        <f t="shared" si="22"/>
        <v>TEAL</v>
      </c>
      <c r="AG288" s="11" t="str">
        <f t="shared" si="23"/>
        <v>JHAJJAR</v>
      </c>
      <c r="AH288" s="9" t="str">
        <f>IF(OR(J288="",AE288="",AE288="NOT FOUND"),"",IF(Y288="RP",IFERROR(LEFT(_xlfn.XLOOKUP(AE288,Sheet1!$F:$F,Sheet1!$W:$W),FIND("-",_xlfn.XLOOKUP(AE288,Sheet1!$F:$F,Sheet1!$W:$W),FIND("-",_xlfn.XLOOKUP(AE288,Sheet1!$F:$F,Sheet1!$W:$W))+1))&amp;AE288,"NOT FOUND"),LEFT(J288,FIND("-",J288,FIND("-",J288)+1))&amp;AE288))</f>
        <v>SKD-APWN26-GETCRDSFUT6206</v>
      </c>
    </row>
    <row r="289" spans="1:34" ht="15.75" customHeight="1" x14ac:dyDescent="0.2">
      <c r="A289" s="4" t="s">
        <v>59</v>
      </c>
      <c r="B289" s="4" t="s">
        <v>417</v>
      </c>
      <c r="C289" s="4" t="s">
        <v>64</v>
      </c>
      <c r="D289" s="4" t="s">
        <v>327</v>
      </c>
      <c r="E289" s="4" t="s">
        <v>34</v>
      </c>
      <c r="F289" s="4" t="s">
        <v>35</v>
      </c>
      <c r="G289" s="4" t="s">
        <v>47</v>
      </c>
      <c r="H289" s="4" t="s">
        <v>391</v>
      </c>
      <c r="I289" s="4" t="s">
        <v>392</v>
      </c>
      <c r="J289" s="4" t="s">
        <v>393</v>
      </c>
      <c r="L289" s="4" t="s">
        <v>40</v>
      </c>
      <c r="M289" s="4">
        <v>1</v>
      </c>
      <c r="N289" s="4">
        <v>75</v>
      </c>
      <c r="O289" s="4">
        <v>75</v>
      </c>
      <c r="P289" s="4" t="s">
        <v>41</v>
      </c>
      <c r="Q289" s="4">
        <v>494.7</v>
      </c>
      <c r="R289" s="4">
        <v>494.7</v>
      </c>
      <c r="S289" s="4">
        <v>1855.13</v>
      </c>
      <c r="T289" s="4">
        <v>37102.5</v>
      </c>
      <c r="U289" s="4">
        <v>5</v>
      </c>
      <c r="V289" s="4" t="s">
        <v>42</v>
      </c>
      <c r="X289" s="7" t="str">
        <f t="shared" si="15"/>
        <v>441811011</v>
      </c>
      <c r="Y289" s="8" t="str">
        <f t="shared" si="16"/>
        <v>DC</v>
      </c>
      <c r="Z289" s="8">
        <f t="shared" si="17"/>
        <v>0</v>
      </c>
      <c r="AA289" s="8">
        <f t="shared" si="18"/>
        <v>75</v>
      </c>
      <c r="AB289" s="8">
        <f t="shared" si="19"/>
        <v>0</v>
      </c>
      <c r="AC289" s="8">
        <f t="shared" si="20"/>
        <v>0</v>
      </c>
      <c r="AD289" s="8">
        <f t="shared" si="21"/>
        <v>0</v>
      </c>
      <c r="AE289" s="9" t="str" cm="1">
        <f t="array" ref="AE289">IFERROR(_xlfn.XLOOKUP(H289,Sheet1!$G:$G,Sheet1!$F:$F),IFERROR(_xlfn.XLOOKUP(1,(--($X$2:$X$1074=X289))*(--ISNUMBER(MATCH($H$2:$H$1074,Sheet1!$G:$G,0))),_xlfn.XLOOKUP($H$2:$H$1074,Sheet1!$G:$G,Sheet1!$F:$F,"")),"NOT FOUND"))</f>
        <v>GETCRDSFUT6206</v>
      </c>
      <c r="AF289" s="10" t="str">
        <f t="shared" si="22"/>
        <v>TEAL</v>
      </c>
      <c r="AG289" s="11" t="str">
        <f t="shared" si="23"/>
        <v>JHAJJAR</v>
      </c>
      <c r="AH289" s="9" t="str">
        <f>IF(OR(J289="",AE289="",AE289="NOT FOUND"),"",IF(Y289="RP",IFERROR(LEFT(_xlfn.XLOOKUP(AE289,Sheet1!$F:$F,Sheet1!$W:$W),FIND("-",_xlfn.XLOOKUP(AE289,Sheet1!$F:$F,Sheet1!$W:$W),FIND("-",_xlfn.XLOOKUP(AE289,Sheet1!$F:$F,Sheet1!$W:$W))+1))&amp;AE289,"NOT FOUND"),LEFT(J289,FIND("-",J289,FIND("-",J289)+1))&amp;AE289))</f>
        <v>SKD-APWN26-GETCRDSFUT6206</v>
      </c>
    </row>
    <row r="290" spans="1:34" ht="15.75" customHeight="1" x14ac:dyDescent="0.2">
      <c r="A290" s="4" t="s">
        <v>59</v>
      </c>
      <c r="B290" s="4" t="s">
        <v>417</v>
      </c>
      <c r="C290" s="4" t="s">
        <v>64</v>
      </c>
      <c r="D290" s="4" t="s">
        <v>327</v>
      </c>
      <c r="E290" s="4" t="s">
        <v>34</v>
      </c>
      <c r="F290" s="4" t="s">
        <v>35</v>
      </c>
      <c r="G290" s="4" t="s">
        <v>51</v>
      </c>
      <c r="H290" s="4" t="s">
        <v>394</v>
      </c>
      <c r="I290" s="4" t="s">
        <v>395</v>
      </c>
      <c r="J290" s="4" t="s">
        <v>396</v>
      </c>
      <c r="L290" s="4" t="s">
        <v>40</v>
      </c>
      <c r="M290" s="4">
        <v>1</v>
      </c>
      <c r="N290" s="4">
        <v>30</v>
      </c>
      <c r="O290" s="4">
        <v>30</v>
      </c>
      <c r="P290" s="4" t="s">
        <v>41</v>
      </c>
      <c r="Q290" s="4">
        <v>494.7</v>
      </c>
      <c r="R290" s="4">
        <v>494.7</v>
      </c>
      <c r="S290" s="4">
        <v>742.05</v>
      </c>
      <c r="T290" s="4">
        <v>14841</v>
      </c>
      <c r="U290" s="4">
        <v>5</v>
      </c>
      <c r="V290" s="4" t="s">
        <v>42</v>
      </c>
      <c r="X290" s="7" t="str">
        <f t="shared" si="15"/>
        <v>441811011</v>
      </c>
      <c r="Y290" s="8" t="str">
        <f t="shared" si="16"/>
        <v>DC</v>
      </c>
      <c r="Z290" s="8">
        <f t="shared" si="17"/>
        <v>30</v>
      </c>
      <c r="AA290" s="8">
        <f t="shared" si="18"/>
        <v>0</v>
      </c>
      <c r="AB290" s="8">
        <f t="shared" si="19"/>
        <v>0</v>
      </c>
      <c r="AC290" s="8">
        <f t="shared" si="20"/>
        <v>0</v>
      </c>
      <c r="AD290" s="8">
        <f t="shared" si="21"/>
        <v>0</v>
      </c>
      <c r="AE290" s="9" t="str" cm="1">
        <f t="array" ref="AE290">IFERROR(_xlfn.XLOOKUP(H290,Sheet1!$G:$G,Sheet1!$F:$F),IFERROR(_xlfn.XLOOKUP(1,(--($X$2:$X$1074=X290))*(--ISNUMBER(MATCH($H$2:$H$1074,Sheet1!$G:$G,0))),_xlfn.XLOOKUP($H$2:$H$1074,Sheet1!$G:$G,Sheet1!$F:$F,"")),"NOT FOUND"))</f>
        <v>GETCRDSFUT6206</v>
      </c>
      <c r="AF290" s="10" t="str">
        <f t="shared" si="22"/>
        <v>TEAL</v>
      </c>
      <c r="AG290" s="11" t="str">
        <f t="shared" si="23"/>
        <v>JHAJJAR</v>
      </c>
      <c r="AH290" s="9" t="str">
        <f>IF(OR(J290="",AE290="",AE290="NOT FOUND"),"",IF(Y290="RP",IFERROR(LEFT(_xlfn.XLOOKUP(AE290,Sheet1!$F:$F,Sheet1!$W:$W),FIND("-",_xlfn.XLOOKUP(AE290,Sheet1!$F:$F,Sheet1!$W:$W),FIND("-",_xlfn.XLOOKUP(AE290,Sheet1!$F:$F,Sheet1!$W:$W))+1))&amp;AE290,"NOT FOUND"),LEFT(J290,FIND("-",J290,FIND("-",J290)+1))&amp;AE290))</f>
        <v>SKD-APWN26-GETCRDSFUT6206</v>
      </c>
    </row>
    <row r="291" spans="1:34" ht="15.75" customHeight="1" x14ac:dyDescent="0.2">
      <c r="A291" s="4" t="s">
        <v>59</v>
      </c>
      <c r="B291" s="4" t="s">
        <v>417</v>
      </c>
      <c r="C291" s="4" t="s">
        <v>64</v>
      </c>
      <c r="D291" s="4" t="s">
        <v>327</v>
      </c>
      <c r="E291" s="4" t="s">
        <v>34</v>
      </c>
      <c r="F291" s="4" t="s">
        <v>35</v>
      </c>
      <c r="G291" s="4" t="s">
        <v>55</v>
      </c>
      <c r="H291" s="4" t="s">
        <v>397</v>
      </c>
      <c r="I291" s="4" t="s">
        <v>398</v>
      </c>
      <c r="J291" s="4" t="s">
        <v>399</v>
      </c>
      <c r="L291" s="4" t="s">
        <v>40</v>
      </c>
      <c r="M291" s="4">
        <v>1</v>
      </c>
      <c r="N291" s="4">
        <v>71</v>
      </c>
      <c r="O291" s="4">
        <v>71</v>
      </c>
      <c r="P291" s="4" t="s">
        <v>41</v>
      </c>
      <c r="Q291" s="4">
        <v>494.7</v>
      </c>
      <c r="R291" s="4">
        <v>494.7</v>
      </c>
      <c r="S291" s="4">
        <v>1756.19</v>
      </c>
      <c r="T291" s="4">
        <v>35123.699999999997</v>
      </c>
      <c r="U291" s="4">
        <v>5</v>
      </c>
      <c r="V291" s="4" t="s">
        <v>42</v>
      </c>
      <c r="X291" s="7" t="str">
        <f t="shared" si="15"/>
        <v>441811011</v>
      </c>
      <c r="Y291" s="8" t="str">
        <f t="shared" si="16"/>
        <v>DC</v>
      </c>
      <c r="Z291" s="8">
        <f t="shared" si="17"/>
        <v>0</v>
      </c>
      <c r="AA291" s="8">
        <f t="shared" si="18"/>
        <v>0</v>
      </c>
      <c r="AB291" s="8">
        <f t="shared" si="19"/>
        <v>0</v>
      </c>
      <c r="AC291" s="8">
        <f t="shared" si="20"/>
        <v>71</v>
      </c>
      <c r="AD291" s="8">
        <f t="shared" si="21"/>
        <v>0</v>
      </c>
      <c r="AE291" s="9" t="str" cm="1">
        <f t="array" ref="AE291">IFERROR(_xlfn.XLOOKUP(H291,Sheet1!$G:$G,Sheet1!$F:$F),IFERROR(_xlfn.XLOOKUP(1,(--($X$2:$X$1074=X291))*(--ISNUMBER(MATCH($H$2:$H$1074,Sheet1!$G:$G,0))),_xlfn.XLOOKUP($H$2:$H$1074,Sheet1!$G:$G,Sheet1!$F:$F,"")),"NOT FOUND"))</f>
        <v>GETCRDSFUT6206</v>
      </c>
      <c r="AF291" s="10" t="str">
        <f t="shared" si="22"/>
        <v>TEAL</v>
      </c>
      <c r="AG291" s="11" t="str">
        <f t="shared" si="23"/>
        <v>JHAJJAR</v>
      </c>
      <c r="AH291" s="9" t="str">
        <f>IF(OR(J291="",AE291="",AE291="NOT FOUND"),"",IF(Y291="RP",IFERROR(LEFT(_xlfn.XLOOKUP(AE291,Sheet1!$F:$F,Sheet1!$W:$W),FIND("-",_xlfn.XLOOKUP(AE291,Sheet1!$F:$F,Sheet1!$W:$W),FIND("-",_xlfn.XLOOKUP(AE291,Sheet1!$F:$F,Sheet1!$W:$W))+1))&amp;AE291,"NOT FOUND"),LEFT(J291,FIND("-",J291,FIND("-",J291)+1))&amp;AE291))</f>
        <v>SKD-APWN26-GETCRDSFUT6206</v>
      </c>
    </row>
    <row r="292" spans="1:34" ht="15.75" customHeight="1" x14ac:dyDescent="0.2">
      <c r="A292" s="4" t="s">
        <v>59</v>
      </c>
      <c r="B292" s="4" t="s">
        <v>418</v>
      </c>
      <c r="C292" s="4" t="s">
        <v>64</v>
      </c>
      <c r="D292" s="4" t="s">
        <v>205</v>
      </c>
      <c r="E292" s="4" t="s">
        <v>34</v>
      </c>
      <c r="F292" s="4" t="s">
        <v>35</v>
      </c>
      <c r="G292" s="4" t="s">
        <v>36</v>
      </c>
      <c r="H292" s="4" t="s">
        <v>401</v>
      </c>
      <c r="I292" s="4" t="s">
        <v>402</v>
      </c>
      <c r="J292" s="4" t="s">
        <v>403</v>
      </c>
      <c r="L292" s="4" t="s">
        <v>40</v>
      </c>
      <c r="M292" s="4">
        <v>1</v>
      </c>
      <c r="N292" s="4">
        <v>30</v>
      </c>
      <c r="O292" s="4">
        <v>30</v>
      </c>
      <c r="P292" s="4" t="s">
        <v>41</v>
      </c>
      <c r="Q292" s="4">
        <v>592.70000000000005</v>
      </c>
      <c r="R292" s="4">
        <v>592.70000000000005</v>
      </c>
      <c r="S292" s="4">
        <v>889.05</v>
      </c>
      <c r="T292" s="4">
        <v>17781</v>
      </c>
      <c r="U292" s="4">
        <v>5</v>
      </c>
      <c r="V292" s="4" t="s">
        <v>42</v>
      </c>
      <c r="X292" s="7" t="str">
        <f t="shared" si="15"/>
        <v>441811009</v>
      </c>
      <c r="Y292" s="8" t="str">
        <f t="shared" si="16"/>
        <v>DC</v>
      </c>
      <c r="Z292" s="8">
        <f t="shared" si="17"/>
        <v>0</v>
      </c>
      <c r="AA292" s="8">
        <f t="shared" si="18"/>
        <v>0</v>
      </c>
      <c r="AB292" s="8">
        <f t="shared" si="19"/>
        <v>0</v>
      </c>
      <c r="AC292" s="8">
        <f t="shared" si="20"/>
        <v>0</v>
      </c>
      <c r="AD292" s="8">
        <f t="shared" si="21"/>
        <v>30</v>
      </c>
      <c r="AE292" s="9" t="str" cm="1">
        <f t="array" ref="AE292">IFERROR(_xlfn.XLOOKUP(H292,Sheet1!$G:$G,Sheet1!$F:$F),IFERROR(_xlfn.XLOOKUP(1,(--($X$2:$X$1074=X292))*(--ISNUMBER(MATCH($H$2:$H$1074,Sheet1!$G:$G,0))),_xlfn.XLOOKUP($H$2:$H$1074,Sheet1!$G:$G,Sheet1!$F:$F,"")),"NOT FOUND"))</f>
        <v>GETCRDSFUT6099</v>
      </c>
      <c r="AF292" s="10" t="str">
        <f t="shared" si="22"/>
        <v>LIME GREEN</v>
      </c>
      <c r="AG292" s="11" t="str">
        <f t="shared" si="23"/>
        <v>JHAJJAR</v>
      </c>
      <c r="AH292" s="9" t="str">
        <f>IF(OR(J292="",AE292="",AE292="NOT FOUND"),"",IF(Y292="RP",IFERROR(LEFT(_xlfn.XLOOKUP(AE292,Sheet1!$F:$F,Sheet1!$W:$W),FIND("-",_xlfn.XLOOKUP(AE292,Sheet1!$F:$F,Sheet1!$W:$W),FIND("-",_xlfn.XLOOKUP(AE292,Sheet1!$F:$F,Sheet1!$W:$W))+1))&amp;AE292,"NOT FOUND"),LEFT(J292,FIND("-",J292,FIND("-",J292)+1))&amp;AE292))</f>
        <v>SKD-APWN26-GETCRDSFUT6099</v>
      </c>
    </row>
    <row r="293" spans="1:34" ht="15.75" customHeight="1" x14ac:dyDescent="0.2">
      <c r="A293" s="4" t="s">
        <v>59</v>
      </c>
      <c r="B293" s="4" t="s">
        <v>418</v>
      </c>
      <c r="C293" s="4" t="s">
        <v>64</v>
      </c>
      <c r="D293" s="4" t="s">
        <v>205</v>
      </c>
      <c r="E293" s="4" t="s">
        <v>34</v>
      </c>
      <c r="F293" s="4" t="s">
        <v>35</v>
      </c>
      <c r="G293" s="4" t="s">
        <v>43</v>
      </c>
      <c r="H293" s="4" t="s">
        <v>404</v>
      </c>
      <c r="I293" s="4" t="s">
        <v>405</v>
      </c>
      <c r="J293" s="4" t="s">
        <v>406</v>
      </c>
      <c r="L293" s="4" t="s">
        <v>40</v>
      </c>
      <c r="M293" s="4">
        <v>1</v>
      </c>
      <c r="N293" s="4">
        <v>30</v>
      </c>
      <c r="O293" s="4">
        <v>30</v>
      </c>
      <c r="P293" s="4" t="s">
        <v>41</v>
      </c>
      <c r="Q293" s="4">
        <v>592.70000000000005</v>
      </c>
      <c r="R293" s="4">
        <v>592.70000000000005</v>
      </c>
      <c r="S293" s="4">
        <v>889.05</v>
      </c>
      <c r="T293" s="4">
        <v>17781</v>
      </c>
      <c r="U293" s="4">
        <v>5</v>
      </c>
      <c r="V293" s="4" t="s">
        <v>42</v>
      </c>
      <c r="X293" s="7" t="str">
        <f t="shared" si="15"/>
        <v>441811009</v>
      </c>
      <c r="Y293" s="8" t="str">
        <f t="shared" si="16"/>
        <v>DC</v>
      </c>
      <c r="Z293" s="8">
        <f t="shared" si="17"/>
        <v>0</v>
      </c>
      <c r="AA293" s="8">
        <f t="shared" si="18"/>
        <v>0</v>
      </c>
      <c r="AB293" s="8">
        <f t="shared" si="19"/>
        <v>30</v>
      </c>
      <c r="AC293" s="8">
        <f t="shared" si="20"/>
        <v>0</v>
      </c>
      <c r="AD293" s="8">
        <f t="shared" si="21"/>
        <v>0</v>
      </c>
      <c r="AE293" s="9" t="str" cm="1">
        <f t="array" ref="AE293">IFERROR(_xlfn.XLOOKUP(H293,Sheet1!$G:$G,Sheet1!$F:$F),IFERROR(_xlfn.XLOOKUP(1,(--($X$2:$X$1074=X293))*(--ISNUMBER(MATCH($H$2:$H$1074,Sheet1!$G:$G,0))),_xlfn.XLOOKUP($H$2:$H$1074,Sheet1!$G:$G,Sheet1!$F:$F,"")),"NOT FOUND"))</f>
        <v>GETCRDSFUT6099</v>
      </c>
      <c r="AF293" s="10" t="str">
        <f t="shared" si="22"/>
        <v>LIME GREEN</v>
      </c>
      <c r="AG293" s="11" t="str">
        <f t="shared" si="23"/>
        <v>JHAJJAR</v>
      </c>
      <c r="AH293" s="9" t="str">
        <f>IF(OR(J293="",AE293="",AE293="NOT FOUND"),"",IF(Y293="RP",IFERROR(LEFT(_xlfn.XLOOKUP(AE293,Sheet1!$F:$F,Sheet1!$W:$W),FIND("-",_xlfn.XLOOKUP(AE293,Sheet1!$F:$F,Sheet1!$W:$W),FIND("-",_xlfn.XLOOKUP(AE293,Sheet1!$F:$F,Sheet1!$W:$W))+1))&amp;AE293,"NOT FOUND"),LEFT(J293,FIND("-",J293,FIND("-",J293)+1))&amp;AE293))</f>
        <v>SKD-APWN26-GETCRDSFUT6099</v>
      </c>
    </row>
    <row r="294" spans="1:34" ht="15.75" customHeight="1" x14ac:dyDescent="0.2">
      <c r="A294" s="4" t="s">
        <v>59</v>
      </c>
      <c r="B294" s="4" t="s">
        <v>418</v>
      </c>
      <c r="C294" s="4" t="s">
        <v>64</v>
      </c>
      <c r="D294" s="4" t="s">
        <v>205</v>
      </c>
      <c r="E294" s="4" t="s">
        <v>34</v>
      </c>
      <c r="F294" s="4" t="s">
        <v>35</v>
      </c>
      <c r="G294" s="4" t="s">
        <v>47</v>
      </c>
      <c r="H294" s="4" t="s">
        <v>407</v>
      </c>
      <c r="I294" s="4" t="s">
        <v>408</v>
      </c>
      <c r="J294" s="4" t="s">
        <v>409</v>
      </c>
      <c r="L294" s="4" t="s">
        <v>40</v>
      </c>
      <c r="M294" s="4">
        <v>1</v>
      </c>
      <c r="N294" s="4">
        <v>30</v>
      </c>
      <c r="O294" s="4">
        <v>30</v>
      </c>
      <c r="P294" s="4" t="s">
        <v>41</v>
      </c>
      <c r="Q294" s="4">
        <v>592.70000000000005</v>
      </c>
      <c r="R294" s="4">
        <v>592.70000000000005</v>
      </c>
      <c r="S294" s="4">
        <v>889.05</v>
      </c>
      <c r="T294" s="4">
        <v>17781</v>
      </c>
      <c r="U294" s="4">
        <v>5</v>
      </c>
      <c r="V294" s="4" t="s">
        <v>42</v>
      </c>
      <c r="X294" s="7" t="str">
        <f t="shared" si="15"/>
        <v>441811009</v>
      </c>
      <c r="Y294" s="8" t="str">
        <f t="shared" si="16"/>
        <v>DC</v>
      </c>
      <c r="Z294" s="8">
        <f t="shared" si="17"/>
        <v>0</v>
      </c>
      <c r="AA294" s="8">
        <f t="shared" si="18"/>
        <v>30</v>
      </c>
      <c r="AB294" s="8">
        <f t="shared" si="19"/>
        <v>0</v>
      </c>
      <c r="AC294" s="8">
        <f t="shared" si="20"/>
        <v>0</v>
      </c>
      <c r="AD294" s="8">
        <f t="shared" si="21"/>
        <v>0</v>
      </c>
      <c r="AE294" s="9" t="str" cm="1">
        <f t="array" ref="AE294">IFERROR(_xlfn.XLOOKUP(H294,Sheet1!$G:$G,Sheet1!$F:$F),IFERROR(_xlfn.XLOOKUP(1,(--($X$2:$X$1074=X294))*(--ISNUMBER(MATCH($H$2:$H$1074,Sheet1!$G:$G,0))),_xlfn.XLOOKUP($H$2:$H$1074,Sheet1!$G:$G,Sheet1!$F:$F,"")),"NOT FOUND"))</f>
        <v>GETCRDSFUT6099</v>
      </c>
      <c r="AF294" s="10" t="str">
        <f t="shared" si="22"/>
        <v>LIME GREEN</v>
      </c>
      <c r="AG294" s="11" t="str">
        <f t="shared" si="23"/>
        <v>JHAJJAR</v>
      </c>
      <c r="AH294" s="9" t="str">
        <f>IF(OR(J294="",AE294="",AE294="NOT FOUND"),"",IF(Y294="RP",IFERROR(LEFT(_xlfn.XLOOKUP(AE294,Sheet1!$F:$F,Sheet1!$W:$W),FIND("-",_xlfn.XLOOKUP(AE294,Sheet1!$F:$F,Sheet1!$W:$W),FIND("-",_xlfn.XLOOKUP(AE294,Sheet1!$F:$F,Sheet1!$W:$W))+1))&amp;AE294,"NOT FOUND"),LEFT(J294,FIND("-",J294,FIND("-",J294)+1))&amp;AE294))</f>
        <v>SKD-APWN26-GETCRDSFUT6099</v>
      </c>
    </row>
    <row r="295" spans="1:34" ht="15.75" customHeight="1" x14ac:dyDescent="0.2">
      <c r="A295" s="4" t="s">
        <v>59</v>
      </c>
      <c r="B295" s="4" t="s">
        <v>418</v>
      </c>
      <c r="C295" s="4" t="s">
        <v>64</v>
      </c>
      <c r="D295" s="4" t="s">
        <v>205</v>
      </c>
      <c r="E295" s="4" t="s">
        <v>34</v>
      </c>
      <c r="F295" s="4" t="s">
        <v>35</v>
      </c>
      <c r="G295" s="4" t="s">
        <v>51</v>
      </c>
      <c r="H295" s="4" t="s">
        <v>410</v>
      </c>
      <c r="I295" s="4" t="s">
        <v>411</v>
      </c>
      <c r="J295" s="4" t="s">
        <v>412</v>
      </c>
      <c r="L295" s="4" t="s">
        <v>40</v>
      </c>
      <c r="M295" s="4">
        <v>1</v>
      </c>
      <c r="N295" s="4">
        <v>30</v>
      </c>
      <c r="O295" s="4">
        <v>30</v>
      </c>
      <c r="P295" s="4" t="s">
        <v>41</v>
      </c>
      <c r="Q295" s="4">
        <v>592.70000000000005</v>
      </c>
      <c r="R295" s="4">
        <v>592.70000000000005</v>
      </c>
      <c r="S295" s="4">
        <v>889.05</v>
      </c>
      <c r="T295" s="4">
        <v>17781</v>
      </c>
      <c r="U295" s="4">
        <v>5</v>
      </c>
      <c r="V295" s="4" t="s">
        <v>42</v>
      </c>
      <c r="X295" s="7" t="str">
        <f t="shared" si="15"/>
        <v>441811009</v>
      </c>
      <c r="Y295" s="8" t="str">
        <f t="shared" si="16"/>
        <v>DC</v>
      </c>
      <c r="Z295" s="8">
        <f t="shared" si="17"/>
        <v>30</v>
      </c>
      <c r="AA295" s="8">
        <f t="shared" si="18"/>
        <v>0</v>
      </c>
      <c r="AB295" s="8">
        <f t="shared" si="19"/>
        <v>0</v>
      </c>
      <c r="AC295" s="8">
        <f t="shared" si="20"/>
        <v>0</v>
      </c>
      <c r="AD295" s="8">
        <f t="shared" si="21"/>
        <v>0</v>
      </c>
      <c r="AE295" s="9" t="str" cm="1">
        <f t="array" ref="AE295">IFERROR(_xlfn.XLOOKUP(H295,Sheet1!$G:$G,Sheet1!$F:$F),IFERROR(_xlfn.XLOOKUP(1,(--($X$2:$X$1074=X295))*(--ISNUMBER(MATCH($H$2:$H$1074,Sheet1!$G:$G,0))),_xlfn.XLOOKUP($H$2:$H$1074,Sheet1!$G:$G,Sheet1!$F:$F,"")),"NOT FOUND"))</f>
        <v>GETCRDSFUT6099</v>
      </c>
      <c r="AF295" s="10" t="str">
        <f t="shared" si="22"/>
        <v>LIME GREEN</v>
      </c>
      <c r="AG295" s="11" t="str">
        <f t="shared" si="23"/>
        <v>JHAJJAR</v>
      </c>
      <c r="AH295" s="9" t="str">
        <f>IF(OR(J295="",AE295="",AE295="NOT FOUND"),"",IF(Y295="RP",IFERROR(LEFT(_xlfn.XLOOKUP(AE295,Sheet1!$F:$F,Sheet1!$W:$W),FIND("-",_xlfn.XLOOKUP(AE295,Sheet1!$F:$F,Sheet1!$W:$W),FIND("-",_xlfn.XLOOKUP(AE295,Sheet1!$F:$F,Sheet1!$W:$W))+1))&amp;AE295,"NOT FOUND"),LEFT(J295,FIND("-",J295,FIND("-",J295)+1))&amp;AE295))</f>
        <v>SKD-APWN26-GETCRDSFUT6099</v>
      </c>
    </row>
    <row r="296" spans="1:34" ht="15.75" customHeight="1" x14ac:dyDescent="0.2">
      <c r="A296" s="4" t="s">
        <v>59</v>
      </c>
      <c r="B296" s="4" t="s">
        <v>418</v>
      </c>
      <c r="C296" s="4" t="s">
        <v>64</v>
      </c>
      <c r="D296" s="4" t="s">
        <v>205</v>
      </c>
      <c r="E296" s="4" t="s">
        <v>34</v>
      </c>
      <c r="F296" s="4" t="s">
        <v>35</v>
      </c>
      <c r="G296" s="4" t="s">
        <v>55</v>
      </c>
      <c r="H296" s="4" t="s">
        <v>413</v>
      </c>
      <c r="I296" s="4" t="s">
        <v>414</v>
      </c>
      <c r="J296" s="4" t="s">
        <v>415</v>
      </c>
      <c r="L296" s="4" t="s">
        <v>40</v>
      </c>
      <c r="M296" s="4">
        <v>1</v>
      </c>
      <c r="N296" s="4">
        <v>30</v>
      </c>
      <c r="O296" s="4">
        <v>30</v>
      </c>
      <c r="P296" s="4" t="s">
        <v>41</v>
      </c>
      <c r="Q296" s="4">
        <v>592.70000000000005</v>
      </c>
      <c r="R296" s="4">
        <v>592.70000000000005</v>
      </c>
      <c r="S296" s="4">
        <v>889.05</v>
      </c>
      <c r="T296" s="4">
        <v>17781</v>
      </c>
      <c r="U296" s="4">
        <v>5</v>
      </c>
      <c r="V296" s="4" t="s">
        <v>42</v>
      </c>
      <c r="X296" s="7" t="str">
        <f t="shared" si="15"/>
        <v>441811009</v>
      </c>
      <c r="Y296" s="8" t="str">
        <f t="shared" si="16"/>
        <v>DC</v>
      </c>
      <c r="Z296" s="8">
        <f t="shared" si="17"/>
        <v>0</v>
      </c>
      <c r="AA296" s="8">
        <f t="shared" si="18"/>
        <v>0</v>
      </c>
      <c r="AB296" s="8">
        <f t="shared" si="19"/>
        <v>0</v>
      </c>
      <c r="AC296" s="8">
        <f t="shared" si="20"/>
        <v>30</v>
      </c>
      <c r="AD296" s="8">
        <f t="shared" si="21"/>
        <v>0</v>
      </c>
      <c r="AE296" s="9" t="str" cm="1">
        <f t="array" ref="AE296">IFERROR(_xlfn.XLOOKUP(H296,Sheet1!$G:$G,Sheet1!$F:$F),IFERROR(_xlfn.XLOOKUP(1,(--($X$2:$X$1074=X296))*(--ISNUMBER(MATCH($H$2:$H$1074,Sheet1!$G:$G,0))),_xlfn.XLOOKUP($H$2:$H$1074,Sheet1!$G:$G,Sheet1!$F:$F,"")),"NOT FOUND"))</f>
        <v>GETCRDSFUT6099</v>
      </c>
      <c r="AF296" s="10" t="str">
        <f t="shared" si="22"/>
        <v>LIME GREEN</v>
      </c>
      <c r="AG296" s="11" t="str">
        <f t="shared" si="23"/>
        <v>JHAJJAR</v>
      </c>
      <c r="AH296" s="9" t="str">
        <f>IF(OR(J296="",AE296="",AE296="NOT FOUND"),"",IF(Y296="RP",IFERROR(LEFT(_xlfn.XLOOKUP(AE296,Sheet1!$F:$F,Sheet1!$W:$W),FIND("-",_xlfn.XLOOKUP(AE296,Sheet1!$F:$F,Sheet1!$W:$W),FIND("-",_xlfn.XLOOKUP(AE296,Sheet1!$F:$F,Sheet1!$W:$W))+1))&amp;AE296,"NOT FOUND"),LEFT(J296,FIND("-",J296,FIND("-",J296)+1))&amp;AE296))</f>
        <v>SKD-APWN26-GETCRDSFUT6099</v>
      </c>
    </row>
    <row r="297" spans="1:34" ht="15.75" customHeight="1" x14ac:dyDescent="0.2">
      <c r="A297" s="4" t="s">
        <v>61</v>
      </c>
      <c r="B297" s="4" t="s">
        <v>419</v>
      </c>
      <c r="C297" s="4" t="s">
        <v>64</v>
      </c>
      <c r="D297" s="4" t="s">
        <v>81</v>
      </c>
      <c r="E297" s="4" t="s">
        <v>34</v>
      </c>
      <c r="F297" s="4" t="s">
        <v>35</v>
      </c>
      <c r="G297" s="4" t="s">
        <v>36</v>
      </c>
      <c r="H297" s="4" t="s">
        <v>369</v>
      </c>
      <c r="I297" s="4" t="s">
        <v>370</v>
      </c>
      <c r="J297" s="4" t="s">
        <v>371</v>
      </c>
      <c r="L297" s="4" t="s">
        <v>40</v>
      </c>
      <c r="M297" s="4">
        <v>1</v>
      </c>
      <c r="N297" s="4">
        <v>30</v>
      </c>
      <c r="O297" s="4">
        <v>30</v>
      </c>
      <c r="P297" s="4" t="s">
        <v>41</v>
      </c>
      <c r="Q297" s="4">
        <v>504.7</v>
      </c>
      <c r="R297" s="4">
        <v>504.7</v>
      </c>
      <c r="S297" s="4">
        <v>757.05</v>
      </c>
      <c r="T297" s="4">
        <v>15141</v>
      </c>
      <c r="U297" s="4">
        <v>5</v>
      </c>
      <c r="V297" s="4" t="s">
        <v>42</v>
      </c>
      <c r="X297" s="7" t="str">
        <f t="shared" si="15"/>
        <v>441811012</v>
      </c>
      <c r="Y297" s="8" t="str">
        <f t="shared" si="16"/>
        <v>DC</v>
      </c>
      <c r="Z297" s="8">
        <f t="shared" si="17"/>
        <v>0</v>
      </c>
      <c r="AA297" s="8">
        <f t="shared" si="18"/>
        <v>0</v>
      </c>
      <c r="AB297" s="8">
        <f t="shared" si="19"/>
        <v>0</v>
      </c>
      <c r="AC297" s="8">
        <f t="shared" si="20"/>
        <v>0</v>
      </c>
      <c r="AD297" s="8">
        <f t="shared" si="21"/>
        <v>30</v>
      </c>
      <c r="AE297" s="9" t="str" cm="1">
        <f t="array" ref="AE297">IFERROR(_xlfn.XLOOKUP(H297,Sheet1!$G:$G,Sheet1!$F:$F),IFERROR(_xlfn.XLOOKUP(1,(--($X$2:$X$1074=X297))*(--ISNUMBER(MATCH($H$2:$H$1074,Sheet1!$G:$G,0))),_xlfn.XLOOKUP($H$2:$H$1074,Sheet1!$G:$G,Sheet1!$F:$F,"")),"NOT FOUND"))</f>
        <v>GETCRDSFUT6207</v>
      </c>
      <c r="AF297" s="10" t="str">
        <f t="shared" si="22"/>
        <v>ONION PINK</v>
      </c>
      <c r="AG297" s="11" t="str">
        <f t="shared" si="23"/>
        <v>HARIPAL</v>
      </c>
      <c r="AH297" s="9" t="str">
        <f>IF(OR(J297="",AE297="",AE297="NOT FOUND"),"",IF(Y297="RP",IFERROR(LEFT(_xlfn.XLOOKUP(AE297,Sheet1!$F:$F,Sheet1!$W:$W),FIND("-",_xlfn.XLOOKUP(AE297,Sheet1!$F:$F,Sheet1!$W:$W),FIND("-",_xlfn.XLOOKUP(AE297,Sheet1!$F:$F,Sheet1!$W:$W))+1))&amp;AE297,"NOT FOUND"),LEFT(J297,FIND("-",J297,FIND("-",J297)+1))&amp;AE297))</f>
        <v>SKD-APWN26-GETCRDSFUT6207</v>
      </c>
    </row>
    <row r="298" spans="1:34" ht="15.75" customHeight="1" x14ac:dyDescent="0.2">
      <c r="A298" s="4" t="s">
        <v>61</v>
      </c>
      <c r="B298" s="4" t="s">
        <v>419</v>
      </c>
      <c r="C298" s="4" t="s">
        <v>64</v>
      </c>
      <c r="D298" s="4" t="s">
        <v>81</v>
      </c>
      <c r="E298" s="4" t="s">
        <v>34</v>
      </c>
      <c r="F298" s="4" t="s">
        <v>35</v>
      </c>
      <c r="G298" s="4" t="s">
        <v>43</v>
      </c>
      <c r="H298" s="4" t="s">
        <v>372</v>
      </c>
      <c r="I298" s="4" t="s">
        <v>373</v>
      </c>
      <c r="J298" s="4" t="s">
        <v>374</v>
      </c>
      <c r="L298" s="4" t="s">
        <v>40</v>
      </c>
      <c r="M298" s="4">
        <v>1</v>
      </c>
      <c r="N298" s="4">
        <v>100</v>
      </c>
      <c r="O298" s="4">
        <v>100</v>
      </c>
      <c r="P298" s="4" t="s">
        <v>41</v>
      </c>
      <c r="Q298" s="4">
        <v>504.7</v>
      </c>
      <c r="R298" s="4">
        <v>504.7</v>
      </c>
      <c r="S298" s="4">
        <v>2523.5</v>
      </c>
      <c r="T298" s="4">
        <v>50470</v>
      </c>
      <c r="U298" s="4">
        <v>5</v>
      </c>
      <c r="V298" s="4" t="s">
        <v>42</v>
      </c>
      <c r="X298" s="7" t="str">
        <f t="shared" si="15"/>
        <v>441811012</v>
      </c>
      <c r="Y298" s="8" t="str">
        <f t="shared" si="16"/>
        <v>DC</v>
      </c>
      <c r="Z298" s="8">
        <f t="shared" si="17"/>
        <v>0</v>
      </c>
      <c r="AA298" s="8">
        <f t="shared" si="18"/>
        <v>0</v>
      </c>
      <c r="AB298" s="8">
        <f t="shared" si="19"/>
        <v>100</v>
      </c>
      <c r="AC298" s="8">
        <f t="shared" si="20"/>
        <v>0</v>
      </c>
      <c r="AD298" s="8">
        <f t="shared" si="21"/>
        <v>0</v>
      </c>
      <c r="AE298" s="9" t="str" cm="1">
        <f t="array" ref="AE298">IFERROR(_xlfn.XLOOKUP(H298,Sheet1!$G:$G,Sheet1!$F:$F),IFERROR(_xlfn.XLOOKUP(1,(--($X$2:$X$1074=X298))*(--ISNUMBER(MATCH($H$2:$H$1074,Sheet1!$G:$G,0))),_xlfn.XLOOKUP($H$2:$H$1074,Sheet1!$G:$G,Sheet1!$F:$F,"")),"NOT FOUND"))</f>
        <v>GETCRDSFUT6207</v>
      </c>
      <c r="AF298" s="10" t="str">
        <f t="shared" si="22"/>
        <v>ONION PINK</v>
      </c>
      <c r="AG298" s="11" t="str">
        <f t="shared" si="23"/>
        <v>HARIPAL</v>
      </c>
      <c r="AH298" s="9" t="str">
        <f>IF(OR(J298="",AE298="",AE298="NOT FOUND"),"",IF(Y298="RP",IFERROR(LEFT(_xlfn.XLOOKUP(AE298,Sheet1!$F:$F,Sheet1!$W:$W),FIND("-",_xlfn.XLOOKUP(AE298,Sheet1!$F:$F,Sheet1!$W:$W),FIND("-",_xlfn.XLOOKUP(AE298,Sheet1!$F:$F,Sheet1!$W:$W))+1))&amp;AE298,"NOT FOUND"),LEFT(J298,FIND("-",J298,FIND("-",J298)+1))&amp;AE298))</f>
        <v>SKD-APWN26-GETCRDSFUT6207</v>
      </c>
    </row>
    <row r="299" spans="1:34" ht="15.75" customHeight="1" x14ac:dyDescent="0.2">
      <c r="A299" s="4" t="s">
        <v>61</v>
      </c>
      <c r="B299" s="4" t="s">
        <v>419</v>
      </c>
      <c r="C299" s="4" t="s">
        <v>64</v>
      </c>
      <c r="D299" s="4" t="s">
        <v>81</v>
      </c>
      <c r="E299" s="4" t="s">
        <v>34</v>
      </c>
      <c r="F299" s="4" t="s">
        <v>35</v>
      </c>
      <c r="G299" s="4" t="s">
        <v>47</v>
      </c>
      <c r="H299" s="4" t="s">
        <v>375</v>
      </c>
      <c r="I299" s="4" t="s">
        <v>376</v>
      </c>
      <c r="J299" s="4" t="s">
        <v>377</v>
      </c>
      <c r="L299" s="4" t="s">
        <v>40</v>
      </c>
      <c r="M299" s="4">
        <v>1</v>
      </c>
      <c r="N299" s="4">
        <v>105</v>
      </c>
      <c r="O299" s="4">
        <v>105</v>
      </c>
      <c r="P299" s="4" t="s">
        <v>41</v>
      </c>
      <c r="Q299" s="4">
        <v>504.7</v>
      </c>
      <c r="R299" s="4">
        <v>504.7</v>
      </c>
      <c r="S299" s="4">
        <v>2649.68</v>
      </c>
      <c r="T299" s="4">
        <v>52993.5</v>
      </c>
      <c r="U299" s="4">
        <v>5</v>
      </c>
      <c r="V299" s="4" t="s">
        <v>42</v>
      </c>
      <c r="X299" s="7" t="str">
        <f t="shared" si="15"/>
        <v>441811012</v>
      </c>
      <c r="Y299" s="8" t="str">
        <f t="shared" si="16"/>
        <v>DC</v>
      </c>
      <c r="Z299" s="8">
        <f t="shared" si="17"/>
        <v>0</v>
      </c>
      <c r="AA299" s="8">
        <f t="shared" si="18"/>
        <v>105</v>
      </c>
      <c r="AB299" s="8">
        <f t="shared" si="19"/>
        <v>0</v>
      </c>
      <c r="AC299" s="8">
        <f t="shared" si="20"/>
        <v>0</v>
      </c>
      <c r="AD299" s="8">
        <f t="shared" si="21"/>
        <v>0</v>
      </c>
      <c r="AE299" s="9" t="str" cm="1">
        <f t="array" ref="AE299">IFERROR(_xlfn.XLOOKUP(H299,Sheet1!$G:$G,Sheet1!$F:$F),IFERROR(_xlfn.XLOOKUP(1,(--($X$2:$X$1074=X299))*(--ISNUMBER(MATCH($H$2:$H$1074,Sheet1!$G:$G,0))),_xlfn.XLOOKUP($H$2:$H$1074,Sheet1!$G:$G,Sheet1!$F:$F,"")),"NOT FOUND"))</f>
        <v>GETCRDSFUT6207</v>
      </c>
      <c r="AF299" s="10" t="str">
        <f t="shared" si="22"/>
        <v>ONION PINK</v>
      </c>
      <c r="AG299" s="11" t="str">
        <f t="shared" si="23"/>
        <v>HARIPAL</v>
      </c>
      <c r="AH299" s="9" t="str">
        <f>IF(OR(J299="",AE299="",AE299="NOT FOUND"),"",IF(Y299="RP",IFERROR(LEFT(_xlfn.XLOOKUP(AE299,Sheet1!$F:$F,Sheet1!$W:$W),FIND("-",_xlfn.XLOOKUP(AE299,Sheet1!$F:$F,Sheet1!$W:$W),FIND("-",_xlfn.XLOOKUP(AE299,Sheet1!$F:$F,Sheet1!$W:$W))+1))&amp;AE299,"NOT FOUND"),LEFT(J299,FIND("-",J299,FIND("-",J299)+1))&amp;AE299))</f>
        <v>SKD-APWN26-GETCRDSFUT6207</v>
      </c>
    </row>
    <row r="300" spans="1:34" ht="15.75" customHeight="1" x14ac:dyDescent="0.2">
      <c r="A300" s="4" t="s">
        <v>61</v>
      </c>
      <c r="B300" s="4" t="s">
        <v>419</v>
      </c>
      <c r="C300" s="4" t="s">
        <v>64</v>
      </c>
      <c r="D300" s="4" t="s">
        <v>81</v>
      </c>
      <c r="E300" s="4" t="s">
        <v>34</v>
      </c>
      <c r="F300" s="4" t="s">
        <v>35</v>
      </c>
      <c r="G300" s="4" t="s">
        <v>51</v>
      </c>
      <c r="H300" s="4" t="s">
        <v>378</v>
      </c>
      <c r="I300" s="4" t="s">
        <v>379</v>
      </c>
      <c r="J300" s="4" t="s">
        <v>380</v>
      </c>
      <c r="L300" s="4" t="s">
        <v>40</v>
      </c>
      <c r="M300" s="4">
        <v>1</v>
      </c>
      <c r="N300" s="4">
        <v>31</v>
      </c>
      <c r="O300" s="4">
        <v>31</v>
      </c>
      <c r="P300" s="4" t="s">
        <v>41</v>
      </c>
      <c r="Q300" s="4">
        <v>504.7</v>
      </c>
      <c r="R300" s="4">
        <v>504.7</v>
      </c>
      <c r="S300" s="4">
        <v>782.29</v>
      </c>
      <c r="T300" s="4">
        <v>15645.7</v>
      </c>
      <c r="U300" s="4">
        <v>5</v>
      </c>
      <c r="V300" s="4" t="s">
        <v>42</v>
      </c>
      <c r="X300" s="7" t="str">
        <f t="shared" si="15"/>
        <v>441811012</v>
      </c>
      <c r="Y300" s="8" t="str">
        <f t="shared" si="16"/>
        <v>DC</v>
      </c>
      <c r="Z300" s="8">
        <f t="shared" si="17"/>
        <v>31</v>
      </c>
      <c r="AA300" s="8">
        <f t="shared" si="18"/>
        <v>0</v>
      </c>
      <c r="AB300" s="8">
        <f t="shared" si="19"/>
        <v>0</v>
      </c>
      <c r="AC300" s="8">
        <f t="shared" si="20"/>
        <v>0</v>
      </c>
      <c r="AD300" s="8">
        <f t="shared" si="21"/>
        <v>0</v>
      </c>
      <c r="AE300" s="9" t="str" cm="1">
        <f t="array" ref="AE300">IFERROR(_xlfn.XLOOKUP(H300,Sheet1!$G:$G,Sheet1!$F:$F),IFERROR(_xlfn.XLOOKUP(1,(--($X$2:$X$1074=X300))*(--ISNUMBER(MATCH($H$2:$H$1074,Sheet1!$G:$G,0))),_xlfn.XLOOKUP($H$2:$H$1074,Sheet1!$G:$G,Sheet1!$F:$F,"")),"NOT FOUND"))</f>
        <v>GETCRDSFUT6207</v>
      </c>
      <c r="AF300" s="10" t="str">
        <f t="shared" si="22"/>
        <v>ONION PINK</v>
      </c>
      <c r="AG300" s="11" t="str">
        <f t="shared" si="23"/>
        <v>HARIPAL</v>
      </c>
      <c r="AH300" s="9" t="str">
        <f>IF(OR(J300="",AE300="",AE300="NOT FOUND"),"",IF(Y300="RP",IFERROR(LEFT(_xlfn.XLOOKUP(AE300,Sheet1!$F:$F,Sheet1!$W:$W),FIND("-",_xlfn.XLOOKUP(AE300,Sheet1!$F:$F,Sheet1!$W:$W),FIND("-",_xlfn.XLOOKUP(AE300,Sheet1!$F:$F,Sheet1!$W:$W))+1))&amp;AE300,"NOT FOUND"),LEFT(J300,FIND("-",J300,FIND("-",J300)+1))&amp;AE300))</f>
        <v>SKD-APWN26-GETCRDSFUT6207</v>
      </c>
    </row>
    <row r="301" spans="1:34" ht="15.75" customHeight="1" x14ac:dyDescent="0.2">
      <c r="A301" s="4" t="s">
        <v>61</v>
      </c>
      <c r="B301" s="4" t="s">
        <v>419</v>
      </c>
      <c r="C301" s="4" t="s">
        <v>64</v>
      </c>
      <c r="D301" s="4" t="s">
        <v>81</v>
      </c>
      <c r="E301" s="4" t="s">
        <v>34</v>
      </c>
      <c r="F301" s="4" t="s">
        <v>35</v>
      </c>
      <c r="G301" s="4" t="s">
        <v>55</v>
      </c>
      <c r="H301" s="4" t="s">
        <v>381</v>
      </c>
      <c r="I301" s="4" t="s">
        <v>382</v>
      </c>
      <c r="J301" s="4" t="s">
        <v>383</v>
      </c>
      <c r="L301" s="4" t="s">
        <v>40</v>
      </c>
      <c r="M301" s="4">
        <v>1</v>
      </c>
      <c r="N301" s="4">
        <v>100</v>
      </c>
      <c r="O301" s="4">
        <v>100</v>
      </c>
      <c r="P301" s="4" t="s">
        <v>41</v>
      </c>
      <c r="Q301" s="4">
        <v>504.7</v>
      </c>
      <c r="R301" s="4">
        <v>504.7</v>
      </c>
      <c r="S301" s="4">
        <v>2523.5</v>
      </c>
      <c r="T301" s="4">
        <v>50470</v>
      </c>
      <c r="U301" s="4">
        <v>5</v>
      </c>
      <c r="V301" s="4" t="s">
        <v>42</v>
      </c>
      <c r="X301" s="7" t="str">
        <f t="shared" si="15"/>
        <v>441811012</v>
      </c>
      <c r="Y301" s="8" t="str">
        <f t="shared" si="16"/>
        <v>DC</v>
      </c>
      <c r="Z301" s="8">
        <f t="shared" si="17"/>
        <v>0</v>
      </c>
      <c r="AA301" s="8">
        <f t="shared" si="18"/>
        <v>0</v>
      </c>
      <c r="AB301" s="8">
        <f t="shared" si="19"/>
        <v>0</v>
      </c>
      <c r="AC301" s="8">
        <f t="shared" si="20"/>
        <v>100</v>
      </c>
      <c r="AD301" s="8">
        <f t="shared" si="21"/>
        <v>0</v>
      </c>
      <c r="AE301" s="9" t="str" cm="1">
        <f t="array" ref="AE301">IFERROR(_xlfn.XLOOKUP(H301,Sheet1!$G:$G,Sheet1!$F:$F),IFERROR(_xlfn.XLOOKUP(1,(--($X$2:$X$1074=X301))*(--ISNUMBER(MATCH($H$2:$H$1074,Sheet1!$G:$G,0))),_xlfn.XLOOKUP($H$2:$H$1074,Sheet1!$G:$G,Sheet1!$F:$F,"")),"NOT FOUND"))</f>
        <v>GETCRDSFUT6207</v>
      </c>
      <c r="AF301" s="10" t="str">
        <f t="shared" si="22"/>
        <v>ONION PINK</v>
      </c>
      <c r="AG301" s="11" t="str">
        <f t="shared" si="23"/>
        <v>HARIPAL</v>
      </c>
      <c r="AH301" s="9" t="str">
        <f>IF(OR(J301="",AE301="",AE301="NOT FOUND"),"",IF(Y301="RP",IFERROR(LEFT(_xlfn.XLOOKUP(AE301,Sheet1!$F:$F,Sheet1!$W:$W),FIND("-",_xlfn.XLOOKUP(AE301,Sheet1!$F:$F,Sheet1!$W:$W),FIND("-",_xlfn.XLOOKUP(AE301,Sheet1!$F:$F,Sheet1!$W:$W))+1))&amp;AE301,"NOT FOUND"),LEFT(J301,FIND("-",J301,FIND("-",J301)+1))&amp;AE301))</f>
        <v>SKD-APWN26-GETCRDSFUT6207</v>
      </c>
    </row>
    <row r="302" spans="1:34" ht="15.75" customHeight="1" x14ac:dyDescent="0.2">
      <c r="A302" s="4" t="s">
        <v>61</v>
      </c>
      <c r="B302" s="4" t="s">
        <v>420</v>
      </c>
      <c r="C302" s="4" t="s">
        <v>64</v>
      </c>
      <c r="D302" s="4" t="s">
        <v>327</v>
      </c>
      <c r="E302" s="4" t="s">
        <v>34</v>
      </c>
      <c r="F302" s="4" t="s">
        <v>35</v>
      </c>
      <c r="G302" s="4" t="s">
        <v>36</v>
      </c>
      <c r="H302" s="4" t="s">
        <v>385</v>
      </c>
      <c r="I302" s="4" t="s">
        <v>386</v>
      </c>
      <c r="J302" s="4" t="s">
        <v>387</v>
      </c>
      <c r="L302" s="4" t="s">
        <v>40</v>
      </c>
      <c r="M302" s="4">
        <v>1</v>
      </c>
      <c r="N302" s="4">
        <v>30</v>
      </c>
      <c r="O302" s="4">
        <v>30</v>
      </c>
      <c r="P302" s="4" t="s">
        <v>41</v>
      </c>
      <c r="Q302" s="4">
        <v>494.7</v>
      </c>
      <c r="R302" s="4">
        <v>494.7</v>
      </c>
      <c r="S302" s="4">
        <v>742.05</v>
      </c>
      <c r="T302" s="4">
        <v>14841</v>
      </c>
      <c r="U302" s="4">
        <v>5</v>
      </c>
      <c r="V302" s="4" t="s">
        <v>42</v>
      </c>
      <c r="X302" s="7" t="str">
        <f t="shared" si="15"/>
        <v>441811011</v>
      </c>
      <c r="Y302" s="8" t="str">
        <f t="shared" si="16"/>
        <v>DC</v>
      </c>
      <c r="Z302" s="8">
        <f t="shared" si="17"/>
        <v>0</v>
      </c>
      <c r="AA302" s="8">
        <f t="shared" si="18"/>
        <v>0</v>
      </c>
      <c r="AB302" s="8">
        <f t="shared" si="19"/>
        <v>0</v>
      </c>
      <c r="AC302" s="8">
        <f t="shared" si="20"/>
        <v>0</v>
      </c>
      <c r="AD302" s="8">
        <f t="shared" si="21"/>
        <v>30</v>
      </c>
      <c r="AE302" s="9" t="str" cm="1">
        <f t="array" ref="AE302">IFERROR(_xlfn.XLOOKUP(H302,Sheet1!$G:$G,Sheet1!$F:$F),IFERROR(_xlfn.XLOOKUP(1,(--($X$2:$X$1074=X302))*(--ISNUMBER(MATCH($H$2:$H$1074,Sheet1!$G:$G,0))),_xlfn.XLOOKUP($H$2:$H$1074,Sheet1!$G:$G,Sheet1!$F:$F,"")),"NOT FOUND"))</f>
        <v>GETCRDSFUT6206</v>
      </c>
      <c r="AF302" s="10" t="str">
        <f t="shared" si="22"/>
        <v>TEAL</v>
      </c>
      <c r="AG302" s="11" t="str">
        <f t="shared" si="23"/>
        <v>HARIPAL</v>
      </c>
      <c r="AH302" s="9" t="str">
        <f>IF(OR(J302="",AE302="",AE302="NOT FOUND"),"",IF(Y302="RP",IFERROR(LEFT(_xlfn.XLOOKUP(AE302,Sheet1!$F:$F,Sheet1!$W:$W),FIND("-",_xlfn.XLOOKUP(AE302,Sheet1!$F:$F,Sheet1!$W:$W),FIND("-",_xlfn.XLOOKUP(AE302,Sheet1!$F:$F,Sheet1!$W:$W))+1))&amp;AE302,"NOT FOUND"),LEFT(J302,FIND("-",J302,FIND("-",J302)+1))&amp;AE302))</f>
        <v>SKD-APWN26-GETCRDSFUT6206</v>
      </c>
    </row>
    <row r="303" spans="1:34" ht="15.75" customHeight="1" x14ac:dyDescent="0.2">
      <c r="A303" s="4" t="s">
        <v>61</v>
      </c>
      <c r="B303" s="4" t="s">
        <v>420</v>
      </c>
      <c r="C303" s="4" t="s">
        <v>64</v>
      </c>
      <c r="D303" s="4" t="s">
        <v>327</v>
      </c>
      <c r="E303" s="4" t="s">
        <v>34</v>
      </c>
      <c r="F303" s="4" t="s">
        <v>35</v>
      </c>
      <c r="G303" s="4" t="s">
        <v>43</v>
      </c>
      <c r="H303" s="4" t="s">
        <v>388</v>
      </c>
      <c r="I303" s="4" t="s">
        <v>389</v>
      </c>
      <c r="J303" s="4" t="s">
        <v>390</v>
      </c>
      <c r="L303" s="4" t="s">
        <v>40</v>
      </c>
      <c r="M303" s="4">
        <v>1</v>
      </c>
      <c r="N303" s="4">
        <v>100</v>
      </c>
      <c r="O303" s="4">
        <v>100</v>
      </c>
      <c r="P303" s="4" t="s">
        <v>41</v>
      </c>
      <c r="Q303" s="4">
        <v>494.7</v>
      </c>
      <c r="R303" s="4">
        <v>494.7</v>
      </c>
      <c r="S303" s="4">
        <v>2473.5</v>
      </c>
      <c r="T303" s="4">
        <v>49470</v>
      </c>
      <c r="U303" s="4">
        <v>5</v>
      </c>
      <c r="V303" s="4" t="s">
        <v>42</v>
      </c>
      <c r="X303" s="7" t="str">
        <f t="shared" si="15"/>
        <v>441811011</v>
      </c>
      <c r="Y303" s="8" t="str">
        <f t="shared" si="16"/>
        <v>DC</v>
      </c>
      <c r="Z303" s="8">
        <f t="shared" si="17"/>
        <v>0</v>
      </c>
      <c r="AA303" s="8">
        <f t="shared" si="18"/>
        <v>0</v>
      </c>
      <c r="AB303" s="8">
        <f t="shared" si="19"/>
        <v>100</v>
      </c>
      <c r="AC303" s="8">
        <f t="shared" si="20"/>
        <v>0</v>
      </c>
      <c r="AD303" s="8">
        <f t="shared" si="21"/>
        <v>0</v>
      </c>
      <c r="AE303" s="9" t="str" cm="1">
        <f t="array" ref="AE303">IFERROR(_xlfn.XLOOKUP(H303,Sheet1!$G:$G,Sheet1!$F:$F),IFERROR(_xlfn.XLOOKUP(1,(--($X$2:$X$1074=X303))*(--ISNUMBER(MATCH($H$2:$H$1074,Sheet1!$G:$G,0))),_xlfn.XLOOKUP($H$2:$H$1074,Sheet1!$G:$G,Sheet1!$F:$F,"")),"NOT FOUND"))</f>
        <v>GETCRDSFUT6206</v>
      </c>
      <c r="AF303" s="10" t="str">
        <f t="shared" si="22"/>
        <v>TEAL</v>
      </c>
      <c r="AG303" s="11" t="str">
        <f t="shared" si="23"/>
        <v>HARIPAL</v>
      </c>
      <c r="AH303" s="9" t="str">
        <f>IF(OR(J303="",AE303="",AE303="NOT FOUND"),"",IF(Y303="RP",IFERROR(LEFT(_xlfn.XLOOKUP(AE303,Sheet1!$F:$F,Sheet1!$W:$W),FIND("-",_xlfn.XLOOKUP(AE303,Sheet1!$F:$F,Sheet1!$W:$W),FIND("-",_xlfn.XLOOKUP(AE303,Sheet1!$F:$F,Sheet1!$W:$W))+1))&amp;AE303,"NOT FOUND"),LEFT(J303,FIND("-",J303,FIND("-",J303)+1))&amp;AE303))</f>
        <v>SKD-APWN26-GETCRDSFUT6206</v>
      </c>
    </row>
    <row r="304" spans="1:34" ht="15.75" customHeight="1" x14ac:dyDescent="0.2">
      <c r="A304" s="4" t="s">
        <v>61</v>
      </c>
      <c r="B304" s="4" t="s">
        <v>420</v>
      </c>
      <c r="C304" s="4" t="s">
        <v>64</v>
      </c>
      <c r="D304" s="4" t="s">
        <v>327</v>
      </c>
      <c r="E304" s="4" t="s">
        <v>34</v>
      </c>
      <c r="F304" s="4" t="s">
        <v>35</v>
      </c>
      <c r="G304" s="4" t="s">
        <v>47</v>
      </c>
      <c r="H304" s="4" t="s">
        <v>391</v>
      </c>
      <c r="I304" s="4" t="s">
        <v>392</v>
      </c>
      <c r="J304" s="4" t="s">
        <v>393</v>
      </c>
      <c r="L304" s="4" t="s">
        <v>40</v>
      </c>
      <c r="M304" s="4">
        <v>1</v>
      </c>
      <c r="N304" s="4">
        <v>105</v>
      </c>
      <c r="O304" s="4">
        <v>105</v>
      </c>
      <c r="P304" s="4" t="s">
        <v>41</v>
      </c>
      <c r="Q304" s="4">
        <v>494.7</v>
      </c>
      <c r="R304" s="4">
        <v>494.7</v>
      </c>
      <c r="S304" s="4">
        <v>2597.1799999999998</v>
      </c>
      <c r="T304" s="4">
        <v>51943.5</v>
      </c>
      <c r="U304" s="4">
        <v>5</v>
      </c>
      <c r="V304" s="4" t="s">
        <v>42</v>
      </c>
      <c r="X304" s="7" t="str">
        <f t="shared" si="15"/>
        <v>441811011</v>
      </c>
      <c r="Y304" s="8" t="str">
        <f t="shared" si="16"/>
        <v>DC</v>
      </c>
      <c r="Z304" s="8">
        <f t="shared" si="17"/>
        <v>0</v>
      </c>
      <c r="AA304" s="8">
        <f t="shared" si="18"/>
        <v>105</v>
      </c>
      <c r="AB304" s="8">
        <f t="shared" si="19"/>
        <v>0</v>
      </c>
      <c r="AC304" s="8">
        <f t="shared" si="20"/>
        <v>0</v>
      </c>
      <c r="AD304" s="8">
        <f t="shared" si="21"/>
        <v>0</v>
      </c>
      <c r="AE304" s="9" t="str" cm="1">
        <f t="array" ref="AE304">IFERROR(_xlfn.XLOOKUP(H304,Sheet1!$G:$G,Sheet1!$F:$F),IFERROR(_xlfn.XLOOKUP(1,(--($X$2:$X$1074=X304))*(--ISNUMBER(MATCH($H$2:$H$1074,Sheet1!$G:$G,0))),_xlfn.XLOOKUP($H$2:$H$1074,Sheet1!$G:$G,Sheet1!$F:$F,"")),"NOT FOUND"))</f>
        <v>GETCRDSFUT6206</v>
      </c>
      <c r="AF304" s="10" t="str">
        <f t="shared" si="22"/>
        <v>TEAL</v>
      </c>
      <c r="AG304" s="11" t="str">
        <f t="shared" si="23"/>
        <v>HARIPAL</v>
      </c>
      <c r="AH304" s="9" t="str">
        <f>IF(OR(J304="",AE304="",AE304="NOT FOUND"),"",IF(Y304="RP",IFERROR(LEFT(_xlfn.XLOOKUP(AE304,Sheet1!$F:$F,Sheet1!$W:$W),FIND("-",_xlfn.XLOOKUP(AE304,Sheet1!$F:$F,Sheet1!$W:$W),FIND("-",_xlfn.XLOOKUP(AE304,Sheet1!$F:$F,Sheet1!$W:$W))+1))&amp;AE304,"NOT FOUND"),LEFT(J304,FIND("-",J304,FIND("-",J304)+1))&amp;AE304))</f>
        <v>SKD-APWN26-GETCRDSFUT6206</v>
      </c>
    </row>
    <row r="305" spans="1:34" ht="15.75" customHeight="1" x14ac:dyDescent="0.2">
      <c r="A305" s="4" t="s">
        <v>61</v>
      </c>
      <c r="B305" s="4" t="s">
        <v>420</v>
      </c>
      <c r="C305" s="4" t="s">
        <v>64</v>
      </c>
      <c r="D305" s="4" t="s">
        <v>327</v>
      </c>
      <c r="E305" s="4" t="s">
        <v>34</v>
      </c>
      <c r="F305" s="4" t="s">
        <v>35</v>
      </c>
      <c r="G305" s="4" t="s">
        <v>51</v>
      </c>
      <c r="H305" s="4" t="s">
        <v>394</v>
      </c>
      <c r="I305" s="4" t="s">
        <v>395</v>
      </c>
      <c r="J305" s="4" t="s">
        <v>396</v>
      </c>
      <c r="L305" s="4" t="s">
        <v>40</v>
      </c>
      <c r="M305" s="4">
        <v>1</v>
      </c>
      <c r="N305" s="4">
        <v>31</v>
      </c>
      <c r="O305" s="4">
        <v>31</v>
      </c>
      <c r="P305" s="4" t="s">
        <v>41</v>
      </c>
      <c r="Q305" s="4">
        <v>494.7</v>
      </c>
      <c r="R305" s="4">
        <v>494.7</v>
      </c>
      <c r="S305" s="4">
        <v>766.79</v>
      </c>
      <c r="T305" s="4">
        <v>15335.7</v>
      </c>
      <c r="U305" s="4">
        <v>5</v>
      </c>
      <c r="V305" s="4" t="s">
        <v>42</v>
      </c>
      <c r="X305" s="7" t="str">
        <f t="shared" si="15"/>
        <v>441811011</v>
      </c>
      <c r="Y305" s="8" t="str">
        <f t="shared" si="16"/>
        <v>DC</v>
      </c>
      <c r="Z305" s="8">
        <f t="shared" si="17"/>
        <v>31</v>
      </c>
      <c r="AA305" s="8">
        <f t="shared" si="18"/>
        <v>0</v>
      </c>
      <c r="AB305" s="8">
        <f t="shared" si="19"/>
        <v>0</v>
      </c>
      <c r="AC305" s="8">
        <f t="shared" si="20"/>
        <v>0</v>
      </c>
      <c r="AD305" s="8">
        <f t="shared" si="21"/>
        <v>0</v>
      </c>
      <c r="AE305" s="9" t="str" cm="1">
        <f t="array" ref="AE305">IFERROR(_xlfn.XLOOKUP(H305,Sheet1!$G:$G,Sheet1!$F:$F),IFERROR(_xlfn.XLOOKUP(1,(--($X$2:$X$1074=X305))*(--ISNUMBER(MATCH($H$2:$H$1074,Sheet1!$G:$G,0))),_xlfn.XLOOKUP($H$2:$H$1074,Sheet1!$G:$G,Sheet1!$F:$F,"")),"NOT FOUND"))</f>
        <v>GETCRDSFUT6206</v>
      </c>
      <c r="AF305" s="10" t="str">
        <f t="shared" si="22"/>
        <v>TEAL</v>
      </c>
      <c r="AG305" s="11" t="str">
        <f t="shared" si="23"/>
        <v>HARIPAL</v>
      </c>
      <c r="AH305" s="9" t="str">
        <f>IF(OR(J305="",AE305="",AE305="NOT FOUND"),"",IF(Y305="RP",IFERROR(LEFT(_xlfn.XLOOKUP(AE305,Sheet1!$F:$F,Sheet1!$W:$W),FIND("-",_xlfn.XLOOKUP(AE305,Sheet1!$F:$F,Sheet1!$W:$W),FIND("-",_xlfn.XLOOKUP(AE305,Sheet1!$F:$F,Sheet1!$W:$W))+1))&amp;AE305,"NOT FOUND"),LEFT(J305,FIND("-",J305,FIND("-",J305)+1))&amp;AE305))</f>
        <v>SKD-APWN26-GETCRDSFUT6206</v>
      </c>
    </row>
    <row r="306" spans="1:34" ht="15.75" customHeight="1" x14ac:dyDescent="0.2">
      <c r="A306" s="4" t="s">
        <v>61</v>
      </c>
      <c r="B306" s="4" t="s">
        <v>420</v>
      </c>
      <c r="C306" s="4" t="s">
        <v>64</v>
      </c>
      <c r="D306" s="4" t="s">
        <v>327</v>
      </c>
      <c r="E306" s="4" t="s">
        <v>34</v>
      </c>
      <c r="F306" s="4" t="s">
        <v>35</v>
      </c>
      <c r="G306" s="4" t="s">
        <v>55</v>
      </c>
      <c r="H306" s="4" t="s">
        <v>397</v>
      </c>
      <c r="I306" s="4" t="s">
        <v>398</v>
      </c>
      <c r="J306" s="4" t="s">
        <v>399</v>
      </c>
      <c r="L306" s="4" t="s">
        <v>40</v>
      </c>
      <c r="M306" s="4">
        <v>1</v>
      </c>
      <c r="N306" s="4">
        <v>100</v>
      </c>
      <c r="O306" s="4">
        <v>100</v>
      </c>
      <c r="P306" s="4" t="s">
        <v>41</v>
      </c>
      <c r="Q306" s="4">
        <v>494.7</v>
      </c>
      <c r="R306" s="4">
        <v>494.7</v>
      </c>
      <c r="S306" s="4">
        <v>2473.5</v>
      </c>
      <c r="T306" s="4">
        <v>49470</v>
      </c>
      <c r="U306" s="4">
        <v>5</v>
      </c>
      <c r="V306" s="4" t="s">
        <v>42</v>
      </c>
      <c r="X306" s="7" t="str">
        <f t="shared" si="15"/>
        <v>441811011</v>
      </c>
      <c r="Y306" s="8" t="str">
        <f t="shared" si="16"/>
        <v>DC</v>
      </c>
      <c r="Z306" s="8">
        <f t="shared" si="17"/>
        <v>0</v>
      </c>
      <c r="AA306" s="8">
        <f t="shared" si="18"/>
        <v>0</v>
      </c>
      <c r="AB306" s="8">
        <f t="shared" si="19"/>
        <v>0</v>
      </c>
      <c r="AC306" s="8">
        <f t="shared" si="20"/>
        <v>100</v>
      </c>
      <c r="AD306" s="8">
        <f t="shared" si="21"/>
        <v>0</v>
      </c>
      <c r="AE306" s="9" t="str" cm="1">
        <f t="array" ref="AE306">IFERROR(_xlfn.XLOOKUP(H306,Sheet1!$G:$G,Sheet1!$F:$F),IFERROR(_xlfn.XLOOKUP(1,(--($X$2:$X$1074=X306))*(--ISNUMBER(MATCH($H$2:$H$1074,Sheet1!$G:$G,0))),_xlfn.XLOOKUP($H$2:$H$1074,Sheet1!$G:$G,Sheet1!$F:$F,"")),"NOT FOUND"))</f>
        <v>GETCRDSFUT6206</v>
      </c>
      <c r="AF306" s="10" t="str">
        <f t="shared" si="22"/>
        <v>TEAL</v>
      </c>
      <c r="AG306" s="11" t="str">
        <f t="shared" si="23"/>
        <v>HARIPAL</v>
      </c>
      <c r="AH306" s="9" t="str">
        <f>IF(OR(J306="",AE306="",AE306="NOT FOUND"),"",IF(Y306="RP",IFERROR(LEFT(_xlfn.XLOOKUP(AE306,Sheet1!$F:$F,Sheet1!$W:$W),FIND("-",_xlfn.XLOOKUP(AE306,Sheet1!$F:$F,Sheet1!$W:$W),FIND("-",_xlfn.XLOOKUP(AE306,Sheet1!$F:$F,Sheet1!$W:$W))+1))&amp;AE306,"NOT FOUND"),LEFT(J306,FIND("-",J306,FIND("-",J306)+1))&amp;AE306))</f>
        <v>SKD-APWN26-GETCRDSFUT6206</v>
      </c>
    </row>
    <row r="307" spans="1:34" ht="15.75" customHeight="1" x14ac:dyDescent="0.2">
      <c r="A307" s="4" t="s">
        <v>61</v>
      </c>
      <c r="B307" s="4" t="s">
        <v>421</v>
      </c>
      <c r="C307" s="4" t="s">
        <v>64</v>
      </c>
      <c r="D307" s="4" t="s">
        <v>205</v>
      </c>
      <c r="E307" s="4" t="s">
        <v>34</v>
      </c>
      <c r="F307" s="4" t="s">
        <v>35</v>
      </c>
      <c r="G307" s="4" t="s">
        <v>36</v>
      </c>
      <c r="H307" s="4" t="s">
        <v>401</v>
      </c>
      <c r="I307" s="4" t="s">
        <v>402</v>
      </c>
      <c r="J307" s="4" t="s">
        <v>403</v>
      </c>
      <c r="L307" s="4" t="s">
        <v>40</v>
      </c>
      <c r="M307" s="4">
        <v>1</v>
      </c>
      <c r="N307" s="4">
        <v>30</v>
      </c>
      <c r="O307" s="4">
        <v>30</v>
      </c>
      <c r="P307" s="4" t="s">
        <v>41</v>
      </c>
      <c r="Q307" s="4">
        <v>592.70000000000005</v>
      </c>
      <c r="R307" s="4">
        <v>592.70000000000005</v>
      </c>
      <c r="S307" s="4">
        <v>889.05</v>
      </c>
      <c r="T307" s="4">
        <v>17781</v>
      </c>
      <c r="U307" s="4">
        <v>5</v>
      </c>
      <c r="V307" s="4" t="s">
        <v>42</v>
      </c>
      <c r="X307" s="7" t="str">
        <f t="shared" si="15"/>
        <v>441811009</v>
      </c>
      <c r="Y307" s="8" t="str">
        <f t="shared" si="16"/>
        <v>DC</v>
      </c>
      <c r="Z307" s="8">
        <f t="shared" si="17"/>
        <v>0</v>
      </c>
      <c r="AA307" s="8">
        <f t="shared" si="18"/>
        <v>0</v>
      </c>
      <c r="AB307" s="8">
        <f t="shared" si="19"/>
        <v>0</v>
      </c>
      <c r="AC307" s="8">
        <f t="shared" si="20"/>
        <v>0</v>
      </c>
      <c r="AD307" s="8">
        <f t="shared" si="21"/>
        <v>30</v>
      </c>
      <c r="AE307" s="9" t="str" cm="1">
        <f t="array" ref="AE307">IFERROR(_xlfn.XLOOKUP(H307,Sheet1!$G:$G,Sheet1!$F:$F),IFERROR(_xlfn.XLOOKUP(1,(--($X$2:$X$1074=X307))*(--ISNUMBER(MATCH($H$2:$H$1074,Sheet1!$G:$G,0))),_xlfn.XLOOKUP($H$2:$H$1074,Sheet1!$G:$G,Sheet1!$F:$F,"")),"NOT FOUND"))</f>
        <v>GETCRDSFUT6099</v>
      </c>
      <c r="AF307" s="10" t="str">
        <f t="shared" si="22"/>
        <v>LIME GREEN</v>
      </c>
      <c r="AG307" s="11" t="str">
        <f t="shared" si="23"/>
        <v>HARIPAL</v>
      </c>
      <c r="AH307" s="9" t="str">
        <f>IF(OR(J307="",AE307="",AE307="NOT FOUND"),"",IF(Y307="RP",IFERROR(LEFT(_xlfn.XLOOKUP(AE307,Sheet1!$F:$F,Sheet1!$W:$W),FIND("-",_xlfn.XLOOKUP(AE307,Sheet1!$F:$F,Sheet1!$W:$W),FIND("-",_xlfn.XLOOKUP(AE307,Sheet1!$F:$F,Sheet1!$W:$W))+1))&amp;AE307,"NOT FOUND"),LEFT(J307,FIND("-",J307,FIND("-",J307)+1))&amp;AE307))</f>
        <v>SKD-APWN26-GETCRDSFUT6099</v>
      </c>
    </row>
    <row r="308" spans="1:34" ht="15.75" customHeight="1" x14ac:dyDescent="0.2">
      <c r="A308" s="4" t="s">
        <v>61</v>
      </c>
      <c r="B308" s="4" t="s">
        <v>421</v>
      </c>
      <c r="C308" s="4" t="s">
        <v>64</v>
      </c>
      <c r="D308" s="4" t="s">
        <v>205</v>
      </c>
      <c r="E308" s="4" t="s">
        <v>34</v>
      </c>
      <c r="F308" s="4" t="s">
        <v>35</v>
      </c>
      <c r="G308" s="4" t="s">
        <v>43</v>
      </c>
      <c r="H308" s="4" t="s">
        <v>404</v>
      </c>
      <c r="I308" s="4" t="s">
        <v>405</v>
      </c>
      <c r="J308" s="4" t="s">
        <v>406</v>
      </c>
      <c r="L308" s="4" t="s">
        <v>40</v>
      </c>
      <c r="M308" s="4">
        <v>1</v>
      </c>
      <c r="N308" s="4">
        <v>30</v>
      </c>
      <c r="O308" s="4">
        <v>30</v>
      </c>
      <c r="P308" s="4" t="s">
        <v>41</v>
      </c>
      <c r="Q308" s="4">
        <v>592.70000000000005</v>
      </c>
      <c r="R308" s="4">
        <v>592.70000000000005</v>
      </c>
      <c r="S308" s="4">
        <v>889.05</v>
      </c>
      <c r="T308" s="4">
        <v>17781</v>
      </c>
      <c r="U308" s="4">
        <v>5</v>
      </c>
      <c r="V308" s="4" t="s">
        <v>42</v>
      </c>
      <c r="X308" s="7" t="str">
        <f t="shared" si="15"/>
        <v>441811009</v>
      </c>
      <c r="Y308" s="8" t="str">
        <f t="shared" si="16"/>
        <v>DC</v>
      </c>
      <c r="Z308" s="8">
        <f t="shared" si="17"/>
        <v>0</v>
      </c>
      <c r="AA308" s="8">
        <f t="shared" si="18"/>
        <v>0</v>
      </c>
      <c r="AB308" s="8">
        <f t="shared" si="19"/>
        <v>30</v>
      </c>
      <c r="AC308" s="8">
        <f t="shared" si="20"/>
        <v>0</v>
      </c>
      <c r="AD308" s="8">
        <f t="shared" si="21"/>
        <v>0</v>
      </c>
      <c r="AE308" s="9" t="str" cm="1">
        <f t="array" ref="AE308">IFERROR(_xlfn.XLOOKUP(H308,Sheet1!$G:$G,Sheet1!$F:$F),IFERROR(_xlfn.XLOOKUP(1,(--($X$2:$X$1074=X308))*(--ISNUMBER(MATCH($H$2:$H$1074,Sheet1!$G:$G,0))),_xlfn.XLOOKUP($H$2:$H$1074,Sheet1!$G:$G,Sheet1!$F:$F,"")),"NOT FOUND"))</f>
        <v>GETCRDSFUT6099</v>
      </c>
      <c r="AF308" s="10" t="str">
        <f t="shared" si="22"/>
        <v>LIME GREEN</v>
      </c>
      <c r="AG308" s="11" t="str">
        <f t="shared" si="23"/>
        <v>HARIPAL</v>
      </c>
      <c r="AH308" s="9" t="str">
        <f>IF(OR(J308="",AE308="",AE308="NOT FOUND"),"",IF(Y308="RP",IFERROR(LEFT(_xlfn.XLOOKUP(AE308,Sheet1!$F:$F,Sheet1!$W:$W),FIND("-",_xlfn.XLOOKUP(AE308,Sheet1!$F:$F,Sheet1!$W:$W),FIND("-",_xlfn.XLOOKUP(AE308,Sheet1!$F:$F,Sheet1!$W:$W))+1))&amp;AE308,"NOT FOUND"),LEFT(J308,FIND("-",J308,FIND("-",J308)+1))&amp;AE308))</f>
        <v>SKD-APWN26-GETCRDSFUT6099</v>
      </c>
    </row>
    <row r="309" spans="1:34" ht="15.75" customHeight="1" x14ac:dyDescent="0.2">
      <c r="A309" s="4" t="s">
        <v>61</v>
      </c>
      <c r="B309" s="4" t="s">
        <v>421</v>
      </c>
      <c r="C309" s="4" t="s">
        <v>64</v>
      </c>
      <c r="D309" s="4" t="s">
        <v>205</v>
      </c>
      <c r="E309" s="4" t="s">
        <v>34</v>
      </c>
      <c r="F309" s="4" t="s">
        <v>35</v>
      </c>
      <c r="G309" s="4" t="s">
        <v>47</v>
      </c>
      <c r="H309" s="4" t="s">
        <v>407</v>
      </c>
      <c r="I309" s="4" t="s">
        <v>408</v>
      </c>
      <c r="J309" s="4" t="s">
        <v>409</v>
      </c>
      <c r="L309" s="4" t="s">
        <v>40</v>
      </c>
      <c r="M309" s="4">
        <v>1</v>
      </c>
      <c r="N309" s="4">
        <v>30</v>
      </c>
      <c r="O309" s="4">
        <v>30</v>
      </c>
      <c r="P309" s="4" t="s">
        <v>41</v>
      </c>
      <c r="Q309" s="4">
        <v>592.70000000000005</v>
      </c>
      <c r="R309" s="4">
        <v>592.70000000000005</v>
      </c>
      <c r="S309" s="4">
        <v>889.05</v>
      </c>
      <c r="T309" s="4">
        <v>17781</v>
      </c>
      <c r="U309" s="4">
        <v>5</v>
      </c>
      <c r="V309" s="4" t="s">
        <v>42</v>
      </c>
      <c r="X309" s="7" t="str">
        <f t="shared" si="15"/>
        <v>441811009</v>
      </c>
      <c r="Y309" s="8" t="str">
        <f t="shared" si="16"/>
        <v>DC</v>
      </c>
      <c r="Z309" s="8">
        <f t="shared" si="17"/>
        <v>0</v>
      </c>
      <c r="AA309" s="8">
        <f t="shared" si="18"/>
        <v>30</v>
      </c>
      <c r="AB309" s="8">
        <f t="shared" si="19"/>
        <v>0</v>
      </c>
      <c r="AC309" s="8">
        <f t="shared" si="20"/>
        <v>0</v>
      </c>
      <c r="AD309" s="8">
        <f t="shared" si="21"/>
        <v>0</v>
      </c>
      <c r="AE309" s="9" t="str" cm="1">
        <f t="array" ref="AE309">IFERROR(_xlfn.XLOOKUP(H309,Sheet1!$G:$G,Sheet1!$F:$F),IFERROR(_xlfn.XLOOKUP(1,(--($X$2:$X$1074=X309))*(--ISNUMBER(MATCH($H$2:$H$1074,Sheet1!$G:$G,0))),_xlfn.XLOOKUP($H$2:$H$1074,Sheet1!$G:$G,Sheet1!$F:$F,"")),"NOT FOUND"))</f>
        <v>GETCRDSFUT6099</v>
      </c>
      <c r="AF309" s="10" t="str">
        <f t="shared" si="22"/>
        <v>LIME GREEN</v>
      </c>
      <c r="AG309" s="11" t="str">
        <f t="shared" si="23"/>
        <v>HARIPAL</v>
      </c>
      <c r="AH309" s="9" t="str">
        <f>IF(OR(J309="",AE309="",AE309="NOT FOUND"),"",IF(Y309="RP",IFERROR(LEFT(_xlfn.XLOOKUP(AE309,Sheet1!$F:$F,Sheet1!$W:$W),FIND("-",_xlfn.XLOOKUP(AE309,Sheet1!$F:$F,Sheet1!$W:$W),FIND("-",_xlfn.XLOOKUP(AE309,Sheet1!$F:$F,Sheet1!$W:$W))+1))&amp;AE309,"NOT FOUND"),LEFT(J309,FIND("-",J309,FIND("-",J309)+1))&amp;AE309))</f>
        <v>SKD-APWN26-GETCRDSFUT6099</v>
      </c>
    </row>
    <row r="310" spans="1:34" ht="15.75" customHeight="1" x14ac:dyDescent="0.2">
      <c r="A310" s="4" t="s">
        <v>61</v>
      </c>
      <c r="B310" s="4" t="s">
        <v>421</v>
      </c>
      <c r="C310" s="4" t="s">
        <v>64</v>
      </c>
      <c r="D310" s="4" t="s">
        <v>205</v>
      </c>
      <c r="E310" s="4" t="s">
        <v>34</v>
      </c>
      <c r="F310" s="4" t="s">
        <v>35</v>
      </c>
      <c r="G310" s="4" t="s">
        <v>51</v>
      </c>
      <c r="H310" s="4" t="s">
        <v>410</v>
      </c>
      <c r="I310" s="4" t="s">
        <v>411</v>
      </c>
      <c r="J310" s="4" t="s">
        <v>412</v>
      </c>
      <c r="L310" s="4" t="s">
        <v>40</v>
      </c>
      <c r="M310" s="4">
        <v>1</v>
      </c>
      <c r="N310" s="4">
        <v>30</v>
      </c>
      <c r="O310" s="4">
        <v>30</v>
      </c>
      <c r="P310" s="4" t="s">
        <v>41</v>
      </c>
      <c r="Q310" s="4">
        <v>592.70000000000005</v>
      </c>
      <c r="R310" s="4">
        <v>592.70000000000005</v>
      </c>
      <c r="S310" s="4">
        <v>889.05</v>
      </c>
      <c r="T310" s="4">
        <v>17781</v>
      </c>
      <c r="U310" s="4">
        <v>5</v>
      </c>
      <c r="V310" s="4" t="s">
        <v>42</v>
      </c>
      <c r="X310" s="7" t="str">
        <f t="shared" si="15"/>
        <v>441811009</v>
      </c>
      <c r="Y310" s="8" t="str">
        <f t="shared" si="16"/>
        <v>DC</v>
      </c>
      <c r="Z310" s="8">
        <f t="shared" si="17"/>
        <v>30</v>
      </c>
      <c r="AA310" s="8">
        <f t="shared" si="18"/>
        <v>0</v>
      </c>
      <c r="AB310" s="8">
        <f t="shared" si="19"/>
        <v>0</v>
      </c>
      <c r="AC310" s="8">
        <f t="shared" si="20"/>
        <v>0</v>
      </c>
      <c r="AD310" s="8">
        <f t="shared" si="21"/>
        <v>0</v>
      </c>
      <c r="AE310" s="9" t="str" cm="1">
        <f t="array" ref="AE310">IFERROR(_xlfn.XLOOKUP(H310,Sheet1!$G:$G,Sheet1!$F:$F),IFERROR(_xlfn.XLOOKUP(1,(--($X$2:$X$1074=X310))*(--ISNUMBER(MATCH($H$2:$H$1074,Sheet1!$G:$G,0))),_xlfn.XLOOKUP($H$2:$H$1074,Sheet1!$G:$G,Sheet1!$F:$F,"")),"NOT FOUND"))</f>
        <v>GETCRDSFUT6099</v>
      </c>
      <c r="AF310" s="10" t="str">
        <f t="shared" si="22"/>
        <v>LIME GREEN</v>
      </c>
      <c r="AG310" s="11" t="str">
        <f t="shared" si="23"/>
        <v>HARIPAL</v>
      </c>
      <c r="AH310" s="9" t="str">
        <f>IF(OR(J310="",AE310="",AE310="NOT FOUND"),"",IF(Y310="RP",IFERROR(LEFT(_xlfn.XLOOKUP(AE310,Sheet1!$F:$F,Sheet1!$W:$W),FIND("-",_xlfn.XLOOKUP(AE310,Sheet1!$F:$F,Sheet1!$W:$W),FIND("-",_xlfn.XLOOKUP(AE310,Sheet1!$F:$F,Sheet1!$W:$W))+1))&amp;AE310,"NOT FOUND"),LEFT(J310,FIND("-",J310,FIND("-",J310)+1))&amp;AE310))</f>
        <v>SKD-APWN26-GETCRDSFUT6099</v>
      </c>
    </row>
    <row r="311" spans="1:34" ht="15.75" customHeight="1" x14ac:dyDescent="0.2">
      <c r="A311" s="4" t="s">
        <v>61</v>
      </c>
      <c r="B311" s="4" t="s">
        <v>421</v>
      </c>
      <c r="C311" s="4" t="s">
        <v>64</v>
      </c>
      <c r="D311" s="4" t="s">
        <v>205</v>
      </c>
      <c r="E311" s="4" t="s">
        <v>34</v>
      </c>
      <c r="F311" s="4" t="s">
        <v>35</v>
      </c>
      <c r="G311" s="4" t="s">
        <v>55</v>
      </c>
      <c r="H311" s="4" t="s">
        <v>413</v>
      </c>
      <c r="I311" s="4" t="s">
        <v>414</v>
      </c>
      <c r="J311" s="4" t="s">
        <v>415</v>
      </c>
      <c r="L311" s="4" t="s">
        <v>40</v>
      </c>
      <c r="M311" s="4">
        <v>1</v>
      </c>
      <c r="N311" s="4">
        <v>30</v>
      </c>
      <c r="O311" s="4">
        <v>30</v>
      </c>
      <c r="P311" s="4" t="s">
        <v>41</v>
      </c>
      <c r="Q311" s="4">
        <v>592.70000000000005</v>
      </c>
      <c r="R311" s="4">
        <v>592.70000000000005</v>
      </c>
      <c r="S311" s="4">
        <v>889.05</v>
      </c>
      <c r="T311" s="4">
        <v>17781</v>
      </c>
      <c r="U311" s="4">
        <v>5</v>
      </c>
      <c r="V311" s="4" t="s">
        <v>42</v>
      </c>
      <c r="X311" s="7" t="str">
        <f t="shared" si="15"/>
        <v>441811009</v>
      </c>
      <c r="Y311" s="8" t="str">
        <f t="shared" si="16"/>
        <v>DC</v>
      </c>
      <c r="Z311" s="8">
        <f t="shared" si="17"/>
        <v>0</v>
      </c>
      <c r="AA311" s="8">
        <f t="shared" si="18"/>
        <v>0</v>
      </c>
      <c r="AB311" s="8">
        <f t="shared" si="19"/>
        <v>0</v>
      </c>
      <c r="AC311" s="8">
        <f t="shared" si="20"/>
        <v>30</v>
      </c>
      <c r="AD311" s="8">
        <f t="shared" si="21"/>
        <v>0</v>
      </c>
      <c r="AE311" s="9" t="str" cm="1">
        <f t="array" ref="AE311">IFERROR(_xlfn.XLOOKUP(H311,Sheet1!$G:$G,Sheet1!$F:$F),IFERROR(_xlfn.XLOOKUP(1,(--($X$2:$X$1074=X311))*(--ISNUMBER(MATCH($H$2:$H$1074,Sheet1!$G:$G,0))),_xlfn.XLOOKUP($H$2:$H$1074,Sheet1!$G:$G,Sheet1!$F:$F,"")),"NOT FOUND"))</f>
        <v>GETCRDSFUT6099</v>
      </c>
      <c r="AF311" s="10" t="str">
        <f t="shared" si="22"/>
        <v>LIME GREEN</v>
      </c>
      <c r="AG311" s="11" t="str">
        <f t="shared" si="23"/>
        <v>HARIPAL</v>
      </c>
      <c r="AH311" s="9" t="str">
        <f>IF(OR(J311="",AE311="",AE311="NOT FOUND"),"",IF(Y311="RP",IFERROR(LEFT(_xlfn.XLOOKUP(AE311,Sheet1!$F:$F,Sheet1!$W:$W),FIND("-",_xlfn.XLOOKUP(AE311,Sheet1!$F:$F,Sheet1!$W:$W),FIND("-",_xlfn.XLOOKUP(AE311,Sheet1!$F:$F,Sheet1!$W:$W))+1))&amp;AE311,"NOT FOUND"),LEFT(J311,FIND("-",J311,FIND("-",J311)+1))&amp;AE311))</f>
        <v>SKD-APWN26-GETCRDSFUT6099</v>
      </c>
    </row>
    <row r="312" spans="1:34" ht="15.75" customHeight="1" x14ac:dyDescent="0.2">
      <c r="A312" s="4" t="s">
        <v>30</v>
      </c>
      <c r="B312" s="4" t="s">
        <v>422</v>
      </c>
      <c r="C312" s="4" t="s">
        <v>423</v>
      </c>
      <c r="D312" s="4" t="s">
        <v>424</v>
      </c>
      <c r="E312" s="4" t="s">
        <v>34</v>
      </c>
      <c r="F312" s="4" t="s">
        <v>35</v>
      </c>
      <c r="G312" s="4" t="s">
        <v>36</v>
      </c>
      <c r="H312" s="4" t="s">
        <v>425</v>
      </c>
      <c r="I312" s="4" t="s">
        <v>426</v>
      </c>
      <c r="J312" s="4" t="s">
        <v>427</v>
      </c>
      <c r="L312" s="4" t="s">
        <v>40</v>
      </c>
      <c r="M312" s="4">
        <v>1</v>
      </c>
      <c r="N312" s="4">
        <v>168</v>
      </c>
      <c r="O312" s="4">
        <v>168</v>
      </c>
      <c r="P312" s="4" t="s">
        <v>41</v>
      </c>
      <c r="Q312" s="4">
        <v>2523.5</v>
      </c>
      <c r="R312" s="4">
        <v>2523.5</v>
      </c>
      <c r="S312" s="4">
        <v>21197.4</v>
      </c>
      <c r="T312" s="4">
        <v>423948</v>
      </c>
      <c r="U312" s="4">
        <v>5</v>
      </c>
      <c r="V312" s="4" t="s">
        <v>42</v>
      </c>
      <c r="X312" s="7" t="str">
        <f t="shared" si="15"/>
        <v>441811012</v>
      </c>
      <c r="Y312" s="8" t="str">
        <f t="shared" si="16"/>
        <v>RP</v>
      </c>
      <c r="Z312" s="8">
        <f t="shared" si="17"/>
        <v>168</v>
      </c>
      <c r="AA312" s="8">
        <f t="shared" si="18"/>
        <v>168</v>
      </c>
      <c r="AB312" s="8">
        <f t="shared" si="19"/>
        <v>168</v>
      </c>
      <c r="AC312" s="8">
        <f t="shared" si="20"/>
        <v>168</v>
      </c>
      <c r="AD312" s="8">
        <f t="shared" si="21"/>
        <v>168</v>
      </c>
      <c r="AE312" s="9" t="str" cm="1">
        <f t="array" ref="AE312">IFERROR(_xlfn.XLOOKUP(H312,Sheet1!$G:$G,Sheet1!$F:$F),IFERROR(_xlfn.XLOOKUP(1,(--($X$2:$X$1074=X312))*(--ISNUMBER(MATCH($H$2:$H$1074,Sheet1!$G:$G,0))),_xlfn.XLOOKUP($H$2:$H$1074,Sheet1!$G:$G,Sheet1!$F:$F,"")),"NOT FOUND"))</f>
        <v>GETCRDSFUT6207</v>
      </c>
      <c r="AF312" s="10" t="str">
        <f t="shared" si="22"/>
        <v>ONION PINK</v>
      </c>
      <c r="AG312" s="11" t="str">
        <f t="shared" si="23"/>
        <v>Bangalore</v>
      </c>
      <c r="AH312" s="9" t="str">
        <f>IF(OR(J312="",AE312="",AE312="NOT FOUND"),"",IF(Y312="RP",IFERROR(LEFT(_xlfn.XLOOKUP(AE312,Sheet1!$F:$F,Sheet1!$W:$W),FIND("-",_xlfn.XLOOKUP(AE312,Sheet1!$F:$F,Sheet1!$W:$W),FIND("-",_xlfn.XLOOKUP(AE312,Sheet1!$F:$F,Sheet1!$W:$W))+1))&amp;AE312,"NOT FOUND"),LEFT(J312,FIND("-",J312,FIND("-",J312)+1))&amp;AE312))</f>
        <v>SKD-APWN26-GETCRDSFUT6207</v>
      </c>
    </row>
    <row r="313" spans="1:34" ht="15.75" customHeight="1" x14ac:dyDescent="0.2">
      <c r="A313" s="4" t="s">
        <v>30</v>
      </c>
      <c r="B313" s="4" t="s">
        <v>428</v>
      </c>
      <c r="C313" s="4" t="s">
        <v>423</v>
      </c>
      <c r="D313" s="4" t="s">
        <v>429</v>
      </c>
      <c r="E313" s="4" t="s">
        <v>34</v>
      </c>
      <c r="F313" s="4" t="s">
        <v>35</v>
      </c>
      <c r="G313" s="4" t="s">
        <v>36</v>
      </c>
      <c r="H313" s="4" t="s">
        <v>430</v>
      </c>
      <c r="I313" s="4" t="s">
        <v>431</v>
      </c>
      <c r="J313" s="4" t="s">
        <v>432</v>
      </c>
      <c r="L313" s="4" t="s">
        <v>40</v>
      </c>
      <c r="M313" s="4">
        <v>1</v>
      </c>
      <c r="N313" s="4">
        <v>45</v>
      </c>
      <c r="O313" s="4">
        <v>45</v>
      </c>
      <c r="P313" s="4" t="s">
        <v>41</v>
      </c>
      <c r="Q313" s="4">
        <v>2963.5</v>
      </c>
      <c r="R313" s="4">
        <v>2963.5</v>
      </c>
      <c r="S313" s="4">
        <v>6667.88</v>
      </c>
      <c r="T313" s="4">
        <v>133357.5</v>
      </c>
      <c r="U313" s="4">
        <v>5</v>
      </c>
      <c r="V313" s="4" t="s">
        <v>42</v>
      </c>
      <c r="X313" s="7" t="str">
        <f t="shared" si="15"/>
        <v>441811009</v>
      </c>
      <c r="Y313" s="8" t="str">
        <f t="shared" si="16"/>
        <v>RP</v>
      </c>
      <c r="Z313" s="8">
        <f t="shared" si="17"/>
        <v>45</v>
      </c>
      <c r="AA313" s="8">
        <f t="shared" si="18"/>
        <v>45</v>
      </c>
      <c r="AB313" s="8">
        <f t="shared" si="19"/>
        <v>45</v>
      </c>
      <c r="AC313" s="8">
        <f t="shared" si="20"/>
        <v>45</v>
      </c>
      <c r="AD313" s="8">
        <f t="shared" si="21"/>
        <v>45</v>
      </c>
      <c r="AE313" s="9" t="str" cm="1">
        <f t="array" ref="AE313">IFERROR(_xlfn.XLOOKUP(H313,Sheet1!$G:$G,Sheet1!$F:$F),IFERROR(_xlfn.XLOOKUP(1,(--($X$2:$X$1074=X313))*(--ISNUMBER(MATCH($H$2:$H$1074,Sheet1!$G:$G,0))),_xlfn.XLOOKUP($H$2:$H$1074,Sheet1!$G:$G,Sheet1!$F:$F,"")),"NOT FOUND"))</f>
        <v>GETCRDSFUT6099</v>
      </c>
      <c r="AF313" s="10" t="str">
        <f t="shared" si="22"/>
        <v>LIME GREEN</v>
      </c>
      <c r="AG313" s="11" t="str">
        <f t="shared" si="23"/>
        <v>Bangalore</v>
      </c>
      <c r="AH313" s="9" t="str">
        <f>IF(OR(J313="",AE313="",AE313="NOT FOUND"),"",IF(Y313="RP",IFERROR(LEFT(_xlfn.XLOOKUP(AE313,Sheet1!$F:$F,Sheet1!$W:$W),FIND("-",_xlfn.XLOOKUP(AE313,Sheet1!$F:$F,Sheet1!$W:$W),FIND("-",_xlfn.XLOOKUP(AE313,Sheet1!$F:$F,Sheet1!$W:$W))+1))&amp;AE313,"NOT FOUND"),LEFT(J313,FIND("-",J313,FIND("-",J313)+1))&amp;AE313))</f>
        <v>SKD-APWN26-GETCRDSFUT6099</v>
      </c>
    </row>
    <row r="314" spans="1:34" ht="15.75" customHeight="1" x14ac:dyDescent="0.2">
      <c r="A314" s="4" t="s">
        <v>30</v>
      </c>
      <c r="B314" s="4" t="s">
        <v>433</v>
      </c>
      <c r="C314" s="4" t="s">
        <v>423</v>
      </c>
      <c r="D314" s="4" t="s">
        <v>429</v>
      </c>
      <c r="E314" s="4" t="s">
        <v>34</v>
      </c>
      <c r="F314" s="4" t="s">
        <v>35</v>
      </c>
      <c r="G314" s="4" t="s">
        <v>36</v>
      </c>
      <c r="H314" s="4" t="s">
        <v>434</v>
      </c>
      <c r="I314" s="4" t="s">
        <v>435</v>
      </c>
      <c r="J314" s="4" t="s">
        <v>436</v>
      </c>
      <c r="L314" s="4" t="s">
        <v>40</v>
      </c>
      <c r="M314" s="4">
        <v>1</v>
      </c>
      <c r="N314" s="4">
        <v>253</v>
      </c>
      <c r="O314" s="4">
        <v>253</v>
      </c>
      <c r="P314" s="4" t="s">
        <v>41</v>
      </c>
      <c r="Q314" s="4">
        <v>1998.5</v>
      </c>
      <c r="R314" s="4">
        <v>1998.5</v>
      </c>
      <c r="S314" s="4">
        <v>25281.03</v>
      </c>
      <c r="T314" s="4">
        <v>505620.5</v>
      </c>
      <c r="U314" s="4">
        <v>5</v>
      </c>
      <c r="V314" s="4" t="s">
        <v>42</v>
      </c>
      <c r="X314" s="7" t="str">
        <f t="shared" si="15"/>
        <v>441811100</v>
      </c>
      <c r="Y314" s="8" t="str">
        <f t="shared" si="16"/>
        <v>RP</v>
      </c>
      <c r="Z314" s="8">
        <f t="shared" si="17"/>
        <v>253</v>
      </c>
      <c r="AA314" s="8">
        <f t="shared" si="18"/>
        <v>253</v>
      </c>
      <c r="AB314" s="8">
        <f t="shared" si="19"/>
        <v>253</v>
      </c>
      <c r="AC314" s="8">
        <f t="shared" si="20"/>
        <v>253</v>
      </c>
      <c r="AD314" s="8">
        <f t="shared" si="21"/>
        <v>253</v>
      </c>
      <c r="AE314" s="9" t="str" cm="1">
        <f t="array" ref="AE314">IFERROR(_xlfn.XLOOKUP(H314,Sheet1!$G:$G,Sheet1!$F:$F),IFERROR(_xlfn.XLOOKUP(1,(--($X$2:$X$1074=X314))*(--ISNUMBER(MATCH($H$2:$H$1074,Sheet1!$G:$G,0))),_xlfn.XLOOKUP($H$2:$H$1074,Sheet1!$G:$G,Sheet1!$F:$F,"")),"NOT FOUND"))</f>
        <v>GETKRTSFUT6101</v>
      </c>
      <c r="AF314" s="10" t="str">
        <f t="shared" si="22"/>
        <v>LIME GREEN</v>
      </c>
      <c r="AG314" s="11" t="str">
        <f t="shared" si="23"/>
        <v>Bangalore</v>
      </c>
      <c r="AH314" s="9" t="str">
        <f>IF(OR(J314="",AE314="",AE314="NOT FOUND"),"",IF(Y314="RP",IFERROR(LEFT(_xlfn.XLOOKUP(AE314,Sheet1!$F:$F,Sheet1!$W:$W),FIND("-",_xlfn.XLOOKUP(AE314,Sheet1!$F:$F,Sheet1!$W:$W),FIND("-",_xlfn.XLOOKUP(AE314,Sheet1!$F:$F,Sheet1!$W:$W))+1))&amp;AE314,"NOT FOUND"),LEFT(J314,FIND("-",J314,FIND("-",J314)+1))&amp;AE314))</f>
        <v>KRTS-APWN26-GETKRTSFUT6101</v>
      </c>
    </row>
    <row r="315" spans="1:34" ht="15.75" customHeight="1" x14ac:dyDescent="0.2">
      <c r="A315" s="4" t="s">
        <v>30</v>
      </c>
      <c r="B315" s="4" t="s">
        <v>437</v>
      </c>
      <c r="C315" s="4" t="s">
        <v>423</v>
      </c>
      <c r="D315" s="4" t="s">
        <v>438</v>
      </c>
      <c r="E315" s="4" t="s">
        <v>34</v>
      </c>
      <c r="F315" s="4" t="s">
        <v>35</v>
      </c>
      <c r="G315" s="4" t="s">
        <v>36</v>
      </c>
      <c r="H315" s="4" t="s">
        <v>439</v>
      </c>
      <c r="I315" s="4" t="s">
        <v>440</v>
      </c>
      <c r="J315" s="4" t="s">
        <v>441</v>
      </c>
      <c r="L315" s="4" t="s">
        <v>40</v>
      </c>
      <c r="M315" s="4">
        <v>1</v>
      </c>
      <c r="N315" s="4">
        <v>168</v>
      </c>
      <c r="O315" s="4">
        <v>168</v>
      </c>
      <c r="P315" s="4" t="s">
        <v>41</v>
      </c>
      <c r="Q315" s="4">
        <v>2473.5</v>
      </c>
      <c r="R315" s="4">
        <v>2473.5</v>
      </c>
      <c r="S315" s="4">
        <v>20777.400000000001</v>
      </c>
      <c r="T315" s="4">
        <v>415548</v>
      </c>
      <c r="U315" s="4">
        <v>5</v>
      </c>
      <c r="V315" s="4" t="s">
        <v>42</v>
      </c>
      <c r="X315" s="7" t="str">
        <f t="shared" si="15"/>
        <v>441811011</v>
      </c>
      <c r="Y315" s="8" t="str">
        <f t="shared" si="16"/>
        <v>RP</v>
      </c>
      <c r="Z315" s="8">
        <f t="shared" si="17"/>
        <v>168</v>
      </c>
      <c r="AA315" s="8">
        <f t="shared" si="18"/>
        <v>168</v>
      </c>
      <c r="AB315" s="8">
        <f t="shared" si="19"/>
        <v>168</v>
      </c>
      <c r="AC315" s="8">
        <f t="shared" si="20"/>
        <v>168</v>
      </c>
      <c r="AD315" s="8">
        <f t="shared" si="21"/>
        <v>168</v>
      </c>
      <c r="AE315" s="9" t="str" cm="1">
        <f t="array" ref="AE315">IFERROR(_xlfn.XLOOKUP(H315,Sheet1!$G:$G,Sheet1!$F:$F),IFERROR(_xlfn.XLOOKUP(1,(--($X$2:$X$1074=X315))*(--ISNUMBER(MATCH($H$2:$H$1074,Sheet1!$G:$G,0))),_xlfn.XLOOKUP($H$2:$H$1074,Sheet1!$G:$G,Sheet1!$F:$F,"")),"NOT FOUND"))</f>
        <v>GETCRDSFUT6206</v>
      </c>
      <c r="AF315" s="10" t="str">
        <f t="shared" si="22"/>
        <v>TEAL</v>
      </c>
      <c r="AG315" s="11" t="str">
        <f t="shared" si="23"/>
        <v>Bangalore</v>
      </c>
      <c r="AH315" s="9" t="str">
        <f>IF(OR(J315="",AE315="",AE315="NOT FOUND"),"",IF(Y315="RP",IFERROR(LEFT(_xlfn.XLOOKUP(AE315,Sheet1!$F:$F,Sheet1!$W:$W),FIND("-",_xlfn.XLOOKUP(AE315,Sheet1!$F:$F,Sheet1!$W:$W),FIND("-",_xlfn.XLOOKUP(AE315,Sheet1!$F:$F,Sheet1!$W:$W))+1))&amp;AE315,"NOT FOUND"),LEFT(J315,FIND("-",J315,FIND("-",J315)+1))&amp;AE315))</f>
        <v>SKD-APWN26-GETCRDSFUT6206</v>
      </c>
    </row>
    <row r="316" spans="1:34" ht="15.75" customHeight="1" x14ac:dyDescent="0.2">
      <c r="A316" s="4" t="s">
        <v>30</v>
      </c>
      <c r="B316" s="4" t="s">
        <v>442</v>
      </c>
      <c r="C316" s="4" t="s">
        <v>423</v>
      </c>
      <c r="D316" s="4" t="s">
        <v>438</v>
      </c>
      <c r="E316" s="4" t="s">
        <v>34</v>
      </c>
      <c r="F316" s="4" t="s">
        <v>35</v>
      </c>
      <c r="G316" s="4" t="s">
        <v>36</v>
      </c>
      <c r="H316" s="4" t="s">
        <v>443</v>
      </c>
      <c r="I316" s="4" t="s">
        <v>444</v>
      </c>
      <c r="J316" s="4" t="s">
        <v>445</v>
      </c>
      <c r="L316" s="4" t="s">
        <v>40</v>
      </c>
      <c r="M316" s="4">
        <v>1</v>
      </c>
      <c r="N316" s="4">
        <v>253</v>
      </c>
      <c r="O316" s="4">
        <v>253</v>
      </c>
      <c r="P316" s="4" t="s">
        <v>41</v>
      </c>
      <c r="Q316" s="4">
        <v>1873.5</v>
      </c>
      <c r="R316" s="4">
        <v>1873.5</v>
      </c>
      <c r="S316" s="4">
        <v>23699.78</v>
      </c>
      <c r="T316" s="4">
        <v>473995.5</v>
      </c>
      <c r="U316" s="4">
        <v>5</v>
      </c>
      <c r="V316" s="4" t="s">
        <v>42</v>
      </c>
      <c r="X316" s="7" t="str">
        <f t="shared" si="15"/>
        <v>441811094</v>
      </c>
      <c r="Y316" s="8" t="str">
        <f t="shared" si="16"/>
        <v>RP</v>
      </c>
      <c r="Z316" s="8">
        <f t="shared" si="17"/>
        <v>253</v>
      </c>
      <c r="AA316" s="8">
        <f t="shared" si="18"/>
        <v>253</v>
      </c>
      <c r="AB316" s="8">
        <f t="shared" si="19"/>
        <v>253</v>
      </c>
      <c r="AC316" s="8">
        <f t="shared" si="20"/>
        <v>253</v>
      </c>
      <c r="AD316" s="8">
        <f t="shared" si="21"/>
        <v>253</v>
      </c>
      <c r="AE316" s="9" t="str" cm="1">
        <f t="array" ref="AE316">IFERROR(_xlfn.XLOOKUP(H316,Sheet1!$G:$G,Sheet1!$F:$F),IFERROR(_xlfn.XLOOKUP(1,(--($X$2:$X$1074=X316))*(--ISNUMBER(MATCH($H$2:$H$1074,Sheet1!$G:$G,0))),_xlfn.XLOOKUP($H$2:$H$1074,Sheet1!$G:$G,Sheet1!$F:$F,"")),"NOT FOUND"))</f>
        <v>GETKRTSFUT6002</v>
      </c>
      <c r="AF316" s="10" t="str">
        <f t="shared" si="22"/>
        <v>MUSTARD</v>
      </c>
      <c r="AG316" s="11" t="str">
        <f t="shared" si="23"/>
        <v>Bangalore</v>
      </c>
      <c r="AH316" s="9" t="str">
        <f>IF(OR(J316="",AE316="",AE316="NOT FOUND"),"",IF(Y316="RP",IFERROR(LEFT(_xlfn.XLOOKUP(AE316,Sheet1!$F:$F,Sheet1!$W:$W),FIND("-",_xlfn.XLOOKUP(AE316,Sheet1!$F:$F,Sheet1!$W:$W),FIND("-",_xlfn.XLOOKUP(AE316,Sheet1!$F:$F,Sheet1!$W:$W))+1))&amp;AE316,"NOT FOUND"),LEFT(J316,FIND("-",J316,FIND("-",J316)+1))&amp;AE316))</f>
        <v>KRTS-APWN26-GETKRTSFUT6002</v>
      </c>
    </row>
    <row r="317" spans="1:34" ht="15.75" customHeight="1" x14ac:dyDescent="0.2">
      <c r="A317" s="4" t="s">
        <v>30</v>
      </c>
      <c r="B317" s="4" t="s">
        <v>446</v>
      </c>
      <c r="C317" s="4" t="s">
        <v>423</v>
      </c>
      <c r="D317" s="4" t="s">
        <v>424</v>
      </c>
      <c r="E317" s="4" t="s">
        <v>34</v>
      </c>
      <c r="F317" s="4" t="s">
        <v>35</v>
      </c>
      <c r="G317" s="4" t="s">
        <v>36</v>
      </c>
      <c r="H317" s="4" t="s">
        <v>447</v>
      </c>
      <c r="I317" s="4" t="s">
        <v>448</v>
      </c>
      <c r="J317" s="4" t="s">
        <v>449</v>
      </c>
      <c r="L317" s="4" t="s">
        <v>40</v>
      </c>
      <c r="M317" s="4">
        <v>1</v>
      </c>
      <c r="N317" s="4">
        <v>241</v>
      </c>
      <c r="O317" s="4">
        <v>241</v>
      </c>
      <c r="P317" s="4" t="s">
        <v>41</v>
      </c>
      <c r="Q317" s="4">
        <v>2023.5</v>
      </c>
      <c r="R317" s="4">
        <v>2023.5</v>
      </c>
      <c r="S317" s="4">
        <v>24383.18</v>
      </c>
      <c r="T317" s="4">
        <v>487663.5</v>
      </c>
      <c r="U317" s="4">
        <v>5</v>
      </c>
      <c r="V317" s="4" t="s">
        <v>42</v>
      </c>
      <c r="X317" s="7" t="str">
        <f t="shared" si="15"/>
        <v>441811101</v>
      </c>
      <c r="Y317" s="8" t="str">
        <f t="shared" si="16"/>
        <v>RP</v>
      </c>
      <c r="Z317" s="8">
        <f t="shared" si="17"/>
        <v>241</v>
      </c>
      <c r="AA317" s="8">
        <f t="shared" si="18"/>
        <v>241</v>
      </c>
      <c r="AB317" s="8">
        <f t="shared" si="19"/>
        <v>241</v>
      </c>
      <c r="AC317" s="8">
        <f t="shared" si="20"/>
        <v>241</v>
      </c>
      <c r="AD317" s="8">
        <f t="shared" si="21"/>
        <v>241</v>
      </c>
      <c r="AE317" s="9" t="str" cm="1">
        <f t="array" ref="AE317">IFERROR(_xlfn.XLOOKUP(H317,Sheet1!$G:$G,Sheet1!$F:$F),IFERROR(_xlfn.XLOOKUP(1,(--($X$2:$X$1074=X317))*(--ISNUMBER(MATCH($H$2:$H$1074,Sheet1!$G:$G,0))),_xlfn.XLOOKUP($H$2:$H$1074,Sheet1!$G:$G,Sheet1!$F:$F,"")),"NOT FOUND"))</f>
        <v>GETKRTSFUT6103</v>
      </c>
      <c r="AF317" s="10" t="str">
        <f t="shared" si="22"/>
        <v>LIME GREEN</v>
      </c>
      <c r="AG317" s="11" t="str">
        <f t="shared" si="23"/>
        <v>Bangalore</v>
      </c>
      <c r="AH317" s="9" t="str">
        <f>IF(OR(J317="",AE317="",AE317="NOT FOUND"),"",IF(Y317="RP",IFERROR(LEFT(_xlfn.XLOOKUP(AE317,Sheet1!$F:$F,Sheet1!$W:$W),FIND("-",_xlfn.XLOOKUP(AE317,Sheet1!$F:$F,Sheet1!$W:$W),FIND("-",_xlfn.XLOOKUP(AE317,Sheet1!$F:$F,Sheet1!$W:$W))+1))&amp;AE317,"NOT FOUND"),LEFT(J317,FIND("-",J317,FIND("-",J317)+1))&amp;AE317))</f>
        <v>KRTS-APWN26-GETKRTSFUT6103</v>
      </c>
    </row>
    <row r="318" spans="1:34" ht="15.75" customHeight="1" x14ac:dyDescent="0.2">
      <c r="A318" s="4" t="s">
        <v>30</v>
      </c>
      <c r="B318" s="4" t="s">
        <v>450</v>
      </c>
      <c r="C318" s="4" t="s">
        <v>423</v>
      </c>
      <c r="D318" s="4" t="s">
        <v>424</v>
      </c>
      <c r="E318" s="4" t="s">
        <v>34</v>
      </c>
      <c r="F318" s="4" t="s">
        <v>35</v>
      </c>
      <c r="G318" s="4" t="s">
        <v>36</v>
      </c>
      <c r="H318" s="4" t="s">
        <v>451</v>
      </c>
      <c r="I318" s="4" t="s">
        <v>452</v>
      </c>
      <c r="J318" s="4" t="s">
        <v>453</v>
      </c>
      <c r="L318" s="4" t="s">
        <v>40</v>
      </c>
      <c r="M318" s="4">
        <v>1</v>
      </c>
      <c r="N318" s="4">
        <v>241</v>
      </c>
      <c r="O318" s="4">
        <v>241</v>
      </c>
      <c r="P318" s="4" t="s">
        <v>41</v>
      </c>
      <c r="Q318" s="4">
        <v>2098.5</v>
      </c>
      <c r="R318" s="4">
        <v>2098.5</v>
      </c>
      <c r="S318" s="4">
        <v>25286.93</v>
      </c>
      <c r="T318" s="4">
        <v>505738.5</v>
      </c>
      <c r="U318" s="4">
        <v>5</v>
      </c>
      <c r="V318" s="4" t="s">
        <v>42</v>
      </c>
      <c r="X318" s="7" t="str">
        <f t="shared" si="15"/>
        <v>441811107</v>
      </c>
      <c r="Y318" s="8" t="str">
        <f t="shared" si="16"/>
        <v>RP</v>
      </c>
      <c r="Z318" s="8">
        <f t="shared" si="17"/>
        <v>241</v>
      </c>
      <c r="AA318" s="8">
        <f t="shared" si="18"/>
        <v>241</v>
      </c>
      <c r="AB318" s="8">
        <f t="shared" si="19"/>
        <v>241</v>
      </c>
      <c r="AC318" s="8">
        <f t="shared" si="20"/>
        <v>241</v>
      </c>
      <c r="AD318" s="8">
        <f t="shared" si="21"/>
        <v>241</v>
      </c>
      <c r="AE318" s="9" t="str" cm="1">
        <f t="array" ref="AE318">IFERROR(_xlfn.XLOOKUP(H318,Sheet1!$G:$G,Sheet1!$F:$F),IFERROR(_xlfn.XLOOKUP(1,(--($X$2:$X$1074=X318))*(--ISNUMBER(MATCH($H$2:$H$1074,Sheet1!$G:$G,0))),_xlfn.XLOOKUP($H$2:$H$1074,Sheet1!$G:$G,Sheet1!$F:$F,"")),"NOT FOUND"))</f>
        <v>GETKRTSFUT6205</v>
      </c>
      <c r="AF318" s="10" t="str">
        <f t="shared" si="22"/>
        <v>GREEN</v>
      </c>
      <c r="AG318" s="11" t="str">
        <f t="shared" si="23"/>
        <v>Bangalore</v>
      </c>
      <c r="AH318" s="9" t="str">
        <f>IF(OR(J318="",AE318="",AE318="NOT FOUND"),"",IF(Y318="RP",IFERROR(LEFT(_xlfn.XLOOKUP(AE318,Sheet1!$F:$F,Sheet1!$W:$W),FIND("-",_xlfn.XLOOKUP(AE318,Sheet1!$F:$F,Sheet1!$W:$W),FIND("-",_xlfn.XLOOKUP(AE318,Sheet1!$F:$F,Sheet1!$W:$W))+1))&amp;AE318,"NOT FOUND"),LEFT(J318,FIND("-",J318,FIND("-",J318)+1))&amp;AE318))</f>
        <v>KRTS-APWN26-GETKRTSFUT6205</v>
      </c>
    </row>
    <row r="319" spans="1:34" ht="15.75" customHeight="1" x14ac:dyDescent="0.2">
      <c r="A319" s="4" t="s">
        <v>59</v>
      </c>
      <c r="B319" s="4" t="s">
        <v>454</v>
      </c>
      <c r="C319" s="4" t="s">
        <v>423</v>
      </c>
      <c r="D319" s="4" t="s">
        <v>455</v>
      </c>
      <c r="E319" s="4" t="s">
        <v>34</v>
      </c>
      <c r="F319" s="4" t="s">
        <v>35</v>
      </c>
      <c r="G319" s="4" t="s">
        <v>36</v>
      </c>
      <c r="H319" s="4" t="s">
        <v>456</v>
      </c>
      <c r="I319" s="4" t="s">
        <v>457</v>
      </c>
      <c r="J319" s="4" t="s">
        <v>458</v>
      </c>
      <c r="L319" s="4" t="s">
        <v>40</v>
      </c>
      <c r="M319" s="4">
        <v>1</v>
      </c>
      <c r="N319" s="4">
        <v>146</v>
      </c>
      <c r="O319" s="4">
        <v>146</v>
      </c>
      <c r="P319" s="4" t="s">
        <v>41</v>
      </c>
      <c r="Q319" s="4">
        <v>1873.5</v>
      </c>
      <c r="R319" s="4">
        <v>1873.5</v>
      </c>
      <c r="S319" s="4">
        <v>13676.55</v>
      </c>
      <c r="T319" s="4">
        <v>273531</v>
      </c>
      <c r="U319" s="4">
        <v>5</v>
      </c>
      <c r="V319" s="4" t="s">
        <v>42</v>
      </c>
      <c r="X319" s="7" t="str">
        <f t="shared" si="15"/>
        <v>441811097</v>
      </c>
      <c r="Y319" s="8" t="str">
        <f t="shared" si="16"/>
        <v>RP</v>
      </c>
      <c r="Z319" s="8">
        <f t="shared" si="17"/>
        <v>146</v>
      </c>
      <c r="AA319" s="8">
        <f t="shared" si="18"/>
        <v>146</v>
      </c>
      <c r="AB319" s="8">
        <f t="shared" si="19"/>
        <v>146</v>
      </c>
      <c r="AC319" s="8">
        <f t="shared" si="20"/>
        <v>146</v>
      </c>
      <c r="AD319" s="8">
        <f t="shared" si="21"/>
        <v>146</v>
      </c>
      <c r="AE319" s="9" t="str" cm="1">
        <f t="array" ref="AE319">IFERROR(_xlfn.XLOOKUP(H319,Sheet1!$G:$G,Sheet1!$F:$F),IFERROR(_xlfn.XLOOKUP(1,(--($X$2:$X$1074=X319))*(--ISNUMBER(MATCH($H$2:$H$1074,Sheet1!$G:$G,0))),_xlfn.XLOOKUP($H$2:$H$1074,Sheet1!$G:$G,Sheet1!$F:$F,"")),"NOT FOUND"))</f>
        <v>GETKRTSFUT6089</v>
      </c>
      <c r="AF319" s="10" t="str">
        <f t="shared" si="22"/>
        <v>PINK</v>
      </c>
      <c r="AG319" s="11" t="str">
        <f t="shared" si="23"/>
        <v>JHAJJAR</v>
      </c>
      <c r="AH319" s="9" t="str">
        <f>IF(OR(J319="",AE319="",AE319="NOT FOUND"),"",IF(Y319="RP",IFERROR(LEFT(_xlfn.XLOOKUP(AE319,Sheet1!$F:$F,Sheet1!$W:$W),FIND("-",_xlfn.XLOOKUP(AE319,Sheet1!$F:$F,Sheet1!$W:$W),FIND("-",_xlfn.XLOOKUP(AE319,Sheet1!$F:$F,Sheet1!$W:$W))+1))&amp;AE319,"NOT FOUND"),LEFT(J319,FIND("-",J319,FIND("-",J319)+1))&amp;AE319))</f>
        <v>KRTS-APWN26-GETKRTSFUT6089</v>
      </c>
    </row>
    <row r="320" spans="1:34" ht="15.75" customHeight="1" x14ac:dyDescent="0.2">
      <c r="A320" s="4" t="s">
        <v>59</v>
      </c>
      <c r="B320" s="4" t="s">
        <v>459</v>
      </c>
      <c r="C320" s="4" t="s">
        <v>423</v>
      </c>
      <c r="D320" s="4" t="s">
        <v>424</v>
      </c>
      <c r="E320" s="4" t="s">
        <v>34</v>
      </c>
      <c r="F320" s="4" t="s">
        <v>35</v>
      </c>
      <c r="G320" s="4" t="s">
        <v>36</v>
      </c>
      <c r="H320" s="4" t="s">
        <v>460</v>
      </c>
      <c r="I320" s="4" t="s">
        <v>461</v>
      </c>
      <c r="J320" s="4" t="s">
        <v>462</v>
      </c>
      <c r="L320" s="4" t="s">
        <v>40</v>
      </c>
      <c r="M320" s="4">
        <v>1</v>
      </c>
      <c r="N320" s="4">
        <v>146</v>
      </c>
      <c r="O320" s="4">
        <v>146</v>
      </c>
      <c r="P320" s="4" t="s">
        <v>41</v>
      </c>
      <c r="Q320" s="4">
        <v>1973.5</v>
      </c>
      <c r="R320" s="4">
        <v>1973.5</v>
      </c>
      <c r="S320" s="4">
        <v>14406.55</v>
      </c>
      <c r="T320" s="4">
        <v>288131</v>
      </c>
      <c r="U320" s="4">
        <v>5</v>
      </c>
      <c r="V320" s="4" t="s">
        <v>42</v>
      </c>
      <c r="X320" s="7" t="str">
        <f t="shared" si="15"/>
        <v>441811104</v>
      </c>
      <c r="Y320" s="8" t="str">
        <f t="shared" si="16"/>
        <v>RP</v>
      </c>
      <c r="Z320" s="8">
        <f t="shared" si="17"/>
        <v>146</v>
      </c>
      <c r="AA320" s="8">
        <f t="shared" si="18"/>
        <v>146</v>
      </c>
      <c r="AB320" s="8">
        <f t="shared" si="19"/>
        <v>146</v>
      </c>
      <c r="AC320" s="8">
        <f t="shared" si="20"/>
        <v>146</v>
      </c>
      <c r="AD320" s="8">
        <f t="shared" si="21"/>
        <v>146</v>
      </c>
      <c r="AE320" s="9" t="str" cm="1">
        <f t="array" ref="AE320">IFERROR(_xlfn.XLOOKUP(H320,Sheet1!$G:$G,Sheet1!$F:$F),IFERROR(_xlfn.XLOOKUP(1,(--($X$2:$X$1074=X320))*(--ISNUMBER(MATCH($H$2:$H$1074,Sheet1!$G:$G,0))),_xlfn.XLOOKUP($H$2:$H$1074,Sheet1!$G:$G,Sheet1!$F:$F,"")),"NOT FOUND"))</f>
        <v>GETKRTSFUT6202</v>
      </c>
      <c r="AF320" s="10" t="str">
        <f t="shared" si="22"/>
        <v>NAVY</v>
      </c>
      <c r="AG320" s="11" t="str">
        <f t="shared" si="23"/>
        <v>JHAJJAR</v>
      </c>
      <c r="AH320" s="9" t="str">
        <f>IF(OR(J320="",AE320="",AE320="NOT FOUND"),"",IF(Y320="RP",IFERROR(LEFT(_xlfn.XLOOKUP(AE320,Sheet1!$F:$F,Sheet1!$W:$W),FIND("-",_xlfn.XLOOKUP(AE320,Sheet1!$F:$F,Sheet1!$W:$W),FIND("-",_xlfn.XLOOKUP(AE320,Sheet1!$F:$F,Sheet1!$W:$W))+1))&amp;AE320,"NOT FOUND"),LEFT(J320,FIND("-",J320,FIND("-",J320)+1))&amp;AE320))</f>
        <v>KRTS-APWN26-GETKRTSFUT6202</v>
      </c>
    </row>
    <row r="321" spans="1:34" ht="15.75" customHeight="1" x14ac:dyDescent="0.2">
      <c r="A321" s="4" t="s">
        <v>59</v>
      </c>
      <c r="B321" s="4" t="s">
        <v>463</v>
      </c>
      <c r="C321" s="4" t="s">
        <v>423</v>
      </c>
      <c r="D321" s="4" t="s">
        <v>429</v>
      </c>
      <c r="E321" s="4" t="s">
        <v>34</v>
      </c>
      <c r="F321" s="4" t="s">
        <v>35</v>
      </c>
      <c r="G321" s="4" t="s">
        <v>36</v>
      </c>
      <c r="H321" s="4" t="s">
        <v>434</v>
      </c>
      <c r="I321" s="4" t="s">
        <v>435</v>
      </c>
      <c r="J321" s="4" t="s">
        <v>436</v>
      </c>
      <c r="L321" s="4" t="s">
        <v>40</v>
      </c>
      <c r="M321" s="4">
        <v>1</v>
      </c>
      <c r="N321" s="4">
        <v>153</v>
      </c>
      <c r="O321" s="4">
        <v>153</v>
      </c>
      <c r="P321" s="4" t="s">
        <v>41</v>
      </c>
      <c r="Q321" s="4">
        <v>1998.5</v>
      </c>
      <c r="R321" s="4">
        <v>1998.5</v>
      </c>
      <c r="S321" s="4">
        <v>15288.53</v>
      </c>
      <c r="T321" s="4">
        <v>305770.5</v>
      </c>
      <c r="U321" s="4">
        <v>5</v>
      </c>
      <c r="V321" s="4" t="s">
        <v>42</v>
      </c>
      <c r="X321" s="7" t="str">
        <f t="shared" si="15"/>
        <v>441811100</v>
      </c>
      <c r="Y321" s="8" t="str">
        <f t="shared" si="16"/>
        <v>RP</v>
      </c>
      <c r="Z321" s="8">
        <f t="shared" si="17"/>
        <v>153</v>
      </c>
      <c r="AA321" s="8">
        <f t="shared" si="18"/>
        <v>153</v>
      </c>
      <c r="AB321" s="8">
        <f t="shared" si="19"/>
        <v>153</v>
      </c>
      <c r="AC321" s="8">
        <f t="shared" si="20"/>
        <v>153</v>
      </c>
      <c r="AD321" s="8">
        <f t="shared" si="21"/>
        <v>153</v>
      </c>
      <c r="AE321" s="9" t="str" cm="1">
        <f t="array" ref="AE321">IFERROR(_xlfn.XLOOKUP(H321,Sheet1!$G:$G,Sheet1!$F:$F),IFERROR(_xlfn.XLOOKUP(1,(--($X$2:$X$1074=X321))*(--ISNUMBER(MATCH($H$2:$H$1074,Sheet1!$G:$G,0))),_xlfn.XLOOKUP($H$2:$H$1074,Sheet1!$G:$G,Sheet1!$F:$F,"")),"NOT FOUND"))</f>
        <v>GETKRTSFUT6101</v>
      </c>
      <c r="AF321" s="10" t="str">
        <f t="shared" si="22"/>
        <v>LIME GREEN</v>
      </c>
      <c r="AG321" s="11" t="str">
        <f t="shared" si="23"/>
        <v>JHAJJAR</v>
      </c>
      <c r="AH321" s="9" t="str">
        <f>IF(OR(J321="",AE321="",AE321="NOT FOUND"),"",IF(Y321="RP",IFERROR(LEFT(_xlfn.XLOOKUP(AE321,Sheet1!$F:$F,Sheet1!$W:$W),FIND("-",_xlfn.XLOOKUP(AE321,Sheet1!$F:$F,Sheet1!$W:$W),FIND("-",_xlfn.XLOOKUP(AE321,Sheet1!$F:$F,Sheet1!$W:$W))+1))&amp;AE321,"NOT FOUND"),LEFT(J321,FIND("-",J321,FIND("-",J321)+1))&amp;AE321))</f>
        <v>KRTS-APWN26-GETKRTSFUT6101</v>
      </c>
    </row>
    <row r="322" spans="1:34" ht="15.75" customHeight="1" x14ac:dyDescent="0.2">
      <c r="A322" s="4" t="s">
        <v>59</v>
      </c>
      <c r="B322" s="4" t="s">
        <v>464</v>
      </c>
      <c r="C322" s="4" t="s">
        <v>423</v>
      </c>
      <c r="D322" s="4" t="s">
        <v>438</v>
      </c>
      <c r="E322" s="4" t="s">
        <v>34</v>
      </c>
      <c r="F322" s="4" t="s">
        <v>35</v>
      </c>
      <c r="G322" s="4" t="s">
        <v>36</v>
      </c>
      <c r="H322" s="4" t="s">
        <v>465</v>
      </c>
      <c r="I322" s="4" t="s">
        <v>466</v>
      </c>
      <c r="J322" s="4" t="s">
        <v>467</v>
      </c>
      <c r="L322" s="4" t="s">
        <v>40</v>
      </c>
      <c r="M322" s="4">
        <v>1</v>
      </c>
      <c r="N322" s="4">
        <v>153</v>
      </c>
      <c r="O322" s="4">
        <v>153</v>
      </c>
      <c r="P322" s="4" t="s">
        <v>41</v>
      </c>
      <c r="Q322" s="4">
        <v>1873.5</v>
      </c>
      <c r="R322" s="4">
        <v>1873.5</v>
      </c>
      <c r="S322" s="4">
        <v>14332.28</v>
      </c>
      <c r="T322" s="4">
        <v>286645.5</v>
      </c>
      <c r="U322" s="4">
        <v>5</v>
      </c>
      <c r="V322" s="4" t="s">
        <v>42</v>
      </c>
      <c r="X322" s="7" t="str">
        <f t="shared" si="15"/>
        <v>441811094</v>
      </c>
      <c r="Y322" s="8" t="str">
        <f t="shared" si="16"/>
        <v>RP</v>
      </c>
      <c r="Z322" s="8">
        <f t="shared" si="17"/>
        <v>153</v>
      </c>
      <c r="AA322" s="8">
        <f t="shared" si="18"/>
        <v>153</v>
      </c>
      <c r="AB322" s="8">
        <f t="shared" si="19"/>
        <v>153</v>
      </c>
      <c r="AC322" s="8">
        <f t="shared" si="20"/>
        <v>153</v>
      </c>
      <c r="AD322" s="8">
        <f t="shared" si="21"/>
        <v>153</v>
      </c>
      <c r="AE322" s="9" t="str" cm="1">
        <f t="array" ref="AE322">IFERROR(_xlfn.XLOOKUP(H322,Sheet1!$G:$G,Sheet1!$F:$F),IFERROR(_xlfn.XLOOKUP(1,(--($X$2:$X$1074=X322))*(--ISNUMBER(MATCH($H$2:$H$1074,Sheet1!$G:$G,0))),_xlfn.XLOOKUP($H$2:$H$1074,Sheet1!$G:$G,Sheet1!$F:$F,"")),"NOT FOUND"))</f>
        <v>GETKRTSFUT6002</v>
      </c>
      <c r="AF322" s="10" t="str">
        <f t="shared" si="22"/>
        <v>MAROON</v>
      </c>
      <c r="AG322" s="11" t="str">
        <f t="shared" si="23"/>
        <v>JHAJJAR</v>
      </c>
      <c r="AH322" s="9" t="str">
        <f>IF(OR(J322="",AE322="",AE322="NOT FOUND"),"",IF(Y322="RP",IFERROR(LEFT(_xlfn.XLOOKUP(AE322,Sheet1!$F:$F,Sheet1!$W:$W),FIND("-",_xlfn.XLOOKUP(AE322,Sheet1!$F:$F,Sheet1!$W:$W),FIND("-",_xlfn.XLOOKUP(AE322,Sheet1!$F:$F,Sheet1!$W:$W))+1))&amp;AE322,"NOT FOUND"),LEFT(J322,FIND("-",J322,FIND("-",J322)+1))&amp;AE322))</f>
        <v>KRTS-APWN26-GETKRTSFUT6002</v>
      </c>
    </row>
    <row r="323" spans="1:34" ht="15.75" customHeight="1" x14ac:dyDescent="0.2">
      <c r="A323" s="4" t="s">
        <v>59</v>
      </c>
      <c r="B323" s="4" t="s">
        <v>468</v>
      </c>
      <c r="C323" s="4" t="s">
        <v>423</v>
      </c>
      <c r="D323" s="4" t="s">
        <v>424</v>
      </c>
      <c r="E323" s="4" t="s">
        <v>34</v>
      </c>
      <c r="F323" s="4" t="s">
        <v>35</v>
      </c>
      <c r="G323" s="4" t="s">
        <v>36</v>
      </c>
      <c r="H323" s="4" t="s">
        <v>451</v>
      </c>
      <c r="I323" s="4" t="s">
        <v>452</v>
      </c>
      <c r="J323" s="4" t="s">
        <v>453</v>
      </c>
      <c r="L323" s="4" t="s">
        <v>40</v>
      </c>
      <c r="M323" s="4">
        <v>1</v>
      </c>
      <c r="N323" s="4">
        <v>146</v>
      </c>
      <c r="O323" s="4">
        <v>146</v>
      </c>
      <c r="P323" s="4" t="s">
        <v>41</v>
      </c>
      <c r="Q323" s="4">
        <v>2098.5</v>
      </c>
      <c r="R323" s="4">
        <v>2098.5</v>
      </c>
      <c r="S323" s="4">
        <v>15319.05</v>
      </c>
      <c r="T323" s="4">
        <v>306381</v>
      </c>
      <c r="U323" s="4">
        <v>5</v>
      </c>
      <c r="V323" s="4" t="s">
        <v>42</v>
      </c>
      <c r="X323" s="7" t="str">
        <f t="shared" si="15"/>
        <v>441811107</v>
      </c>
      <c r="Y323" s="8" t="str">
        <f t="shared" si="16"/>
        <v>RP</v>
      </c>
      <c r="Z323" s="8">
        <f t="shared" si="17"/>
        <v>146</v>
      </c>
      <c r="AA323" s="8">
        <f t="shared" si="18"/>
        <v>146</v>
      </c>
      <c r="AB323" s="8">
        <f t="shared" si="19"/>
        <v>146</v>
      </c>
      <c r="AC323" s="8">
        <f t="shared" si="20"/>
        <v>146</v>
      </c>
      <c r="AD323" s="8">
        <f t="shared" si="21"/>
        <v>146</v>
      </c>
      <c r="AE323" s="9" t="str" cm="1">
        <f t="array" ref="AE323">IFERROR(_xlfn.XLOOKUP(H323,Sheet1!$G:$G,Sheet1!$F:$F),IFERROR(_xlfn.XLOOKUP(1,(--($X$2:$X$1074=X323))*(--ISNUMBER(MATCH($H$2:$H$1074,Sheet1!$G:$G,0))),_xlfn.XLOOKUP($H$2:$H$1074,Sheet1!$G:$G,Sheet1!$F:$F,"")),"NOT FOUND"))</f>
        <v>GETKRTSFUT6205</v>
      </c>
      <c r="AF323" s="10" t="str">
        <f t="shared" ref="AF323:AF386" si="24">IFERROR(IF(ISNUMBER(SEARCH("(RP)",J323)),TRIM(SUBSTITUTE(MID(J323,10,LEN(J323)),"(RP)","")),TRIM(MID(J323,FIND(",",J323)+1,FIND(",",J323,FIND(",",J323)+1)-FIND(",",J323)-1))),"")</f>
        <v>GREEN</v>
      </c>
      <c r="AG323" s="11" t="str">
        <f t="shared" ref="AG323:AG386" si="25">IF(A323="SZAF","Bangalore",IF(A323="SAEX","JHAJJAR",IF(A323="S0EU","HARIPAL","")))</f>
        <v>JHAJJAR</v>
      </c>
      <c r="AH323" s="9" t="str">
        <f>IF(OR(J323="",AE323="",AE323="NOT FOUND"),"",IF(Y323="RP",IFERROR(LEFT(_xlfn.XLOOKUP(AE323,Sheet1!$F:$F,Sheet1!$W:$W),FIND("-",_xlfn.XLOOKUP(AE323,Sheet1!$F:$F,Sheet1!$W:$W),FIND("-",_xlfn.XLOOKUP(AE323,Sheet1!$F:$F,Sheet1!$W:$W))+1))&amp;AE323,"NOT FOUND"),LEFT(J323,FIND("-",J323,FIND("-",J323)+1))&amp;AE323))</f>
        <v>KRTS-APWN26-GETKRTSFUT6205</v>
      </c>
    </row>
    <row r="324" spans="1:34" ht="15.75" customHeight="1" x14ac:dyDescent="0.2">
      <c r="A324" s="4" t="s">
        <v>61</v>
      </c>
      <c r="B324" s="4" t="s">
        <v>469</v>
      </c>
      <c r="C324" s="4" t="s">
        <v>423</v>
      </c>
      <c r="D324" s="4" t="s">
        <v>424</v>
      </c>
      <c r="E324" s="4" t="s">
        <v>34</v>
      </c>
      <c r="F324" s="4" t="s">
        <v>35</v>
      </c>
      <c r="G324" s="4" t="s">
        <v>36</v>
      </c>
      <c r="H324" s="4" t="s">
        <v>460</v>
      </c>
      <c r="I324" s="4" t="s">
        <v>461</v>
      </c>
      <c r="J324" s="4" t="s">
        <v>462</v>
      </c>
      <c r="L324" s="4" t="s">
        <v>40</v>
      </c>
      <c r="M324" s="4">
        <v>1</v>
      </c>
      <c r="N324" s="4">
        <v>174</v>
      </c>
      <c r="O324" s="4">
        <v>174</v>
      </c>
      <c r="P324" s="4" t="s">
        <v>41</v>
      </c>
      <c r="Q324" s="4">
        <v>1973.5</v>
      </c>
      <c r="R324" s="4">
        <v>1973.5</v>
      </c>
      <c r="S324" s="4">
        <v>17169.45</v>
      </c>
      <c r="T324" s="4">
        <v>343389</v>
      </c>
      <c r="U324" s="4">
        <v>5</v>
      </c>
      <c r="V324" s="4" t="s">
        <v>42</v>
      </c>
      <c r="X324" s="7" t="str">
        <f t="shared" si="15"/>
        <v>441811104</v>
      </c>
      <c r="Y324" s="8" t="str">
        <f t="shared" si="16"/>
        <v>RP</v>
      </c>
      <c r="Z324" s="8">
        <f t="shared" si="17"/>
        <v>174</v>
      </c>
      <c r="AA324" s="8">
        <f t="shared" si="18"/>
        <v>174</v>
      </c>
      <c r="AB324" s="8">
        <f t="shared" si="19"/>
        <v>174</v>
      </c>
      <c r="AC324" s="8">
        <f t="shared" si="20"/>
        <v>174</v>
      </c>
      <c r="AD324" s="8">
        <f t="shared" si="21"/>
        <v>174</v>
      </c>
      <c r="AE324" s="9" t="str" cm="1">
        <f t="array" ref="AE324">IFERROR(_xlfn.XLOOKUP(H324,Sheet1!$G:$G,Sheet1!$F:$F),IFERROR(_xlfn.XLOOKUP(1,(--($X$2:$X$1074=X324))*(--ISNUMBER(MATCH($H$2:$H$1074,Sheet1!$G:$G,0))),_xlfn.XLOOKUP($H$2:$H$1074,Sheet1!$G:$G,Sheet1!$F:$F,"")),"NOT FOUND"))</f>
        <v>GETKRTSFUT6202</v>
      </c>
      <c r="AF324" s="10" t="str">
        <f t="shared" si="24"/>
        <v>NAVY</v>
      </c>
      <c r="AG324" s="11" t="str">
        <f t="shared" si="25"/>
        <v>HARIPAL</v>
      </c>
      <c r="AH324" s="9" t="str">
        <f>IF(OR(J324="",AE324="",AE324="NOT FOUND"),"",IF(Y324="RP",IFERROR(LEFT(_xlfn.XLOOKUP(AE324,Sheet1!$F:$F,Sheet1!$W:$W),FIND("-",_xlfn.XLOOKUP(AE324,Sheet1!$F:$F,Sheet1!$W:$W),FIND("-",_xlfn.XLOOKUP(AE324,Sheet1!$F:$F,Sheet1!$W:$W))+1))&amp;AE324,"NOT FOUND"),LEFT(J324,FIND("-",J324,FIND("-",J324)+1))&amp;AE324))</f>
        <v>KRTS-APWN26-GETKRTSFUT6202</v>
      </c>
    </row>
    <row r="325" spans="1:34" ht="15.75" customHeight="1" x14ac:dyDescent="0.2">
      <c r="A325" s="4" t="s">
        <v>61</v>
      </c>
      <c r="B325" s="4" t="s">
        <v>470</v>
      </c>
      <c r="C325" s="4" t="s">
        <v>423</v>
      </c>
      <c r="D325" s="4" t="s">
        <v>438</v>
      </c>
      <c r="E325" s="4" t="s">
        <v>34</v>
      </c>
      <c r="F325" s="4" t="s">
        <v>35</v>
      </c>
      <c r="G325" s="4" t="s">
        <v>36</v>
      </c>
      <c r="H325" s="4" t="s">
        <v>439</v>
      </c>
      <c r="I325" s="4" t="s">
        <v>440</v>
      </c>
      <c r="J325" s="4" t="s">
        <v>441</v>
      </c>
      <c r="L325" s="4" t="s">
        <v>40</v>
      </c>
      <c r="M325" s="4">
        <v>1</v>
      </c>
      <c r="N325" s="4">
        <v>147</v>
      </c>
      <c r="O325" s="4">
        <v>147</v>
      </c>
      <c r="P325" s="4" t="s">
        <v>41</v>
      </c>
      <c r="Q325" s="4">
        <v>2473.5</v>
      </c>
      <c r="R325" s="4">
        <v>2473.5</v>
      </c>
      <c r="S325" s="4">
        <v>18180.23</v>
      </c>
      <c r="T325" s="4">
        <v>363604.5</v>
      </c>
      <c r="U325" s="4">
        <v>5</v>
      </c>
      <c r="V325" s="4" t="s">
        <v>42</v>
      </c>
      <c r="X325" s="7" t="str">
        <f t="shared" si="15"/>
        <v>441811011</v>
      </c>
      <c r="Y325" s="8" t="str">
        <f t="shared" si="16"/>
        <v>RP</v>
      </c>
      <c r="Z325" s="8">
        <f t="shared" si="17"/>
        <v>147</v>
      </c>
      <c r="AA325" s="8">
        <f t="shared" si="18"/>
        <v>147</v>
      </c>
      <c r="AB325" s="8">
        <f t="shared" si="19"/>
        <v>147</v>
      </c>
      <c r="AC325" s="8">
        <f t="shared" si="20"/>
        <v>147</v>
      </c>
      <c r="AD325" s="8">
        <f t="shared" si="21"/>
        <v>147</v>
      </c>
      <c r="AE325" s="9" t="str" cm="1">
        <f t="array" ref="AE325">IFERROR(_xlfn.XLOOKUP(H325,Sheet1!$G:$G,Sheet1!$F:$F),IFERROR(_xlfn.XLOOKUP(1,(--($X$2:$X$1074=X325))*(--ISNUMBER(MATCH($H$2:$H$1074,Sheet1!$G:$G,0))),_xlfn.XLOOKUP($H$2:$H$1074,Sheet1!$G:$G,Sheet1!$F:$F,"")),"NOT FOUND"))</f>
        <v>GETCRDSFUT6206</v>
      </c>
      <c r="AF325" s="10" t="str">
        <f t="shared" si="24"/>
        <v>TEAL</v>
      </c>
      <c r="AG325" s="11" t="str">
        <f t="shared" si="25"/>
        <v>HARIPAL</v>
      </c>
      <c r="AH325" s="9" t="str">
        <f>IF(OR(J325="",AE325="",AE325="NOT FOUND"),"",IF(Y325="RP",IFERROR(LEFT(_xlfn.XLOOKUP(AE325,Sheet1!$F:$F,Sheet1!$W:$W),FIND("-",_xlfn.XLOOKUP(AE325,Sheet1!$F:$F,Sheet1!$W:$W),FIND("-",_xlfn.XLOOKUP(AE325,Sheet1!$F:$F,Sheet1!$W:$W))+1))&amp;AE325,"NOT FOUND"),LEFT(J325,FIND("-",J325,FIND("-",J325)+1))&amp;AE325))</f>
        <v>SKD-APWN26-GETCRDSFUT6206</v>
      </c>
    </row>
    <row r="326" spans="1:34" ht="15.75" customHeight="1" x14ac:dyDescent="0.2">
      <c r="A326" s="4" t="s">
        <v>61</v>
      </c>
      <c r="B326" s="4" t="s">
        <v>471</v>
      </c>
      <c r="C326" s="4" t="s">
        <v>423</v>
      </c>
      <c r="D326" s="4" t="s">
        <v>424</v>
      </c>
      <c r="E326" s="4" t="s">
        <v>34</v>
      </c>
      <c r="F326" s="4" t="s">
        <v>35</v>
      </c>
      <c r="G326" s="4" t="s">
        <v>36</v>
      </c>
      <c r="H326" s="4" t="s">
        <v>451</v>
      </c>
      <c r="I326" s="4" t="s">
        <v>452</v>
      </c>
      <c r="J326" s="4" t="s">
        <v>453</v>
      </c>
      <c r="L326" s="4" t="s">
        <v>40</v>
      </c>
      <c r="M326" s="4">
        <v>1</v>
      </c>
      <c r="N326" s="4">
        <v>174</v>
      </c>
      <c r="O326" s="4">
        <v>174</v>
      </c>
      <c r="P326" s="4" t="s">
        <v>41</v>
      </c>
      <c r="Q326" s="4">
        <v>2098.5</v>
      </c>
      <c r="R326" s="4">
        <v>2098.5</v>
      </c>
      <c r="S326" s="4">
        <v>18256.95</v>
      </c>
      <c r="T326" s="4">
        <v>365139</v>
      </c>
      <c r="U326" s="4">
        <v>5</v>
      </c>
      <c r="V326" s="4" t="s">
        <v>42</v>
      </c>
      <c r="X326" s="7" t="str">
        <f t="shared" si="15"/>
        <v>441811107</v>
      </c>
      <c r="Y326" s="8" t="str">
        <f t="shared" si="16"/>
        <v>RP</v>
      </c>
      <c r="Z326" s="8">
        <f t="shared" si="17"/>
        <v>174</v>
      </c>
      <c r="AA326" s="8">
        <f t="shared" si="18"/>
        <v>174</v>
      </c>
      <c r="AB326" s="8">
        <f t="shared" si="19"/>
        <v>174</v>
      </c>
      <c r="AC326" s="8">
        <f t="shared" si="20"/>
        <v>174</v>
      </c>
      <c r="AD326" s="8">
        <f t="shared" si="21"/>
        <v>174</v>
      </c>
      <c r="AE326" s="9" t="str" cm="1">
        <f t="array" ref="AE326">IFERROR(_xlfn.XLOOKUP(H326,Sheet1!$G:$G,Sheet1!$F:$F),IFERROR(_xlfn.XLOOKUP(1,(--($X$2:$X$1074=X326))*(--ISNUMBER(MATCH($H$2:$H$1074,Sheet1!$G:$G,0))),_xlfn.XLOOKUP($H$2:$H$1074,Sheet1!$G:$G,Sheet1!$F:$F,"")),"NOT FOUND"))</f>
        <v>GETKRTSFUT6205</v>
      </c>
      <c r="AF326" s="10" t="str">
        <f t="shared" si="24"/>
        <v>GREEN</v>
      </c>
      <c r="AG326" s="11" t="str">
        <f t="shared" si="25"/>
        <v>HARIPAL</v>
      </c>
      <c r="AH326" s="9" t="str">
        <f>IF(OR(J326="",AE326="",AE326="NOT FOUND"),"",IF(Y326="RP",IFERROR(LEFT(_xlfn.XLOOKUP(AE326,Sheet1!$F:$F,Sheet1!$W:$W),FIND("-",_xlfn.XLOOKUP(AE326,Sheet1!$F:$F,Sheet1!$W:$W),FIND("-",_xlfn.XLOOKUP(AE326,Sheet1!$F:$F,Sheet1!$W:$W))+1))&amp;AE326,"NOT FOUND"),LEFT(J326,FIND("-",J326,FIND("-",J326)+1))&amp;AE326))</f>
        <v>KRTS-APWN26-GETKRTSFUT6205</v>
      </c>
    </row>
    <row r="327" spans="1:34" ht="15.75" customHeight="1" x14ac:dyDescent="0.2">
      <c r="A327" s="4" t="s">
        <v>30</v>
      </c>
      <c r="B327" s="4" t="s">
        <v>472</v>
      </c>
      <c r="C327" s="4" t="s">
        <v>423</v>
      </c>
      <c r="D327" s="4" t="s">
        <v>455</v>
      </c>
      <c r="E327" s="4" t="s">
        <v>34</v>
      </c>
      <c r="F327" s="4" t="s">
        <v>35</v>
      </c>
      <c r="G327" s="4" t="s">
        <v>36</v>
      </c>
      <c r="H327" s="4" t="s">
        <v>456</v>
      </c>
      <c r="I327" s="4" t="s">
        <v>457</v>
      </c>
      <c r="J327" s="4" t="s">
        <v>458</v>
      </c>
      <c r="L327" s="4" t="s">
        <v>40</v>
      </c>
      <c r="M327" s="4">
        <v>1</v>
      </c>
      <c r="N327" s="4">
        <v>241</v>
      </c>
      <c r="O327" s="4">
        <v>241</v>
      </c>
      <c r="P327" s="4" t="s">
        <v>41</v>
      </c>
      <c r="Q327" s="4">
        <v>1873.5</v>
      </c>
      <c r="R327" s="4">
        <v>1873.5</v>
      </c>
      <c r="S327" s="4">
        <v>22575.68</v>
      </c>
      <c r="T327" s="4">
        <v>451513.5</v>
      </c>
      <c r="U327" s="4">
        <v>5</v>
      </c>
      <c r="V327" s="4" t="s">
        <v>42</v>
      </c>
      <c r="X327" s="7" t="str">
        <f t="shared" si="15"/>
        <v>441811097</v>
      </c>
      <c r="Y327" s="8" t="str">
        <f t="shared" si="16"/>
        <v>RP</v>
      </c>
      <c r="Z327" s="8">
        <f t="shared" si="17"/>
        <v>241</v>
      </c>
      <c r="AA327" s="8">
        <f t="shared" si="18"/>
        <v>241</v>
      </c>
      <c r="AB327" s="8">
        <f t="shared" si="19"/>
        <v>241</v>
      </c>
      <c r="AC327" s="8">
        <f t="shared" si="20"/>
        <v>241</v>
      </c>
      <c r="AD327" s="8">
        <f t="shared" si="21"/>
        <v>241</v>
      </c>
      <c r="AE327" s="9" t="str" cm="1">
        <f t="array" ref="AE327">IFERROR(_xlfn.XLOOKUP(H327,Sheet1!$G:$G,Sheet1!$F:$F),IFERROR(_xlfn.XLOOKUP(1,(--($X$2:$X$1074=X327))*(--ISNUMBER(MATCH($H$2:$H$1074,Sheet1!$G:$G,0))),_xlfn.XLOOKUP($H$2:$H$1074,Sheet1!$G:$G,Sheet1!$F:$F,"")),"NOT FOUND"))</f>
        <v>GETKRTSFUT6089</v>
      </c>
      <c r="AF327" s="10" t="str">
        <f t="shared" si="24"/>
        <v>PINK</v>
      </c>
      <c r="AG327" s="11" t="str">
        <f t="shared" si="25"/>
        <v>Bangalore</v>
      </c>
      <c r="AH327" s="9" t="str">
        <f>IF(OR(J327="",AE327="",AE327="NOT FOUND"),"",IF(Y327="RP",IFERROR(LEFT(_xlfn.XLOOKUP(AE327,Sheet1!$F:$F,Sheet1!$W:$W),FIND("-",_xlfn.XLOOKUP(AE327,Sheet1!$F:$F,Sheet1!$W:$W),FIND("-",_xlfn.XLOOKUP(AE327,Sheet1!$F:$F,Sheet1!$W:$W))+1))&amp;AE327,"NOT FOUND"),LEFT(J327,FIND("-",J327,FIND("-",J327)+1))&amp;AE327))</f>
        <v>KRTS-APWN26-GETKRTSFUT6089</v>
      </c>
    </row>
    <row r="328" spans="1:34" ht="15.75" customHeight="1" x14ac:dyDescent="0.2">
      <c r="A328" s="4" t="s">
        <v>30</v>
      </c>
      <c r="B328" s="4" t="s">
        <v>473</v>
      </c>
      <c r="C328" s="4" t="s">
        <v>423</v>
      </c>
      <c r="D328" s="4" t="s">
        <v>438</v>
      </c>
      <c r="E328" s="4" t="s">
        <v>34</v>
      </c>
      <c r="F328" s="4" t="s">
        <v>35</v>
      </c>
      <c r="G328" s="4" t="s">
        <v>36</v>
      </c>
      <c r="H328" s="4" t="s">
        <v>465</v>
      </c>
      <c r="I328" s="4" t="s">
        <v>466</v>
      </c>
      <c r="J328" s="4" t="s">
        <v>467</v>
      </c>
      <c r="L328" s="4" t="s">
        <v>40</v>
      </c>
      <c r="M328" s="4">
        <v>1</v>
      </c>
      <c r="N328" s="4">
        <v>253</v>
      </c>
      <c r="O328" s="4">
        <v>253</v>
      </c>
      <c r="P328" s="4" t="s">
        <v>41</v>
      </c>
      <c r="Q328" s="4">
        <v>1873.5</v>
      </c>
      <c r="R328" s="4">
        <v>1873.5</v>
      </c>
      <c r="S328" s="4">
        <v>23699.78</v>
      </c>
      <c r="T328" s="4">
        <v>473995.5</v>
      </c>
      <c r="U328" s="4">
        <v>5</v>
      </c>
      <c r="V328" s="4" t="s">
        <v>42</v>
      </c>
      <c r="X328" s="7" t="str">
        <f t="shared" si="15"/>
        <v>441811094</v>
      </c>
      <c r="Y328" s="8" t="str">
        <f t="shared" si="16"/>
        <v>RP</v>
      </c>
      <c r="Z328" s="8">
        <f t="shared" si="17"/>
        <v>253</v>
      </c>
      <c r="AA328" s="8">
        <f t="shared" si="18"/>
        <v>253</v>
      </c>
      <c r="AB328" s="8">
        <f t="shared" si="19"/>
        <v>253</v>
      </c>
      <c r="AC328" s="8">
        <f t="shared" si="20"/>
        <v>253</v>
      </c>
      <c r="AD328" s="8">
        <f t="shared" si="21"/>
        <v>253</v>
      </c>
      <c r="AE328" s="9" t="str" cm="1">
        <f t="array" ref="AE328">IFERROR(_xlfn.XLOOKUP(H328,Sheet1!$G:$G,Sheet1!$F:$F),IFERROR(_xlfn.XLOOKUP(1,(--($X$2:$X$1074=X328))*(--ISNUMBER(MATCH($H$2:$H$1074,Sheet1!$G:$G,0))),_xlfn.XLOOKUP($H$2:$H$1074,Sheet1!$G:$G,Sheet1!$F:$F,"")),"NOT FOUND"))</f>
        <v>GETKRTSFUT6002</v>
      </c>
      <c r="AF328" s="10" t="str">
        <f t="shared" si="24"/>
        <v>MAROON</v>
      </c>
      <c r="AG328" s="11" t="str">
        <f t="shared" si="25"/>
        <v>Bangalore</v>
      </c>
      <c r="AH328" s="9" t="str">
        <f>IF(OR(J328="",AE328="",AE328="NOT FOUND"),"",IF(Y328="RP",IFERROR(LEFT(_xlfn.XLOOKUP(AE328,Sheet1!$F:$F,Sheet1!$W:$W),FIND("-",_xlfn.XLOOKUP(AE328,Sheet1!$F:$F,Sheet1!$W:$W),FIND("-",_xlfn.XLOOKUP(AE328,Sheet1!$F:$F,Sheet1!$W:$W))+1))&amp;AE328,"NOT FOUND"),LEFT(J328,FIND("-",J328,FIND("-",J328)+1))&amp;AE328))</f>
        <v>KRTS-APWN26-GETKRTSFUT6002</v>
      </c>
    </row>
    <row r="329" spans="1:34" ht="15.75" customHeight="1" x14ac:dyDescent="0.2">
      <c r="A329" s="4" t="s">
        <v>30</v>
      </c>
      <c r="B329" s="4" t="s">
        <v>474</v>
      </c>
      <c r="C329" s="4" t="s">
        <v>423</v>
      </c>
      <c r="D329" s="4" t="s">
        <v>424</v>
      </c>
      <c r="E329" s="4" t="s">
        <v>34</v>
      </c>
      <c r="F329" s="4" t="s">
        <v>35</v>
      </c>
      <c r="G329" s="4" t="s">
        <v>36</v>
      </c>
      <c r="H329" s="4" t="s">
        <v>460</v>
      </c>
      <c r="I329" s="4" t="s">
        <v>461</v>
      </c>
      <c r="J329" s="4" t="s">
        <v>462</v>
      </c>
      <c r="L329" s="4" t="s">
        <v>40</v>
      </c>
      <c r="M329" s="4">
        <v>1</v>
      </c>
      <c r="N329" s="4">
        <v>241</v>
      </c>
      <c r="O329" s="4">
        <v>241</v>
      </c>
      <c r="P329" s="4" t="s">
        <v>41</v>
      </c>
      <c r="Q329" s="4">
        <v>1973.5</v>
      </c>
      <c r="R329" s="4">
        <v>1973.5</v>
      </c>
      <c r="S329" s="4">
        <v>23780.68</v>
      </c>
      <c r="T329" s="4">
        <v>475613.5</v>
      </c>
      <c r="U329" s="4">
        <v>5</v>
      </c>
      <c r="V329" s="4" t="s">
        <v>42</v>
      </c>
      <c r="X329" s="7" t="str">
        <f t="shared" si="15"/>
        <v>441811104</v>
      </c>
      <c r="Y329" s="8" t="str">
        <f t="shared" si="16"/>
        <v>RP</v>
      </c>
      <c r="Z329" s="8">
        <f t="shared" si="17"/>
        <v>241</v>
      </c>
      <c r="AA329" s="8">
        <f t="shared" si="18"/>
        <v>241</v>
      </c>
      <c r="AB329" s="8">
        <f t="shared" si="19"/>
        <v>241</v>
      </c>
      <c r="AC329" s="8">
        <f t="shared" si="20"/>
        <v>241</v>
      </c>
      <c r="AD329" s="8">
        <f t="shared" si="21"/>
        <v>241</v>
      </c>
      <c r="AE329" s="9" t="str" cm="1">
        <f t="array" ref="AE329">IFERROR(_xlfn.XLOOKUP(H329,Sheet1!$G:$G,Sheet1!$F:$F),IFERROR(_xlfn.XLOOKUP(1,(--($X$2:$X$1074=X329))*(--ISNUMBER(MATCH($H$2:$H$1074,Sheet1!$G:$G,0))),_xlfn.XLOOKUP($H$2:$H$1074,Sheet1!$G:$G,Sheet1!$F:$F,"")),"NOT FOUND"))</f>
        <v>GETKRTSFUT6202</v>
      </c>
      <c r="AF329" s="10" t="str">
        <f t="shared" si="24"/>
        <v>NAVY</v>
      </c>
      <c r="AG329" s="11" t="str">
        <f t="shared" si="25"/>
        <v>Bangalore</v>
      </c>
      <c r="AH329" s="9" t="str">
        <f>IF(OR(J329="",AE329="",AE329="NOT FOUND"),"",IF(Y329="RP",IFERROR(LEFT(_xlfn.XLOOKUP(AE329,Sheet1!$F:$F,Sheet1!$W:$W),FIND("-",_xlfn.XLOOKUP(AE329,Sheet1!$F:$F,Sheet1!$W:$W),FIND("-",_xlfn.XLOOKUP(AE329,Sheet1!$F:$F,Sheet1!$W:$W))+1))&amp;AE329,"NOT FOUND"),LEFT(J329,FIND("-",J329,FIND("-",J329)+1))&amp;AE329))</f>
        <v>KRTS-APWN26-GETKRTSFUT6202</v>
      </c>
    </row>
    <row r="330" spans="1:34" ht="15.75" customHeight="1" x14ac:dyDescent="0.2">
      <c r="A330" s="4" t="s">
        <v>59</v>
      </c>
      <c r="B330" s="4" t="s">
        <v>475</v>
      </c>
      <c r="C330" s="4" t="s">
        <v>423</v>
      </c>
      <c r="D330" s="4" t="s">
        <v>438</v>
      </c>
      <c r="E330" s="4" t="s">
        <v>34</v>
      </c>
      <c r="F330" s="4" t="s">
        <v>35</v>
      </c>
      <c r="G330" s="4" t="s">
        <v>36</v>
      </c>
      <c r="H330" s="4" t="s">
        <v>443</v>
      </c>
      <c r="I330" s="4" t="s">
        <v>444</v>
      </c>
      <c r="J330" s="4" t="s">
        <v>445</v>
      </c>
      <c r="L330" s="4" t="s">
        <v>40</v>
      </c>
      <c r="M330" s="4">
        <v>1</v>
      </c>
      <c r="N330" s="4">
        <v>153</v>
      </c>
      <c r="O330" s="4">
        <v>153</v>
      </c>
      <c r="P330" s="4" t="s">
        <v>41</v>
      </c>
      <c r="Q330" s="4">
        <v>1873.5</v>
      </c>
      <c r="R330" s="4">
        <v>1873.5</v>
      </c>
      <c r="S330" s="4">
        <v>14332.28</v>
      </c>
      <c r="T330" s="4">
        <v>286645.5</v>
      </c>
      <c r="U330" s="4">
        <v>5</v>
      </c>
      <c r="V330" s="4" t="s">
        <v>42</v>
      </c>
      <c r="X330" s="7" t="str">
        <f t="shared" si="15"/>
        <v>441811094</v>
      </c>
      <c r="Y330" s="8" t="str">
        <f t="shared" si="16"/>
        <v>RP</v>
      </c>
      <c r="Z330" s="8">
        <f t="shared" si="17"/>
        <v>153</v>
      </c>
      <c r="AA330" s="8">
        <f t="shared" si="18"/>
        <v>153</v>
      </c>
      <c r="AB330" s="8">
        <f t="shared" si="19"/>
        <v>153</v>
      </c>
      <c r="AC330" s="8">
        <f t="shared" si="20"/>
        <v>153</v>
      </c>
      <c r="AD330" s="8">
        <f t="shared" si="21"/>
        <v>153</v>
      </c>
      <c r="AE330" s="9" t="str" cm="1">
        <f t="array" ref="AE330">IFERROR(_xlfn.XLOOKUP(H330,Sheet1!$G:$G,Sheet1!$F:$F),IFERROR(_xlfn.XLOOKUP(1,(--($X$2:$X$1074=X330))*(--ISNUMBER(MATCH($H$2:$H$1074,Sheet1!$G:$G,0))),_xlfn.XLOOKUP($H$2:$H$1074,Sheet1!$G:$G,Sheet1!$F:$F,"")),"NOT FOUND"))</f>
        <v>GETKRTSFUT6002</v>
      </c>
      <c r="AF330" s="10" t="str">
        <f t="shared" si="24"/>
        <v>MUSTARD</v>
      </c>
      <c r="AG330" s="11" t="str">
        <f t="shared" si="25"/>
        <v>JHAJJAR</v>
      </c>
      <c r="AH330" s="9" t="str">
        <f>IF(OR(J330="",AE330="",AE330="NOT FOUND"),"",IF(Y330="RP",IFERROR(LEFT(_xlfn.XLOOKUP(AE330,Sheet1!$F:$F,Sheet1!$W:$W),FIND("-",_xlfn.XLOOKUP(AE330,Sheet1!$F:$F,Sheet1!$W:$W),FIND("-",_xlfn.XLOOKUP(AE330,Sheet1!$F:$F,Sheet1!$W:$W))+1))&amp;AE330,"NOT FOUND"),LEFT(J330,FIND("-",J330,FIND("-",J330)+1))&amp;AE330))</f>
        <v>KRTS-APWN26-GETKRTSFUT6002</v>
      </c>
    </row>
    <row r="331" spans="1:34" ht="15.75" customHeight="1" x14ac:dyDescent="0.2">
      <c r="A331" s="4" t="s">
        <v>59</v>
      </c>
      <c r="B331" s="4" t="s">
        <v>476</v>
      </c>
      <c r="C331" s="4" t="s">
        <v>423</v>
      </c>
      <c r="D331" s="4" t="s">
        <v>424</v>
      </c>
      <c r="E331" s="4" t="s">
        <v>34</v>
      </c>
      <c r="F331" s="4" t="s">
        <v>35</v>
      </c>
      <c r="G331" s="4" t="s">
        <v>36</v>
      </c>
      <c r="H331" s="4" t="s">
        <v>425</v>
      </c>
      <c r="I331" s="4" t="s">
        <v>426</v>
      </c>
      <c r="J331" s="4" t="s">
        <v>427</v>
      </c>
      <c r="L331" s="4" t="s">
        <v>40</v>
      </c>
      <c r="M331" s="4">
        <v>1</v>
      </c>
      <c r="N331" s="4">
        <v>105</v>
      </c>
      <c r="O331" s="4">
        <v>105</v>
      </c>
      <c r="P331" s="4" t="s">
        <v>41</v>
      </c>
      <c r="Q331" s="4">
        <v>2523.5</v>
      </c>
      <c r="R331" s="4">
        <v>2523.5</v>
      </c>
      <c r="S331" s="4">
        <v>13248.38</v>
      </c>
      <c r="T331" s="4">
        <v>264967.5</v>
      </c>
      <c r="U331" s="4">
        <v>5</v>
      </c>
      <c r="V331" s="4" t="s">
        <v>42</v>
      </c>
      <c r="X331" s="7" t="str">
        <f t="shared" si="15"/>
        <v>441811012</v>
      </c>
      <c r="Y331" s="8" t="str">
        <f t="shared" si="16"/>
        <v>RP</v>
      </c>
      <c r="Z331" s="8">
        <f t="shared" si="17"/>
        <v>105</v>
      </c>
      <c r="AA331" s="8">
        <f t="shared" si="18"/>
        <v>105</v>
      </c>
      <c r="AB331" s="8">
        <f t="shared" si="19"/>
        <v>105</v>
      </c>
      <c r="AC331" s="8">
        <f t="shared" si="20"/>
        <v>105</v>
      </c>
      <c r="AD331" s="8">
        <f t="shared" si="21"/>
        <v>105</v>
      </c>
      <c r="AE331" s="9" t="str" cm="1">
        <f t="array" ref="AE331">IFERROR(_xlfn.XLOOKUP(H331,Sheet1!$G:$G,Sheet1!$F:$F),IFERROR(_xlfn.XLOOKUP(1,(--($X$2:$X$1074=X331))*(--ISNUMBER(MATCH($H$2:$H$1074,Sheet1!$G:$G,0))),_xlfn.XLOOKUP($H$2:$H$1074,Sheet1!$G:$G,Sheet1!$F:$F,"")),"NOT FOUND"))</f>
        <v>GETCRDSFUT6207</v>
      </c>
      <c r="AF331" s="10" t="str">
        <f t="shared" si="24"/>
        <v>ONION PINK</v>
      </c>
      <c r="AG331" s="11" t="str">
        <f t="shared" si="25"/>
        <v>JHAJJAR</v>
      </c>
      <c r="AH331" s="9" t="str">
        <f>IF(OR(J331="",AE331="",AE331="NOT FOUND"),"",IF(Y331="RP",IFERROR(LEFT(_xlfn.XLOOKUP(AE331,Sheet1!$F:$F,Sheet1!$W:$W),FIND("-",_xlfn.XLOOKUP(AE331,Sheet1!$F:$F,Sheet1!$W:$W),FIND("-",_xlfn.XLOOKUP(AE331,Sheet1!$F:$F,Sheet1!$W:$W))+1))&amp;AE331,"NOT FOUND"),LEFT(J331,FIND("-",J331,FIND("-",J331)+1))&amp;AE331))</f>
        <v>SKD-APWN26-GETCRDSFUT6207</v>
      </c>
    </row>
    <row r="332" spans="1:34" ht="15.75" customHeight="1" x14ac:dyDescent="0.2">
      <c r="A332" s="4" t="s">
        <v>59</v>
      </c>
      <c r="B332" s="4" t="s">
        <v>477</v>
      </c>
      <c r="C332" s="4" t="s">
        <v>423</v>
      </c>
      <c r="D332" s="4" t="s">
        <v>429</v>
      </c>
      <c r="E332" s="4" t="s">
        <v>34</v>
      </c>
      <c r="F332" s="4" t="s">
        <v>35</v>
      </c>
      <c r="G332" s="4" t="s">
        <v>36</v>
      </c>
      <c r="H332" s="4" t="s">
        <v>430</v>
      </c>
      <c r="I332" s="4" t="s">
        <v>431</v>
      </c>
      <c r="J332" s="4" t="s">
        <v>432</v>
      </c>
      <c r="L332" s="4" t="s">
        <v>40</v>
      </c>
      <c r="M332" s="4">
        <v>1</v>
      </c>
      <c r="N332" s="4">
        <v>28</v>
      </c>
      <c r="O332" s="4">
        <v>28</v>
      </c>
      <c r="P332" s="4" t="s">
        <v>41</v>
      </c>
      <c r="Q332" s="4">
        <v>2963.5</v>
      </c>
      <c r="R332" s="4">
        <v>2963.5</v>
      </c>
      <c r="S332" s="4">
        <v>4148.8999999999996</v>
      </c>
      <c r="T332" s="4">
        <v>82978</v>
      </c>
      <c r="U332" s="4">
        <v>5</v>
      </c>
      <c r="V332" s="4" t="s">
        <v>42</v>
      </c>
      <c r="X332" s="7" t="str">
        <f t="shared" si="15"/>
        <v>441811009</v>
      </c>
      <c r="Y332" s="8" t="str">
        <f t="shared" si="16"/>
        <v>RP</v>
      </c>
      <c r="Z332" s="8">
        <f t="shared" si="17"/>
        <v>28</v>
      </c>
      <c r="AA332" s="8">
        <f t="shared" si="18"/>
        <v>28</v>
      </c>
      <c r="AB332" s="8">
        <f t="shared" si="19"/>
        <v>28</v>
      </c>
      <c r="AC332" s="8">
        <f t="shared" si="20"/>
        <v>28</v>
      </c>
      <c r="AD332" s="8">
        <f t="shared" si="21"/>
        <v>28</v>
      </c>
      <c r="AE332" s="9" t="str" cm="1">
        <f t="array" ref="AE332">IFERROR(_xlfn.XLOOKUP(H332,Sheet1!$G:$G,Sheet1!$F:$F),IFERROR(_xlfn.XLOOKUP(1,(--($X$2:$X$1074=X332))*(--ISNUMBER(MATCH($H$2:$H$1074,Sheet1!$G:$G,0))),_xlfn.XLOOKUP($H$2:$H$1074,Sheet1!$G:$G,Sheet1!$F:$F,"")),"NOT FOUND"))</f>
        <v>GETCRDSFUT6099</v>
      </c>
      <c r="AF332" s="10" t="str">
        <f t="shared" si="24"/>
        <v>LIME GREEN</v>
      </c>
      <c r="AG332" s="11" t="str">
        <f t="shared" si="25"/>
        <v>JHAJJAR</v>
      </c>
      <c r="AH332" s="9" t="str">
        <f>IF(OR(J332="",AE332="",AE332="NOT FOUND"),"",IF(Y332="RP",IFERROR(LEFT(_xlfn.XLOOKUP(AE332,Sheet1!$F:$F,Sheet1!$W:$W),FIND("-",_xlfn.XLOOKUP(AE332,Sheet1!$F:$F,Sheet1!$W:$W),FIND("-",_xlfn.XLOOKUP(AE332,Sheet1!$F:$F,Sheet1!$W:$W))+1))&amp;AE332,"NOT FOUND"),LEFT(J332,FIND("-",J332,FIND("-",J332)+1))&amp;AE332))</f>
        <v>SKD-APWN26-GETCRDSFUT6099</v>
      </c>
    </row>
    <row r="333" spans="1:34" ht="15.75" customHeight="1" x14ac:dyDescent="0.2">
      <c r="A333" s="4" t="s">
        <v>59</v>
      </c>
      <c r="B333" s="4" t="s">
        <v>478</v>
      </c>
      <c r="C333" s="4" t="s">
        <v>423</v>
      </c>
      <c r="D333" s="4" t="s">
        <v>424</v>
      </c>
      <c r="E333" s="4" t="s">
        <v>34</v>
      </c>
      <c r="F333" s="4" t="s">
        <v>35</v>
      </c>
      <c r="G333" s="4" t="s">
        <v>36</v>
      </c>
      <c r="H333" s="4" t="s">
        <v>447</v>
      </c>
      <c r="I333" s="4" t="s">
        <v>448</v>
      </c>
      <c r="J333" s="4" t="s">
        <v>449</v>
      </c>
      <c r="L333" s="4" t="s">
        <v>40</v>
      </c>
      <c r="M333" s="4">
        <v>1</v>
      </c>
      <c r="N333" s="4">
        <v>146</v>
      </c>
      <c r="O333" s="4">
        <v>146</v>
      </c>
      <c r="P333" s="4" t="s">
        <v>41</v>
      </c>
      <c r="Q333" s="4">
        <v>2023.5</v>
      </c>
      <c r="R333" s="4">
        <v>2023.5</v>
      </c>
      <c r="S333" s="4">
        <v>14771.55</v>
      </c>
      <c r="T333" s="4">
        <v>295431</v>
      </c>
      <c r="U333" s="4">
        <v>5</v>
      </c>
      <c r="V333" s="4" t="s">
        <v>42</v>
      </c>
      <c r="X333" s="7" t="str">
        <f t="shared" si="15"/>
        <v>441811101</v>
      </c>
      <c r="Y333" s="8" t="str">
        <f t="shared" si="16"/>
        <v>RP</v>
      </c>
      <c r="Z333" s="8">
        <f t="shared" si="17"/>
        <v>146</v>
      </c>
      <c r="AA333" s="8">
        <f t="shared" si="18"/>
        <v>146</v>
      </c>
      <c r="AB333" s="8">
        <f t="shared" si="19"/>
        <v>146</v>
      </c>
      <c r="AC333" s="8">
        <f t="shared" si="20"/>
        <v>146</v>
      </c>
      <c r="AD333" s="8">
        <f t="shared" si="21"/>
        <v>146</v>
      </c>
      <c r="AE333" s="9" t="str" cm="1">
        <f t="array" ref="AE333">IFERROR(_xlfn.XLOOKUP(H333,Sheet1!$G:$G,Sheet1!$F:$F),IFERROR(_xlfn.XLOOKUP(1,(--($X$2:$X$1074=X333))*(--ISNUMBER(MATCH($H$2:$H$1074,Sheet1!$G:$G,0))),_xlfn.XLOOKUP($H$2:$H$1074,Sheet1!$G:$G,Sheet1!$F:$F,"")),"NOT FOUND"))</f>
        <v>GETKRTSFUT6103</v>
      </c>
      <c r="AF333" s="10" t="str">
        <f t="shared" si="24"/>
        <v>LIME GREEN</v>
      </c>
      <c r="AG333" s="11" t="str">
        <f t="shared" si="25"/>
        <v>JHAJJAR</v>
      </c>
      <c r="AH333" s="9" t="str">
        <f>IF(OR(J333="",AE333="",AE333="NOT FOUND"),"",IF(Y333="RP",IFERROR(LEFT(_xlfn.XLOOKUP(AE333,Sheet1!$F:$F,Sheet1!$W:$W),FIND("-",_xlfn.XLOOKUP(AE333,Sheet1!$F:$F,Sheet1!$W:$W),FIND("-",_xlfn.XLOOKUP(AE333,Sheet1!$F:$F,Sheet1!$W:$W))+1))&amp;AE333,"NOT FOUND"),LEFT(J333,FIND("-",J333,FIND("-",J333)+1))&amp;AE333))</f>
        <v>KRTS-APWN26-GETKRTSFUT6103</v>
      </c>
    </row>
    <row r="334" spans="1:34" ht="15.75" customHeight="1" x14ac:dyDescent="0.2">
      <c r="A334" s="4" t="s">
        <v>59</v>
      </c>
      <c r="B334" s="4" t="s">
        <v>479</v>
      </c>
      <c r="C334" s="4" t="s">
        <v>423</v>
      </c>
      <c r="D334" s="4" t="s">
        <v>438</v>
      </c>
      <c r="E334" s="4" t="s">
        <v>34</v>
      </c>
      <c r="F334" s="4" t="s">
        <v>35</v>
      </c>
      <c r="G334" s="4" t="s">
        <v>36</v>
      </c>
      <c r="H334" s="4" t="s">
        <v>439</v>
      </c>
      <c r="I334" s="4" t="s">
        <v>440</v>
      </c>
      <c r="J334" s="4" t="s">
        <v>441</v>
      </c>
      <c r="L334" s="4" t="s">
        <v>40</v>
      </c>
      <c r="M334" s="4">
        <v>1</v>
      </c>
      <c r="N334" s="4">
        <v>105</v>
      </c>
      <c r="O334" s="4">
        <v>105</v>
      </c>
      <c r="P334" s="4" t="s">
        <v>41</v>
      </c>
      <c r="Q334" s="4">
        <v>2473.5</v>
      </c>
      <c r="R334" s="4">
        <v>2473.5</v>
      </c>
      <c r="S334" s="4">
        <v>12985.88</v>
      </c>
      <c r="T334" s="4">
        <v>259717.5</v>
      </c>
      <c r="U334" s="4">
        <v>5</v>
      </c>
      <c r="V334" s="4" t="s">
        <v>42</v>
      </c>
      <c r="X334" s="7" t="str">
        <f t="shared" si="15"/>
        <v>441811011</v>
      </c>
      <c r="Y334" s="8" t="str">
        <f t="shared" si="16"/>
        <v>RP</v>
      </c>
      <c r="Z334" s="8">
        <f t="shared" si="17"/>
        <v>105</v>
      </c>
      <c r="AA334" s="8">
        <f t="shared" si="18"/>
        <v>105</v>
      </c>
      <c r="AB334" s="8">
        <f t="shared" si="19"/>
        <v>105</v>
      </c>
      <c r="AC334" s="8">
        <f t="shared" si="20"/>
        <v>105</v>
      </c>
      <c r="AD334" s="8">
        <f t="shared" si="21"/>
        <v>105</v>
      </c>
      <c r="AE334" s="9" t="str" cm="1">
        <f t="array" ref="AE334">IFERROR(_xlfn.XLOOKUP(H334,Sheet1!$G:$G,Sheet1!$F:$F),IFERROR(_xlfn.XLOOKUP(1,(--($X$2:$X$1074=X334))*(--ISNUMBER(MATCH($H$2:$H$1074,Sheet1!$G:$G,0))),_xlfn.XLOOKUP($H$2:$H$1074,Sheet1!$G:$G,Sheet1!$F:$F,"")),"NOT FOUND"))</f>
        <v>GETCRDSFUT6206</v>
      </c>
      <c r="AF334" s="10" t="str">
        <f t="shared" si="24"/>
        <v>TEAL</v>
      </c>
      <c r="AG334" s="11" t="str">
        <f t="shared" si="25"/>
        <v>JHAJJAR</v>
      </c>
      <c r="AH334" s="9" t="str">
        <f>IF(OR(J334="",AE334="",AE334="NOT FOUND"),"",IF(Y334="RP",IFERROR(LEFT(_xlfn.XLOOKUP(AE334,Sheet1!$F:$F,Sheet1!$W:$W),FIND("-",_xlfn.XLOOKUP(AE334,Sheet1!$F:$F,Sheet1!$W:$W),FIND("-",_xlfn.XLOOKUP(AE334,Sheet1!$F:$F,Sheet1!$W:$W))+1))&amp;AE334,"NOT FOUND"),LEFT(J334,FIND("-",J334,FIND("-",J334)+1))&amp;AE334))</f>
        <v>SKD-APWN26-GETCRDSFUT6206</v>
      </c>
    </row>
    <row r="335" spans="1:34" ht="15.75" customHeight="1" x14ac:dyDescent="0.2">
      <c r="A335" s="4" t="s">
        <v>61</v>
      </c>
      <c r="B335" s="4" t="s">
        <v>480</v>
      </c>
      <c r="C335" s="4" t="s">
        <v>423</v>
      </c>
      <c r="D335" s="4" t="s">
        <v>424</v>
      </c>
      <c r="E335" s="4" t="s">
        <v>34</v>
      </c>
      <c r="F335" s="4" t="s">
        <v>35</v>
      </c>
      <c r="G335" s="4" t="s">
        <v>36</v>
      </c>
      <c r="H335" s="4" t="s">
        <v>425</v>
      </c>
      <c r="I335" s="4" t="s">
        <v>426</v>
      </c>
      <c r="J335" s="4" t="s">
        <v>427</v>
      </c>
      <c r="L335" s="4" t="s">
        <v>40</v>
      </c>
      <c r="M335" s="4">
        <v>1</v>
      </c>
      <c r="N335" s="4">
        <v>147</v>
      </c>
      <c r="O335" s="4">
        <v>147</v>
      </c>
      <c r="P335" s="4" t="s">
        <v>41</v>
      </c>
      <c r="Q335" s="4">
        <v>2523.5</v>
      </c>
      <c r="R335" s="4">
        <v>2523.5</v>
      </c>
      <c r="S335" s="4">
        <v>18547.73</v>
      </c>
      <c r="T335" s="4">
        <v>370954.5</v>
      </c>
      <c r="U335" s="4">
        <v>5</v>
      </c>
      <c r="V335" s="4" t="s">
        <v>42</v>
      </c>
      <c r="X335" s="7" t="str">
        <f t="shared" si="15"/>
        <v>441811012</v>
      </c>
      <c r="Y335" s="8" t="str">
        <f t="shared" si="16"/>
        <v>RP</v>
      </c>
      <c r="Z335" s="8">
        <f t="shared" si="17"/>
        <v>147</v>
      </c>
      <c r="AA335" s="8">
        <f t="shared" si="18"/>
        <v>147</v>
      </c>
      <c r="AB335" s="8">
        <f t="shared" si="19"/>
        <v>147</v>
      </c>
      <c r="AC335" s="8">
        <f t="shared" si="20"/>
        <v>147</v>
      </c>
      <c r="AD335" s="8">
        <f t="shared" si="21"/>
        <v>147</v>
      </c>
      <c r="AE335" s="9" t="str" cm="1">
        <f t="array" ref="AE335">IFERROR(_xlfn.XLOOKUP(H335,Sheet1!$G:$G,Sheet1!$F:$F),IFERROR(_xlfn.XLOOKUP(1,(--($X$2:$X$1074=X335))*(--ISNUMBER(MATCH($H$2:$H$1074,Sheet1!$G:$G,0))),_xlfn.XLOOKUP($H$2:$H$1074,Sheet1!$G:$G,Sheet1!$F:$F,"")),"NOT FOUND"))</f>
        <v>GETCRDSFUT6207</v>
      </c>
      <c r="AF335" s="10" t="str">
        <f t="shared" si="24"/>
        <v>ONION PINK</v>
      </c>
      <c r="AG335" s="11" t="str">
        <f t="shared" si="25"/>
        <v>HARIPAL</v>
      </c>
      <c r="AH335" s="9" t="str">
        <f>IF(OR(J335="",AE335="",AE335="NOT FOUND"),"",IF(Y335="RP",IFERROR(LEFT(_xlfn.XLOOKUP(AE335,Sheet1!$F:$F,Sheet1!$W:$W),FIND("-",_xlfn.XLOOKUP(AE335,Sheet1!$F:$F,Sheet1!$W:$W),FIND("-",_xlfn.XLOOKUP(AE335,Sheet1!$F:$F,Sheet1!$W:$W))+1))&amp;AE335,"NOT FOUND"),LEFT(J335,FIND("-",J335,FIND("-",J335)+1))&amp;AE335))</f>
        <v>SKD-APWN26-GETCRDSFUT6207</v>
      </c>
    </row>
    <row r="336" spans="1:34" ht="15.75" customHeight="1" x14ac:dyDescent="0.2">
      <c r="A336" s="4" t="s">
        <v>61</v>
      </c>
      <c r="B336" s="4" t="s">
        <v>481</v>
      </c>
      <c r="C336" s="4" t="s">
        <v>423</v>
      </c>
      <c r="D336" s="4" t="s">
        <v>438</v>
      </c>
      <c r="E336" s="4" t="s">
        <v>34</v>
      </c>
      <c r="F336" s="4" t="s">
        <v>35</v>
      </c>
      <c r="G336" s="4" t="s">
        <v>36</v>
      </c>
      <c r="H336" s="4" t="s">
        <v>465</v>
      </c>
      <c r="I336" s="4" t="s">
        <v>466</v>
      </c>
      <c r="J336" s="4" t="s">
        <v>467</v>
      </c>
      <c r="L336" s="4" t="s">
        <v>40</v>
      </c>
      <c r="M336" s="4">
        <v>1</v>
      </c>
      <c r="N336" s="4">
        <v>182</v>
      </c>
      <c r="O336" s="4">
        <v>182</v>
      </c>
      <c r="P336" s="4" t="s">
        <v>41</v>
      </c>
      <c r="Q336" s="4">
        <v>1873.5</v>
      </c>
      <c r="R336" s="4">
        <v>1873.5</v>
      </c>
      <c r="S336" s="4">
        <v>17048.849999999999</v>
      </c>
      <c r="T336" s="4">
        <v>340977</v>
      </c>
      <c r="U336" s="4">
        <v>5</v>
      </c>
      <c r="V336" s="4" t="s">
        <v>42</v>
      </c>
      <c r="X336" s="7" t="str">
        <f t="shared" si="15"/>
        <v>441811094</v>
      </c>
      <c r="Y336" s="8" t="str">
        <f t="shared" si="16"/>
        <v>RP</v>
      </c>
      <c r="Z336" s="8">
        <f t="shared" si="17"/>
        <v>182</v>
      </c>
      <c r="AA336" s="8">
        <f t="shared" si="18"/>
        <v>182</v>
      </c>
      <c r="AB336" s="8">
        <f t="shared" si="19"/>
        <v>182</v>
      </c>
      <c r="AC336" s="8">
        <f t="shared" si="20"/>
        <v>182</v>
      </c>
      <c r="AD336" s="8">
        <f t="shared" si="21"/>
        <v>182</v>
      </c>
      <c r="AE336" s="9" t="str" cm="1">
        <f t="array" ref="AE336">IFERROR(_xlfn.XLOOKUP(H336,Sheet1!$G:$G,Sheet1!$F:$F),IFERROR(_xlfn.XLOOKUP(1,(--($X$2:$X$1074=X336))*(--ISNUMBER(MATCH($H$2:$H$1074,Sheet1!$G:$G,0))),_xlfn.XLOOKUP($H$2:$H$1074,Sheet1!$G:$G,Sheet1!$F:$F,"")),"NOT FOUND"))</f>
        <v>GETKRTSFUT6002</v>
      </c>
      <c r="AF336" s="10" t="str">
        <f t="shared" si="24"/>
        <v>MAROON</v>
      </c>
      <c r="AG336" s="11" t="str">
        <f t="shared" si="25"/>
        <v>HARIPAL</v>
      </c>
      <c r="AH336" s="9" t="str">
        <f>IF(OR(J336="",AE336="",AE336="NOT FOUND"),"",IF(Y336="RP",IFERROR(LEFT(_xlfn.XLOOKUP(AE336,Sheet1!$F:$F,Sheet1!$W:$W),FIND("-",_xlfn.XLOOKUP(AE336,Sheet1!$F:$F,Sheet1!$W:$W),FIND("-",_xlfn.XLOOKUP(AE336,Sheet1!$F:$F,Sheet1!$W:$W))+1))&amp;AE336,"NOT FOUND"),LEFT(J336,FIND("-",J336,FIND("-",J336)+1))&amp;AE336))</f>
        <v>KRTS-APWN26-GETKRTSFUT6002</v>
      </c>
    </row>
    <row r="337" spans="1:34" ht="15.75" customHeight="1" x14ac:dyDescent="0.2">
      <c r="A337" s="4" t="s">
        <v>61</v>
      </c>
      <c r="B337" s="4" t="s">
        <v>482</v>
      </c>
      <c r="C337" s="4" t="s">
        <v>423</v>
      </c>
      <c r="D337" s="4" t="s">
        <v>429</v>
      </c>
      <c r="E337" s="4" t="s">
        <v>34</v>
      </c>
      <c r="F337" s="4" t="s">
        <v>35</v>
      </c>
      <c r="G337" s="4" t="s">
        <v>36</v>
      </c>
      <c r="H337" s="4" t="s">
        <v>430</v>
      </c>
      <c r="I337" s="4" t="s">
        <v>431</v>
      </c>
      <c r="J337" s="4" t="s">
        <v>432</v>
      </c>
      <c r="L337" s="4" t="s">
        <v>40</v>
      </c>
      <c r="M337" s="4">
        <v>1</v>
      </c>
      <c r="N337" s="4">
        <v>39</v>
      </c>
      <c r="O337" s="4">
        <v>39</v>
      </c>
      <c r="P337" s="4" t="s">
        <v>41</v>
      </c>
      <c r="Q337" s="4">
        <v>2963.5</v>
      </c>
      <c r="R337" s="4">
        <v>2963.5</v>
      </c>
      <c r="S337" s="4">
        <v>5778.83</v>
      </c>
      <c r="T337" s="4">
        <v>115576.5</v>
      </c>
      <c r="U337" s="4">
        <v>5</v>
      </c>
      <c r="V337" s="4" t="s">
        <v>42</v>
      </c>
      <c r="X337" s="7" t="str">
        <f t="shared" si="15"/>
        <v>441811009</v>
      </c>
      <c r="Y337" s="8" t="str">
        <f t="shared" si="16"/>
        <v>RP</v>
      </c>
      <c r="Z337" s="8">
        <f t="shared" si="17"/>
        <v>39</v>
      </c>
      <c r="AA337" s="8">
        <f t="shared" si="18"/>
        <v>39</v>
      </c>
      <c r="AB337" s="8">
        <f t="shared" si="19"/>
        <v>39</v>
      </c>
      <c r="AC337" s="8">
        <f t="shared" si="20"/>
        <v>39</v>
      </c>
      <c r="AD337" s="8">
        <f t="shared" si="21"/>
        <v>39</v>
      </c>
      <c r="AE337" s="9" t="str" cm="1">
        <f t="array" ref="AE337">IFERROR(_xlfn.XLOOKUP(H337,Sheet1!$G:$G,Sheet1!$F:$F),IFERROR(_xlfn.XLOOKUP(1,(--($X$2:$X$1074=X337))*(--ISNUMBER(MATCH($H$2:$H$1074,Sheet1!$G:$G,0))),_xlfn.XLOOKUP($H$2:$H$1074,Sheet1!$G:$G,Sheet1!$F:$F,"")),"NOT FOUND"))</f>
        <v>GETCRDSFUT6099</v>
      </c>
      <c r="AF337" s="10" t="str">
        <f t="shared" si="24"/>
        <v>LIME GREEN</v>
      </c>
      <c r="AG337" s="11" t="str">
        <f t="shared" si="25"/>
        <v>HARIPAL</v>
      </c>
      <c r="AH337" s="9" t="str">
        <f>IF(OR(J337="",AE337="",AE337="NOT FOUND"),"",IF(Y337="RP",IFERROR(LEFT(_xlfn.XLOOKUP(AE337,Sheet1!$F:$F,Sheet1!$W:$W),FIND("-",_xlfn.XLOOKUP(AE337,Sheet1!$F:$F,Sheet1!$W:$W),FIND("-",_xlfn.XLOOKUP(AE337,Sheet1!$F:$F,Sheet1!$W:$W))+1))&amp;AE337,"NOT FOUND"),LEFT(J337,FIND("-",J337,FIND("-",J337)+1))&amp;AE337))</f>
        <v>SKD-APWN26-GETCRDSFUT6099</v>
      </c>
    </row>
    <row r="338" spans="1:34" ht="15.75" customHeight="1" x14ac:dyDescent="0.2">
      <c r="A338" s="4" t="s">
        <v>61</v>
      </c>
      <c r="B338" s="4" t="s">
        <v>483</v>
      </c>
      <c r="C338" s="4" t="s">
        <v>423</v>
      </c>
      <c r="D338" s="4" t="s">
        <v>455</v>
      </c>
      <c r="E338" s="4" t="s">
        <v>34</v>
      </c>
      <c r="F338" s="4" t="s">
        <v>35</v>
      </c>
      <c r="G338" s="4" t="s">
        <v>36</v>
      </c>
      <c r="H338" s="4" t="s">
        <v>456</v>
      </c>
      <c r="I338" s="4" t="s">
        <v>457</v>
      </c>
      <c r="J338" s="4" t="s">
        <v>458</v>
      </c>
      <c r="L338" s="4" t="s">
        <v>40</v>
      </c>
      <c r="M338" s="4">
        <v>1</v>
      </c>
      <c r="N338" s="4">
        <v>174</v>
      </c>
      <c r="O338" s="4">
        <v>174</v>
      </c>
      <c r="P338" s="4" t="s">
        <v>41</v>
      </c>
      <c r="Q338" s="4">
        <v>1873.5</v>
      </c>
      <c r="R338" s="4">
        <v>1873.5</v>
      </c>
      <c r="S338" s="4">
        <v>16299.45</v>
      </c>
      <c r="T338" s="4">
        <v>325989</v>
      </c>
      <c r="U338" s="4">
        <v>5</v>
      </c>
      <c r="V338" s="4" t="s">
        <v>42</v>
      </c>
      <c r="X338" s="7" t="str">
        <f t="shared" si="15"/>
        <v>441811097</v>
      </c>
      <c r="Y338" s="8" t="str">
        <f t="shared" si="16"/>
        <v>RP</v>
      </c>
      <c r="Z338" s="8">
        <f t="shared" si="17"/>
        <v>174</v>
      </c>
      <c r="AA338" s="8">
        <f t="shared" si="18"/>
        <v>174</v>
      </c>
      <c r="AB338" s="8">
        <f t="shared" si="19"/>
        <v>174</v>
      </c>
      <c r="AC338" s="8">
        <f t="shared" si="20"/>
        <v>174</v>
      </c>
      <c r="AD338" s="8">
        <f t="shared" si="21"/>
        <v>174</v>
      </c>
      <c r="AE338" s="9" t="str" cm="1">
        <f t="array" ref="AE338">IFERROR(_xlfn.XLOOKUP(H338,Sheet1!$G:$G,Sheet1!$F:$F),IFERROR(_xlfn.XLOOKUP(1,(--($X$2:$X$1074=X338))*(--ISNUMBER(MATCH($H$2:$H$1074,Sheet1!$G:$G,0))),_xlfn.XLOOKUP($H$2:$H$1074,Sheet1!$G:$G,Sheet1!$F:$F,"")),"NOT FOUND"))</f>
        <v>GETKRTSFUT6089</v>
      </c>
      <c r="AF338" s="10" t="str">
        <f t="shared" si="24"/>
        <v>PINK</v>
      </c>
      <c r="AG338" s="11" t="str">
        <f t="shared" si="25"/>
        <v>HARIPAL</v>
      </c>
      <c r="AH338" s="9" t="str">
        <f>IF(OR(J338="",AE338="",AE338="NOT FOUND"),"",IF(Y338="RP",IFERROR(LEFT(_xlfn.XLOOKUP(AE338,Sheet1!$F:$F,Sheet1!$W:$W),FIND("-",_xlfn.XLOOKUP(AE338,Sheet1!$F:$F,Sheet1!$W:$W),FIND("-",_xlfn.XLOOKUP(AE338,Sheet1!$F:$F,Sheet1!$W:$W))+1))&amp;AE338,"NOT FOUND"),LEFT(J338,FIND("-",J338,FIND("-",J338)+1))&amp;AE338))</f>
        <v>KRTS-APWN26-GETKRTSFUT6089</v>
      </c>
    </row>
    <row r="339" spans="1:34" ht="15.75" customHeight="1" x14ac:dyDescent="0.2">
      <c r="A339" s="4" t="s">
        <v>61</v>
      </c>
      <c r="B339" s="4" t="s">
        <v>484</v>
      </c>
      <c r="C339" s="4" t="s">
        <v>423</v>
      </c>
      <c r="D339" s="4" t="s">
        <v>424</v>
      </c>
      <c r="E339" s="4" t="s">
        <v>34</v>
      </c>
      <c r="F339" s="4" t="s">
        <v>35</v>
      </c>
      <c r="G339" s="4" t="s">
        <v>36</v>
      </c>
      <c r="H339" s="4" t="s">
        <v>447</v>
      </c>
      <c r="I339" s="4" t="s">
        <v>448</v>
      </c>
      <c r="J339" s="4" t="s">
        <v>449</v>
      </c>
      <c r="L339" s="4" t="s">
        <v>40</v>
      </c>
      <c r="M339" s="4">
        <v>1</v>
      </c>
      <c r="N339" s="4">
        <v>174</v>
      </c>
      <c r="O339" s="4">
        <v>174</v>
      </c>
      <c r="P339" s="4" t="s">
        <v>41</v>
      </c>
      <c r="Q339" s="4">
        <v>2023.5</v>
      </c>
      <c r="R339" s="4">
        <v>2023.5</v>
      </c>
      <c r="S339" s="4">
        <v>17604.45</v>
      </c>
      <c r="T339" s="4">
        <v>352089</v>
      </c>
      <c r="U339" s="4">
        <v>5</v>
      </c>
      <c r="V339" s="4" t="s">
        <v>42</v>
      </c>
      <c r="X339" s="7" t="str">
        <f t="shared" si="15"/>
        <v>441811101</v>
      </c>
      <c r="Y339" s="8" t="str">
        <f t="shared" si="16"/>
        <v>RP</v>
      </c>
      <c r="Z339" s="8">
        <f t="shared" si="17"/>
        <v>174</v>
      </c>
      <c r="AA339" s="8">
        <f t="shared" si="18"/>
        <v>174</v>
      </c>
      <c r="AB339" s="8">
        <f t="shared" si="19"/>
        <v>174</v>
      </c>
      <c r="AC339" s="8">
        <f t="shared" si="20"/>
        <v>174</v>
      </c>
      <c r="AD339" s="8">
        <f t="shared" si="21"/>
        <v>174</v>
      </c>
      <c r="AE339" s="9" t="str" cm="1">
        <f t="array" ref="AE339">IFERROR(_xlfn.XLOOKUP(H339,Sheet1!$G:$G,Sheet1!$F:$F),IFERROR(_xlfn.XLOOKUP(1,(--($X$2:$X$1074=X339))*(--ISNUMBER(MATCH($H$2:$H$1074,Sheet1!$G:$G,0))),_xlfn.XLOOKUP($H$2:$H$1074,Sheet1!$G:$G,Sheet1!$F:$F,"")),"NOT FOUND"))</f>
        <v>GETKRTSFUT6103</v>
      </c>
      <c r="AF339" s="10" t="str">
        <f t="shared" si="24"/>
        <v>LIME GREEN</v>
      </c>
      <c r="AG339" s="11" t="str">
        <f t="shared" si="25"/>
        <v>HARIPAL</v>
      </c>
      <c r="AH339" s="9" t="str">
        <f>IF(OR(J339="",AE339="",AE339="NOT FOUND"),"",IF(Y339="RP",IFERROR(LEFT(_xlfn.XLOOKUP(AE339,Sheet1!$F:$F,Sheet1!$W:$W),FIND("-",_xlfn.XLOOKUP(AE339,Sheet1!$F:$F,Sheet1!$W:$W),FIND("-",_xlfn.XLOOKUP(AE339,Sheet1!$F:$F,Sheet1!$W:$W))+1))&amp;AE339,"NOT FOUND"),LEFT(J339,FIND("-",J339,FIND("-",J339)+1))&amp;AE339))</f>
        <v>KRTS-APWN26-GETKRTSFUT6103</v>
      </c>
    </row>
    <row r="340" spans="1:34" ht="15.75" customHeight="1" x14ac:dyDescent="0.2">
      <c r="A340" s="4" t="s">
        <v>61</v>
      </c>
      <c r="B340" s="4" t="s">
        <v>485</v>
      </c>
      <c r="C340" s="4" t="s">
        <v>423</v>
      </c>
      <c r="D340" s="4" t="s">
        <v>438</v>
      </c>
      <c r="E340" s="4" t="s">
        <v>34</v>
      </c>
      <c r="F340" s="4" t="s">
        <v>35</v>
      </c>
      <c r="G340" s="4" t="s">
        <v>36</v>
      </c>
      <c r="H340" s="4" t="s">
        <v>443</v>
      </c>
      <c r="I340" s="4" t="s">
        <v>444</v>
      </c>
      <c r="J340" s="4" t="s">
        <v>445</v>
      </c>
      <c r="L340" s="4" t="s">
        <v>40</v>
      </c>
      <c r="M340" s="4">
        <v>1</v>
      </c>
      <c r="N340" s="4">
        <v>182</v>
      </c>
      <c r="O340" s="4">
        <v>182</v>
      </c>
      <c r="P340" s="4" t="s">
        <v>41</v>
      </c>
      <c r="Q340" s="4">
        <v>1873.5</v>
      </c>
      <c r="R340" s="4">
        <v>1873.5</v>
      </c>
      <c r="S340" s="4">
        <v>17048.849999999999</v>
      </c>
      <c r="T340" s="4">
        <v>340977</v>
      </c>
      <c r="U340" s="4">
        <v>5</v>
      </c>
      <c r="V340" s="4" t="s">
        <v>42</v>
      </c>
      <c r="X340" s="7" t="str">
        <f t="shared" si="15"/>
        <v>441811094</v>
      </c>
      <c r="Y340" s="8" t="str">
        <f t="shared" si="16"/>
        <v>RP</v>
      </c>
      <c r="Z340" s="8">
        <f t="shared" si="17"/>
        <v>182</v>
      </c>
      <c r="AA340" s="8">
        <f t="shared" si="18"/>
        <v>182</v>
      </c>
      <c r="AB340" s="8">
        <f t="shared" si="19"/>
        <v>182</v>
      </c>
      <c r="AC340" s="8">
        <f t="shared" si="20"/>
        <v>182</v>
      </c>
      <c r="AD340" s="8">
        <f t="shared" si="21"/>
        <v>182</v>
      </c>
      <c r="AE340" s="9" t="str" cm="1">
        <f t="array" ref="AE340">IFERROR(_xlfn.XLOOKUP(H340,Sheet1!$G:$G,Sheet1!$F:$F),IFERROR(_xlfn.XLOOKUP(1,(--($X$2:$X$1074=X340))*(--ISNUMBER(MATCH($H$2:$H$1074,Sheet1!$G:$G,0))),_xlfn.XLOOKUP($H$2:$H$1074,Sheet1!$G:$G,Sheet1!$F:$F,"")),"NOT FOUND"))</f>
        <v>GETKRTSFUT6002</v>
      </c>
      <c r="AF340" s="10" t="str">
        <f t="shared" si="24"/>
        <v>MUSTARD</v>
      </c>
      <c r="AG340" s="11" t="str">
        <f t="shared" si="25"/>
        <v>HARIPAL</v>
      </c>
      <c r="AH340" s="9" t="str">
        <f>IF(OR(J340="",AE340="",AE340="NOT FOUND"),"",IF(Y340="RP",IFERROR(LEFT(_xlfn.XLOOKUP(AE340,Sheet1!$F:$F,Sheet1!$W:$W),FIND("-",_xlfn.XLOOKUP(AE340,Sheet1!$F:$F,Sheet1!$W:$W),FIND("-",_xlfn.XLOOKUP(AE340,Sheet1!$F:$F,Sheet1!$W:$W))+1))&amp;AE340,"NOT FOUND"),LEFT(J340,FIND("-",J340,FIND("-",J340)+1))&amp;AE340))</f>
        <v>KRTS-APWN26-GETKRTSFUT6002</v>
      </c>
    </row>
    <row r="341" spans="1:34" ht="15.75" customHeight="1" x14ac:dyDescent="0.2">
      <c r="A341" s="4" t="s">
        <v>61</v>
      </c>
      <c r="B341" s="4" t="s">
        <v>486</v>
      </c>
      <c r="C341" s="4" t="s">
        <v>423</v>
      </c>
      <c r="D341" s="4" t="s">
        <v>429</v>
      </c>
      <c r="E341" s="4" t="s">
        <v>34</v>
      </c>
      <c r="F341" s="4" t="s">
        <v>35</v>
      </c>
      <c r="G341" s="4" t="s">
        <v>36</v>
      </c>
      <c r="H341" s="4" t="s">
        <v>434</v>
      </c>
      <c r="I341" s="4" t="s">
        <v>435</v>
      </c>
      <c r="J341" s="4" t="s">
        <v>436</v>
      </c>
      <c r="L341" s="4" t="s">
        <v>40</v>
      </c>
      <c r="M341" s="4">
        <v>1</v>
      </c>
      <c r="N341" s="4">
        <v>182</v>
      </c>
      <c r="O341" s="4">
        <v>182</v>
      </c>
      <c r="P341" s="4" t="s">
        <v>41</v>
      </c>
      <c r="Q341" s="4">
        <v>1998.5</v>
      </c>
      <c r="R341" s="4">
        <v>1998.5</v>
      </c>
      <c r="S341" s="4">
        <v>18186.349999999999</v>
      </c>
      <c r="T341" s="4">
        <v>363727</v>
      </c>
      <c r="U341" s="4">
        <v>5</v>
      </c>
      <c r="V341" s="4" t="s">
        <v>42</v>
      </c>
      <c r="X341" s="7" t="str">
        <f t="shared" si="15"/>
        <v>441811100</v>
      </c>
      <c r="Y341" s="8" t="str">
        <f t="shared" si="16"/>
        <v>RP</v>
      </c>
      <c r="Z341" s="8">
        <f t="shared" si="17"/>
        <v>182</v>
      </c>
      <c r="AA341" s="8">
        <f t="shared" si="18"/>
        <v>182</v>
      </c>
      <c r="AB341" s="8">
        <f t="shared" si="19"/>
        <v>182</v>
      </c>
      <c r="AC341" s="8">
        <f t="shared" si="20"/>
        <v>182</v>
      </c>
      <c r="AD341" s="8">
        <f t="shared" si="21"/>
        <v>182</v>
      </c>
      <c r="AE341" s="9" t="str" cm="1">
        <f t="array" ref="AE341">IFERROR(_xlfn.XLOOKUP(H341,Sheet1!$G:$G,Sheet1!$F:$F),IFERROR(_xlfn.XLOOKUP(1,(--($X$2:$X$1074=X341))*(--ISNUMBER(MATCH($H$2:$H$1074,Sheet1!$G:$G,0))),_xlfn.XLOOKUP($H$2:$H$1074,Sheet1!$G:$G,Sheet1!$F:$F,"")),"NOT FOUND"))</f>
        <v>GETKRTSFUT6101</v>
      </c>
      <c r="AF341" s="10" t="str">
        <f t="shared" si="24"/>
        <v>LIME GREEN</v>
      </c>
      <c r="AG341" s="11" t="str">
        <f t="shared" si="25"/>
        <v>HARIPAL</v>
      </c>
      <c r="AH341" s="9" t="str">
        <f>IF(OR(J341="",AE341="",AE341="NOT FOUND"),"",IF(Y341="RP",IFERROR(LEFT(_xlfn.XLOOKUP(AE341,Sheet1!$F:$F,Sheet1!$W:$W),FIND("-",_xlfn.XLOOKUP(AE341,Sheet1!$F:$F,Sheet1!$W:$W),FIND("-",_xlfn.XLOOKUP(AE341,Sheet1!$F:$F,Sheet1!$W:$W))+1))&amp;AE341,"NOT FOUND"),LEFT(J341,FIND("-",J341,FIND("-",J341)+1))&amp;AE341))</f>
        <v>KRTS-APWN26-GETKRTSFUT6101</v>
      </c>
    </row>
    <row r="342" spans="1:34" ht="15.75" customHeight="1" x14ac:dyDescent="0.2">
      <c r="A342" s="4" t="s">
        <v>30</v>
      </c>
      <c r="B342" s="4" t="s">
        <v>487</v>
      </c>
      <c r="C342" s="4" t="s">
        <v>488</v>
      </c>
      <c r="D342" s="4" t="s">
        <v>489</v>
      </c>
      <c r="E342" s="4" t="s">
        <v>34</v>
      </c>
      <c r="F342" s="4" t="s">
        <v>35</v>
      </c>
      <c r="G342" s="4" t="s">
        <v>36</v>
      </c>
      <c r="H342" s="4" t="s">
        <v>490</v>
      </c>
      <c r="I342" s="4" t="s">
        <v>491</v>
      </c>
      <c r="J342" s="4" t="s">
        <v>492</v>
      </c>
      <c r="L342" s="4" t="s">
        <v>40</v>
      </c>
      <c r="M342" s="4">
        <v>1</v>
      </c>
      <c r="N342" s="4">
        <v>332</v>
      </c>
      <c r="O342" s="4">
        <v>332</v>
      </c>
      <c r="P342" s="4" t="s">
        <v>41</v>
      </c>
      <c r="Q342" s="4">
        <v>1598.5</v>
      </c>
      <c r="R342" s="4">
        <v>1598.5</v>
      </c>
      <c r="S342" s="4">
        <v>26535.1</v>
      </c>
      <c r="T342" s="4">
        <v>530702</v>
      </c>
      <c r="U342" s="4">
        <v>5</v>
      </c>
      <c r="V342" s="4" t="s">
        <v>42</v>
      </c>
      <c r="X342" s="7" t="str">
        <f t="shared" si="15"/>
        <v>441811105</v>
      </c>
      <c r="Y342" s="8" t="str">
        <f t="shared" si="16"/>
        <v>RP</v>
      </c>
      <c r="Z342" s="8">
        <f t="shared" si="17"/>
        <v>332</v>
      </c>
      <c r="AA342" s="8">
        <f t="shared" si="18"/>
        <v>332</v>
      </c>
      <c r="AB342" s="8">
        <f t="shared" si="19"/>
        <v>332</v>
      </c>
      <c r="AC342" s="8">
        <f t="shared" si="20"/>
        <v>332</v>
      </c>
      <c r="AD342" s="8">
        <f t="shared" si="21"/>
        <v>332</v>
      </c>
      <c r="AE342" s="9" t="str" cm="1">
        <f t="array" ref="AE342">IFERROR(_xlfn.XLOOKUP(H342,Sheet1!$G:$G,Sheet1!$F:$F),IFERROR(_xlfn.XLOOKUP(1,(--($X$2:$X$1074=X342))*(--ISNUMBER(MATCH($H$2:$H$1074,Sheet1!$G:$G,0))),_xlfn.XLOOKUP($H$2:$H$1074,Sheet1!$G:$G,Sheet1!$F:$F,"")),"NOT FOUND"))</f>
        <v>GETKRTSFUT6203</v>
      </c>
      <c r="AF342" s="10" t="str">
        <f t="shared" si="24"/>
        <v>BLACK</v>
      </c>
      <c r="AG342" s="11" t="str">
        <f t="shared" si="25"/>
        <v>Bangalore</v>
      </c>
      <c r="AH342" s="9" t="str">
        <f>IF(OR(J342="",AE342="",AE342="NOT FOUND"),"",IF(Y342="RP",IFERROR(LEFT(_xlfn.XLOOKUP(AE342,Sheet1!$F:$F,Sheet1!$W:$W),FIND("-",_xlfn.XLOOKUP(AE342,Sheet1!$F:$F,Sheet1!$W:$W),FIND("-",_xlfn.XLOOKUP(AE342,Sheet1!$F:$F,Sheet1!$W:$W))+1))&amp;AE342,"NOT FOUND"),LEFT(J342,FIND("-",J342,FIND("-",J342)+1))&amp;AE342))</f>
        <v>KRTS-APWN26-GETKRTSFUT6203</v>
      </c>
    </row>
    <row r="343" spans="1:34" ht="15.75" customHeight="1" x14ac:dyDescent="0.2">
      <c r="A343" s="4" t="s">
        <v>30</v>
      </c>
      <c r="B343" s="4" t="s">
        <v>493</v>
      </c>
      <c r="C343" s="4" t="s">
        <v>488</v>
      </c>
      <c r="D343" s="4" t="s">
        <v>455</v>
      </c>
      <c r="E343" s="4" t="s">
        <v>34</v>
      </c>
      <c r="F343" s="4" t="s">
        <v>35</v>
      </c>
      <c r="G343" s="4" t="s">
        <v>36</v>
      </c>
      <c r="H343" s="4" t="s">
        <v>494</v>
      </c>
      <c r="I343" s="4" t="s">
        <v>495</v>
      </c>
      <c r="J343" s="4" t="s">
        <v>496</v>
      </c>
      <c r="L343" s="4" t="s">
        <v>40</v>
      </c>
      <c r="M343" s="4">
        <v>1</v>
      </c>
      <c r="N343" s="4">
        <v>332</v>
      </c>
      <c r="O343" s="4">
        <v>332</v>
      </c>
      <c r="P343" s="4" t="s">
        <v>41</v>
      </c>
      <c r="Q343" s="4">
        <v>1523.5</v>
      </c>
      <c r="R343" s="4">
        <v>1523.5</v>
      </c>
      <c r="S343" s="4">
        <v>25290.1</v>
      </c>
      <c r="T343" s="4">
        <v>505802</v>
      </c>
      <c r="U343" s="4">
        <v>5</v>
      </c>
      <c r="V343" s="4" t="s">
        <v>42</v>
      </c>
      <c r="X343" s="7" t="str">
        <f t="shared" si="15"/>
        <v>441811098</v>
      </c>
      <c r="Y343" s="8" t="str">
        <f t="shared" si="16"/>
        <v>RP</v>
      </c>
      <c r="Z343" s="8">
        <f t="shared" si="17"/>
        <v>332</v>
      </c>
      <c r="AA343" s="8">
        <f t="shared" si="18"/>
        <v>332</v>
      </c>
      <c r="AB343" s="8">
        <f t="shared" si="19"/>
        <v>332</v>
      </c>
      <c r="AC343" s="8">
        <f t="shared" si="20"/>
        <v>332</v>
      </c>
      <c r="AD343" s="8">
        <f t="shared" si="21"/>
        <v>332</v>
      </c>
      <c r="AE343" s="9" t="str" cm="1">
        <f t="array" ref="AE343">IFERROR(_xlfn.XLOOKUP(H343,Sheet1!$G:$G,Sheet1!$F:$F),IFERROR(_xlfn.XLOOKUP(1,(--($X$2:$X$1074=X343))*(--ISNUMBER(MATCH($H$2:$H$1074,Sheet1!$G:$G,0))),_xlfn.XLOOKUP($H$2:$H$1074,Sheet1!$G:$G,Sheet1!$F:$F,"")),"NOT FOUND"))</f>
        <v>GETKRTSFUT6098</v>
      </c>
      <c r="AF343" s="10" t="str">
        <f t="shared" si="24"/>
        <v>MAROON</v>
      </c>
      <c r="AG343" s="11" t="str">
        <f t="shared" si="25"/>
        <v>Bangalore</v>
      </c>
      <c r="AH343" s="9" t="str">
        <f>IF(OR(J343="",AE343="",AE343="NOT FOUND"),"",IF(Y343="RP",IFERROR(LEFT(_xlfn.XLOOKUP(AE343,Sheet1!$F:$F,Sheet1!$W:$W),FIND("-",_xlfn.XLOOKUP(AE343,Sheet1!$F:$F,Sheet1!$W:$W),FIND("-",_xlfn.XLOOKUP(AE343,Sheet1!$F:$F,Sheet1!$W:$W))+1))&amp;AE343,"NOT FOUND"),LEFT(J343,FIND("-",J343,FIND("-",J343)+1))&amp;AE343))</f>
        <v>KRTS-APWN26-GETKRTSFUT6098</v>
      </c>
    </row>
    <row r="344" spans="1:34" ht="15.75" customHeight="1" x14ac:dyDescent="0.2">
      <c r="A344" s="4" t="s">
        <v>30</v>
      </c>
      <c r="B344" s="4" t="s">
        <v>497</v>
      </c>
      <c r="C344" s="4" t="s">
        <v>488</v>
      </c>
      <c r="D344" s="4" t="s">
        <v>455</v>
      </c>
      <c r="E344" s="4" t="s">
        <v>34</v>
      </c>
      <c r="F344" s="4" t="s">
        <v>35</v>
      </c>
      <c r="G344" s="4" t="s">
        <v>36</v>
      </c>
      <c r="H344" s="4" t="s">
        <v>498</v>
      </c>
      <c r="I344" s="4" t="s">
        <v>499</v>
      </c>
      <c r="J344" s="4" t="s">
        <v>500</v>
      </c>
      <c r="L344" s="4" t="s">
        <v>40</v>
      </c>
      <c r="M344" s="4">
        <v>1</v>
      </c>
      <c r="N344" s="4">
        <v>332</v>
      </c>
      <c r="O344" s="4">
        <v>332</v>
      </c>
      <c r="P344" s="4" t="s">
        <v>41</v>
      </c>
      <c r="Q344" s="4">
        <v>1523.5</v>
      </c>
      <c r="R344" s="4">
        <v>1523.5</v>
      </c>
      <c r="S344" s="4">
        <v>25290.1</v>
      </c>
      <c r="T344" s="4">
        <v>505802</v>
      </c>
      <c r="U344" s="4">
        <v>5</v>
      </c>
      <c r="V344" s="4" t="s">
        <v>42</v>
      </c>
      <c r="X344" s="7" t="str">
        <f t="shared" si="15"/>
        <v>441811098</v>
      </c>
      <c r="Y344" s="8" t="str">
        <f t="shared" si="16"/>
        <v>RP</v>
      </c>
      <c r="Z344" s="8">
        <f t="shared" si="17"/>
        <v>332</v>
      </c>
      <c r="AA344" s="8">
        <f t="shared" si="18"/>
        <v>332</v>
      </c>
      <c r="AB344" s="8">
        <f t="shared" si="19"/>
        <v>332</v>
      </c>
      <c r="AC344" s="8">
        <f t="shared" si="20"/>
        <v>332</v>
      </c>
      <c r="AD344" s="8">
        <f t="shared" si="21"/>
        <v>332</v>
      </c>
      <c r="AE344" s="9" t="str" cm="1">
        <f t="array" ref="AE344">IFERROR(_xlfn.XLOOKUP(H344,Sheet1!$G:$G,Sheet1!$F:$F),IFERROR(_xlfn.XLOOKUP(1,(--($X$2:$X$1074=X344))*(--ISNUMBER(MATCH($H$2:$H$1074,Sheet1!$G:$G,0))),_xlfn.XLOOKUP($H$2:$H$1074,Sheet1!$G:$G,Sheet1!$F:$F,"")),"NOT FOUND"))</f>
        <v>GETKRTSFUT6098</v>
      </c>
      <c r="AF344" s="10" t="str">
        <f t="shared" si="24"/>
        <v>MUSTARD</v>
      </c>
      <c r="AG344" s="11" t="str">
        <f t="shared" si="25"/>
        <v>Bangalore</v>
      </c>
      <c r="AH344" s="9" t="str">
        <f>IF(OR(J344="",AE344="",AE344="NOT FOUND"),"",IF(Y344="RP",IFERROR(LEFT(_xlfn.XLOOKUP(AE344,Sheet1!$F:$F,Sheet1!$W:$W),FIND("-",_xlfn.XLOOKUP(AE344,Sheet1!$F:$F,Sheet1!$W:$W),FIND("-",_xlfn.XLOOKUP(AE344,Sheet1!$F:$F,Sheet1!$W:$W))+1))&amp;AE344,"NOT FOUND"),LEFT(J344,FIND("-",J344,FIND("-",J344)+1))&amp;AE344))</f>
        <v>KRTS-APWN26-GETKRTSFUT6098</v>
      </c>
    </row>
    <row r="345" spans="1:34" ht="15.75" customHeight="1" x14ac:dyDescent="0.2">
      <c r="A345" s="4" t="s">
        <v>30</v>
      </c>
      <c r="B345" s="4" t="s">
        <v>501</v>
      </c>
      <c r="C345" s="4" t="s">
        <v>488</v>
      </c>
      <c r="D345" s="4" t="s">
        <v>455</v>
      </c>
      <c r="E345" s="4" t="s">
        <v>34</v>
      </c>
      <c r="F345" s="4" t="s">
        <v>35</v>
      </c>
      <c r="G345" s="4" t="s">
        <v>36</v>
      </c>
      <c r="H345" s="4" t="s">
        <v>502</v>
      </c>
      <c r="I345" s="4" t="s">
        <v>503</v>
      </c>
      <c r="J345" s="4" t="s">
        <v>504</v>
      </c>
      <c r="L345" s="4" t="s">
        <v>40</v>
      </c>
      <c r="M345" s="4">
        <v>1</v>
      </c>
      <c r="N345" s="4">
        <v>332</v>
      </c>
      <c r="O345" s="4">
        <v>332</v>
      </c>
      <c r="P345" s="4" t="s">
        <v>41</v>
      </c>
      <c r="Q345" s="4">
        <v>1563.5</v>
      </c>
      <c r="R345" s="4">
        <v>1563.5</v>
      </c>
      <c r="S345" s="4">
        <v>25954.1</v>
      </c>
      <c r="T345" s="4">
        <v>519082</v>
      </c>
      <c r="U345" s="4">
        <v>5</v>
      </c>
      <c r="V345" s="4" t="s">
        <v>42</v>
      </c>
      <c r="X345" s="7" t="str">
        <f t="shared" si="15"/>
        <v>441811099</v>
      </c>
      <c r="Y345" s="8" t="str">
        <f t="shared" si="16"/>
        <v>RP</v>
      </c>
      <c r="Z345" s="8">
        <f t="shared" si="17"/>
        <v>332</v>
      </c>
      <c r="AA345" s="8">
        <f t="shared" si="18"/>
        <v>332</v>
      </c>
      <c r="AB345" s="8">
        <f t="shared" si="19"/>
        <v>332</v>
      </c>
      <c r="AC345" s="8">
        <f t="shared" si="20"/>
        <v>332</v>
      </c>
      <c r="AD345" s="8">
        <f t="shared" si="21"/>
        <v>332</v>
      </c>
      <c r="AE345" s="9" t="str" cm="1">
        <f t="array" ref="AE345">IFERROR(_xlfn.XLOOKUP(H345,Sheet1!$G:$G,Sheet1!$F:$F),IFERROR(_xlfn.XLOOKUP(1,(--($X$2:$X$1074=X345))*(--ISNUMBER(MATCH($H$2:$H$1074,Sheet1!$G:$G,0))),_xlfn.XLOOKUP($H$2:$H$1074,Sheet1!$G:$G,Sheet1!$F:$F,"")),"NOT FOUND"))</f>
        <v>GETKRTSFUT6100</v>
      </c>
      <c r="AF345" s="10" t="str">
        <f t="shared" si="24"/>
        <v>MUSTARD</v>
      </c>
      <c r="AG345" s="11" t="str">
        <f t="shared" si="25"/>
        <v>Bangalore</v>
      </c>
      <c r="AH345" s="9" t="str">
        <f>IF(OR(J345="",AE345="",AE345="NOT FOUND"),"",IF(Y345="RP",IFERROR(LEFT(_xlfn.XLOOKUP(AE345,Sheet1!$F:$F,Sheet1!$W:$W),FIND("-",_xlfn.XLOOKUP(AE345,Sheet1!$F:$F,Sheet1!$W:$W),FIND("-",_xlfn.XLOOKUP(AE345,Sheet1!$F:$F,Sheet1!$W:$W))+1))&amp;AE345,"NOT FOUND"),LEFT(J345,FIND("-",J345,FIND("-",J345)+1))&amp;AE345))</f>
        <v>KRTS-APWN26-GETKRTSFUT6100</v>
      </c>
    </row>
    <row r="346" spans="1:34" ht="15.75" customHeight="1" x14ac:dyDescent="0.2">
      <c r="A346" s="4" t="s">
        <v>30</v>
      </c>
      <c r="B346" s="4" t="s">
        <v>505</v>
      </c>
      <c r="C346" s="4" t="s">
        <v>488</v>
      </c>
      <c r="D346" s="4" t="s">
        <v>506</v>
      </c>
      <c r="E346" s="4" t="s">
        <v>34</v>
      </c>
      <c r="F346" s="4" t="s">
        <v>35</v>
      </c>
      <c r="G346" s="4" t="s">
        <v>36</v>
      </c>
      <c r="H346" s="4" t="s">
        <v>507</v>
      </c>
      <c r="I346" s="4" t="s">
        <v>508</v>
      </c>
      <c r="J346" s="4" t="s">
        <v>509</v>
      </c>
      <c r="L346" s="4" t="s">
        <v>40</v>
      </c>
      <c r="M346" s="4">
        <v>1</v>
      </c>
      <c r="N346" s="4">
        <v>332</v>
      </c>
      <c r="O346" s="4">
        <v>332</v>
      </c>
      <c r="P346" s="4" t="s">
        <v>41</v>
      </c>
      <c r="Q346" s="4">
        <v>1573.5</v>
      </c>
      <c r="R346" s="4">
        <v>1573.5</v>
      </c>
      <c r="S346" s="4">
        <v>26120.1</v>
      </c>
      <c r="T346" s="4">
        <v>522402</v>
      </c>
      <c r="U346" s="4">
        <v>5</v>
      </c>
      <c r="V346" s="4" t="s">
        <v>42</v>
      </c>
      <c r="X346" s="7" t="str">
        <f t="shared" si="15"/>
        <v>441811106</v>
      </c>
      <c r="Y346" s="8" t="str">
        <f t="shared" si="16"/>
        <v>RP</v>
      </c>
      <c r="Z346" s="8">
        <f t="shared" si="17"/>
        <v>332</v>
      </c>
      <c r="AA346" s="8">
        <f t="shared" si="18"/>
        <v>332</v>
      </c>
      <c r="AB346" s="8">
        <f t="shared" si="19"/>
        <v>332</v>
      </c>
      <c r="AC346" s="8">
        <f t="shared" si="20"/>
        <v>332</v>
      </c>
      <c r="AD346" s="8">
        <f t="shared" si="21"/>
        <v>332</v>
      </c>
      <c r="AE346" s="9" t="str" cm="1">
        <f t="array" ref="AE346">IFERROR(_xlfn.XLOOKUP(H346,Sheet1!$G:$G,Sheet1!$F:$F),IFERROR(_xlfn.XLOOKUP(1,(--($X$2:$X$1074=X346))*(--ISNUMBER(MATCH($H$2:$H$1074,Sheet1!$G:$G,0))),_xlfn.XLOOKUP($H$2:$H$1074,Sheet1!$G:$G,Sheet1!$F:$F,"")),"NOT FOUND"))</f>
        <v>GETKRTSFUT6204</v>
      </c>
      <c r="AF346" s="10" t="str">
        <f t="shared" si="24"/>
        <v>GREEN</v>
      </c>
      <c r="AG346" s="11" t="str">
        <f t="shared" si="25"/>
        <v>Bangalore</v>
      </c>
      <c r="AH346" s="9" t="str">
        <f>IF(OR(J346="",AE346="",AE346="NOT FOUND"),"",IF(Y346="RP",IFERROR(LEFT(_xlfn.XLOOKUP(AE346,Sheet1!$F:$F,Sheet1!$W:$W),FIND("-",_xlfn.XLOOKUP(AE346,Sheet1!$F:$F,Sheet1!$W:$W),FIND("-",_xlfn.XLOOKUP(AE346,Sheet1!$F:$F,Sheet1!$W:$W))+1))&amp;AE346,"NOT FOUND"),LEFT(J346,FIND("-",J346,FIND("-",J346)+1))&amp;AE346))</f>
        <v>KRTS-APWN26-GETKRTSFUT6204</v>
      </c>
    </row>
    <row r="347" spans="1:34" ht="15.75" customHeight="1" x14ac:dyDescent="0.2">
      <c r="A347" s="4" t="s">
        <v>30</v>
      </c>
      <c r="B347" s="4" t="s">
        <v>510</v>
      </c>
      <c r="C347" s="4" t="s">
        <v>488</v>
      </c>
      <c r="D347" s="4" t="s">
        <v>506</v>
      </c>
      <c r="E347" s="4" t="s">
        <v>34</v>
      </c>
      <c r="F347" s="4" t="s">
        <v>35</v>
      </c>
      <c r="G347" s="4" t="s">
        <v>36</v>
      </c>
      <c r="H347" s="4" t="s">
        <v>511</v>
      </c>
      <c r="I347" s="4" t="s">
        <v>512</v>
      </c>
      <c r="J347" s="4" t="s">
        <v>513</v>
      </c>
      <c r="L347" s="4" t="s">
        <v>40</v>
      </c>
      <c r="M347" s="4">
        <v>1</v>
      </c>
      <c r="N347" s="4">
        <v>332</v>
      </c>
      <c r="O347" s="4">
        <v>332</v>
      </c>
      <c r="P347" s="4" t="s">
        <v>41</v>
      </c>
      <c r="Q347" s="4">
        <v>1633.5</v>
      </c>
      <c r="R347" s="4">
        <v>1633.5</v>
      </c>
      <c r="S347" s="4">
        <v>27116.1</v>
      </c>
      <c r="T347" s="4">
        <v>542322</v>
      </c>
      <c r="U347" s="4">
        <v>5</v>
      </c>
      <c r="V347" s="4" t="s">
        <v>42</v>
      </c>
      <c r="X347" s="7" t="str">
        <f t="shared" si="15"/>
        <v>441811103</v>
      </c>
      <c r="Y347" s="8" t="str">
        <f t="shared" si="16"/>
        <v>RP</v>
      </c>
      <c r="Z347" s="8">
        <f t="shared" si="17"/>
        <v>332</v>
      </c>
      <c r="AA347" s="8">
        <f t="shared" si="18"/>
        <v>332</v>
      </c>
      <c r="AB347" s="8">
        <f t="shared" si="19"/>
        <v>332</v>
      </c>
      <c r="AC347" s="8">
        <f t="shared" si="20"/>
        <v>332</v>
      </c>
      <c r="AD347" s="8">
        <f t="shared" si="21"/>
        <v>332</v>
      </c>
      <c r="AE347" s="9" t="str" cm="1">
        <f t="array" ref="AE347">IFERROR(_xlfn.XLOOKUP(H347,Sheet1!$G:$G,Sheet1!$F:$F),IFERROR(_xlfn.XLOOKUP(1,(--($X$2:$X$1074=X347))*(--ISNUMBER(MATCH($H$2:$H$1074,Sheet1!$G:$G,0))),_xlfn.XLOOKUP($H$2:$H$1074,Sheet1!$G:$G,Sheet1!$F:$F,"")),"NOT FOUND"))</f>
        <v>GETKRTSFUT6126</v>
      </c>
      <c r="AF347" s="10" t="str">
        <f t="shared" si="24"/>
        <v>OFF WHITE</v>
      </c>
      <c r="AG347" s="11" t="str">
        <f t="shared" si="25"/>
        <v>Bangalore</v>
      </c>
      <c r="AH347" s="9" t="str">
        <f>IF(OR(J347="",AE347="",AE347="NOT FOUND"),"",IF(Y347="RP",IFERROR(LEFT(_xlfn.XLOOKUP(AE347,Sheet1!$F:$F,Sheet1!$W:$W),FIND("-",_xlfn.XLOOKUP(AE347,Sheet1!$F:$F,Sheet1!$W:$W),FIND("-",_xlfn.XLOOKUP(AE347,Sheet1!$F:$F,Sheet1!$W:$W))+1))&amp;AE347,"NOT FOUND"),LEFT(J347,FIND("-",J347,FIND("-",J347)+1))&amp;AE347))</f>
        <v>KRTS-APWN26-GETKRTSFUT6126</v>
      </c>
    </row>
    <row r="348" spans="1:34" ht="15.75" customHeight="1" x14ac:dyDescent="0.2">
      <c r="A348" s="4" t="s">
        <v>30</v>
      </c>
      <c r="B348" s="4" t="s">
        <v>514</v>
      </c>
      <c r="C348" s="4" t="s">
        <v>488</v>
      </c>
      <c r="D348" s="4" t="s">
        <v>506</v>
      </c>
      <c r="E348" s="4" t="s">
        <v>34</v>
      </c>
      <c r="F348" s="4" t="s">
        <v>35</v>
      </c>
      <c r="G348" s="4" t="s">
        <v>36</v>
      </c>
      <c r="H348" s="4" t="s">
        <v>515</v>
      </c>
      <c r="I348" s="4" t="s">
        <v>516</v>
      </c>
      <c r="J348" s="4" t="s">
        <v>517</v>
      </c>
      <c r="L348" s="4" t="s">
        <v>40</v>
      </c>
      <c r="M348" s="4">
        <v>1</v>
      </c>
      <c r="N348" s="4">
        <v>332</v>
      </c>
      <c r="O348" s="4">
        <v>332</v>
      </c>
      <c r="P348" s="4" t="s">
        <v>41</v>
      </c>
      <c r="Q348" s="4">
        <v>1623.5</v>
      </c>
      <c r="R348" s="4">
        <v>1623.5</v>
      </c>
      <c r="S348" s="4">
        <v>26950.1</v>
      </c>
      <c r="T348" s="4">
        <v>539002</v>
      </c>
      <c r="U348" s="4">
        <v>5</v>
      </c>
      <c r="V348" s="4" t="s">
        <v>42</v>
      </c>
      <c r="X348" s="7" t="str">
        <f t="shared" si="15"/>
        <v>441811096</v>
      </c>
      <c r="Y348" s="8" t="str">
        <f t="shared" si="16"/>
        <v>RP</v>
      </c>
      <c r="Z348" s="8">
        <f t="shared" si="17"/>
        <v>332</v>
      </c>
      <c r="AA348" s="8">
        <f t="shared" si="18"/>
        <v>332</v>
      </c>
      <c r="AB348" s="8">
        <f t="shared" si="19"/>
        <v>332</v>
      </c>
      <c r="AC348" s="8">
        <f t="shared" si="20"/>
        <v>332</v>
      </c>
      <c r="AD348" s="8">
        <f t="shared" si="21"/>
        <v>332</v>
      </c>
      <c r="AE348" s="9" t="str" cm="1">
        <f t="array" ref="AE348">IFERROR(_xlfn.XLOOKUP(H348,Sheet1!$G:$G,Sheet1!$F:$F),IFERROR(_xlfn.XLOOKUP(1,(--($X$2:$X$1074=X348))*(--ISNUMBER(MATCH($H$2:$H$1074,Sheet1!$G:$G,0))),_xlfn.XLOOKUP($H$2:$H$1074,Sheet1!$G:$G,Sheet1!$F:$F,"")),"NOT FOUND"))</f>
        <v>GETKRTSFUT6087</v>
      </c>
      <c r="AF348" s="10" t="str">
        <f t="shared" si="24"/>
        <v>CORAL</v>
      </c>
      <c r="AG348" s="11" t="str">
        <f t="shared" si="25"/>
        <v>Bangalore</v>
      </c>
      <c r="AH348" s="9" t="str">
        <f>IF(OR(J348="",AE348="",AE348="NOT FOUND"),"",IF(Y348="RP",IFERROR(LEFT(_xlfn.XLOOKUP(AE348,Sheet1!$F:$F,Sheet1!$W:$W),FIND("-",_xlfn.XLOOKUP(AE348,Sheet1!$F:$F,Sheet1!$W:$W),FIND("-",_xlfn.XLOOKUP(AE348,Sheet1!$F:$F,Sheet1!$W:$W))+1))&amp;AE348,"NOT FOUND"),LEFT(J348,FIND("-",J348,FIND("-",J348)+1))&amp;AE348))</f>
        <v>KRTS-APWN26-GETKRTSFUT6087</v>
      </c>
    </row>
    <row r="349" spans="1:34" ht="15.75" customHeight="1" x14ac:dyDescent="0.2">
      <c r="A349" s="4" t="s">
        <v>30</v>
      </c>
      <c r="B349" s="4" t="s">
        <v>518</v>
      </c>
      <c r="C349" s="4" t="s">
        <v>488</v>
      </c>
      <c r="D349" s="4" t="s">
        <v>519</v>
      </c>
      <c r="E349" s="4" t="s">
        <v>34</v>
      </c>
      <c r="F349" s="4" t="s">
        <v>35</v>
      </c>
      <c r="G349" s="4" t="s">
        <v>36</v>
      </c>
      <c r="H349" s="4" t="s">
        <v>520</v>
      </c>
      <c r="I349" s="4" t="s">
        <v>521</v>
      </c>
      <c r="J349" s="4" t="s">
        <v>522</v>
      </c>
      <c r="L349" s="4" t="s">
        <v>40</v>
      </c>
      <c r="M349" s="4">
        <v>1</v>
      </c>
      <c r="N349" s="4">
        <v>332</v>
      </c>
      <c r="O349" s="4">
        <v>332</v>
      </c>
      <c r="P349" s="4" t="s">
        <v>41</v>
      </c>
      <c r="Q349" s="4">
        <v>1573.5</v>
      </c>
      <c r="R349" s="4">
        <v>1573.5</v>
      </c>
      <c r="S349" s="4">
        <v>26120.1</v>
      </c>
      <c r="T349" s="4">
        <v>522402</v>
      </c>
      <c r="U349" s="4">
        <v>5</v>
      </c>
      <c r="V349" s="4" t="s">
        <v>42</v>
      </c>
      <c r="X349" s="7" t="str">
        <f t="shared" si="15"/>
        <v>441811508</v>
      </c>
      <c r="Y349" s="8" t="str">
        <f t="shared" si="16"/>
        <v>RP</v>
      </c>
      <c r="Z349" s="8">
        <f t="shared" si="17"/>
        <v>332</v>
      </c>
      <c r="AA349" s="8">
        <f t="shared" si="18"/>
        <v>332</v>
      </c>
      <c r="AB349" s="8">
        <f t="shared" si="19"/>
        <v>332</v>
      </c>
      <c r="AC349" s="8">
        <f t="shared" si="20"/>
        <v>332</v>
      </c>
      <c r="AD349" s="8">
        <f t="shared" si="21"/>
        <v>332</v>
      </c>
      <c r="AE349" s="9" t="str" cm="1">
        <f t="array" ref="AE349">IFERROR(_xlfn.XLOOKUP(H349,Sheet1!$G:$G,Sheet1!$F:$F),IFERROR(_xlfn.XLOOKUP(1,(--($X$2:$X$1074=X349))*(--ISNUMBER(MATCH($H$2:$H$1074,Sheet1!$G:$G,0))),_xlfn.XLOOKUP($H$2:$H$1074,Sheet1!$G:$G,Sheet1!$F:$F,"")),"NOT FOUND"))</f>
        <v>GETKRTSFUT6125</v>
      </c>
      <c r="AF349" s="10" t="str">
        <f t="shared" si="24"/>
        <v>OFF WHITE</v>
      </c>
      <c r="AG349" s="11" t="str">
        <f t="shared" si="25"/>
        <v>Bangalore</v>
      </c>
      <c r="AH349" s="9" t="str">
        <f>IF(OR(J349="",AE349="",AE349="NOT FOUND"),"",IF(Y349="RP",IFERROR(LEFT(_xlfn.XLOOKUP(AE349,Sheet1!$F:$F,Sheet1!$W:$W),FIND("-",_xlfn.XLOOKUP(AE349,Sheet1!$F:$F,Sheet1!$W:$W),FIND("-",_xlfn.XLOOKUP(AE349,Sheet1!$F:$F,Sheet1!$W:$W))+1))&amp;AE349,"NOT FOUND"),LEFT(J349,FIND("-",J349,FIND("-",J349)+1))&amp;AE349))</f>
        <v>KRTS-APWN26-GETKRTSFUT6125</v>
      </c>
    </row>
    <row r="350" spans="1:34" ht="15.75" customHeight="1" x14ac:dyDescent="0.2">
      <c r="A350" s="4" t="s">
        <v>30</v>
      </c>
      <c r="B350" s="4" t="s">
        <v>523</v>
      </c>
      <c r="C350" s="4" t="s">
        <v>488</v>
      </c>
      <c r="D350" s="4" t="s">
        <v>519</v>
      </c>
      <c r="E350" s="4" t="s">
        <v>34</v>
      </c>
      <c r="F350" s="4" t="s">
        <v>35</v>
      </c>
      <c r="G350" s="4" t="s">
        <v>36</v>
      </c>
      <c r="H350" s="4" t="s">
        <v>524</v>
      </c>
      <c r="I350" s="4" t="s">
        <v>525</v>
      </c>
      <c r="J350" s="4" t="s">
        <v>526</v>
      </c>
      <c r="L350" s="4" t="s">
        <v>40</v>
      </c>
      <c r="M350" s="4">
        <v>1</v>
      </c>
      <c r="N350" s="4">
        <v>332</v>
      </c>
      <c r="O350" s="4">
        <v>332</v>
      </c>
      <c r="P350" s="4" t="s">
        <v>41</v>
      </c>
      <c r="Q350" s="4">
        <v>1548.5</v>
      </c>
      <c r="R350" s="4">
        <v>1548.5</v>
      </c>
      <c r="S350" s="4">
        <v>25705.1</v>
      </c>
      <c r="T350" s="4">
        <v>514102</v>
      </c>
      <c r="U350" s="4">
        <v>5</v>
      </c>
      <c r="V350" s="4" t="s">
        <v>42</v>
      </c>
      <c r="X350" s="7" t="str">
        <f t="shared" si="15"/>
        <v>441811102</v>
      </c>
      <c r="Y350" s="8" t="str">
        <f t="shared" si="16"/>
        <v>RP</v>
      </c>
      <c r="Z350" s="8">
        <f t="shared" si="17"/>
        <v>332</v>
      </c>
      <c r="AA350" s="8">
        <f t="shared" si="18"/>
        <v>332</v>
      </c>
      <c r="AB350" s="8">
        <f t="shared" si="19"/>
        <v>332</v>
      </c>
      <c r="AC350" s="8">
        <f t="shared" si="20"/>
        <v>332</v>
      </c>
      <c r="AD350" s="8">
        <f t="shared" si="21"/>
        <v>332</v>
      </c>
      <c r="AE350" s="9" t="str" cm="1">
        <f t="array" ref="AE350">IFERROR(_xlfn.XLOOKUP(H350,Sheet1!$G:$G,Sheet1!$F:$F),IFERROR(_xlfn.XLOOKUP(1,(--($X$2:$X$1074=X350))*(--ISNUMBER(MATCH($H$2:$H$1074,Sheet1!$G:$G,0))),_xlfn.XLOOKUP($H$2:$H$1074,Sheet1!$G:$G,Sheet1!$F:$F,"")),"NOT FOUND"))</f>
        <v>GETKRTSFUT6105</v>
      </c>
      <c r="AF350" s="10" t="str">
        <f t="shared" si="24"/>
        <v>MUSTARD</v>
      </c>
      <c r="AG350" s="11" t="str">
        <f t="shared" si="25"/>
        <v>Bangalore</v>
      </c>
      <c r="AH350" s="9" t="str">
        <f>IF(OR(J350="",AE350="",AE350="NOT FOUND"),"",IF(Y350="RP",IFERROR(LEFT(_xlfn.XLOOKUP(AE350,Sheet1!$F:$F,Sheet1!$W:$W),FIND("-",_xlfn.XLOOKUP(AE350,Sheet1!$F:$F,Sheet1!$W:$W),FIND("-",_xlfn.XLOOKUP(AE350,Sheet1!$F:$F,Sheet1!$W:$W))+1))&amp;AE350,"NOT FOUND"),LEFT(J350,FIND("-",J350,FIND("-",J350)+1))&amp;AE350))</f>
        <v>KRTS-APWN26-GETKRTSFUT6105</v>
      </c>
    </row>
    <row r="351" spans="1:34" ht="15.75" customHeight="1" x14ac:dyDescent="0.2">
      <c r="A351" s="4" t="s">
        <v>30</v>
      </c>
      <c r="B351" s="4" t="s">
        <v>527</v>
      </c>
      <c r="C351" s="4" t="s">
        <v>488</v>
      </c>
      <c r="D351" s="4" t="s">
        <v>519</v>
      </c>
      <c r="E351" s="4" t="s">
        <v>34</v>
      </c>
      <c r="F351" s="4" t="s">
        <v>35</v>
      </c>
      <c r="G351" s="4" t="s">
        <v>36</v>
      </c>
      <c r="H351" s="4" t="s">
        <v>528</v>
      </c>
      <c r="I351" s="4" t="s">
        <v>529</v>
      </c>
      <c r="J351" s="4" t="s">
        <v>530</v>
      </c>
      <c r="L351" s="4" t="s">
        <v>40</v>
      </c>
      <c r="M351" s="4">
        <v>1</v>
      </c>
      <c r="N351" s="4">
        <v>332</v>
      </c>
      <c r="O351" s="4">
        <v>332</v>
      </c>
      <c r="P351" s="4" t="s">
        <v>41</v>
      </c>
      <c r="Q351" s="4">
        <v>1563.5</v>
      </c>
      <c r="R351" s="4">
        <v>1563.5</v>
      </c>
      <c r="S351" s="4">
        <v>25954.1</v>
      </c>
      <c r="T351" s="4">
        <v>519082</v>
      </c>
      <c r="U351" s="4">
        <v>5</v>
      </c>
      <c r="V351" s="4" t="s">
        <v>42</v>
      </c>
      <c r="X351" s="7" t="str">
        <f t="shared" si="15"/>
        <v>441811108</v>
      </c>
      <c r="Y351" s="8" t="str">
        <f t="shared" si="16"/>
        <v>RP</v>
      </c>
      <c r="Z351" s="8">
        <f t="shared" si="17"/>
        <v>332</v>
      </c>
      <c r="AA351" s="8">
        <f t="shared" si="18"/>
        <v>332</v>
      </c>
      <c r="AB351" s="8">
        <f t="shared" si="19"/>
        <v>332</v>
      </c>
      <c r="AC351" s="8">
        <f t="shared" si="20"/>
        <v>332</v>
      </c>
      <c r="AD351" s="8">
        <f t="shared" si="21"/>
        <v>332</v>
      </c>
      <c r="AE351" s="9" t="str" cm="1">
        <f t="array" ref="AE351">IFERROR(_xlfn.XLOOKUP(H351,Sheet1!$G:$G,Sheet1!$F:$F),IFERROR(_xlfn.XLOOKUP(1,(--($X$2:$X$1074=X351))*(--ISNUMBER(MATCH($H$2:$H$1074,Sheet1!$G:$G,0))),_xlfn.XLOOKUP($H$2:$H$1074,Sheet1!$G:$G,Sheet1!$F:$F,"")),"NOT FOUND"))</f>
        <v>GETKRTSFUT6210</v>
      </c>
      <c r="AF351" s="10" t="str">
        <f t="shared" si="24"/>
        <v>GOLD</v>
      </c>
      <c r="AG351" s="11" t="str">
        <f t="shared" si="25"/>
        <v>Bangalore</v>
      </c>
      <c r="AH351" s="9" t="str">
        <f>IF(OR(J351="",AE351="",AE351="NOT FOUND"),"",IF(Y351="RP",IFERROR(LEFT(_xlfn.XLOOKUP(AE351,Sheet1!$F:$F,Sheet1!$W:$W),FIND("-",_xlfn.XLOOKUP(AE351,Sheet1!$F:$F,Sheet1!$W:$W),FIND("-",_xlfn.XLOOKUP(AE351,Sheet1!$F:$F,Sheet1!$W:$W))+1))&amp;AE351,"NOT FOUND"),LEFT(J351,FIND("-",J351,FIND("-",J351)+1))&amp;AE351))</f>
        <v>KRTS-APWN26-GETKRTSFUT6210</v>
      </c>
    </row>
    <row r="352" spans="1:34" ht="15.75" customHeight="1" x14ac:dyDescent="0.2">
      <c r="A352" s="4" t="s">
        <v>30</v>
      </c>
      <c r="B352" s="4" t="s">
        <v>531</v>
      </c>
      <c r="C352" s="4" t="s">
        <v>488</v>
      </c>
      <c r="D352" s="4" t="s">
        <v>519</v>
      </c>
      <c r="E352" s="4" t="s">
        <v>34</v>
      </c>
      <c r="F352" s="4" t="s">
        <v>35</v>
      </c>
      <c r="G352" s="4" t="s">
        <v>36</v>
      </c>
      <c r="H352" s="4" t="s">
        <v>532</v>
      </c>
      <c r="I352" s="4" t="s">
        <v>533</v>
      </c>
      <c r="J352" s="4" t="s">
        <v>534</v>
      </c>
      <c r="L352" s="4" t="s">
        <v>40</v>
      </c>
      <c r="M352" s="4">
        <v>1</v>
      </c>
      <c r="N352" s="4">
        <v>332</v>
      </c>
      <c r="O352" s="4">
        <v>332</v>
      </c>
      <c r="P352" s="4" t="s">
        <v>41</v>
      </c>
      <c r="Q352" s="4">
        <v>1623.5</v>
      </c>
      <c r="R352" s="4">
        <v>1623.5</v>
      </c>
      <c r="S352" s="4">
        <v>26950.1</v>
      </c>
      <c r="T352" s="4">
        <v>539002</v>
      </c>
      <c r="U352" s="4">
        <v>5</v>
      </c>
      <c r="V352" s="4" t="s">
        <v>42</v>
      </c>
      <c r="X352" s="7" t="str">
        <f t="shared" si="15"/>
        <v>441811095</v>
      </c>
      <c r="Y352" s="8" t="str">
        <f t="shared" si="16"/>
        <v>RP</v>
      </c>
      <c r="Z352" s="8">
        <f t="shared" si="17"/>
        <v>332</v>
      </c>
      <c r="AA352" s="8">
        <f t="shared" si="18"/>
        <v>332</v>
      </c>
      <c r="AB352" s="8">
        <f t="shared" si="19"/>
        <v>332</v>
      </c>
      <c r="AC352" s="8">
        <f t="shared" si="20"/>
        <v>332</v>
      </c>
      <c r="AD352" s="8">
        <f t="shared" si="21"/>
        <v>332</v>
      </c>
      <c r="AE352" s="9" t="str" cm="1">
        <f t="array" ref="AE352">IFERROR(_xlfn.XLOOKUP(H352,Sheet1!$G:$G,Sheet1!$F:$F),IFERROR(_xlfn.XLOOKUP(1,(--($X$2:$X$1074=X352))*(--ISNUMBER(MATCH($H$2:$H$1074,Sheet1!$G:$G,0))),_xlfn.XLOOKUP($H$2:$H$1074,Sheet1!$G:$G,Sheet1!$F:$F,"")),"NOT FOUND"))</f>
        <v>GETKRTSFUT6012</v>
      </c>
      <c r="AF352" s="10" t="str">
        <f t="shared" si="24"/>
        <v>MAROON</v>
      </c>
      <c r="AG352" s="11" t="str">
        <f t="shared" si="25"/>
        <v>Bangalore</v>
      </c>
      <c r="AH352" s="9" t="str">
        <f>IF(OR(J352="",AE352="",AE352="NOT FOUND"),"",IF(Y352="RP",IFERROR(LEFT(_xlfn.XLOOKUP(AE352,Sheet1!$F:$F,Sheet1!$W:$W),FIND("-",_xlfn.XLOOKUP(AE352,Sheet1!$F:$F,Sheet1!$W:$W),FIND("-",_xlfn.XLOOKUP(AE352,Sheet1!$F:$F,Sheet1!$W:$W))+1))&amp;AE352,"NOT FOUND"),LEFT(J352,FIND("-",J352,FIND("-",J352)+1))&amp;AE352))</f>
        <v>KRTS-APWN26-GETKRTSFUT6012</v>
      </c>
    </row>
    <row r="353" spans="1:34" ht="15.75" customHeight="1" x14ac:dyDescent="0.2">
      <c r="A353" s="4" t="s">
        <v>59</v>
      </c>
      <c r="B353" s="4" t="s">
        <v>535</v>
      </c>
      <c r="C353" s="4" t="s">
        <v>488</v>
      </c>
      <c r="D353" s="4" t="s">
        <v>489</v>
      </c>
      <c r="E353" s="4" t="s">
        <v>34</v>
      </c>
      <c r="F353" s="4" t="s">
        <v>35</v>
      </c>
      <c r="G353" s="4" t="s">
        <v>36</v>
      </c>
      <c r="H353" s="4" t="s">
        <v>490</v>
      </c>
      <c r="I353" s="4" t="s">
        <v>491</v>
      </c>
      <c r="J353" s="4" t="s">
        <v>492</v>
      </c>
      <c r="L353" s="4" t="s">
        <v>40</v>
      </c>
      <c r="M353" s="4">
        <v>1</v>
      </c>
      <c r="N353" s="4">
        <v>208</v>
      </c>
      <c r="O353" s="4">
        <v>208</v>
      </c>
      <c r="P353" s="4" t="s">
        <v>41</v>
      </c>
      <c r="Q353" s="4">
        <v>1598.5</v>
      </c>
      <c r="R353" s="4">
        <v>1598.5</v>
      </c>
      <c r="S353" s="4">
        <v>16624.400000000001</v>
      </c>
      <c r="T353" s="4">
        <v>332488</v>
      </c>
      <c r="U353" s="4">
        <v>5</v>
      </c>
      <c r="V353" s="4" t="s">
        <v>42</v>
      </c>
      <c r="X353" s="7" t="str">
        <f t="shared" si="15"/>
        <v>441811105</v>
      </c>
      <c r="Y353" s="8" t="str">
        <f t="shared" si="16"/>
        <v>RP</v>
      </c>
      <c r="Z353" s="8">
        <f t="shared" si="17"/>
        <v>208</v>
      </c>
      <c r="AA353" s="8">
        <f t="shared" si="18"/>
        <v>208</v>
      </c>
      <c r="AB353" s="8">
        <f t="shared" si="19"/>
        <v>208</v>
      </c>
      <c r="AC353" s="8">
        <f t="shared" si="20"/>
        <v>208</v>
      </c>
      <c r="AD353" s="8">
        <f t="shared" si="21"/>
        <v>208</v>
      </c>
      <c r="AE353" s="9" t="str" cm="1">
        <f t="array" ref="AE353">IFERROR(_xlfn.XLOOKUP(H353,Sheet1!$G:$G,Sheet1!$F:$F),IFERROR(_xlfn.XLOOKUP(1,(--($X$2:$X$1074=X353))*(--ISNUMBER(MATCH($H$2:$H$1074,Sheet1!$G:$G,0))),_xlfn.XLOOKUP($H$2:$H$1074,Sheet1!$G:$G,Sheet1!$F:$F,"")),"NOT FOUND"))</f>
        <v>GETKRTSFUT6203</v>
      </c>
      <c r="AF353" s="10" t="str">
        <f t="shared" si="24"/>
        <v>BLACK</v>
      </c>
      <c r="AG353" s="11" t="str">
        <f t="shared" si="25"/>
        <v>JHAJJAR</v>
      </c>
      <c r="AH353" s="9" t="str">
        <f>IF(OR(J353="",AE353="",AE353="NOT FOUND"),"",IF(Y353="RP",IFERROR(LEFT(_xlfn.XLOOKUP(AE353,Sheet1!$F:$F,Sheet1!$W:$W),FIND("-",_xlfn.XLOOKUP(AE353,Sheet1!$F:$F,Sheet1!$W:$W),FIND("-",_xlfn.XLOOKUP(AE353,Sheet1!$F:$F,Sheet1!$W:$W))+1))&amp;AE353,"NOT FOUND"),LEFT(J353,FIND("-",J353,FIND("-",J353)+1))&amp;AE353))</f>
        <v>KRTS-APWN26-GETKRTSFUT6203</v>
      </c>
    </row>
    <row r="354" spans="1:34" ht="15.75" customHeight="1" x14ac:dyDescent="0.2">
      <c r="A354" s="4" t="s">
        <v>59</v>
      </c>
      <c r="B354" s="4" t="s">
        <v>536</v>
      </c>
      <c r="C354" s="4" t="s">
        <v>488</v>
      </c>
      <c r="D354" s="4" t="s">
        <v>455</v>
      </c>
      <c r="E354" s="4" t="s">
        <v>34</v>
      </c>
      <c r="F354" s="4" t="s">
        <v>35</v>
      </c>
      <c r="G354" s="4" t="s">
        <v>36</v>
      </c>
      <c r="H354" s="4" t="s">
        <v>494</v>
      </c>
      <c r="I354" s="4" t="s">
        <v>495</v>
      </c>
      <c r="J354" s="4" t="s">
        <v>496</v>
      </c>
      <c r="L354" s="4" t="s">
        <v>40</v>
      </c>
      <c r="M354" s="4">
        <v>1</v>
      </c>
      <c r="N354" s="4">
        <v>208</v>
      </c>
      <c r="O354" s="4">
        <v>208</v>
      </c>
      <c r="P354" s="4" t="s">
        <v>41</v>
      </c>
      <c r="Q354" s="4">
        <v>1523.5</v>
      </c>
      <c r="R354" s="4">
        <v>1523.5</v>
      </c>
      <c r="S354" s="4">
        <v>15844.4</v>
      </c>
      <c r="T354" s="4">
        <v>316888</v>
      </c>
      <c r="U354" s="4">
        <v>5</v>
      </c>
      <c r="V354" s="4" t="s">
        <v>42</v>
      </c>
      <c r="X354" s="7" t="str">
        <f t="shared" si="15"/>
        <v>441811098</v>
      </c>
      <c r="Y354" s="8" t="str">
        <f t="shared" si="16"/>
        <v>RP</v>
      </c>
      <c r="Z354" s="8">
        <f t="shared" si="17"/>
        <v>208</v>
      </c>
      <c r="AA354" s="8">
        <f t="shared" si="18"/>
        <v>208</v>
      </c>
      <c r="AB354" s="8">
        <f t="shared" si="19"/>
        <v>208</v>
      </c>
      <c r="AC354" s="8">
        <f t="shared" si="20"/>
        <v>208</v>
      </c>
      <c r="AD354" s="8">
        <f t="shared" si="21"/>
        <v>208</v>
      </c>
      <c r="AE354" s="9" t="str" cm="1">
        <f t="array" ref="AE354">IFERROR(_xlfn.XLOOKUP(H354,Sheet1!$G:$G,Sheet1!$F:$F),IFERROR(_xlfn.XLOOKUP(1,(--($X$2:$X$1074=X354))*(--ISNUMBER(MATCH($H$2:$H$1074,Sheet1!$G:$G,0))),_xlfn.XLOOKUP($H$2:$H$1074,Sheet1!$G:$G,Sheet1!$F:$F,"")),"NOT FOUND"))</f>
        <v>GETKRTSFUT6098</v>
      </c>
      <c r="AF354" s="10" t="str">
        <f t="shared" si="24"/>
        <v>MAROON</v>
      </c>
      <c r="AG354" s="11" t="str">
        <f t="shared" si="25"/>
        <v>JHAJJAR</v>
      </c>
      <c r="AH354" s="9" t="str">
        <f>IF(OR(J354="",AE354="",AE354="NOT FOUND"),"",IF(Y354="RP",IFERROR(LEFT(_xlfn.XLOOKUP(AE354,Sheet1!$F:$F,Sheet1!$W:$W),FIND("-",_xlfn.XLOOKUP(AE354,Sheet1!$F:$F,Sheet1!$W:$W),FIND("-",_xlfn.XLOOKUP(AE354,Sheet1!$F:$F,Sheet1!$W:$W))+1))&amp;AE354,"NOT FOUND"),LEFT(J354,FIND("-",J354,FIND("-",J354)+1))&amp;AE354))</f>
        <v>KRTS-APWN26-GETKRTSFUT6098</v>
      </c>
    </row>
    <row r="355" spans="1:34" ht="15.75" customHeight="1" x14ac:dyDescent="0.2">
      <c r="A355" s="4" t="s">
        <v>59</v>
      </c>
      <c r="B355" s="4" t="s">
        <v>537</v>
      </c>
      <c r="C355" s="4" t="s">
        <v>488</v>
      </c>
      <c r="D355" s="4" t="s">
        <v>455</v>
      </c>
      <c r="E355" s="4" t="s">
        <v>34</v>
      </c>
      <c r="F355" s="4" t="s">
        <v>35</v>
      </c>
      <c r="G355" s="4" t="s">
        <v>36</v>
      </c>
      <c r="H355" s="4" t="s">
        <v>502</v>
      </c>
      <c r="I355" s="4" t="s">
        <v>503</v>
      </c>
      <c r="J355" s="4" t="s">
        <v>504</v>
      </c>
      <c r="L355" s="4" t="s">
        <v>40</v>
      </c>
      <c r="M355" s="4">
        <v>1</v>
      </c>
      <c r="N355" s="4">
        <v>208</v>
      </c>
      <c r="O355" s="4">
        <v>208</v>
      </c>
      <c r="P355" s="4" t="s">
        <v>41</v>
      </c>
      <c r="Q355" s="4">
        <v>1563.5</v>
      </c>
      <c r="R355" s="4">
        <v>1563.5</v>
      </c>
      <c r="S355" s="4">
        <v>16260.4</v>
      </c>
      <c r="T355" s="4">
        <v>325208</v>
      </c>
      <c r="U355" s="4">
        <v>5</v>
      </c>
      <c r="V355" s="4" t="s">
        <v>42</v>
      </c>
      <c r="X355" s="7" t="str">
        <f t="shared" si="15"/>
        <v>441811099</v>
      </c>
      <c r="Y355" s="8" t="str">
        <f t="shared" si="16"/>
        <v>RP</v>
      </c>
      <c r="Z355" s="8">
        <f t="shared" si="17"/>
        <v>208</v>
      </c>
      <c r="AA355" s="8">
        <f t="shared" si="18"/>
        <v>208</v>
      </c>
      <c r="AB355" s="8">
        <f t="shared" si="19"/>
        <v>208</v>
      </c>
      <c r="AC355" s="8">
        <f t="shared" si="20"/>
        <v>208</v>
      </c>
      <c r="AD355" s="8">
        <f t="shared" si="21"/>
        <v>208</v>
      </c>
      <c r="AE355" s="9" t="str" cm="1">
        <f t="array" ref="AE355">IFERROR(_xlfn.XLOOKUP(H355,Sheet1!$G:$G,Sheet1!$F:$F),IFERROR(_xlfn.XLOOKUP(1,(--($X$2:$X$1074=X355))*(--ISNUMBER(MATCH($H$2:$H$1074,Sheet1!$G:$G,0))),_xlfn.XLOOKUP($H$2:$H$1074,Sheet1!$G:$G,Sheet1!$F:$F,"")),"NOT FOUND"))</f>
        <v>GETKRTSFUT6100</v>
      </c>
      <c r="AF355" s="10" t="str">
        <f t="shared" si="24"/>
        <v>MUSTARD</v>
      </c>
      <c r="AG355" s="11" t="str">
        <f t="shared" si="25"/>
        <v>JHAJJAR</v>
      </c>
      <c r="AH355" s="9" t="str">
        <f>IF(OR(J355="",AE355="",AE355="NOT FOUND"),"",IF(Y355="RP",IFERROR(LEFT(_xlfn.XLOOKUP(AE355,Sheet1!$F:$F,Sheet1!$W:$W),FIND("-",_xlfn.XLOOKUP(AE355,Sheet1!$F:$F,Sheet1!$W:$W),FIND("-",_xlfn.XLOOKUP(AE355,Sheet1!$F:$F,Sheet1!$W:$W))+1))&amp;AE355,"NOT FOUND"),LEFT(J355,FIND("-",J355,FIND("-",J355)+1))&amp;AE355))</f>
        <v>KRTS-APWN26-GETKRTSFUT6100</v>
      </c>
    </row>
    <row r="356" spans="1:34" ht="15.75" customHeight="1" x14ac:dyDescent="0.2">
      <c r="A356" s="4" t="s">
        <v>59</v>
      </c>
      <c r="B356" s="4" t="s">
        <v>538</v>
      </c>
      <c r="C356" s="4" t="s">
        <v>488</v>
      </c>
      <c r="D356" s="4" t="s">
        <v>455</v>
      </c>
      <c r="E356" s="4" t="s">
        <v>34</v>
      </c>
      <c r="F356" s="4" t="s">
        <v>35</v>
      </c>
      <c r="G356" s="4" t="s">
        <v>36</v>
      </c>
      <c r="H356" s="4" t="s">
        <v>498</v>
      </c>
      <c r="I356" s="4" t="s">
        <v>499</v>
      </c>
      <c r="J356" s="4" t="s">
        <v>500</v>
      </c>
      <c r="L356" s="4" t="s">
        <v>40</v>
      </c>
      <c r="M356" s="4">
        <v>1</v>
      </c>
      <c r="N356" s="4">
        <v>208</v>
      </c>
      <c r="O356" s="4">
        <v>208</v>
      </c>
      <c r="P356" s="4" t="s">
        <v>41</v>
      </c>
      <c r="Q356" s="4">
        <v>1523.5</v>
      </c>
      <c r="R356" s="4">
        <v>1523.5</v>
      </c>
      <c r="S356" s="4">
        <v>15844.4</v>
      </c>
      <c r="T356" s="4">
        <v>316888</v>
      </c>
      <c r="U356" s="4">
        <v>5</v>
      </c>
      <c r="V356" s="4" t="s">
        <v>42</v>
      </c>
      <c r="X356" s="7" t="str">
        <f t="shared" si="15"/>
        <v>441811098</v>
      </c>
      <c r="Y356" s="8" t="str">
        <f t="shared" si="16"/>
        <v>RP</v>
      </c>
      <c r="Z356" s="8">
        <f t="shared" si="17"/>
        <v>208</v>
      </c>
      <c r="AA356" s="8">
        <f t="shared" si="18"/>
        <v>208</v>
      </c>
      <c r="AB356" s="8">
        <f t="shared" si="19"/>
        <v>208</v>
      </c>
      <c r="AC356" s="8">
        <f t="shared" si="20"/>
        <v>208</v>
      </c>
      <c r="AD356" s="8">
        <f t="shared" si="21"/>
        <v>208</v>
      </c>
      <c r="AE356" s="9" t="str" cm="1">
        <f t="array" ref="AE356">IFERROR(_xlfn.XLOOKUP(H356,Sheet1!$G:$G,Sheet1!$F:$F),IFERROR(_xlfn.XLOOKUP(1,(--($X$2:$X$1074=X356))*(--ISNUMBER(MATCH($H$2:$H$1074,Sheet1!$G:$G,0))),_xlfn.XLOOKUP($H$2:$H$1074,Sheet1!$G:$G,Sheet1!$F:$F,"")),"NOT FOUND"))</f>
        <v>GETKRTSFUT6098</v>
      </c>
      <c r="AF356" s="10" t="str">
        <f t="shared" si="24"/>
        <v>MUSTARD</v>
      </c>
      <c r="AG356" s="11" t="str">
        <f t="shared" si="25"/>
        <v>JHAJJAR</v>
      </c>
      <c r="AH356" s="9" t="str">
        <f>IF(OR(J356="",AE356="",AE356="NOT FOUND"),"",IF(Y356="RP",IFERROR(LEFT(_xlfn.XLOOKUP(AE356,Sheet1!$F:$F,Sheet1!$W:$W),FIND("-",_xlfn.XLOOKUP(AE356,Sheet1!$F:$F,Sheet1!$W:$W),FIND("-",_xlfn.XLOOKUP(AE356,Sheet1!$F:$F,Sheet1!$W:$W))+1))&amp;AE356,"NOT FOUND"),LEFT(J356,FIND("-",J356,FIND("-",J356)+1))&amp;AE356))</f>
        <v>KRTS-APWN26-GETKRTSFUT6098</v>
      </c>
    </row>
    <row r="357" spans="1:34" ht="15.75" customHeight="1" x14ac:dyDescent="0.2">
      <c r="A357" s="4" t="s">
        <v>59</v>
      </c>
      <c r="B357" s="4" t="s">
        <v>539</v>
      </c>
      <c r="C357" s="4" t="s">
        <v>488</v>
      </c>
      <c r="D357" s="4" t="s">
        <v>506</v>
      </c>
      <c r="E357" s="4" t="s">
        <v>34</v>
      </c>
      <c r="F357" s="4" t="s">
        <v>35</v>
      </c>
      <c r="G357" s="4" t="s">
        <v>36</v>
      </c>
      <c r="H357" s="4" t="s">
        <v>515</v>
      </c>
      <c r="I357" s="4" t="s">
        <v>516</v>
      </c>
      <c r="J357" s="4" t="s">
        <v>517</v>
      </c>
      <c r="L357" s="4" t="s">
        <v>40</v>
      </c>
      <c r="M357" s="4">
        <v>1</v>
      </c>
      <c r="N357" s="4">
        <v>208</v>
      </c>
      <c r="O357" s="4">
        <v>208</v>
      </c>
      <c r="P357" s="4" t="s">
        <v>41</v>
      </c>
      <c r="Q357" s="4">
        <v>1623.5</v>
      </c>
      <c r="R357" s="4">
        <v>1623.5</v>
      </c>
      <c r="S357" s="4">
        <v>16884.400000000001</v>
      </c>
      <c r="T357" s="4">
        <v>337688</v>
      </c>
      <c r="U357" s="4">
        <v>5</v>
      </c>
      <c r="V357" s="4" t="s">
        <v>42</v>
      </c>
      <c r="X357" s="7" t="str">
        <f t="shared" si="15"/>
        <v>441811096</v>
      </c>
      <c r="Y357" s="8" t="str">
        <f t="shared" si="16"/>
        <v>RP</v>
      </c>
      <c r="Z357" s="8">
        <f t="shared" si="17"/>
        <v>208</v>
      </c>
      <c r="AA357" s="8">
        <f t="shared" si="18"/>
        <v>208</v>
      </c>
      <c r="AB357" s="8">
        <f t="shared" si="19"/>
        <v>208</v>
      </c>
      <c r="AC357" s="8">
        <f t="shared" si="20"/>
        <v>208</v>
      </c>
      <c r="AD357" s="8">
        <f t="shared" si="21"/>
        <v>208</v>
      </c>
      <c r="AE357" s="9" t="str" cm="1">
        <f t="array" ref="AE357">IFERROR(_xlfn.XLOOKUP(H357,Sheet1!$G:$G,Sheet1!$F:$F),IFERROR(_xlfn.XLOOKUP(1,(--($X$2:$X$1074=X357))*(--ISNUMBER(MATCH($H$2:$H$1074,Sheet1!$G:$G,0))),_xlfn.XLOOKUP($H$2:$H$1074,Sheet1!$G:$G,Sheet1!$F:$F,"")),"NOT FOUND"))</f>
        <v>GETKRTSFUT6087</v>
      </c>
      <c r="AF357" s="10" t="str">
        <f t="shared" si="24"/>
        <v>CORAL</v>
      </c>
      <c r="AG357" s="11" t="str">
        <f t="shared" si="25"/>
        <v>JHAJJAR</v>
      </c>
      <c r="AH357" s="9" t="str">
        <f>IF(OR(J357="",AE357="",AE357="NOT FOUND"),"",IF(Y357="RP",IFERROR(LEFT(_xlfn.XLOOKUP(AE357,Sheet1!$F:$F,Sheet1!$W:$W),FIND("-",_xlfn.XLOOKUP(AE357,Sheet1!$F:$F,Sheet1!$W:$W),FIND("-",_xlfn.XLOOKUP(AE357,Sheet1!$F:$F,Sheet1!$W:$W))+1))&amp;AE357,"NOT FOUND"),LEFT(J357,FIND("-",J357,FIND("-",J357)+1))&amp;AE357))</f>
        <v>KRTS-APWN26-GETKRTSFUT6087</v>
      </c>
    </row>
    <row r="358" spans="1:34" ht="15.75" customHeight="1" x14ac:dyDescent="0.2">
      <c r="A358" s="4" t="s">
        <v>59</v>
      </c>
      <c r="B358" s="4" t="s">
        <v>540</v>
      </c>
      <c r="C358" s="4" t="s">
        <v>488</v>
      </c>
      <c r="D358" s="4" t="s">
        <v>506</v>
      </c>
      <c r="E358" s="4" t="s">
        <v>34</v>
      </c>
      <c r="F358" s="4" t="s">
        <v>35</v>
      </c>
      <c r="G358" s="4" t="s">
        <v>36</v>
      </c>
      <c r="H358" s="4" t="s">
        <v>511</v>
      </c>
      <c r="I358" s="4" t="s">
        <v>512</v>
      </c>
      <c r="J358" s="4" t="s">
        <v>513</v>
      </c>
      <c r="L358" s="4" t="s">
        <v>40</v>
      </c>
      <c r="M358" s="4">
        <v>1</v>
      </c>
      <c r="N358" s="4">
        <v>208</v>
      </c>
      <c r="O358" s="4">
        <v>208</v>
      </c>
      <c r="P358" s="4" t="s">
        <v>41</v>
      </c>
      <c r="Q358" s="4">
        <v>1633.5</v>
      </c>
      <c r="R358" s="4">
        <v>1633.5</v>
      </c>
      <c r="S358" s="4">
        <v>16988.400000000001</v>
      </c>
      <c r="T358" s="4">
        <v>339768</v>
      </c>
      <c r="U358" s="4">
        <v>5</v>
      </c>
      <c r="V358" s="4" t="s">
        <v>42</v>
      </c>
      <c r="X358" s="7" t="str">
        <f t="shared" si="15"/>
        <v>441811103</v>
      </c>
      <c r="Y358" s="8" t="str">
        <f t="shared" si="16"/>
        <v>RP</v>
      </c>
      <c r="Z358" s="8">
        <f t="shared" si="17"/>
        <v>208</v>
      </c>
      <c r="AA358" s="8">
        <f t="shared" si="18"/>
        <v>208</v>
      </c>
      <c r="AB358" s="8">
        <f t="shared" si="19"/>
        <v>208</v>
      </c>
      <c r="AC358" s="8">
        <f t="shared" si="20"/>
        <v>208</v>
      </c>
      <c r="AD358" s="8">
        <f t="shared" si="21"/>
        <v>208</v>
      </c>
      <c r="AE358" s="9" t="str" cm="1">
        <f t="array" ref="AE358">IFERROR(_xlfn.XLOOKUP(H358,Sheet1!$G:$G,Sheet1!$F:$F),IFERROR(_xlfn.XLOOKUP(1,(--($X$2:$X$1074=X358))*(--ISNUMBER(MATCH($H$2:$H$1074,Sheet1!$G:$G,0))),_xlfn.XLOOKUP($H$2:$H$1074,Sheet1!$G:$G,Sheet1!$F:$F,"")),"NOT FOUND"))</f>
        <v>GETKRTSFUT6126</v>
      </c>
      <c r="AF358" s="10" t="str">
        <f t="shared" si="24"/>
        <v>OFF WHITE</v>
      </c>
      <c r="AG358" s="11" t="str">
        <f t="shared" si="25"/>
        <v>JHAJJAR</v>
      </c>
      <c r="AH358" s="9" t="str">
        <f>IF(OR(J358="",AE358="",AE358="NOT FOUND"),"",IF(Y358="RP",IFERROR(LEFT(_xlfn.XLOOKUP(AE358,Sheet1!$F:$F,Sheet1!$W:$W),FIND("-",_xlfn.XLOOKUP(AE358,Sheet1!$F:$F,Sheet1!$W:$W),FIND("-",_xlfn.XLOOKUP(AE358,Sheet1!$F:$F,Sheet1!$W:$W))+1))&amp;AE358,"NOT FOUND"),LEFT(J358,FIND("-",J358,FIND("-",J358)+1))&amp;AE358))</f>
        <v>KRTS-APWN26-GETKRTSFUT6126</v>
      </c>
    </row>
    <row r="359" spans="1:34" ht="15.75" customHeight="1" x14ac:dyDescent="0.2">
      <c r="A359" s="4" t="s">
        <v>59</v>
      </c>
      <c r="B359" s="4" t="s">
        <v>541</v>
      </c>
      <c r="C359" s="4" t="s">
        <v>488</v>
      </c>
      <c r="D359" s="4" t="s">
        <v>506</v>
      </c>
      <c r="E359" s="4" t="s">
        <v>34</v>
      </c>
      <c r="F359" s="4" t="s">
        <v>35</v>
      </c>
      <c r="G359" s="4" t="s">
        <v>36</v>
      </c>
      <c r="H359" s="4" t="s">
        <v>507</v>
      </c>
      <c r="I359" s="4" t="s">
        <v>508</v>
      </c>
      <c r="J359" s="4" t="s">
        <v>509</v>
      </c>
      <c r="L359" s="4" t="s">
        <v>40</v>
      </c>
      <c r="M359" s="4">
        <v>1</v>
      </c>
      <c r="N359" s="4">
        <v>208</v>
      </c>
      <c r="O359" s="4">
        <v>208</v>
      </c>
      <c r="P359" s="4" t="s">
        <v>41</v>
      </c>
      <c r="Q359" s="4">
        <v>1573.5</v>
      </c>
      <c r="R359" s="4">
        <v>1573.5</v>
      </c>
      <c r="S359" s="4">
        <v>16364.4</v>
      </c>
      <c r="T359" s="4">
        <v>327288</v>
      </c>
      <c r="U359" s="4">
        <v>5</v>
      </c>
      <c r="V359" s="4" t="s">
        <v>42</v>
      </c>
      <c r="X359" s="7" t="str">
        <f t="shared" si="15"/>
        <v>441811106</v>
      </c>
      <c r="Y359" s="8" t="str">
        <f t="shared" si="16"/>
        <v>RP</v>
      </c>
      <c r="Z359" s="8">
        <f t="shared" si="17"/>
        <v>208</v>
      </c>
      <c r="AA359" s="8">
        <f t="shared" si="18"/>
        <v>208</v>
      </c>
      <c r="AB359" s="8">
        <f t="shared" si="19"/>
        <v>208</v>
      </c>
      <c r="AC359" s="8">
        <f t="shared" si="20"/>
        <v>208</v>
      </c>
      <c r="AD359" s="8">
        <f t="shared" si="21"/>
        <v>208</v>
      </c>
      <c r="AE359" s="9" t="str" cm="1">
        <f t="array" ref="AE359">IFERROR(_xlfn.XLOOKUP(H359,Sheet1!$G:$G,Sheet1!$F:$F),IFERROR(_xlfn.XLOOKUP(1,(--($X$2:$X$1074=X359))*(--ISNUMBER(MATCH($H$2:$H$1074,Sheet1!$G:$G,0))),_xlfn.XLOOKUP($H$2:$H$1074,Sheet1!$G:$G,Sheet1!$F:$F,"")),"NOT FOUND"))</f>
        <v>GETKRTSFUT6204</v>
      </c>
      <c r="AF359" s="10" t="str">
        <f t="shared" si="24"/>
        <v>GREEN</v>
      </c>
      <c r="AG359" s="11" t="str">
        <f t="shared" si="25"/>
        <v>JHAJJAR</v>
      </c>
      <c r="AH359" s="9" t="str">
        <f>IF(OR(J359="",AE359="",AE359="NOT FOUND"),"",IF(Y359="RP",IFERROR(LEFT(_xlfn.XLOOKUP(AE359,Sheet1!$F:$F,Sheet1!$W:$W),FIND("-",_xlfn.XLOOKUP(AE359,Sheet1!$F:$F,Sheet1!$W:$W),FIND("-",_xlfn.XLOOKUP(AE359,Sheet1!$F:$F,Sheet1!$W:$W))+1))&amp;AE359,"NOT FOUND"),LEFT(J359,FIND("-",J359,FIND("-",J359)+1))&amp;AE359))</f>
        <v>KRTS-APWN26-GETKRTSFUT6204</v>
      </c>
    </row>
    <row r="360" spans="1:34" ht="15.75" customHeight="1" x14ac:dyDescent="0.2">
      <c r="A360" s="4" t="s">
        <v>59</v>
      </c>
      <c r="B360" s="4" t="s">
        <v>542</v>
      </c>
      <c r="C360" s="4" t="s">
        <v>488</v>
      </c>
      <c r="D360" s="4" t="s">
        <v>519</v>
      </c>
      <c r="E360" s="4" t="s">
        <v>34</v>
      </c>
      <c r="F360" s="4" t="s">
        <v>35</v>
      </c>
      <c r="G360" s="4" t="s">
        <v>36</v>
      </c>
      <c r="H360" s="4" t="s">
        <v>524</v>
      </c>
      <c r="I360" s="4" t="s">
        <v>525</v>
      </c>
      <c r="J360" s="4" t="s">
        <v>526</v>
      </c>
      <c r="L360" s="4" t="s">
        <v>40</v>
      </c>
      <c r="M360" s="4">
        <v>1</v>
      </c>
      <c r="N360" s="4">
        <v>208</v>
      </c>
      <c r="O360" s="4">
        <v>208</v>
      </c>
      <c r="P360" s="4" t="s">
        <v>41</v>
      </c>
      <c r="Q360" s="4">
        <v>1548.5</v>
      </c>
      <c r="R360" s="4">
        <v>1548.5</v>
      </c>
      <c r="S360" s="4">
        <v>16104.4</v>
      </c>
      <c r="T360" s="4">
        <v>322088</v>
      </c>
      <c r="U360" s="4">
        <v>5</v>
      </c>
      <c r="V360" s="4" t="s">
        <v>42</v>
      </c>
      <c r="X360" s="7" t="str">
        <f t="shared" si="15"/>
        <v>441811102</v>
      </c>
      <c r="Y360" s="8" t="str">
        <f t="shared" si="16"/>
        <v>RP</v>
      </c>
      <c r="Z360" s="8">
        <f t="shared" si="17"/>
        <v>208</v>
      </c>
      <c r="AA360" s="8">
        <f t="shared" si="18"/>
        <v>208</v>
      </c>
      <c r="AB360" s="8">
        <f t="shared" si="19"/>
        <v>208</v>
      </c>
      <c r="AC360" s="8">
        <f t="shared" si="20"/>
        <v>208</v>
      </c>
      <c r="AD360" s="8">
        <f t="shared" si="21"/>
        <v>208</v>
      </c>
      <c r="AE360" s="9" t="str" cm="1">
        <f t="array" ref="AE360">IFERROR(_xlfn.XLOOKUP(H360,Sheet1!$G:$G,Sheet1!$F:$F),IFERROR(_xlfn.XLOOKUP(1,(--($X$2:$X$1074=X360))*(--ISNUMBER(MATCH($H$2:$H$1074,Sheet1!$G:$G,0))),_xlfn.XLOOKUP($H$2:$H$1074,Sheet1!$G:$G,Sheet1!$F:$F,"")),"NOT FOUND"))</f>
        <v>GETKRTSFUT6105</v>
      </c>
      <c r="AF360" s="10" t="str">
        <f t="shared" si="24"/>
        <v>MUSTARD</v>
      </c>
      <c r="AG360" s="11" t="str">
        <f t="shared" si="25"/>
        <v>JHAJJAR</v>
      </c>
      <c r="AH360" s="9" t="str">
        <f>IF(OR(J360="",AE360="",AE360="NOT FOUND"),"",IF(Y360="RP",IFERROR(LEFT(_xlfn.XLOOKUP(AE360,Sheet1!$F:$F,Sheet1!$W:$W),FIND("-",_xlfn.XLOOKUP(AE360,Sheet1!$F:$F,Sheet1!$W:$W),FIND("-",_xlfn.XLOOKUP(AE360,Sheet1!$F:$F,Sheet1!$W:$W))+1))&amp;AE360,"NOT FOUND"),LEFT(J360,FIND("-",J360,FIND("-",J360)+1))&amp;AE360))</f>
        <v>KRTS-APWN26-GETKRTSFUT6105</v>
      </c>
    </row>
    <row r="361" spans="1:34" ht="15.75" customHeight="1" x14ac:dyDescent="0.2">
      <c r="A361" s="4" t="s">
        <v>59</v>
      </c>
      <c r="B361" s="4" t="s">
        <v>543</v>
      </c>
      <c r="C361" s="4" t="s">
        <v>488</v>
      </c>
      <c r="D361" s="4" t="s">
        <v>519</v>
      </c>
      <c r="E361" s="4" t="s">
        <v>34</v>
      </c>
      <c r="F361" s="4" t="s">
        <v>35</v>
      </c>
      <c r="G361" s="4" t="s">
        <v>36</v>
      </c>
      <c r="H361" s="4" t="s">
        <v>532</v>
      </c>
      <c r="I361" s="4" t="s">
        <v>533</v>
      </c>
      <c r="J361" s="4" t="s">
        <v>534</v>
      </c>
      <c r="L361" s="4" t="s">
        <v>40</v>
      </c>
      <c r="M361" s="4">
        <v>1</v>
      </c>
      <c r="N361" s="4">
        <v>208</v>
      </c>
      <c r="O361" s="4">
        <v>208</v>
      </c>
      <c r="P361" s="4" t="s">
        <v>41</v>
      </c>
      <c r="Q361" s="4">
        <v>1623.5</v>
      </c>
      <c r="R361" s="4">
        <v>1623.5</v>
      </c>
      <c r="S361" s="4">
        <v>16884.400000000001</v>
      </c>
      <c r="T361" s="4">
        <v>337688</v>
      </c>
      <c r="U361" s="4">
        <v>5</v>
      </c>
      <c r="V361" s="4" t="s">
        <v>42</v>
      </c>
      <c r="X361" s="7" t="str">
        <f t="shared" si="15"/>
        <v>441811095</v>
      </c>
      <c r="Y361" s="8" t="str">
        <f t="shared" si="16"/>
        <v>RP</v>
      </c>
      <c r="Z361" s="8">
        <f t="shared" si="17"/>
        <v>208</v>
      </c>
      <c r="AA361" s="8">
        <f t="shared" si="18"/>
        <v>208</v>
      </c>
      <c r="AB361" s="8">
        <f t="shared" si="19"/>
        <v>208</v>
      </c>
      <c r="AC361" s="8">
        <f t="shared" si="20"/>
        <v>208</v>
      </c>
      <c r="AD361" s="8">
        <f t="shared" si="21"/>
        <v>208</v>
      </c>
      <c r="AE361" s="9" t="str" cm="1">
        <f t="array" ref="AE361">IFERROR(_xlfn.XLOOKUP(H361,Sheet1!$G:$G,Sheet1!$F:$F),IFERROR(_xlfn.XLOOKUP(1,(--($X$2:$X$1074=X361))*(--ISNUMBER(MATCH($H$2:$H$1074,Sheet1!$G:$G,0))),_xlfn.XLOOKUP($H$2:$H$1074,Sheet1!$G:$G,Sheet1!$F:$F,"")),"NOT FOUND"))</f>
        <v>GETKRTSFUT6012</v>
      </c>
      <c r="AF361" s="10" t="str">
        <f t="shared" si="24"/>
        <v>MAROON</v>
      </c>
      <c r="AG361" s="11" t="str">
        <f t="shared" si="25"/>
        <v>JHAJJAR</v>
      </c>
      <c r="AH361" s="9" t="str">
        <f>IF(OR(J361="",AE361="",AE361="NOT FOUND"),"",IF(Y361="RP",IFERROR(LEFT(_xlfn.XLOOKUP(AE361,Sheet1!$F:$F,Sheet1!$W:$W),FIND("-",_xlfn.XLOOKUP(AE361,Sheet1!$F:$F,Sheet1!$W:$W),FIND("-",_xlfn.XLOOKUP(AE361,Sheet1!$F:$F,Sheet1!$W:$W))+1))&amp;AE361,"NOT FOUND"),LEFT(J361,FIND("-",J361,FIND("-",J361)+1))&amp;AE361))</f>
        <v>KRTS-APWN26-GETKRTSFUT6012</v>
      </c>
    </row>
    <row r="362" spans="1:34" ht="15.75" customHeight="1" x14ac:dyDescent="0.2">
      <c r="A362" s="4" t="s">
        <v>59</v>
      </c>
      <c r="B362" s="4" t="s">
        <v>544</v>
      </c>
      <c r="C362" s="4" t="s">
        <v>488</v>
      </c>
      <c r="D362" s="4" t="s">
        <v>519</v>
      </c>
      <c r="E362" s="4" t="s">
        <v>34</v>
      </c>
      <c r="F362" s="4" t="s">
        <v>35</v>
      </c>
      <c r="G362" s="4" t="s">
        <v>36</v>
      </c>
      <c r="H362" s="4" t="s">
        <v>528</v>
      </c>
      <c r="I362" s="4" t="s">
        <v>529</v>
      </c>
      <c r="J362" s="4" t="s">
        <v>530</v>
      </c>
      <c r="L362" s="4" t="s">
        <v>40</v>
      </c>
      <c r="M362" s="4">
        <v>1</v>
      </c>
      <c r="N362" s="4">
        <v>208</v>
      </c>
      <c r="O362" s="4">
        <v>208</v>
      </c>
      <c r="P362" s="4" t="s">
        <v>41</v>
      </c>
      <c r="Q362" s="4">
        <v>1563.5</v>
      </c>
      <c r="R362" s="4">
        <v>1563.5</v>
      </c>
      <c r="S362" s="4">
        <v>16260.4</v>
      </c>
      <c r="T362" s="4">
        <v>325208</v>
      </c>
      <c r="U362" s="4">
        <v>5</v>
      </c>
      <c r="V362" s="4" t="s">
        <v>42</v>
      </c>
      <c r="X362" s="7" t="str">
        <f t="shared" si="15"/>
        <v>441811108</v>
      </c>
      <c r="Y362" s="8" t="str">
        <f t="shared" si="16"/>
        <v>RP</v>
      </c>
      <c r="Z362" s="8">
        <f t="shared" si="17"/>
        <v>208</v>
      </c>
      <c r="AA362" s="8">
        <f t="shared" si="18"/>
        <v>208</v>
      </c>
      <c r="AB362" s="8">
        <f t="shared" si="19"/>
        <v>208</v>
      </c>
      <c r="AC362" s="8">
        <f t="shared" si="20"/>
        <v>208</v>
      </c>
      <c r="AD362" s="8">
        <f t="shared" si="21"/>
        <v>208</v>
      </c>
      <c r="AE362" s="9" t="str" cm="1">
        <f t="array" ref="AE362">IFERROR(_xlfn.XLOOKUP(H362,Sheet1!$G:$G,Sheet1!$F:$F),IFERROR(_xlfn.XLOOKUP(1,(--($X$2:$X$1074=X362))*(--ISNUMBER(MATCH($H$2:$H$1074,Sheet1!$G:$G,0))),_xlfn.XLOOKUP($H$2:$H$1074,Sheet1!$G:$G,Sheet1!$F:$F,"")),"NOT FOUND"))</f>
        <v>GETKRTSFUT6210</v>
      </c>
      <c r="AF362" s="10" t="str">
        <f t="shared" si="24"/>
        <v>GOLD</v>
      </c>
      <c r="AG362" s="11" t="str">
        <f t="shared" si="25"/>
        <v>JHAJJAR</v>
      </c>
      <c r="AH362" s="9" t="str">
        <f>IF(OR(J362="",AE362="",AE362="NOT FOUND"),"",IF(Y362="RP",IFERROR(LEFT(_xlfn.XLOOKUP(AE362,Sheet1!$F:$F,Sheet1!$W:$W),FIND("-",_xlfn.XLOOKUP(AE362,Sheet1!$F:$F,Sheet1!$W:$W),FIND("-",_xlfn.XLOOKUP(AE362,Sheet1!$F:$F,Sheet1!$W:$W))+1))&amp;AE362,"NOT FOUND"),LEFT(J362,FIND("-",J362,FIND("-",J362)+1))&amp;AE362))</f>
        <v>KRTS-APWN26-GETKRTSFUT6210</v>
      </c>
    </row>
    <row r="363" spans="1:34" ht="15.75" customHeight="1" x14ac:dyDescent="0.2">
      <c r="A363" s="4" t="s">
        <v>59</v>
      </c>
      <c r="B363" s="4" t="s">
        <v>545</v>
      </c>
      <c r="C363" s="4" t="s">
        <v>488</v>
      </c>
      <c r="D363" s="4" t="s">
        <v>519</v>
      </c>
      <c r="E363" s="4" t="s">
        <v>34</v>
      </c>
      <c r="F363" s="4" t="s">
        <v>35</v>
      </c>
      <c r="G363" s="4" t="s">
        <v>36</v>
      </c>
      <c r="H363" s="4" t="s">
        <v>520</v>
      </c>
      <c r="I363" s="4" t="s">
        <v>521</v>
      </c>
      <c r="J363" s="4" t="s">
        <v>522</v>
      </c>
      <c r="L363" s="4" t="s">
        <v>40</v>
      </c>
      <c r="M363" s="4">
        <v>1</v>
      </c>
      <c r="N363" s="4">
        <v>208</v>
      </c>
      <c r="O363" s="4">
        <v>208</v>
      </c>
      <c r="P363" s="4" t="s">
        <v>41</v>
      </c>
      <c r="Q363" s="4">
        <v>1573.5</v>
      </c>
      <c r="R363" s="4">
        <v>1573.5</v>
      </c>
      <c r="S363" s="4">
        <v>16364.4</v>
      </c>
      <c r="T363" s="4">
        <v>327288</v>
      </c>
      <c r="U363" s="4">
        <v>5</v>
      </c>
      <c r="V363" s="4" t="s">
        <v>42</v>
      </c>
      <c r="X363" s="7" t="str">
        <f t="shared" si="15"/>
        <v>441811508</v>
      </c>
      <c r="Y363" s="8" t="str">
        <f t="shared" si="16"/>
        <v>RP</v>
      </c>
      <c r="Z363" s="8">
        <f t="shared" si="17"/>
        <v>208</v>
      </c>
      <c r="AA363" s="8">
        <f t="shared" si="18"/>
        <v>208</v>
      </c>
      <c r="AB363" s="8">
        <f t="shared" si="19"/>
        <v>208</v>
      </c>
      <c r="AC363" s="8">
        <f t="shared" si="20"/>
        <v>208</v>
      </c>
      <c r="AD363" s="8">
        <f t="shared" si="21"/>
        <v>208</v>
      </c>
      <c r="AE363" s="9" t="str" cm="1">
        <f t="array" ref="AE363">IFERROR(_xlfn.XLOOKUP(H363,Sheet1!$G:$G,Sheet1!$F:$F),IFERROR(_xlfn.XLOOKUP(1,(--($X$2:$X$1074=X363))*(--ISNUMBER(MATCH($H$2:$H$1074,Sheet1!$G:$G,0))),_xlfn.XLOOKUP($H$2:$H$1074,Sheet1!$G:$G,Sheet1!$F:$F,"")),"NOT FOUND"))</f>
        <v>GETKRTSFUT6125</v>
      </c>
      <c r="AF363" s="10" t="str">
        <f t="shared" si="24"/>
        <v>OFF WHITE</v>
      </c>
      <c r="AG363" s="11" t="str">
        <f t="shared" si="25"/>
        <v>JHAJJAR</v>
      </c>
      <c r="AH363" s="9" t="str">
        <f>IF(OR(J363="",AE363="",AE363="NOT FOUND"),"",IF(Y363="RP",IFERROR(LEFT(_xlfn.XLOOKUP(AE363,Sheet1!$F:$F,Sheet1!$W:$W),FIND("-",_xlfn.XLOOKUP(AE363,Sheet1!$F:$F,Sheet1!$W:$W),FIND("-",_xlfn.XLOOKUP(AE363,Sheet1!$F:$F,Sheet1!$W:$W))+1))&amp;AE363,"NOT FOUND"),LEFT(J363,FIND("-",J363,FIND("-",J363)+1))&amp;AE363))</f>
        <v>KRTS-APWN26-GETKRTSFUT6125</v>
      </c>
    </row>
    <row r="364" spans="1:34" ht="15.75" customHeight="1" x14ac:dyDescent="0.2">
      <c r="A364" s="4" t="s">
        <v>61</v>
      </c>
      <c r="B364" s="4" t="s">
        <v>546</v>
      </c>
      <c r="C364" s="4" t="s">
        <v>488</v>
      </c>
      <c r="D364" s="4" t="s">
        <v>489</v>
      </c>
      <c r="E364" s="4" t="s">
        <v>34</v>
      </c>
      <c r="F364" s="4" t="s">
        <v>35</v>
      </c>
      <c r="G364" s="4" t="s">
        <v>36</v>
      </c>
      <c r="H364" s="4" t="s">
        <v>490</v>
      </c>
      <c r="I364" s="4" t="s">
        <v>491</v>
      </c>
      <c r="J364" s="4" t="s">
        <v>492</v>
      </c>
      <c r="L364" s="4" t="s">
        <v>40</v>
      </c>
      <c r="M364" s="4">
        <v>1</v>
      </c>
      <c r="N364" s="4">
        <v>231</v>
      </c>
      <c r="O364" s="4">
        <v>231</v>
      </c>
      <c r="P364" s="4" t="s">
        <v>41</v>
      </c>
      <c r="Q364" s="4">
        <v>1598.5</v>
      </c>
      <c r="R364" s="4">
        <v>1598.5</v>
      </c>
      <c r="S364" s="4">
        <v>18462.68</v>
      </c>
      <c r="T364" s="4">
        <v>369253.5</v>
      </c>
      <c r="U364" s="4">
        <v>5</v>
      </c>
      <c r="V364" s="4" t="s">
        <v>42</v>
      </c>
      <c r="X364" s="7" t="str">
        <f t="shared" si="15"/>
        <v>441811105</v>
      </c>
      <c r="Y364" s="8" t="str">
        <f t="shared" si="16"/>
        <v>RP</v>
      </c>
      <c r="Z364" s="8">
        <f t="shared" si="17"/>
        <v>231</v>
      </c>
      <c r="AA364" s="8">
        <f t="shared" si="18"/>
        <v>231</v>
      </c>
      <c r="AB364" s="8">
        <f t="shared" si="19"/>
        <v>231</v>
      </c>
      <c r="AC364" s="8">
        <f t="shared" si="20"/>
        <v>231</v>
      </c>
      <c r="AD364" s="8">
        <f t="shared" si="21"/>
        <v>231</v>
      </c>
      <c r="AE364" s="9" t="str" cm="1">
        <f t="array" ref="AE364">IFERROR(_xlfn.XLOOKUP(H364,Sheet1!$G:$G,Sheet1!$F:$F),IFERROR(_xlfn.XLOOKUP(1,(--($X$2:$X$1074=X364))*(--ISNUMBER(MATCH($H$2:$H$1074,Sheet1!$G:$G,0))),_xlfn.XLOOKUP($H$2:$H$1074,Sheet1!$G:$G,Sheet1!$F:$F,"")),"NOT FOUND"))</f>
        <v>GETKRTSFUT6203</v>
      </c>
      <c r="AF364" s="10" t="str">
        <f t="shared" si="24"/>
        <v>BLACK</v>
      </c>
      <c r="AG364" s="11" t="str">
        <f t="shared" si="25"/>
        <v>HARIPAL</v>
      </c>
      <c r="AH364" s="9" t="str">
        <f>IF(OR(J364="",AE364="",AE364="NOT FOUND"),"",IF(Y364="RP",IFERROR(LEFT(_xlfn.XLOOKUP(AE364,Sheet1!$F:$F,Sheet1!$W:$W),FIND("-",_xlfn.XLOOKUP(AE364,Sheet1!$F:$F,Sheet1!$W:$W),FIND("-",_xlfn.XLOOKUP(AE364,Sheet1!$F:$F,Sheet1!$W:$W))+1))&amp;AE364,"NOT FOUND"),LEFT(J364,FIND("-",J364,FIND("-",J364)+1))&amp;AE364))</f>
        <v>KRTS-APWN26-GETKRTSFUT6203</v>
      </c>
    </row>
    <row r="365" spans="1:34" ht="15.75" customHeight="1" x14ac:dyDescent="0.2">
      <c r="A365" s="4" t="s">
        <v>61</v>
      </c>
      <c r="B365" s="4" t="s">
        <v>547</v>
      </c>
      <c r="C365" s="4" t="s">
        <v>488</v>
      </c>
      <c r="D365" s="4" t="s">
        <v>455</v>
      </c>
      <c r="E365" s="4" t="s">
        <v>34</v>
      </c>
      <c r="F365" s="4" t="s">
        <v>35</v>
      </c>
      <c r="G365" s="4" t="s">
        <v>36</v>
      </c>
      <c r="H365" s="4" t="s">
        <v>494</v>
      </c>
      <c r="I365" s="4" t="s">
        <v>495</v>
      </c>
      <c r="J365" s="4" t="s">
        <v>496</v>
      </c>
      <c r="L365" s="4" t="s">
        <v>40</v>
      </c>
      <c r="M365" s="4">
        <v>1</v>
      </c>
      <c r="N365" s="4">
        <v>231</v>
      </c>
      <c r="O365" s="4">
        <v>231</v>
      </c>
      <c r="P365" s="4" t="s">
        <v>41</v>
      </c>
      <c r="Q365" s="4">
        <v>1523.5</v>
      </c>
      <c r="R365" s="4">
        <v>1523.5</v>
      </c>
      <c r="S365" s="4">
        <v>17596.43</v>
      </c>
      <c r="T365" s="4">
        <v>351928.5</v>
      </c>
      <c r="U365" s="4">
        <v>5</v>
      </c>
      <c r="V365" s="4" t="s">
        <v>42</v>
      </c>
      <c r="X365" s="7" t="str">
        <f t="shared" si="15"/>
        <v>441811098</v>
      </c>
      <c r="Y365" s="8" t="str">
        <f t="shared" si="16"/>
        <v>RP</v>
      </c>
      <c r="Z365" s="8">
        <f t="shared" si="17"/>
        <v>231</v>
      </c>
      <c r="AA365" s="8">
        <f t="shared" si="18"/>
        <v>231</v>
      </c>
      <c r="AB365" s="8">
        <f t="shared" si="19"/>
        <v>231</v>
      </c>
      <c r="AC365" s="8">
        <f t="shared" si="20"/>
        <v>231</v>
      </c>
      <c r="AD365" s="8">
        <f t="shared" si="21"/>
        <v>231</v>
      </c>
      <c r="AE365" s="9" t="str" cm="1">
        <f t="array" ref="AE365">IFERROR(_xlfn.XLOOKUP(H365,Sheet1!$G:$G,Sheet1!$F:$F),IFERROR(_xlfn.XLOOKUP(1,(--($X$2:$X$1074=X365))*(--ISNUMBER(MATCH($H$2:$H$1074,Sheet1!$G:$G,0))),_xlfn.XLOOKUP($H$2:$H$1074,Sheet1!$G:$G,Sheet1!$F:$F,"")),"NOT FOUND"))</f>
        <v>GETKRTSFUT6098</v>
      </c>
      <c r="AF365" s="10" t="str">
        <f t="shared" si="24"/>
        <v>MAROON</v>
      </c>
      <c r="AG365" s="11" t="str">
        <f t="shared" si="25"/>
        <v>HARIPAL</v>
      </c>
      <c r="AH365" s="9" t="str">
        <f>IF(OR(J365="",AE365="",AE365="NOT FOUND"),"",IF(Y365="RP",IFERROR(LEFT(_xlfn.XLOOKUP(AE365,Sheet1!$F:$F,Sheet1!$W:$W),FIND("-",_xlfn.XLOOKUP(AE365,Sheet1!$F:$F,Sheet1!$W:$W),FIND("-",_xlfn.XLOOKUP(AE365,Sheet1!$F:$F,Sheet1!$W:$W))+1))&amp;AE365,"NOT FOUND"),LEFT(J365,FIND("-",J365,FIND("-",J365)+1))&amp;AE365))</f>
        <v>KRTS-APWN26-GETKRTSFUT6098</v>
      </c>
    </row>
    <row r="366" spans="1:34" ht="15.75" customHeight="1" x14ac:dyDescent="0.2">
      <c r="A366" s="4" t="s">
        <v>61</v>
      </c>
      <c r="B366" s="4" t="s">
        <v>548</v>
      </c>
      <c r="C366" s="4" t="s">
        <v>488</v>
      </c>
      <c r="D366" s="4" t="s">
        <v>455</v>
      </c>
      <c r="E366" s="4" t="s">
        <v>34</v>
      </c>
      <c r="F366" s="4" t="s">
        <v>35</v>
      </c>
      <c r="G366" s="4" t="s">
        <v>36</v>
      </c>
      <c r="H366" s="4" t="s">
        <v>498</v>
      </c>
      <c r="I366" s="4" t="s">
        <v>499</v>
      </c>
      <c r="J366" s="4" t="s">
        <v>500</v>
      </c>
      <c r="L366" s="4" t="s">
        <v>40</v>
      </c>
      <c r="M366" s="4">
        <v>1</v>
      </c>
      <c r="N366" s="4">
        <v>231</v>
      </c>
      <c r="O366" s="4">
        <v>231</v>
      </c>
      <c r="P366" s="4" t="s">
        <v>41</v>
      </c>
      <c r="Q366" s="4">
        <v>1523.5</v>
      </c>
      <c r="R366" s="4">
        <v>1523.5</v>
      </c>
      <c r="S366" s="4">
        <v>17596.43</v>
      </c>
      <c r="T366" s="4">
        <v>351928.5</v>
      </c>
      <c r="U366" s="4">
        <v>5</v>
      </c>
      <c r="V366" s="4" t="s">
        <v>42</v>
      </c>
      <c r="X366" s="7" t="str">
        <f t="shared" si="15"/>
        <v>441811098</v>
      </c>
      <c r="Y366" s="8" t="str">
        <f t="shared" si="16"/>
        <v>RP</v>
      </c>
      <c r="Z366" s="8">
        <f t="shared" si="17"/>
        <v>231</v>
      </c>
      <c r="AA366" s="8">
        <f t="shared" si="18"/>
        <v>231</v>
      </c>
      <c r="AB366" s="8">
        <f t="shared" si="19"/>
        <v>231</v>
      </c>
      <c r="AC366" s="8">
        <f t="shared" si="20"/>
        <v>231</v>
      </c>
      <c r="AD366" s="8">
        <f t="shared" si="21"/>
        <v>231</v>
      </c>
      <c r="AE366" s="9" t="str" cm="1">
        <f t="array" ref="AE366">IFERROR(_xlfn.XLOOKUP(H366,Sheet1!$G:$G,Sheet1!$F:$F),IFERROR(_xlfn.XLOOKUP(1,(--($X$2:$X$1074=X366))*(--ISNUMBER(MATCH($H$2:$H$1074,Sheet1!$G:$G,0))),_xlfn.XLOOKUP($H$2:$H$1074,Sheet1!$G:$G,Sheet1!$F:$F,"")),"NOT FOUND"))</f>
        <v>GETKRTSFUT6098</v>
      </c>
      <c r="AF366" s="10" t="str">
        <f t="shared" si="24"/>
        <v>MUSTARD</v>
      </c>
      <c r="AG366" s="11" t="str">
        <f t="shared" si="25"/>
        <v>HARIPAL</v>
      </c>
      <c r="AH366" s="9" t="str">
        <f>IF(OR(J366="",AE366="",AE366="NOT FOUND"),"",IF(Y366="RP",IFERROR(LEFT(_xlfn.XLOOKUP(AE366,Sheet1!$F:$F,Sheet1!$W:$W),FIND("-",_xlfn.XLOOKUP(AE366,Sheet1!$F:$F,Sheet1!$W:$W),FIND("-",_xlfn.XLOOKUP(AE366,Sheet1!$F:$F,Sheet1!$W:$W))+1))&amp;AE366,"NOT FOUND"),LEFT(J366,FIND("-",J366,FIND("-",J366)+1))&amp;AE366))</f>
        <v>KRTS-APWN26-GETKRTSFUT6098</v>
      </c>
    </row>
    <row r="367" spans="1:34" ht="15.75" customHeight="1" x14ac:dyDescent="0.2">
      <c r="A367" s="4" t="s">
        <v>61</v>
      </c>
      <c r="B367" s="4" t="s">
        <v>549</v>
      </c>
      <c r="C367" s="4" t="s">
        <v>488</v>
      </c>
      <c r="D367" s="4" t="s">
        <v>455</v>
      </c>
      <c r="E367" s="4" t="s">
        <v>34</v>
      </c>
      <c r="F367" s="4" t="s">
        <v>35</v>
      </c>
      <c r="G367" s="4" t="s">
        <v>36</v>
      </c>
      <c r="H367" s="4" t="s">
        <v>502</v>
      </c>
      <c r="I367" s="4" t="s">
        <v>503</v>
      </c>
      <c r="J367" s="4" t="s">
        <v>504</v>
      </c>
      <c r="L367" s="4" t="s">
        <v>40</v>
      </c>
      <c r="M367" s="4">
        <v>1</v>
      </c>
      <c r="N367" s="4">
        <v>231</v>
      </c>
      <c r="O367" s="4">
        <v>231</v>
      </c>
      <c r="P367" s="4" t="s">
        <v>41</v>
      </c>
      <c r="Q367" s="4">
        <v>1563.5</v>
      </c>
      <c r="R367" s="4">
        <v>1563.5</v>
      </c>
      <c r="S367" s="4">
        <v>18058.43</v>
      </c>
      <c r="T367" s="4">
        <v>361168.5</v>
      </c>
      <c r="U367" s="4">
        <v>5</v>
      </c>
      <c r="V367" s="4" t="s">
        <v>42</v>
      </c>
      <c r="X367" s="7" t="str">
        <f t="shared" si="15"/>
        <v>441811099</v>
      </c>
      <c r="Y367" s="8" t="str">
        <f t="shared" si="16"/>
        <v>RP</v>
      </c>
      <c r="Z367" s="8">
        <f t="shared" si="17"/>
        <v>231</v>
      </c>
      <c r="AA367" s="8">
        <f t="shared" si="18"/>
        <v>231</v>
      </c>
      <c r="AB367" s="8">
        <f t="shared" si="19"/>
        <v>231</v>
      </c>
      <c r="AC367" s="8">
        <f t="shared" si="20"/>
        <v>231</v>
      </c>
      <c r="AD367" s="8">
        <f t="shared" si="21"/>
        <v>231</v>
      </c>
      <c r="AE367" s="9" t="str" cm="1">
        <f t="array" ref="AE367">IFERROR(_xlfn.XLOOKUP(H367,Sheet1!$G:$G,Sheet1!$F:$F),IFERROR(_xlfn.XLOOKUP(1,(--($X$2:$X$1074=X367))*(--ISNUMBER(MATCH($H$2:$H$1074,Sheet1!$G:$G,0))),_xlfn.XLOOKUP($H$2:$H$1074,Sheet1!$G:$G,Sheet1!$F:$F,"")),"NOT FOUND"))</f>
        <v>GETKRTSFUT6100</v>
      </c>
      <c r="AF367" s="10" t="str">
        <f t="shared" si="24"/>
        <v>MUSTARD</v>
      </c>
      <c r="AG367" s="11" t="str">
        <f t="shared" si="25"/>
        <v>HARIPAL</v>
      </c>
      <c r="AH367" s="9" t="str">
        <f>IF(OR(J367="",AE367="",AE367="NOT FOUND"),"",IF(Y367="RP",IFERROR(LEFT(_xlfn.XLOOKUP(AE367,Sheet1!$F:$F,Sheet1!$W:$W),FIND("-",_xlfn.XLOOKUP(AE367,Sheet1!$F:$F,Sheet1!$W:$W),FIND("-",_xlfn.XLOOKUP(AE367,Sheet1!$F:$F,Sheet1!$W:$W))+1))&amp;AE367,"NOT FOUND"),LEFT(J367,FIND("-",J367,FIND("-",J367)+1))&amp;AE367))</f>
        <v>KRTS-APWN26-GETKRTSFUT6100</v>
      </c>
    </row>
    <row r="368" spans="1:34" ht="15.75" customHeight="1" x14ac:dyDescent="0.2">
      <c r="A368" s="4" t="s">
        <v>61</v>
      </c>
      <c r="B368" s="4" t="s">
        <v>550</v>
      </c>
      <c r="C368" s="4" t="s">
        <v>488</v>
      </c>
      <c r="D368" s="4" t="s">
        <v>506</v>
      </c>
      <c r="E368" s="4" t="s">
        <v>34</v>
      </c>
      <c r="F368" s="4" t="s">
        <v>35</v>
      </c>
      <c r="G368" s="4" t="s">
        <v>36</v>
      </c>
      <c r="H368" s="4" t="s">
        <v>515</v>
      </c>
      <c r="I368" s="4" t="s">
        <v>516</v>
      </c>
      <c r="J368" s="4" t="s">
        <v>517</v>
      </c>
      <c r="L368" s="4" t="s">
        <v>40</v>
      </c>
      <c r="M368" s="4">
        <v>1</v>
      </c>
      <c r="N368" s="4">
        <v>231</v>
      </c>
      <c r="O368" s="4">
        <v>231</v>
      </c>
      <c r="P368" s="4" t="s">
        <v>41</v>
      </c>
      <c r="Q368" s="4">
        <v>1623.5</v>
      </c>
      <c r="R368" s="4">
        <v>1623.5</v>
      </c>
      <c r="S368" s="4">
        <v>18751.43</v>
      </c>
      <c r="T368" s="4">
        <v>375028.5</v>
      </c>
      <c r="U368" s="4">
        <v>5</v>
      </c>
      <c r="V368" s="4" t="s">
        <v>42</v>
      </c>
      <c r="X368" s="7" t="str">
        <f t="shared" si="15"/>
        <v>441811096</v>
      </c>
      <c r="Y368" s="8" t="str">
        <f t="shared" si="16"/>
        <v>RP</v>
      </c>
      <c r="Z368" s="8">
        <f t="shared" si="17"/>
        <v>231</v>
      </c>
      <c r="AA368" s="8">
        <f t="shared" si="18"/>
        <v>231</v>
      </c>
      <c r="AB368" s="8">
        <f t="shared" si="19"/>
        <v>231</v>
      </c>
      <c r="AC368" s="8">
        <f t="shared" si="20"/>
        <v>231</v>
      </c>
      <c r="AD368" s="8">
        <f t="shared" si="21"/>
        <v>231</v>
      </c>
      <c r="AE368" s="9" t="str" cm="1">
        <f t="array" ref="AE368">IFERROR(_xlfn.XLOOKUP(H368,Sheet1!$G:$G,Sheet1!$F:$F),IFERROR(_xlfn.XLOOKUP(1,(--($X$2:$X$1074=X368))*(--ISNUMBER(MATCH($H$2:$H$1074,Sheet1!$G:$G,0))),_xlfn.XLOOKUP($H$2:$H$1074,Sheet1!$G:$G,Sheet1!$F:$F,"")),"NOT FOUND"))</f>
        <v>GETKRTSFUT6087</v>
      </c>
      <c r="AF368" s="10" t="str">
        <f t="shared" si="24"/>
        <v>CORAL</v>
      </c>
      <c r="AG368" s="11" t="str">
        <f t="shared" si="25"/>
        <v>HARIPAL</v>
      </c>
      <c r="AH368" s="9" t="str">
        <f>IF(OR(J368="",AE368="",AE368="NOT FOUND"),"",IF(Y368="RP",IFERROR(LEFT(_xlfn.XLOOKUP(AE368,Sheet1!$F:$F,Sheet1!$W:$W),FIND("-",_xlfn.XLOOKUP(AE368,Sheet1!$F:$F,Sheet1!$W:$W),FIND("-",_xlfn.XLOOKUP(AE368,Sheet1!$F:$F,Sheet1!$W:$W))+1))&amp;AE368,"NOT FOUND"),LEFT(J368,FIND("-",J368,FIND("-",J368)+1))&amp;AE368))</f>
        <v>KRTS-APWN26-GETKRTSFUT6087</v>
      </c>
    </row>
    <row r="369" spans="1:34" ht="15.75" customHeight="1" x14ac:dyDescent="0.2">
      <c r="A369" s="4" t="s">
        <v>61</v>
      </c>
      <c r="B369" s="4" t="s">
        <v>551</v>
      </c>
      <c r="C369" s="4" t="s">
        <v>488</v>
      </c>
      <c r="D369" s="4" t="s">
        <v>506</v>
      </c>
      <c r="E369" s="4" t="s">
        <v>34</v>
      </c>
      <c r="F369" s="4" t="s">
        <v>35</v>
      </c>
      <c r="G369" s="4" t="s">
        <v>36</v>
      </c>
      <c r="H369" s="4" t="s">
        <v>507</v>
      </c>
      <c r="I369" s="4" t="s">
        <v>508</v>
      </c>
      <c r="J369" s="4" t="s">
        <v>509</v>
      </c>
      <c r="L369" s="4" t="s">
        <v>40</v>
      </c>
      <c r="M369" s="4">
        <v>1</v>
      </c>
      <c r="N369" s="4">
        <v>231</v>
      </c>
      <c r="O369" s="4">
        <v>231</v>
      </c>
      <c r="P369" s="4" t="s">
        <v>41</v>
      </c>
      <c r="Q369" s="4">
        <v>1573.5</v>
      </c>
      <c r="R369" s="4">
        <v>1573.5</v>
      </c>
      <c r="S369" s="4">
        <v>18173.93</v>
      </c>
      <c r="T369" s="4">
        <v>363478.5</v>
      </c>
      <c r="U369" s="4">
        <v>5</v>
      </c>
      <c r="V369" s="4" t="s">
        <v>42</v>
      </c>
      <c r="X369" s="7" t="str">
        <f t="shared" si="15"/>
        <v>441811106</v>
      </c>
      <c r="Y369" s="8" t="str">
        <f t="shared" si="16"/>
        <v>RP</v>
      </c>
      <c r="Z369" s="8">
        <f t="shared" si="17"/>
        <v>231</v>
      </c>
      <c r="AA369" s="8">
        <f t="shared" si="18"/>
        <v>231</v>
      </c>
      <c r="AB369" s="8">
        <f t="shared" si="19"/>
        <v>231</v>
      </c>
      <c r="AC369" s="8">
        <f t="shared" si="20"/>
        <v>231</v>
      </c>
      <c r="AD369" s="8">
        <f t="shared" si="21"/>
        <v>231</v>
      </c>
      <c r="AE369" s="9" t="str" cm="1">
        <f t="array" ref="AE369">IFERROR(_xlfn.XLOOKUP(H369,Sheet1!$G:$G,Sheet1!$F:$F),IFERROR(_xlfn.XLOOKUP(1,(--($X$2:$X$1074=X369))*(--ISNUMBER(MATCH($H$2:$H$1074,Sheet1!$G:$G,0))),_xlfn.XLOOKUP($H$2:$H$1074,Sheet1!$G:$G,Sheet1!$F:$F,"")),"NOT FOUND"))</f>
        <v>GETKRTSFUT6204</v>
      </c>
      <c r="AF369" s="10" t="str">
        <f t="shared" si="24"/>
        <v>GREEN</v>
      </c>
      <c r="AG369" s="11" t="str">
        <f t="shared" si="25"/>
        <v>HARIPAL</v>
      </c>
      <c r="AH369" s="9" t="str">
        <f>IF(OR(J369="",AE369="",AE369="NOT FOUND"),"",IF(Y369="RP",IFERROR(LEFT(_xlfn.XLOOKUP(AE369,Sheet1!$F:$F,Sheet1!$W:$W),FIND("-",_xlfn.XLOOKUP(AE369,Sheet1!$F:$F,Sheet1!$W:$W),FIND("-",_xlfn.XLOOKUP(AE369,Sheet1!$F:$F,Sheet1!$W:$W))+1))&amp;AE369,"NOT FOUND"),LEFT(J369,FIND("-",J369,FIND("-",J369)+1))&amp;AE369))</f>
        <v>KRTS-APWN26-GETKRTSFUT6204</v>
      </c>
    </row>
    <row r="370" spans="1:34" ht="15.75" customHeight="1" x14ac:dyDescent="0.2">
      <c r="A370" s="4" t="s">
        <v>61</v>
      </c>
      <c r="B370" s="4" t="s">
        <v>552</v>
      </c>
      <c r="C370" s="4" t="s">
        <v>488</v>
      </c>
      <c r="D370" s="4" t="s">
        <v>506</v>
      </c>
      <c r="E370" s="4" t="s">
        <v>34</v>
      </c>
      <c r="F370" s="4" t="s">
        <v>35</v>
      </c>
      <c r="G370" s="4" t="s">
        <v>36</v>
      </c>
      <c r="H370" s="4" t="s">
        <v>511</v>
      </c>
      <c r="I370" s="4" t="s">
        <v>512</v>
      </c>
      <c r="J370" s="4" t="s">
        <v>513</v>
      </c>
      <c r="L370" s="4" t="s">
        <v>40</v>
      </c>
      <c r="M370" s="4">
        <v>1</v>
      </c>
      <c r="N370" s="4">
        <v>231</v>
      </c>
      <c r="O370" s="4">
        <v>231</v>
      </c>
      <c r="P370" s="4" t="s">
        <v>41</v>
      </c>
      <c r="Q370" s="4">
        <v>1633.5</v>
      </c>
      <c r="R370" s="4">
        <v>1633.5</v>
      </c>
      <c r="S370" s="4">
        <v>18866.93</v>
      </c>
      <c r="T370" s="4">
        <v>377338.5</v>
      </c>
      <c r="U370" s="4">
        <v>5</v>
      </c>
      <c r="V370" s="4" t="s">
        <v>42</v>
      </c>
      <c r="X370" s="7" t="str">
        <f t="shared" si="15"/>
        <v>441811103</v>
      </c>
      <c r="Y370" s="8" t="str">
        <f t="shared" si="16"/>
        <v>RP</v>
      </c>
      <c r="Z370" s="8">
        <f t="shared" si="17"/>
        <v>231</v>
      </c>
      <c r="AA370" s="8">
        <f t="shared" si="18"/>
        <v>231</v>
      </c>
      <c r="AB370" s="8">
        <f t="shared" si="19"/>
        <v>231</v>
      </c>
      <c r="AC370" s="8">
        <f t="shared" si="20"/>
        <v>231</v>
      </c>
      <c r="AD370" s="8">
        <f t="shared" si="21"/>
        <v>231</v>
      </c>
      <c r="AE370" s="9" t="str" cm="1">
        <f t="array" ref="AE370">IFERROR(_xlfn.XLOOKUP(H370,Sheet1!$G:$G,Sheet1!$F:$F),IFERROR(_xlfn.XLOOKUP(1,(--($X$2:$X$1074=X370))*(--ISNUMBER(MATCH($H$2:$H$1074,Sheet1!$G:$G,0))),_xlfn.XLOOKUP($H$2:$H$1074,Sheet1!$G:$G,Sheet1!$F:$F,"")),"NOT FOUND"))</f>
        <v>GETKRTSFUT6126</v>
      </c>
      <c r="AF370" s="10" t="str">
        <f t="shared" si="24"/>
        <v>OFF WHITE</v>
      </c>
      <c r="AG370" s="11" t="str">
        <f t="shared" si="25"/>
        <v>HARIPAL</v>
      </c>
      <c r="AH370" s="9" t="str">
        <f>IF(OR(J370="",AE370="",AE370="NOT FOUND"),"",IF(Y370="RP",IFERROR(LEFT(_xlfn.XLOOKUP(AE370,Sheet1!$F:$F,Sheet1!$W:$W),FIND("-",_xlfn.XLOOKUP(AE370,Sheet1!$F:$F,Sheet1!$W:$W),FIND("-",_xlfn.XLOOKUP(AE370,Sheet1!$F:$F,Sheet1!$W:$W))+1))&amp;AE370,"NOT FOUND"),LEFT(J370,FIND("-",J370,FIND("-",J370)+1))&amp;AE370))</f>
        <v>KRTS-APWN26-GETKRTSFUT6126</v>
      </c>
    </row>
    <row r="371" spans="1:34" ht="15.75" customHeight="1" x14ac:dyDescent="0.2">
      <c r="A371" s="4" t="s">
        <v>61</v>
      </c>
      <c r="B371" s="4" t="s">
        <v>553</v>
      </c>
      <c r="C371" s="4" t="s">
        <v>488</v>
      </c>
      <c r="D371" s="4" t="s">
        <v>519</v>
      </c>
      <c r="E371" s="4" t="s">
        <v>34</v>
      </c>
      <c r="F371" s="4" t="s">
        <v>35</v>
      </c>
      <c r="G371" s="4" t="s">
        <v>36</v>
      </c>
      <c r="H371" s="4" t="s">
        <v>528</v>
      </c>
      <c r="I371" s="4" t="s">
        <v>529</v>
      </c>
      <c r="J371" s="4" t="s">
        <v>530</v>
      </c>
      <c r="L371" s="4" t="s">
        <v>40</v>
      </c>
      <c r="M371" s="4">
        <v>1</v>
      </c>
      <c r="N371" s="4">
        <v>231</v>
      </c>
      <c r="O371" s="4">
        <v>231</v>
      </c>
      <c r="P371" s="4" t="s">
        <v>41</v>
      </c>
      <c r="Q371" s="4">
        <v>1563.5</v>
      </c>
      <c r="R371" s="4">
        <v>1563.5</v>
      </c>
      <c r="S371" s="4">
        <v>18058.43</v>
      </c>
      <c r="T371" s="4">
        <v>361168.5</v>
      </c>
      <c r="U371" s="4">
        <v>5</v>
      </c>
      <c r="V371" s="4" t="s">
        <v>42</v>
      </c>
      <c r="X371" s="7" t="str">
        <f t="shared" si="15"/>
        <v>441811108</v>
      </c>
      <c r="Y371" s="8" t="str">
        <f t="shared" si="16"/>
        <v>RP</v>
      </c>
      <c r="Z371" s="8">
        <f t="shared" si="17"/>
        <v>231</v>
      </c>
      <c r="AA371" s="8">
        <f t="shared" si="18"/>
        <v>231</v>
      </c>
      <c r="AB371" s="8">
        <f t="shared" si="19"/>
        <v>231</v>
      </c>
      <c r="AC371" s="8">
        <f t="shared" si="20"/>
        <v>231</v>
      </c>
      <c r="AD371" s="8">
        <f t="shared" si="21"/>
        <v>231</v>
      </c>
      <c r="AE371" s="9" t="str" cm="1">
        <f t="array" ref="AE371">IFERROR(_xlfn.XLOOKUP(H371,Sheet1!$G:$G,Sheet1!$F:$F),IFERROR(_xlfn.XLOOKUP(1,(--($X$2:$X$1074=X371))*(--ISNUMBER(MATCH($H$2:$H$1074,Sheet1!$G:$G,0))),_xlfn.XLOOKUP($H$2:$H$1074,Sheet1!$G:$G,Sheet1!$F:$F,"")),"NOT FOUND"))</f>
        <v>GETKRTSFUT6210</v>
      </c>
      <c r="AF371" s="10" t="str">
        <f t="shared" si="24"/>
        <v>GOLD</v>
      </c>
      <c r="AG371" s="11" t="str">
        <f t="shared" si="25"/>
        <v>HARIPAL</v>
      </c>
      <c r="AH371" s="9" t="str">
        <f>IF(OR(J371="",AE371="",AE371="NOT FOUND"),"",IF(Y371="RP",IFERROR(LEFT(_xlfn.XLOOKUP(AE371,Sheet1!$F:$F,Sheet1!$W:$W),FIND("-",_xlfn.XLOOKUP(AE371,Sheet1!$F:$F,Sheet1!$W:$W),FIND("-",_xlfn.XLOOKUP(AE371,Sheet1!$F:$F,Sheet1!$W:$W))+1))&amp;AE371,"NOT FOUND"),LEFT(J371,FIND("-",J371,FIND("-",J371)+1))&amp;AE371))</f>
        <v>KRTS-APWN26-GETKRTSFUT6210</v>
      </c>
    </row>
    <row r="372" spans="1:34" ht="15.75" customHeight="1" x14ac:dyDescent="0.2">
      <c r="A372" s="4" t="s">
        <v>61</v>
      </c>
      <c r="B372" s="4" t="s">
        <v>554</v>
      </c>
      <c r="C372" s="4" t="s">
        <v>488</v>
      </c>
      <c r="D372" s="4" t="s">
        <v>519</v>
      </c>
      <c r="E372" s="4" t="s">
        <v>34</v>
      </c>
      <c r="F372" s="4" t="s">
        <v>35</v>
      </c>
      <c r="G372" s="4" t="s">
        <v>36</v>
      </c>
      <c r="H372" s="4" t="s">
        <v>532</v>
      </c>
      <c r="I372" s="4" t="s">
        <v>533</v>
      </c>
      <c r="J372" s="4" t="s">
        <v>534</v>
      </c>
      <c r="L372" s="4" t="s">
        <v>40</v>
      </c>
      <c r="M372" s="4">
        <v>1</v>
      </c>
      <c r="N372" s="4">
        <v>231</v>
      </c>
      <c r="O372" s="4">
        <v>231</v>
      </c>
      <c r="P372" s="4" t="s">
        <v>41</v>
      </c>
      <c r="Q372" s="4">
        <v>1623.5</v>
      </c>
      <c r="R372" s="4">
        <v>1623.5</v>
      </c>
      <c r="S372" s="4">
        <v>18751.43</v>
      </c>
      <c r="T372" s="4">
        <v>375028.5</v>
      </c>
      <c r="U372" s="4">
        <v>5</v>
      </c>
      <c r="V372" s="4" t="s">
        <v>42</v>
      </c>
      <c r="X372" s="7" t="str">
        <f t="shared" si="15"/>
        <v>441811095</v>
      </c>
      <c r="Y372" s="8" t="str">
        <f t="shared" si="16"/>
        <v>RP</v>
      </c>
      <c r="Z372" s="8">
        <f t="shared" si="17"/>
        <v>231</v>
      </c>
      <c r="AA372" s="8">
        <f t="shared" si="18"/>
        <v>231</v>
      </c>
      <c r="AB372" s="8">
        <f t="shared" si="19"/>
        <v>231</v>
      </c>
      <c r="AC372" s="8">
        <f t="shared" si="20"/>
        <v>231</v>
      </c>
      <c r="AD372" s="8">
        <f t="shared" si="21"/>
        <v>231</v>
      </c>
      <c r="AE372" s="9" t="str" cm="1">
        <f t="array" ref="AE372">IFERROR(_xlfn.XLOOKUP(H372,Sheet1!$G:$G,Sheet1!$F:$F),IFERROR(_xlfn.XLOOKUP(1,(--($X$2:$X$1074=X372))*(--ISNUMBER(MATCH($H$2:$H$1074,Sheet1!$G:$G,0))),_xlfn.XLOOKUP($H$2:$H$1074,Sheet1!$G:$G,Sheet1!$F:$F,"")),"NOT FOUND"))</f>
        <v>GETKRTSFUT6012</v>
      </c>
      <c r="AF372" s="10" t="str">
        <f t="shared" si="24"/>
        <v>MAROON</v>
      </c>
      <c r="AG372" s="11" t="str">
        <f t="shared" si="25"/>
        <v>HARIPAL</v>
      </c>
      <c r="AH372" s="9" t="str">
        <f>IF(OR(J372="",AE372="",AE372="NOT FOUND"),"",IF(Y372="RP",IFERROR(LEFT(_xlfn.XLOOKUP(AE372,Sheet1!$F:$F,Sheet1!$W:$W),FIND("-",_xlfn.XLOOKUP(AE372,Sheet1!$F:$F,Sheet1!$W:$W),FIND("-",_xlfn.XLOOKUP(AE372,Sheet1!$F:$F,Sheet1!$W:$W))+1))&amp;AE372,"NOT FOUND"),LEFT(J372,FIND("-",J372,FIND("-",J372)+1))&amp;AE372))</f>
        <v>KRTS-APWN26-GETKRTSFUT6012</v>
      </c>
    </row>
    <row r="373" spans="1:34" ht="15.75" customHeight="1" x14ac:dyDescent="0.2">
      <c r="A373" s="4" t="s">
        <v>61</v>
      </c>
      <c r="B373" s="4" t="s">
        <v>555</v>
      </c>
      <c r="C373" s="4" t="s">
        <v>488</v>
      </c>
      <c r="D373" s="4" t="s">
        <v>519</v>
      </c>
      <c r="E373" s="4" t="s">
        <v>34</v>
      </c>
      <c r="F373" s="4" t="s">
        <v>35</v>
      </c>
      <c r="G373" s="4" t="s">
        <v>36</v>
      </c>
      <c r="H373" s="4" t="s">
        <v>520</v>
      </c>
      <c r="I373" s="4" t="s">
        <v>521</v>
      </c>
      <c r="J373" s="4" t="s">
        <v>522</v>
      </c>
      <c r="L373" s="4" t="s">
        <v>40</v>
      </c>
      <c r="M373" s="4">
        <v>1</v>
      </c>
      <c r="N373" s="4">
        <v>231</v>
      </c>
      <c r="O373" s="4">
        <v>231</v>
      </c>
      <c r="P373" s="4" t="s">
        <v>41</v>
      </c>
      <c r="Q373" s="4">
        <v>1573.5</v>
      </c>
      <c r="R373" s="4">
        <v>1573.5</v>
      </c>
      <c r="S373" s="4">
        <v>18173.93</v>
      </c>
      <c r="T373" s="4">
        <v>363478.5</v>
      </c>
      <c r="U373" s="4">
        <v>5</v>
      </c>
      <c r="V373" s="4" t="s">
        <v>42</v>
      </c>
      <c r="X373" s="7" t="str">
        <f t="shared" si="15"/>
        <v>441811508</v>
      </c>
      <c r="Y373" s="8" t="str">
        <f t="shared" si="16"/>
        <v>RP</v>
      </c>
      <c r="Z373" s="8">
        <f t="shared" si="17"/>
        <v>231</v>
      </c>
      <c r="AA373" s="8">
        <f t="shared" si="18"/>
        <v>231</v>
      </c>
      <c r="AB373" s="8">
        <f t="shared" si="19"/>
        <v>231</v>
      </c>
      <c r="AC373" s="8">
        <f t="shared" si="20"/>
        <v>231</v>
      </c>
      <c r="AD373" s="8">
        <f t="shared" si="21"/>
        <v>231</v>
      </c>
      <c r="AE373" s="9" t="str" cm="1">
        <f t="array" ref="AE373">IFERROR(_xlfn.XLOOKUP(H373,Sheet1!$G:$G,Sheet1!$F:$F),IFERROR(_xlfn.XLOOKUP(1,(--($X$2:$X$1074=X373))*(--ISNUMBER(MATCH($H$2:$H$1074,Sheet1!$G:$G,0))),_xlfn.XLOOKUP($H$2:$H$1074,Sheet1!$G:$G,Sheet1!$F:$F,"")),"NOT FOUND"))</f>
        <v>GETKRTSFUT6125</v>
      </c>
      <c r="AF373" s="10" t="str">
        <f t="shared" si="24"/>
        <v>OFF WHITE</v>
      </c>
      <c r="AG373" s="11" t="str">
        <f t="shared" si="25"/>
        <v>HARIPAL</v>
      </c>
      <c r="AH373" s="9" t="str">
        <f>IF(OR(J373="",AE373="",AE373="NOT FOUND"),"",IF(Y373="RP",IFERROR(LEFT(_xlfn.XLOOKUP(AE373,Sheet1!$F:$F,Sheet1!$W:$W),FIND("-",_xlfn.XLOOKUP(AE373,Sheet1!$F:$F,Sheet1!$W:$W),FIND("-",_xlfn.XLOOKUP(AE373,Sheet1!$F:$F,Sheet1!$W:$W))+1))&amp;AE373,"NOT FOUND"),LEFT(J373,FIND("-",J373,FIND("-",J373)+1))&amp;AE373))</f>
        <v>KRTS-APWN26-GETKRTSFUT6125</v>
      </c>
    </row>
    <row r="374" spans="1:34" ht="15.75" customHeight="1" x14ac:dyDescent="0.2">
      <c r="A374" s="4" t="s">
        <v>61</v>
      </c>
      <c r="B374" s="4" t="s">
        <v>556</v>
      </c>
      <c r="C374" s="4" t="s">
        <v>488</v>
      </c>
      <c r="D374" s="4" t="s">
        <v>519</v>
      </c>
      <c r="E374" s="4" t="s">
        <v>34</v>
      </c>
      <c r="F374" s="4" t="s">
        <v>35</v>
      </c>
      <c r="G374" s="4" t="s">
        <v>36</v>
      </c>
      <c r="H374" s="4" t="s">
        <v>524</v>
      </c>
      <c r="I374" s="4" t="s">
        <v>525</v>
      </c>
      <c r="J374" s="4" t="s">
        <v>526</v>
      </c>
      <c r="L374" s="4" t="s">
        <v>40</v>
      </c>
      <c r="M374" s="4">
        <v>1</v>
      </c>
      <c r="N374" s="4">
        <v>231</v>
      </c>
      <c r="O374" s="4">
        <v>231</v>
      </c>
      <c r="P374" s="4" t="s">
        <v>41</v>
      </c>
      <c r="Q374" s="4">
        <v>1548.5</v>
      </c>
      <c r="R374" s="4">
        <v>1548.5</v>
      </c>
      <c r="S374" s="4">
        <v>17885.18</v>
      </c>
      <c r="T374" s="4">
        <v>357703.5</v>
      </c>
      <c r="U374" s="4">
        <v>5</v>
      </c>
      <c r="V374" s="4" t="s">
        <v>42</v>
      </c>
      <c r="X374" s="7" t="str">
        <f t="shared" si="15"/>
        <v>441811102</v>
      </c>
      <c r="Y374" s="8" t="str">
        <f t="shared" si="16"/>
        <v>RP</v>
      </c>
      <c r="Z374" s="8">
        <f t="shared" si="17"/>
        <v>231</v>
      </c>
      <c r="AA374" s="8">
        <f t="shared" si="18"/>
        <v>231</v>
      </c>
      <c r="AB374" s="8">
        <f t="shared" si="19"/>
        <v>231</v>
      </c>
      <c r="AC374" s="8">
        <f t="shared" si="20"/>
        <v>231</v>
      </c>
      <c r="AD374" s="8">
        <f t="shared" si="21"/>
        <v>231</v>
      </c>
      <c r="AE374" s="9" t="str" cm="1">
        <f t="array" ref="AE374">IFERROR(_xlfn.XLOOKUP(H374,Sheet1!$G:$G,Sheet1!$F:$F),IFERROR(_xlfn.XLOOKUP(1,(--($X$2:$X$1074=X374))*(--ISNUMBER(MATCH($H$2:$H$1074,Sheet1!$G:$G,0))),_xlfn.XLOOKUP($H$2:$H$1074,Sheet1!$G:$G,Sheet1!$F:$F,"")),"NOT FOUND"))</f>
        <v>GETKRTSFUT6105</v>
      </c>
      <c r="AF374" s="10" t="str">
        <f t="shared" si="24"/>
        <v>MUSTARD</v>
      </c>
      <c r="AG374" s="11" t="str">
        <f t="shared" si="25"/>
        <v>HARIPAL</v>
      </c>
      <c r="AH374" s="9" t="str">
        <f>IF(OR(J374="",AE374="",AE374="NOT FOUND"),"",IF(Y374="RP",IFERROR(LEFT(_xlfn.XLOOKUP(AE374,Sheet1!$F:$F,Sheet1!$W:$W),FIND("-",_xlfn.XLOOKUP(AE374,Sheet1!$F:$F,Sheet1!$W:$W),FIND("-",_xlfn.XLOOKUP(AE374,Sheet1!$F:$F,Sheet1!$W:$W))+1))&amp;AE374,"NOT FOUND"),LEFT(J374,FIND("-",J374,FIND("-",J374)+1))&amp;AE374))</f>
        <v>KRTS-APWN26-GETKRTSFUT6105</v>
      </c>
    </row>
    <row r="375" spans="1:34" ht="15.75" customHeight="1" x14ac:dyDescent="0.2">
      <c r="A375" s="4" t="s">
        <v>30</v>
      </c>
      <c r="B375" s="4" t="s">
        <v>557</v>
      </c>
      <c r="C375" s="4" t="s">
        <v>558</v>
      </c>
      <c r="D375" s="4" t="s">
        <v>559</v>
      </c>
      <c r="E375" s="4" t="s">
        <v>34</v>
      </c>
      <c r="F375" s="4" t="s">
        <v>35</v>
      </c>
      <c r="G375" s="4" t="s">
        <v>36</v>
      </c>
      <c r="H375" s="4" t="s">
        <v>560</v>
      </c>
      <c r="I375" s="4" t="s">
        <v>561</v>
      </c>
      <c r="J375" s="4" t="s">
        <v>562</v>
      </c>
      <c r="L375" s="4" t="s">
        <v>40</v>
      </c>
      <c r="M375" s="4">
        <v>1</v>
      </c>
      <c r="N375" s="4">
        <v>222</v>
      </c>
      <c r="O375" s="4">
        <v>222</v>
      </c>
      <c r="P375" s="4" t="s">
        <v>41</v>
      </c>
      <c r="Q375" s="4">
        <v>229.3</v>
      </c>
      <c r="R375" s="4">
        <v>229.3</v>
      </c>
      <c r="S375" s="4">
        <v>2545.23</v>
      </c>
      <c r="T375" s="4">
        <v>50904.6</v>
      </c>
      <c r="U375" s="4">
        <v>5</v>
      </c>
      <c r="V375" s="4" t="s">
        <v>42</v>
      </c>
      <c r="X375" s="7" t="str">
        <f t="shared" si="15"/>
        <v>441853915</v>
      </c>
      <c r="Y375" s="8" t="str">
        <f t="shared" si="16"/>
        <v>DC</v>
      </c>
      <c r="Z375" s="8">
        <f t="shared" si="17"/>
        <v>222</v>
      </c>
      <c r="AA375" s="8">
        <f t="shared" si="18"/>
        <v>0</v>
      </c>
      <c r="AB375" s="8">
        <f t="shared" si="19"/>
        <v>0</v>
      </c>
      <c r="AC375" s="8">
        <f t="shared" si="20"/>
        <v>0</v>
      </c>
      <c r="AD375" s="8">
        <f t="shared" si="21"/>
        <v>0</v>
      </c>
      <c r="AE375" s="9" t="str" cm="1">
        <f t="array" ref="AE375">IFERROR(_xlfn.XLOOKUP(H375,Sheet1!$G:$G,Sheet1!$F:$F),IFERROR(_xlfn.XLOOKUP(1,(--($X$2:$X$1074=X375))*(--ISNUMBER(MATCH($H$2:$H$1074,Sheet1!$G:$G,0))),_xlfn.XLOOKUP($H$2:$H$1074,Sheet1!$G:$G,Sheet1!$F:$F,"")),"NOT FOUND"))</f>
        <v>YETKRTSCUT5004</v>
      </c>
      <c r="AF375" s="10" t="str">
        <f t="shared" si="24"/>
        <v>MUSTARD</v>
      </c>
      <c r="AG375" s="11" t="str">
        <f t="shared" si="25"/>
        <v>Bangalore</v>
      </c>
      <c r="AH375" s="9" t="str">
        <f>IF(OR(J375="",AE375="",AE375="NOT FOUND"),"",IF(Y375="RP",IFERROR(LEFT(_xlfn.XLOOKUP(AE375,Sheet1!$F:$F,Sheet1!$W:$W),FIND("-",_xlfn.XLOOKUP(AE375,Sheet1!$F:$F,Sheet1!$W:$W),FIND("-",_xlfn.XLOOKUP(AE375,Sheet1!$F:$F,Sheet1!$W:$W))+1))&amp;AE375,"NOT FOUND"),LEFT(J375,FIND("-",J375,FIND("-",J375)+1))&amp;AE375))</f>
        <v>KRTS-APSU26-YETKRTSCUT5004</v>
      </c>
    </row>
    <row r="376" spans="1:34" ht="15.75" customHeight="1" x14ac:dyDescent="0.2">
      <c r="A376" s="4" t="s">
        <v>30</v>
      </c>
      <c r="B376" s="4" t="s">
        <v>557</v>
      </c>
      <c r="C376" s="4" t="s">
        <v>558</v>
      </c>
      <c r="D376" s="4" t="s">
        <v>559</v>
      </c>
      <c r="E376" s="4" t="s">
        <v>34</v>
      </c>
      <c r="F376" s="4" t="s">
        <v>35</v>
      </c>
      <c r="G376" s="4" t="s">
        <v>43</v>
      </c>
      <c r="H376" s="4" t="s">
        <v>563</v>
      </c>
      <c r="I376" s="4" t="s">
        <v>564</v>
      </c>
      <c r="J376" s="4" t="s">
        <v>565</v>
      </c>
      <c r="L376" s="4" t="s">
        <v>40</v>
      </c>
      <c r="M376" s="4">
        <v>1</v>
      </c>
      <c r="N376" s="4">
        <v>312</v>
      </c>
      <c r="O376" s="4">
        <v>312</v>
      </c>
      <c r="P376" s="4" t="s">
        <v>41</v>
      </c>
      <c r="Q376" s="4">
        <v>229.3</v>
      </c>
      <c r="R376" s="4">
        <v>229.3</v>
      </c>
      <c r="S376" s="4">
        <v>3577.08</v>
      </c>
      <c r="T376" s="4">
        <v>71541.600000000006</v>
      </c>
      <c r="U376" s="4">
        <v>5</v>
      </c>
      <c r="V376" s="4" t="s">
        <v>42</v>
      </c>
      <c r="X376" s="7" t="str">
        <f t="shared" si="15"/>
        <v>441853915</v>
      </c>
      <c r="Y376" s="8" t="str">
        <f t="shared" si="16"/>
        <v>DC</v>
      </c>
      <c r="Z376" s="8">
        <f t="shared" si="17"/>
        <v>0</v>
      </c>
      <c r="AA376" s="8">
        <f t="shared" si="18"/>
        <v>312</v>
      </c>
      <c r="AB376" s="8">
        <f t="shared" si="19"/>
        <v>0</v>
      </c>
      <c r="AC376" s="8">
        <f t="shared" si="20"/>
        <v>0</v>
      </c>
      <c r="AD376" s="8">
        <f t="shared" si="21"/>
        <v>0</v>
      </c>
      <c r="AE376" s="9" t="str" cm="1">
        <f t="array" ref="AE376">IFERROR(_xlfn.XLOOKUP(H376,Sheet1!$G:$G,Sheet1!$F:$F),IFERROR(_xlfn.XLOOKUP(1,(--($X$2:$X$1074=X376))*(--ISNUMBER(MATCH($H$2:$H$1074,Sheet1!$G:$G,0))),_xlfn.XLOOKUP($H$2:$H$1074,Sheet1!$G:$G,Sheet1!$F:$F,"")),"NOT FOUND"))</f>
        <v>YETKRTSCUT5004</v>
      </c>
      <c r="AF376" s="10" t="str">
        <f t="shared" si="24"/>
        <v>MUSTARD</v>
      </c>
      <c r="AG376" s="11" t="str">
        <f t="shared" si="25"/>
        <v>Bangalore</v>
      </c>
      <c r="AH376" s="9" t="str">
        <f>IF(OR(J376="",AE376="",AE376="NOT FOUND"),"",IF(Y376="RP",IFERROR(LEFT(_xlfn.XLOOKUP(AE376,Sheet1!$F:$F,Sheet1!$W:$W),FIND("-",_xlfn.XLOOKUP(AE376,Sheet1!$F:$F,Sheet1!$W:$W),FIND("-",_xlfn.XLOOKUP(AE376,Sheet1!$F:$F,Sheet1!$W:$W))+1))&amp;AE376,"NOT FOUND"),LEFT(J376,FIND("-",J376,FIND("-",J376)+1))&amp;AE376))</f>
        <v>KRTS-APSU26-YETKRTSCUT5004</v>
      </c>
    </row>
    <row r="377" spans="1:34" ht="15.75" customHeight="1" x14ac:dyDescent="0.2">
      <c r="A377" s="4" t="s">
        <v>30</v>
      </c>
      <c r="B377" s="4" t="s">
        <v>557</v>
      </c>
      <c r="C377" s="4" t="s">
        <v>558</v>
      </c>
      <c r="D377" s="4" t="s">
        <v>559</v>
      </c>
      <c r="E377" s="4" t="s">
        <v>34</v>
      </c>
      <c r="F377" s="4" t="s">
        <v>35</v>
      </c>
      <c r="G377" s="4" t="s">
        <v>47</v>
      </c>
      <c r="H377" s="4" t="s">
        <v>566</v>
      </c>
      <c r="I377" s="4" t="s">
        <v>567</v>
      </c>
      <c r="J377" s="4" t="s">
        <v>568</v>
      </c>
      <c r="L377" s="4" t="s">
        <v>40</v>
      </c>
      <c r="M377" s="4">
        <v>1</v>
      </c>
      <c r="N377" s="4">
        <v>305</v>
      </c>
      <c r="O377" s="4">
        <v>305</v>
      </c>
      <c r="P377" s="4" t="s">
        <v>41</v>
      </c>
      <c r="Q377" s="4">
        <v>229.3</v>
      </c>
      <c r="R377" s="4">
        <v>229.3</v>
      </c>
      <c r="S377" s="4">
        <v>3496.83</v>
      </c>
      <c r="T377" s="4">
        <v>69936.5</v>
      </c>
      <c r="U377" s="4">
        <v>5</v>
      </c>
      <c r="V377" s="4" t="s">
        <v>42</v>
      </c>
      <c r="X377" s="7" t="str">
        <f t="shared" si="15"/>
        <v>441853915</v>
      </c>
      <c r="Y377" s="8" t="str">
        <f t="shared" si="16"/>
        <v>DC</v>
      </c>
      <c r="Z377" s="8">
        <f t="shared" si="17"/>
        <v>0</v>
      </c>
      <c r="AA377" s="8">
        <f t="shared" si="18"/>
        <v>0</v>
      </c>
      <c r="AB377" s="8">
        <f t="shared" si="19"/>
        <v>305</v>
      </c>
      <c r="AC377" s="8">
        <f t="shared" si="20"/>
        <v>0</v>
      </c>
      <c r="AD377" s="8">
        <f t="shared" si="21"/>
        <v>0</v>
      </c>
      <c r="AE377" s="9" t="str" cm="1">
        <f t="array" ref="AE377">IFERROR(_xlfn.XLOOKUP(H377,Sheet1!$G:$G,Sheet1!$F:$F),IFERROR(_xlfn.XLOOKUP(1,(--($X$2:$X$1074=X377))*(--ISNUMBER(MATCH($H$2:$H$1074,Sheet1!$G:$G,0))),_xlfn.XLOOKUP($H$2:$H$1074,Sheet1!$G:$G,Sheet1!$F:$F,"")),"NOT FOUND"))</f>
        <v>YETKRTSCUT5004</v>
      </c>
      <c r="AF377" s="10" t="str">
        <f t="shared" si="24"/>
        <v>MUSTARD</v>
      </c>
      <c r="AG377" s="11" t="str">
        <f t="shared" si="25"/>
        <v>Bangalore</v>
      </c>
      <c r="AH377" s="9" t="str">
        <f>IF(OR(J377="",AE377="",AE377="NOT FOUND"),"",IF(Y377="RP",IFERROR(LEFT(_xlfn.XLOOKUP(AE377,Sheet1!$F:$F,Sheet1!$W:$W),FIND("-",_xlfn.XLOOKUP(AE377,Sheet1!$F:$F,Sheet1!$W:$W),FIND("-",_xlfn.XLOOKUP(AE377,Sheet1!$F:$F,Sheet1!$W:$W))+1))&amp;AE377,"NOT FOUND"),LEFT(J377,FIND("-",J377,FIND("-",J377)+1))&amp;AE377))</f>
        <v>KRTS-APSU26-YETKRTSCUT5004</v>
      </c>
    </row>
    <row r="378" spans="1:34" ht="15.75" customHeight="1" x14ac:dyDescent="0.2">
      <c r="A378" s="4" t="s">
        <v>30</v>
      </c>
      <c r="B378" s="4" t="s">
        <v>557</v>
      </c>
      <c r="C378" s="4" t="s">
        <v>558</v>
      </c>
      <c r="D378" s="4" t="s">
        <v>559</v>
      </c>
      <c r="E378" s="4" t="s">
        <v>34</v>
      </c>
      <c r="F378" s="4" t="s">
        <v>35</v>
      </c>
      <c r="G378" s="4" t="s">
        <v>51</v>
      </c>
      <c r="H378" s="4" t="s">
        <v>569</v>
      </c>
      <c r="I378" s="4" t="s">
        <v>570</v>
      </c>
      <c r="J378" s="4" t="s">
        <v>571</v>
      </c>
      <c r="L378" s="4" t="s">
        <v>40</v>
      </c>
      <c r="M378" s="4">
        <v>1</v>
      </c>
      <c r="N378" s="4">
        <v>305</v>
      </c>
      <c r="O378" s="4">
        <v>305</v>
      </c>
      <c r="P378" s="4" t="s">
        <v>41</v>
      </c>
      <c r="Q378" s="4">
        <v>229.3</v>
      </c>
      <c r="R378" s="4">
        <v>229.3</v>
      </c>
      <c r="S378" s="4">
        <v>3496.83</v>
      </c>
      <c r="T378" s="4">
        <v>69936.5</v>
      </c>
      <c r="U378" s="4">
        <v>5</v>
      </c>
      <c r="V378" s="4" t="s">
        <v>42</v>
      </c>
      <c r="X378" s="7" t="str">
        <f t="shared" si="15"/>
        <v>441853915</v>
      </c>
      <c r="Y378" s="8" t="str">
        <f t="shared" si="16"/>
        <v>DC</v>
      </c>
      <c r="Z378" s="8">
        <f t="shared" si="17"/>
        <v>0</v>
      </c>
      <c r="AA378" s="8">
        <f t="shared" si="18"/>
        <v>0</v>
      </c>
      <c r="AB378" s="8">
        <f t="shared" si="19"/>
        <v>0</v>
      </c>
      <c r="AC378" s="8">
        <f t="shared" si="20"/>
        <v>305</v>
      </c>
      <c r="AD378" s="8">
        <f t="shared" si="21"/>
        <v>0</v>
      </c>
      <c r="AE378" s="9" t="str" cm="1">
        <f t="array" ref="AE378">IFERROR(_xlfn.XLOOKUP(H378,Sheet1!$G:$G,Sheet1!$F:$F),IFERROR(_xlfn.XLOOKUP(1,(--($X$2:$X$1074=X378))*(--ISNUMBER(MATCH($H$2:$H$1074,Sheet1!$G:$G,0))),_xlfn.XLOOKUP($H$2:$H$1074,Sheet1!$G:$G,Sheet1!$F:$F,"")),"NOT FOUND"))</f>
        <v>YETKRTSCUT5004</v>
      </c>
      <c r="AF378" s="10" t="str">
        <f t="shared" si="24"/>
        <v>MUSTARD</v>
      </c>
      <c r="AG378" s="11" t="str">
        <f t="shared" si="25"/>
        <v>Bangalore</v>
      </c>
      <c r="AH378" s="9" t="str">
        <f>IF(OR(J378="",AE378="",AE378="NOT FOUND"),"",IF(Y378="RP",IFERROR(LEFT(_xlfn.XLOOKUP(AE378,Sheet1!$F:$F,Sheet1!$W:$W),FIND("-",_xlfn.XLOOKUP(AE378,Sheet1!$F:$F,Sheet1!$W:$W),FIND("-",_xlfn.XLOOKUP(AE378,Sheet1!$F:$F,Sheet1!$W:$W))+1))&amp;AE378,"NOT FOUND"),LEFT(J378,FIND("-",J378,FIND("-",J378)+1))&amp;AE378))</f>
        <v>KRTS-APSU26-YETKRTSCUT5004</v>
      </c>
    </row>
    <row r="379" spans="1:34" ht="15.75" customHeight="1" x14ac:dyDescent="0.2">
      <c r="A379" s="4" t="s">
        <v>30</v>
      </c>
      <c r="B379" s="4" t="s">
        <v>557</v>
      </c>
      <c r="C379" s="4" t="s">
        <v>558</v>
      </c>
      <c r="D379" s="4" t="s">
        <v>559</v>
      </c>
      <c r="E379" s="4" t="s">
        <v>34</v>
      </c>
      <c r="F379" s="4" t="s">
        <v>35</v>
      </c>
      <c r="G379" s="4" t="s">
        <v>55</v>
      </c>
      <c r="H379" s="4" t="s">
        <v>572</v>
      </c>
      <c r="I379" s="4" t="s">
        <v>573</v>
      </c>
      <c r="J379" s="4" t="s">
        <v>574</v>
      </c>
      <c r="L379" s="4" t="s">
        <v>40</v>
      </c>
      <c r="M379" s="4">
        <v>1</v>
      </c>
      <c r="N379" s="4">
        <v>243</v>
      </c>
      <c r="O379" s="4">
        <v>243</v>
      </c>
      <c r="P379" s="4" t="s">
        <v>41</v>
      </c>
      <c r="Q379" s="4">
        <v>229.3</v>
      </c>
      <c r="R379" s="4">
        <v>229.3</v>
      </c>
      <c r="S379" s="4">
        <v>2786</v>
      </c>
      <c r="T379" s="4">
        <v>55719.9</v>
      </c>
      <c r="U379" s="4">
        <v>5</v>
      </c>
      <c r="V379" s="4" t="s">
        <v>42</v>
      </c>
      <c r="X379" s="7" t="str">
        <f t="shared" si="15"/>
        <v>441853915</v>
      </c>
      <c r="Y379" s="8" t="str">
        <f t="shared" si="16"/>
        <v>DC</v>
      </c>
      <c r="Z379" s="8">
        <f t="shared" si="17"/>
        <v>0</v>
      </c>
      <c r="AA379" s="8">
        <f t="shared" si="18"/>
        <v>0</v>
      </c>
      <c r="AB379" s="8">
        <f t="shared" si="19"/>
        <v>0</v>
      </c>
      <c r="AC379" s="8">
        <f t="shared" si="20"/>
        <v>0</v>
      </c>
      <c r="AD379" s="8">
        <f t="shared" si="21"/>
        <v>243</v>
      </c>
      <c r="AE379" s="9" t="str" cm="1">
        <f t="array" ref="AE379">IFERROR(_xlfn.XLOOKUP(H379,Sheet1!$G:$G,Sheet1!$F:$F),IFERROR(_xlfn.XLOOKUP(1,(--($X$2:$X$1074=X379))*(--ISNUMBER(MATCH($H$2:$H$1074,Sheet1!$G:$G,0))),_xlfn.XLOOKUP($H$2:$H$1074,Sheet1!$G:$G,Sheet1!$F:$F,"")),"NOT FOUND"))</f>
        <v>YETKRTSCUT5004</v>
      </c>
      <c r="AF379" s="10" t="str">
        <f t="shared" si="24"/>
        <v>MUSTARD</v>
      </c>
      <c r="AG379" s="11" t="str">
        <f t="shared" si="25"/>
        <v>Bangalore</v>
      </c>
      <c r="AH379" s="9" t="str">
        <f>IF(OR(J379="",AE379="",AE379="NOT FOUND"),"",IF(Y379="RP",IFERROR(LEFT(_xlfn.XLOOKUP(AE379,Sheet1!$F:$F,Sheet1!$W:$W),FIND("-",_xlfn.XLOOKUP(AE379,Sheet1!$F:$F,Sheet1!$W:$W),FIND("-",_xlfn.XLOOKUP(AE379,Sheet1!$F:$F,Sheet1!$W:$W))+1))&amp;AE379,"NOT FOUND"),LEFT(J379,FIND("-",J379,FIND("-",J379)+1))&amp;AE379))</f>
        <v>KRTS-APSU26-YETKRTSCUT5004</v>
      </c>
    </row>
    <row r="380" spans="1:34" ht="15.75" customHeight="1" x14ac:dyDescent="0.2">
      <c r="A380" s="4" t="s">
        <v>59</v>
      </c>
      <c r="B380" s="4" t="s">
        <v>575</v>
      </c>
      <c r="C380" s="4" t="s">
        <v>558</v>
      </c>
      <c r="D380" s="4" t="s">
        <v>559</v>
      </c>
      <c r="E380" s="4" t="s">
        <v>34</v>
      </c>
      <c r="F380" s="4" t="s">
        <v>35</v>
      </c>
      <c r="G380" s="4" t="s">
        <v>36</v>
      </c>
      <c r="H380" s="4" t="s">
        <v>560</v>
      </c>
      <c r="I380" s="4" t="s">
        <v>561</v>
      </c>
      <c r="J380" s="4" t="s">
        <v>562</v>
      </c>
      <c r="L380" s="4" t="s">
        <v>40</v>
      </c>
      <c r="M380" s="4">
        <v>1</v>
      </c>
      <c r="N380" s="4">
        <v>135</v>
      </c>
      <c r="O380" s="4">
        <v>135</v>
      </c>
      <c r="P380" s="4" t="s">
        <v>41</v>
      </c>
      <c r="Q380" s="4">
        <v>229.3</v>
      </c>
      <c r="R380" s="4">
        <v>229.3</v>
      </c>
      <c r="S380" s="4">
        <v>1547.78</v>
      </c>
      <c r="T380" s="4">
        <v>30955.5</v>
      </c>
      <c r="U380" s="4">
        <v>5</v>
      </c>
      <c r="V380" s="4" t="s">
        <v>42</v>
      </c>
      <c r="X380" s="7" t="str">
        <f t="shared" si="15"/>
        <v>441853915</v>
      </c>
      <c r="Y380" s="8" t="str">
        <f t="shared" si="16"/>
        <v>DC</v>
      </c>
      <c r="Z380" s="8">
        <f t="shared" si="17"/>
        <v>135</v>
      </c>
      <c r="AA380" s="8">
        <f t="shared" si="18"/>
        <v>0</v>
      </c>
      <c r="AB380" s="8">
        <f t="shared" si="19"/>
        <v>0</v>
      </c>
      <c r="AC380" s="8">
        <f t="shared" si="20"/>
        <v>0</v>
      </c>
      <c r="AD380" s="8">
        <f t="shared" si="21"/>
        <v>0</v>
      </c>
      <c r="AE380" s="9" t="str" cm="1">
        <f t="array" ref="AE380">IFERROR(_xlfn.XLOOKUP(H380,Sheet1!$G:$G,Sheet1!$F:$F),IFERROR(_xlfn.XLOOKUP(1,(--($X$2:$X$1074=X380))*(--ISNUMBER(MATCH($H$2:$H$1074,Sheet1!$G:$G,0))),_xlfn.XLOOKUP($H$2:$H$1074,Sheet1!$G:$G,Sheet1!$F:$F,"")),"NOT FOUND"))</f>
        <v>YETKRTSCUT5004</v>
      </c>
      <c r="AF380" s="10" t="str">
        <f t="shared" si="24"/>
        <v>MUSTARD</v>
      </c>
      <c r="AG380" s="11" t="str">
        <f t="shared" si="25"/>
        <v>JHAJJAR</v>
      </c>
      <c r="AH380" s="9" t="str">
        <f>IF(OR(J380="",AE380="",AE380="NOT FOUND"),"",IF(Y380="RP",IFERROR(LEFT(_xlfn.XLOOKUP(AE380,Sheet1!$F:$F,Sheet1!$W:$W),FIND("-",_xlfn.XLOOKUP(AE380,Sheet1!$F:$F,Sheet1!$W:$W),FIND("-",_xlfn.XLOOKUP(AE380,Sheet1!$F:$F,Sheet1!$W:$W))+1))&amp;AE380,"NOT FOUND"),LEFT(J380,FIND("-",J380,FIND("-",J380)+1))&amp;AE380))</f>
        <v>KRTS-APSU26-YETKRTSCUT5004</v>
      </c>
    </row>
    <row r="381" spans="1:34" ht="15.75" customHeight="1" x14ac:dyDescent="0.2">
      <c r="A381" s="4" t="s">
        <v>59</v>
      </c>
      <c r="B381" s="4" t="s">
        <v>575</v>
      </c>
      <c r="C381" s="4" t="s">
        <v>558</v>
      </c>
      <c r="D381" s="4" t="s">
        <v>559</v>
      </c>
      <c r="E381" s="4" t="s">
        <v>34</v>
      </c>
      <c r="F381" s="4" t="s">
        <v>35</v>
      </c>
      <c r="G381" s="4" t="s">
        <v>43</v>
      </c>
      <c r="H381" s="4" t="s">
        <v>563</v>
      </c>
      <c r="I381" s="4" t="s">
        <v>564</v>
      </c>
      <c r="J381" s="4" t="s">
        <v>565</v>
      </c>
      <c r="L381" s="4" t="s">
        <v>40</v>
      </c>
      <c r="M381" s="4">
        <v>1</v>
      </c>
      <c r="N381" s="4">
        <v>190</v>
      </c>
      <c r="O381" s="4">
        <v>190</v>
      </c>
      <c r="P381" s="4" t="s">
        <v>41</v>
      </c>
      <c r="Q381" s="4">
        <v>229.3</v>
      </c>
      <c r="R381" s="4">
        <v>229.3</v>
      </c>
      <c r="S381" s="4">
        <v>2178.35</v>
      </c>
      <c r="T381" s="4">
        <v>43567</v>
      </c>
      <c r="U381" s="4">
        <v>5</v>
      </c>
      <c r="V381" s="4" t="s">
        <v>42</v>
      </c>
      <c r="X381" s="7" t="str">
        <f t="shared" si="15"/>
        <v>441853915</v>
      </c>
      <c r="Y381" s="8" t="str">
        <f t="shared" si="16"/>
        <v>DC</v>
      </c>
      <c r="Z381" s="8">
        <f t="shared" si="17"/>
        <v>0</v>
      </c>
      <c r="AA381" s="8">
        <f t="shared" si="18"/>
        <v>190</v>
      </c>
      <c r="AB381" s="8">
        <f t="shared" si="19"/>
        <v>0</v>
      </c>
      <c r="AC381" s="8">
        <f t="shared" si="20"/>
        <v>0</v>
      </c>
      <c r="AD381" s="8">
        <f t="shared" si="21"/>
        <v>0</v>
      </c>
      <c r="AE381" s="9" t="str" cm="1">
        <f t="array" ref="AE381">IFERROR(_xlfn.XLOOKUP(H381,Sheet1!$G:$G,Sheet1!$F:$F),IFERROR(_xlfn.XLOOKUP(1,(--($X$2:$X$1074=X381))*(--ISNUMBER(MATCH($H$2:$H$1074,Sheet1!$G:$G,0))),_xlfn.XLOOKUP($H$2:$H$1074,Sheet1!$G:$G,Sheet1!$F:$F,"")),"NOT FOUND"))</f>
        <v>YETKRTSCUT5004</v>
      </c>
      <c r="AF381" s="10" t="str">
        <f t="shared" si="24"/>
        <v>MUSTARD</v>
      </c>
      <c r="AG381" s="11" t="str">
        <f t="shared" si="25"/>
        <v>JHAJJAR</v>
      </c>
      <c r="AH381" s="9" t="str">
        <f>IF(OR(J381="",AE381="",AE381="NOT FOUND"),"",IF(Y381="RP",IFERROR(LEFT(_xlfn.XLOOKUP(AE381,Sheet1!$F:$F,Sheet1!$W:$W),FIND("-",_xlfn.XLOOKUP(AE381,Sheet1!$F:$F,Sheet1!$W:$W),FIND("-",_xlfn.XLOOKUP(AE381,Sheet1!$F:$F,Sheet1!$W:$W))+1))&amp;AE381,"NOT FOUND"),LEFT(J381,FIND("-",J381,FIND("-",J381)+1))&amp;AE381))</f>
        <v>KRTS-APSU26-YETKRTSCUT5004</v>
      </c>
    </row>
    <row r="382" spans="1:34" ht="15.75" customHeight="1" x14ac:dyDescent="0.2">
      <c r="A382" s="4" t="s">
        <v>59</v>
      </c>
      <c r="B382" s="4" t="s">
        <v>575</v>
      </c>
      <c r="C382" s="4" t="s">
        <v>558</v>
      </c>
      <c r="D382" s="4" t="s">
        <v>559</v>
      </c>
      <c r="E382" s="4" t="s">
        <v>34</v>
      </c>
      <c r="F382" s="4" t="s">
        <v>35</v>
      </c>
      <c r="G382" s="4" t="s">
        <v>47</v>
      </c>
      <c r="H382" s="4" t="s">
        <v>566</v>
      </c>
      <c r="I382" s="4" t="s">
        <v>567</v>
      </c>
      <c r="J382" s="4" t="s">
        <v>568</v>
      </c>
      <c r="L382" s="4" t="s">
        <v>40</v>
      </c>
      <c r="M382" s="4">
        <v>1</v>
      </c>
      <c r="N382" s="4">
        <v>186</v>
      </c>
      <c r="O382" s="4">
        <v>186</v>
      </c>
      <c r="P382" s="4" t="s">
        <v>41</v>
      </c>
      <c r="Q382" s="4">
        <v>229.3</v>
      </c>
      <c r="R382" s="4">
        <v>229.3</v>
      </c>
      <c r="S382" s="4">
        <v>2132.4899999999998</v>
      </c>
      <c r="T382" s="4">
        <v>42649.8</v>
      </c>
      <c r="U382" s="4">
        <v>5</v>
      </c>
      <c r="V382" s="4" t="s">
        <v>42</v>
      </c>
      <c r="X382" s="7" t="str">
        <f t="shared" si="15"/>
        <v>441853915</v>
      </c>
      <c r="Y382" s="8" t="str">
        <f t="shared" si="16"/>
        <v>DC</v>
      </c>
      <c r="Z382" s="8">
        <f t="shared" si="17"/>
        <v>0</v>
      </c>
      <c r="AA382" s="8">
        <f t="shared" si="18"/>
        <v>0</v>
      </c>
      <c r="AB382" s="8">
        <f t="shared" si="19"/>
        <v>186</v>
      </c>
      <c r="AC382" s="8">
        <f t="shared" si="20"/>
        <v>0</v>
      </c>
      <c r="AD382" s="8">
        <f t="shared" si="21"/>
        <v>0</v>
      </c>
      <c r="AE382" s="9" t="str" cm="1">
        <f t="array" ref="AE382">IFERROR(_xlfn.XLOOKUP(H382,Sheet1!$G:$G,Sheet1!$F:$F),IFERROR(_xlfn.XLOOKUP(1,(--($X$2:$X$1074=X382))*(--ISNUMBER(MATCH($H$2:$H$1074,Sheet1!$G:$G,0))),_xlfn.XLOOKUP($H$2:$H$1074,Sheet1!$G:$G,Sheet1!$F:$F,"")),"NOT FOUND"))</f>
        <v>YETKRTSCUT5004</v>
      </c>
      <c r="AF382" s="10" t="str">
        <f t="shared" si="24"/>
        <v>MUSTARD</v>
      </c>
      <c r="AG382" s="11" t="str">
        <f t="shared" si="25"/>
        <v>JHAJJAR</v>
      </c>
      <c r="AH382" s="9" t="str">
        <f>IF(OR(J382="",AE382="",AE382="NOT FOUND"),"",IF(Y382="RP",IFERROR(LEFT(_xlfn.XLOOKUP(AE382,Sheet1!$F:$F,Sheet1!$W:$W),FIND("-",_xlfn.XLOOKUP(AE382,Sheet1!$F:$F,Sheet1!$W:$W),FIND("-",_xlfn.XLOOKUP(AE382,Sheet1!$F:$F,Sheet1!$W:$W))+1))&amp;AE382,"NOT FOUND"),LEFT(J382,FIND("-",J382,FIND("-",J382)+1))&amp;AE382))</f>
        <v>KRTS-APSU26-YETKRTSCUT5004</v>
      </c>
    </row>
    <row r="383" spans="1:34" ht="15.75" customHeight="1" x14ac:dyDescent="0.2">
      <c r="A383" s="4" t="s">
        <v>59</v>
      </c>
      <c r="B383" s="4" t="s">
        <v>575</v>
      </c>
      <c r="C383" s="4" t="s">
        <v>558</v>
      </c>
      <c r="D383" s="4" t="s">
        <v>559</v>
      </c>
      <c r="E383" s="4" t="s">
        <v>34</v>
      </c>
      <c r="F383" s="4" t="s">
        <v>35</v>
      </c>
      <c r="G383" s="4" t="s">
        <v>51</v>
      </c>
      <c r="H383" s="4" t="s">
        <v>569</v>
      </c>
      <c r="I383" s="4" t="s">
        <v>570</v>
      </c>
      <c r="J383" s="4" t="s">
        <v>571</v>
      </c>
      <c r="L383" s="4" t="s">
        <v>40</v>
      </c>
      <c r="M383" s="4">
        <v>1</v>
      </c>
      <c r="N383" s="4">
        <v>186</v>
      </c>
      <c r="O383" s="4">
        <v>186</v>
      </c>
      <c r="P383" s="4" t="s">
        <v>41</v>
      </c>
      <c r="Q383" s="4">
        <v>229.3</v>
      </c>
      <c r="R383" s="4">
        <v>229.3</v>
      </c>
      <c r="S383" s="4">
        <v>2132.4899999999998</v>
      </c>
      <c r="T383" s="4">
        <v>42649.8</v>
      </c>
      <c r="U383" s="4">
        <v>5</v>
      </c>
      <c r="V383" s="4" t="s">
        <v>42</v>
      </c>
      <c r="X383" s="7" t="str">
        <f t="shared" si="15"/>
        <v>441853915</v>
      </c>
      <c r="Y383" s="8" t="str">
        <f t="shared" si="16"/>
        <v>DC</v>
      </c>
      <c r="Z383" s="8">
        <f t="shared" si="17"/>
        <v>0</v>
      </c>
      <c r="AA383" s="8">
        <f t="shared" si="18"/>
        <v>0</v>
      </c>
      <c r="AB383" s="8">
        <f t="shared" si="19"/>
        <v>0</v>
      </c>
      <c r="AC383" s="8">
        <f t="shared" si="20"/>
        <v>186</v>
      </c>
      <c r="AD383" s="8">
        <f t="shared" si="21"/>
        <v>0</v>
      </c>
      <c r="AE383" s="9" t="str" cm="1">
        <f t="array" ref="AE383">IFERROR(_xlfn.XLOOKUP(H383,Sheet1!$G:$G,Sheet1!$F:$F),IFERROR(_xlfn.XLOOKUP(1,(--($X$2:$X$1074=X383))*(--ISNUMBER(MATCH($H$2:$H$1074,Sheet1!$G:$G,0))),_xlfn.XLOOKUP($H$2:$H$1074,Sheet1!$G:$G,Sheet1!$F:$F,"")),"NOT FOUND"))</f>
        <v>YETKRTSCUT5004</v>
      </c>
      <c r="AF383" s="10" t="str">
        <f t="shared" si="24"/>
        <v>MUSTARD</v>
      </c>
      <c r="AG383" s="11" t="str">
        <f t="shared" si="25"/>
        <v>JHAJJAR</v>
      </c>
      <c r="AH383" s="9" t="str">
        <f>IF(OR(J383="",AE383="",AE383="NOT FOUND"),"",IF(Y383="RP",IFERROR(LEFT(_xlfn.XLOOKUP(AE383,Sheet1!$F:$F,Sheet1!$W:$W),FIND("-",_xlfn.XLOOKUP(AE383,Sheet1!$F:$F,Sheet1!$W:$W),FIND("-",_xlfn.XLOOKUP(AE383,Sheet1!$F:$F,Sheet1!$W:$W))+1))&amp;AE383,"NOT FOUND"),LEFT(J383,FIND("-",J383,FIND("-",J383)+1))&amp;AE383))</f>
        <v>KRTS-APSU26-YETKRTSCUT5004</v>
      </c>
    </row>
    <row r="384" spans="1:34" ht="15.75" customHeight="1" x14ac:dyDescent="0.2">
      <c r="A384" s="4" t="s">
        <v>59</v>
      </c>
      <c r="B384" s="4" t="s">
        <v>575</v>
      </c>
      <c r="C384" s="4" t="s">
        <v>558</v>
      </c>
      <c r="D384" s="4" t="s">
        <v>559</v>
      </c>
      <c r="E384" s="4" t="s">
        <v>34</v>
      </c>
      <c r="F384" s="4" t="s">
        <v>35</v>
      </c>
      <c r="G384" s="4" t="s">
        <v>55</v>
      </c>
      <c r="H384" s="4" t="s">
        <v>572</v>
      </c>
      <c r="I384" s="4" t="s">
        <v>573</v>
      </c>
      <c r="J384" s="4" t="s">
        <v>574</v>
      </c>
      <c r="L384" s="4" t="s">
        <v>40</v>
      </c>
      <c r="M384" s="4">
        <v>1</v>
      </c>
      <c r="N384" s="4">
        <v>148</v>
      </c>
      <c r="O384" s="4">
        <v>148</v>
      </c>
      <c r="P384" s="4" t="s">
        <v>41</v>
      </c>
      <c r="Q384" s="4">
        <v>229.3</v>
      </c>
      <c r="R384" s="4">
        <v>229.3</v>
      </c>
      <c r="S384" s="4">
        <v>1696.82</v>
      </c>
      <c r="T384" s="4">
        <v>33936.400000000001</v>
      </c>
      <c r="U384" s="4">
        <v>5</v>
      </c>
      <c r="V384" s="4" t="s">
        <v>42</v>
      </c>
      <c r="X384" s="7" t="str">
        <f t="shared" si="15"/>
        <v>441853915</v>
      </c>
      <c r="Y384" s="8" t="str">
        <f t="shared" si="16"/>
        <v>DC</v>
      </c>
      <c r="Z384" s="8">
        <f t="shared" si="17"/>
        <v>0</v>
      </c>
      <c r="AA384" s="8">
        <f t="shared" si="18"/>
        <v>0</v>
      </c>
      <c r="AB384" s="8">
        <f t="shared" si="19"/>
        <v>0</v>
      </c>
      <c r="AC384" s="8">
        <f t="shared" si="20"/>
        <v>0</v>
      </c>
      <c r="AD384" s="8">
        <f t="shared" si="21"/>
        <v>148</v>
      </c>
      <c r="AE384" s="9" t="str" cm="1">
        <f t="array" ref="AE384">IFERROR(_xlfn.XLOOKUP(H384,Sheet1!$G:$G,Sheet1!$F:$F),IFERROR(_xlfn.XLOOKUP(1,(--($X$2:$X$1074=X384))*(--ISNUMBER(MATCH($H$2:$H$1074,Sheet1!$G:$G,0))),_xlfn.XLOOKUP($H$2:$H$1074,Sheet1!$G:$G,Sheet1!$F:$F,"")),"NOT FOUND"))</f>
        <v>YETKRTSCUT5004</v>
      </c>
      <c r="AF384" s="10" t="str">
        <f t="shared" si="24"/>
        <v>MUSTARD</v>
      </c>
      <c r="AG384" s="11" t="str">
        <f t="shared" si="25"/>
        <v>JHAJJAR</v>
      </c>
      <c r="AH384" s="9" t="str">
        <f>IF(OR(J384="",AE384="",AE384="NOT FOUND"),"",IF(Y384="RP",IFERROR(LEFT(_xlfn.XLOOKUP(AE384,Sheet1!$F:$F,Sheet1!$W:$W),FIND("-",_xlfn.XLOOKUP(AE384,Sheet1!$F:$F,Sheet1!$W:$W),FIND("-",_xlfn.XLOOKUP(AE384,Sheet1!$F:$F,Sheet1!$W:$W))+1))&amp;AE384,"NOT FOUND"),LEFT(J384,FIND("-",J384,FIND("-",J384)+1))&amp;AE384))</f>
        <v>KRTS-APSU26-YETKRTSCUT5004</v>
      </c>
    </row>
    <row r="385" spans="1:34" ht="15.75" customHeight="1" x14ac:dyDescent="0.2">
      <c r="A385" s="4" t="s">
        <v>61</v>
      </c>
      <c r="B385" s="4" t="s">
        <v>576</v>
      </c>
      <c r="C385" s="4" t="s">
        <v>558</v>
      </c>
      <c r="D385" s="4" t="s">
        <v>559</v>
      </c>
      <c r="E385" s="4" t="s">
        <v>34</v>
      </c>
      <c r="F385" s="4" t="s">
        <v>35</v>
      </c>
      <c r="G385" s="4" t="s">
        <v>36</v>
      </c>
      <c r="H385" s="4" t="s">
        <v>560</v>
      </c>
      <c r="I385" s="4" t="s">
        <v>561</v>
      </c>
      <c r="J385" s="4" t="s">
        <v>562</v>
      </c>
      <c r="L385" s="4" t="s">
        <v>40</v>
      </c>
      <c r="M385" s="4">
        <v>1</v>
      </c>
      <c r="N385" s="4">
        <v>124</v>
      </c>
      <c r="O385" s="4">
        <v>124</v>
      </c>
      <c r="P385" s="4" t="s">
        <v>41</v>
      </c>
      <c r="Q385" s="4">
        <v>229.3</v>
      </c>
      <c r="R385" s="4">
        <v>229.3</v>
      </c>
      <c r="S385" s="4">
        <v>1421.66</v>
      </c>
      <c r="T385" s="4">
        <v>28433.200000000001</v>
      </c>
      <c r="U385" s="4">
        <v>5</v>
      </c>
      <c r="V385" s="4" t="s">
        <v>42</v>
      </c>
      <c r="X385" s="7" t="str">
        <f t="shared" si="15"/>
        <v>441853915</v>
      </c>
      <c r="Y385" s="8" t="str">
        <f t="shared" si="16"/>
        <v>DC</v>
      </c>
      <c r="Z385" s="8">
        <f t="shared" si="17"/>
        <v>124</v>
      </c>
      <c r="AA385" s="8">
        <f t="shared" si="18"/>
        <v>0</v>
      </c>
      <c r="AB385" s="8">
        <f t="shared" si="19"/>
        <v>0</v>
      </c>
      <c r="AC385" s="8">
        <f t="shared" si="20"/>
        <v>0</v>
      </c>
      <c r="AD385" s="8">
        <f t="shared" si="21"/>
        <v>0</v>
      </c>
      <c r="AE385" s="9" t="str" cm="1">
        <f t="array" ref="AE385">IFERROR(_xlfn.XLOOKUP(H385,Sheet1!$G:$G,Sheet1!$F:$F),IFERROR(_xlfn.XLOOKUP(1,(--($X$2:$X$1074=X385))*(--ISNUMBER(MATCH($H$2:$H$1074,Sheet1!$G:$G,0))),_xlfn.XLOOKUP($H$2:$H$1074,Sheet1!$G:$G,Sheet1!$F:$F,"")),"NOT FOUND"))</f>
        <v>YETKRTSCUT5004</v>
      </c>
      <c r="AF385" s="10" t="str">
        <f t="shared" si="24"/>
        <v>MUSTARD</v>
      </c>
      <c r="AG385" s="11" t="str">
        <f t="shared" si="25"/>
        <v>HARIPAL</v>
      </c>
      <c r="AH385" s="9" t="str">
        <f>IF(OR(J385="",AE385="",AE385="NOT FOUND"),"",IF(Y385="RP",IFERROR(LEFT(_xlfn.XLOOKUP(AE385,Sheet1!$F:$F,Sheet1!$W:$W),FIND("-",_xlfn.XLOOKUP(AE385,Sheet1!$F:$F,Sheet1!$W:$W),FIND("-",_xlfn.XLOOKUP(AE385,Sheet1!$F:$F,Sheet1!$W:$W))+1))&amp;AE385,"NOT FOUND"),LEFT(J385,FIND("-",J385,FIND("-",J385)+1))&amp;AE385))</f>
        <v>KRTS-APSU26-YETKRTSCUT5004</v>
      </c>
    </row>
    <row r="386" spans="1:34" ht="15.75" customHeight="1" x14ac:dyDescent="0.2">
      <c r="A386" s="4" t="s">
        <v>61</v>
      </c>
      <c r="B386" s="4" t="s">
        <v>576</v>
      </c>
      <c r="C386" s="4" t="s">
        <v>558</v>
      </c>
      <c r="D386" s="4" t="s">
        <v>559</v>
      </c>
      <c r="E386" s="4" t="s">
        <v>34</v>
      </c>
      <c r="F386" s="4" t="s">
        <v>35</v>
      </c>
      <c r="G386" s="4" t="s">
        <v>43</v>
      </c>
      <c r="H386" s="4" t="s">
        <v>563</v>
      </c>
      <c r="I386" s="4" t="s">
        <v>564</v>
      </c>
      <c r="J386" s="4" t="s">
        <v>565</v>
      </c>
      <c r="L386" s="4" t="s">
        <v>40</v>
      </c>
      <c r="M386" s="4">
        <v>1</v>
      </c>
      <c r="N386" s="4">
        <v>175</v>
      </c>
      <c r="O386" s="4">
        <v>175</v>
      </c>
      <c r="P386" s="4" t="s">
        <v>41</v>
      </c>
      <c r="Q386" s="4">
        <v>229.3</v>
      </c>
      <c r="R386" s="4">
        <v>229.3</v>
      </c>
      <c r="S386" s="4">
        <v>2006.38</v>
      </c>
      <c r="T386" s="4">
        <v>40127.5</v>
      </c>
      <c r="U386" s="4">
        <v>5</v>
      </c>
      <c r="V386" s="4" t="s">
        <v>42</v>
      </c>
      <c r="X386" s="7" t="str">
        <f t="shared" si="15"/>
        <v>441853915</v>
      </c>
      <c r="Y386" s="8" t="str">
        <f t="shared" si="16"/>
        <v>DC</v>
      </c>
      <c r="Z386" s="8">
        <f t="shared" si="17"/>
        <v>0</v>
      </c>
      <c r="AA386" s="8">
        <f t="shared" si="18"/>
        <v>175</v>
      </c>
      <c r="AB386" s="8">
        <f t="shared" si="19"/>
        <v>0</v>
      </c>
      <c r="AC386" s="8">
        <f t="shared" si="20"/>
        <v>0</v>
      </c>
      <c r="AD386" s="8">
        <f t="shared" si="21"/>
        <v>0</v>
      </c>
      <c r="AE386" s="9" t="str" cm="1">
        <f t="array" ref="AE386">IFERROR(_xlfn.XLOOKUP(H386,Sheet1!$G:$G,Sheet1!$F:$F),IFERROR(_xlfn.XLOOKUP(1,(--($X$2:$X$1074=X386))*(--ISNUMBER(MATCH($H$2:$H$1074,Sheet1!$G:$G,0))),_xlfn.XLOOKUP($H$2:$H$1074,Sheet1!$G:$G,Sheet1!$F:$F,"")),"NOT FOUND"))</f>
        <v>YETKRTSCUT5004</v>
      </c>
      <c r="AF386" s="10" t="str">
        <f t="shared" si="24"/>
        <v>MUSTARD</v>
      </c>
      <c r="AG386" s="11" t="str">
        <f t="shared" si="25"/>
        <v>HARIPAL</v>
      </c>
      <c r="AH386" s="9" t="str">
        <f>IF(OR(J386="",AE386="",AE386="NOT FOUND"),"",IF(Y386="RP",IFERROR(LEFT(_xlfn.XLOOKUP(AE386,Sheet1!$F:$F,Sheet1!$W:$W),FIND("-",_xlfn.XLOOKUP(AE386,Sheet1!$F:$F,Sheet1!$W:$W),FIND("-",_xlfn.XLOOKUP(AE386,Sheet1!$F:$F,Sheet1!$W:$W))+1))&amp;AE386,"NOT FOUND"),LEFT(J386,FIND("-",J386,FIND("-",J386)+1))&amp;AE386))</f>
        <v>KRTS-APSU26-YETKRTSCUT5004</v>
      </c>
    </row>
    <row r="387" spans="1:34" ht="15.75" customHeight="1" x14ac:dyDescent="0.2">
      <c r="A387" s="4" t="s">
        <v>61</v>
      </c>
      <c r="B387" s="4" t="s">
        <v>576</v>
      </c>
      <c r="C387" s="4" t="s">
        <v>558</v>
      </c>
      <c r="D387" s="4" t="s">
        <v>559</v>
      </c>
      <c r="E387" s="4" t="s">
        <v>34</v>
      </c>
      <c r="F387" s="4" t="s">
        <v>35</v>
      </c>
      <c r="G387" s="4" t="s">
        <v>47</v>
      </c>
      <c r="H387" s="4" t="s">
        <v>566</v>
      </c>
      <c r="I387" s="4" t="s">
        <v>567</v>
      </c>
      <c r="J387" s="4" t="s">
        <v>568</v>
      </c>
      <c r="L387" s="4" t="s">
        <v>40</v>
      </c>
      <c r="M387" s="4">
        <v>1</v>
      </c>
      <c r="N387" s="4">
        <v>171</v>
      </c>
      <c r="O387" s="4">
        <v>171</v>
      </c>
      <c r="P387" s="4" t="s">
        <v>41</v>
      </c>
      <c r="Q387" s="4">
        <v>229.3</v>
      </c>
      <c r="R387" s="4">
        <v>229.3</v>
      </c>
      <c r="S387" s="4">
        <v>1960.52</v>
      </c>
      <c r="T387" s="4">
        <v>39210.300000000003</v>
      </c>
      <c r="U387" s="4">
        <v>5</v>
      </c>
      <c r="V387" s="4" t="s">
        <v>42</v>
      </c>
      <c r="X387" s="7" t="str">
        <f t="shared" si="15"/>
        <v>441853915</v>
      </c>
      <c r="Y387" s="8" t="str">
        <f t="shared" si="16"/>
        <v>DC</v>
      </c>
      <c r="Z387" s="8">
        <f t="shared" si="17"/>
        <v>0</v>
      </c>
      <c r="AA387" s="8">
        <f t="shared" si="18"/>
        <v>0</v>
      </c>
      <c r="AB387" s="8">
        <f t="shared" si="19"/>
        <v>171</v>
      </c>
      <c r="AC387" s="8">
        <f t="shared" si="20"/>
        <v>0</v>
      </c>
      <c r="AD387" s="8">
        <f t="shared" si="21"/>
        <v>0</v>
      </c>
      <c r="AE387" s="9" t="str" cm="1">
        <f t="array" ref="AE387">IFERROR(_xlfn.XLOOKUP(H387,Sheet1!$G:$G,Sheet1!$F:$F),IFERROR(_xlfn.XLOOKUP(1,(--($X$2:$X$1074=X387))*(--ISNUMBER(MATCH($H$2:$H$1074,Sheet1!$G:$G,0))),_xlfn.XLOOKUP($H$2:$H$1074,Sheet1!$G:$G,Sheet1!$F:$F,"")),"NOT FOUND"))</f>
        <v>YETKRTSCUT5004</v>
      </c>
      <c r="AF387" s="10" t="str">
        <f t="shared" ref="AF387:AF450" si="26">IFERROR(IF(ISNUMBER(SEARCH("(RP)",J387)),TRIM(SUBSTITUTE(MID(J387,10,LEN(J387)),"(RP)","")),TRIM(MID(J387,FIND(",",J387)+1,FIND(",",J387,FIND(",",J387)+1)-FIND(",",J387)-1))),"")</f>
        <v>MUSTARD</v>
      </c>
      <c r="AG387" s="11" t="str">
        <f t="shared" ref="AG387:AG450" si="27">IF(A387="SZAF","Bangalore",IF(A387="SAEX","JHAJJAR",IF(A387="S0EU","HARIPAL","")))</f>
        <v>HARIPAL</v>
      </c>
      <c r="AH387" s="9" t="str">
        <f>IF(OR(J387="",AE387="",AE387="NOT FOUND"),"",IF(Y387="RP",IFERROR(LEFT(_xlfn.XLOOKUP(AE387,Sheet1!$F:$F,Sheet1!$W:$W),FIND("-",_xlfn.XLOOKUP(AE387,Sheet1!$F:$F,Sheet1!$W:$W),FIND("-",_xlfn.XLOOKUP(AE387,Sheet1!$F:$F,Sheet1!$W:$W))+1))&amp;AE387,"NOT FOUND"),LEFT(J387,FIND("-",J387,FIND("-",J387)+1))&amp;AE387))</f>
        <v>KRTS-APSU26-YETKRTSCUT5004</v>
      </c>
    </row>
    <row r="388" spans="1:34" ht="15.75" customHeight="1" x14ac:dyDescent="0.2">
      <c r="A388" s="4" t="s">
        <v>61</v>
      </c>
      <c r="B388" s="4" t="s">
        <v>576</v>
      </c>
      <c r="C388" s="4" t="s">
        <v>558</v>
      </c>
      <c r="D388" s="4" t="s">
        <v>559</v>
      </c>
      <c r="E388" s="4" t="s">
        <v>34</v>
      </c>
      <c r="F388" s="4" t="s">
        <v>35</v>
      </c>
      <c r="G388" s="4" t="s">
        <v>51</v>
      </c>
      <c r="H388" s="4" t="s">
        <v>569</v>
      </c>
      <c r="I388" s="4" t="s">
        <v>570</v>
      </c>
      <c r="J388" s="4" t="s">
        <v>571</v>
      </c>
      <c r="L388" s="4" t="s">
        <v>40</v>
      </c>
      <c r="M388" s="4">
        <v>1</v>
      </c>
      <c r="N388" s="4">
        <v>171</v>
      </c>
      <c r="O388" s="4">
        <v>171</v>
      </c>
      <c r="P388" s="4" t="s">
        <v>41</v>
      </c>
      <c r="Q388" s="4">
        <v>229.3</v>
      </c>
      <c r="R388" s="4">
        <v>229.3</v>
      </c>
      <c r="S388" s="4">
        <v>1960.52</v>
      </c>
      <c r="T388" s="4">
        <v>39210.300000000003</v>
      </c>
      <c r="U388" s="4">
        <v>5</v>
      </c>
      <c r="V388" s="4" t="s">
        <v>42</v>
      </c>
      <c r="X388" s="7" t="str">
        <f t="shared" si="15"/>
        <v>441853915</v>
      </c>
      <c r="Y388" s="8" t="str">
        <f t="shared" si="16"/>
        <v>DC</v>
      </c>
      <c r="Z388" s="8">
        <f t="shared" si="17"/>
        <v>0</v>
      </c>
      <c r="AA388" s="8">
        <f t="shared" si="18"/>
        <v>0</v>
      </c>
      <c r="AB388" s="8">
        <f t="shared" si="19"/>
        <v>0</v>
      </c>
      <c r="AC388" s="8">
        <f t="shared" si="20"/>
        <v>171</v>
      </c>
      <c r="AD388" s="8">
        <f t="shared" si="21"/>
        <v>0</v>
      </c>
      <c r="AE388" s="9" t="str" cm="1">
        <f t="array" ref="AE388">IFERROR(_xlfn.XLOOKUP(H388,Sheet1!$G:$G,Sheet1!$F:$F),IFERROR(_xlfn.XLOOKUP(1,(--($X$2:$X$1074=X388))*(--ISNUMBER(MATCH($H$2:$H$1074,Sheet1!$G:$G,0))),_xlfn.XLOOKUP($H$2:$H$1074,Sheet1!$G:$G,Sheet1!$F:$F,"")),"NOT FOUND"))</f>
        <v>YETKRTSCUT5004</v>
      </c>
      <c r="AF388" s="10" t="str">
        <f t="shared" si="26"/>
        <v>MUSTARD</v>
      </c>
      <c r="AG388" s="11" t="str">
        <f t="shared" si="27"/>
        <v>HARIPAL</v>
      </c>
      <c r="AH388" s="9" t="str">
        <f>IF(OR(J388="",AE388="",AE388="NOT FOUND"),"",IF(Y388="RP",IFERROR(LEFT(_xlfn.XLOOKUP(AE388,Sheet1!$F:$F,Sheet1!$W:$W),FIND("-",_xlfn.XLOOKUP(AE388,Sheet1!$F:$F,Sheet1!$W:$W),FIND("-",_xlfn.XLOOKUP(AE388,Sheet1!$F:$F,Sheet1!$W:$W))+1))&amp;AE388,"NOT FOUND"),LEFT(J388,FIND("-",J388,FIND("-",J388)+1))&amp;AE388))</f>
        <v>KRTS-APSU26-YETKRTSCUT5004</v>
      </c>
    </row>
    <row r="389" spans="1:34" ht="15.75" customHeight="1" x14ac:dyDescent="0.2">
      <c r="A389" s="4" t="s">
        <v>61</v>
      </c>
      <c r="B389" s="4" t="s">
        <v>576</v>
      </c>
      <c r="C389" s="4" t="s">
        <v>558</v>
      </c>
      <c r="D389" s="4" t="s">
        <v>559</v>
      </c>
      <c r="E389" s="4" t="s">
        <v>34</v>
      </c>
      <c r="F389" s="4" t="s">
        <v>35</v>
      </c>
      <c r="G389" s="4" t="s">
        <v>55</v>
      </c>
      <c r="H389" s="4" t="s">
        <v>572</v>
      </c>
      <c r="I389" s="4" t="s">
        <v>573</v>
      </c>
      <c r="J389" s="4" t="s">
        <v>574</v>
      </c>
      <c r="L389" s="4" t="s">
        <v>40</v>
      </c>
      <c r="M389" s="4">
        <v>1</v>
      </c>
      <c r="N389" s="4">
        <v>136</v>
      </c>
      <c r="O389" s="4">
        <v>136</v>
      </c>
      <c r="P389" s="4" t="s">
        <v>41</v>
      </c>
      <c r="Q389" s="4">
        <v>229.3</v>
      </c>
      <c r="R389" s="4">
        <v>229.3</v>
      </c>
      <c r="S389" s="4">
        <v>1559.24</v>
      </c>
      <c r="T389" s="4">
        <v>31184.799999999999</v>
      </c>
      <c r="U389" s="4">
        <v>5</v>
      </c>
      <c r="V389" s="4" t="s">
        <v>42</v>
      </c>
      <c r="X389" s="7" t="str">
        <f t="shared" si="15"/>
        <v>441853915</v>
      </c>
      <c r="Y389" s="8" t="str">
        <f t="shared" si="16"/>
        <v>DC</v>
      </c>
      <c r="Z389" s="8">
        <f t="shared" si="17"/>
        <v>0</v>
      </c>
      <c r="AA389" s="8">
        <f t="shared" si="18"/>
        <v>0</v>
      </c>
      <c r="AB389" s="8">
        <f t="shared" si="19"/>
        <v>0</v>
      </c>
      <c r="AC389" s="8">
        <f t="shared" si="20"/>
        <v>0</v>
      </c>
      <c r="AD389" s="8">
        <f t="shared" si="21"/>
        <v>136</v>
      </c>
      <c r="AE389" s="9" t="str" cm="1">
        <f t="array" ref="AE389">IFERROR(_xlfn.XLOOKUP(H389,Sheet1!$G:$G,Sheet1!$F:$F),IFERROR(_xlfn.XLOOKUP(1,(--($X$2:$X$1074=X389))*(--ISNUMBER(MATCH($H$2:$H$1074,Sheet1!$G:$G,0))),_xlfn.XLOOKUP($H$2:$H$1074,Sheet1!$G:$G,Sheet1!$F:$F,"")),"NOT FOUND"))</f>
        <v>YETKRTSCUT5004</v>
      </c>
      <c r="AF389" s="10" t="str">
        <f t="shared" si="26"/>
        <v>MUSTARD</v>
      </c>
      <c r="AG389" s="11" t="str">
        <f t="shared" si="27"/>
        <v>HARIPAL</v>
      </c>
      <c r="AH389" s="9" t="str">
        <f>IF(OR(J389="",AE389="",AE389="NOT FOUND"),"",IF(Y389="RP",IFERROR(LEFT(_xlfn.XLOOKUP(AE389,Sheet1!$F:$F,Sheet1!$W:$W),FIND("-",_xlfn.XLOOKUP(AE389,Sheet1!$F:$F,Sheet1!$W:$W),FIND("-",_xlfn.XLOOKUP(AE389,Sheet1!$F:$F,Sheet1!$W:$W))+1))&amp;AE389,"NOT FOUND"),LEFT(J389,FIND("-",J389,FIND("-",J389)+1))&amp;AE389))</f>
        <v>KRTS-APSU26-YETKRTSCUT5004</v>
      </c>
    </row>
    <row r="390" spans="1:34" ht="15.75" customHeight="1" x14ac:dyDescent="0.2">
      <c r="A390" s="4" t="s">
        <v>30</v>
      </c>
      <c r="B390" s="4" t="s">
        <v>577</v>
      </c>
      <c r="C390" s="4" t="s">
        <v>578</v>
      </c>
      <c r="D390" s="4" t="s">
        <v>579</v>
      </c>
      <c r="E390" s="4" t="s">
        <v>34</v>
      </c>
      <c r="F390" s="4" t="s">
        <v>35</v>
      </c>
      <c r="G390" s="4" t="s">
        <v>36</v>
      </c>
      <c r="H390" s="4" t="s">
        <v>580</v>
      </c>
      <c r="I390" s="4" t="s">
        <v>581</v>
      </c>
      <c r="J390" s="4" t="s">
        <v>582</v>
      </c>
      <c r="L390" s="4" t="s">
        <v>40</v>
      </c>
      <c r="M390" s="4">
        <v>1</v>
      </c>
      <c r="N390" s="4">
        <v>106</v>
      </c>
      <c r="O390" s="4">
        <v>106</v>
      </c>
      <c r="P390" s="4" t="s">
        <v>41</v>
      </c>
      <c r="Q390" s="4">
        <v>244.3</v>
      </c>
      <c r="R390" s="4">
        <v>244.3</v>
      </c>
      <c r="S390" s="4">
        <v>1294.79</v>
      </c>
      <c r="T390" s="4">
        <v>25895.8</v>
      </c>
      <c r="U390" s="4">
        <v>5</v>
      </c>
      <c r="V390" s="4" t="s">
        <v>42</v>
      </c>
      <c r="X390" s="7" t="str">
        <f t="shared" si="15"/>
        <v>441857089</v>
      </c>
      <c r="Y390" s="8" t="str">
        <f t="shared" si="16"/>
        <v>DC</v>
      </c>
      <c r="Z390" s="8">
        <f t="shared" si="17"/>
        <v>106</v>
      </c>
      <c r="AA390" s="8">
        <f t="shared" si="18"/>
        <v>0</v>
      </c>
      <c r="AB390" s="8">
        <f t="shared" si="19"/>
        <v>0</v>
      </c>
      <c r="AC390" s="8">
        <f t="shared" si="20"/>
        <v>0</v>
      </c>
      <c r="AD390" s="8">
        <f t="shared" si="21"/>
        <v>0</v>
      </c>
      <c r="AE390" s="9" t="str" cm="1">
        <f t="array" ref="AE390">IFERROR(_xlfn.XLOOKUP(H390,Sheet1!$G:$G,Sheet1!$F:$F),IFERROR(_xlfn.XLOOKUP(1,(--($X$2:$X$1074=X390))*(--ISNUMBER(MATCH($H$2:$H$1074,Sheet1!$G:$G,0))),_xlfn.XLOOKUP($H$2:$H$1074,Sheet1!$G:$G,Sheet1!$F:$F,"")),"NOT FOUND"))</f>
        <v>YETKRTSCUT5008</v>
      </c>
      <c r="AF390" s="10" t="str">
        <f t="shared" si="26"/>
        <v>BLACK</v>
      </c>
      <c r="AG390" s="11" t="str">
        <f t="shared" si="27"/>
        <v>Bangalore</v>
      </c>
      <c r="AH390" s="9" t="str">
        <f>IF(OR(J390="",AE390="",AE390="NOT FOUND"),"",IF(Y390="RP",IFERROR(LEFT(_xlfn.XLOOKUP(AE390,Sheet1!$F:$F,Sheet1!$W:$W),FIND("-",_xlfn.XLOOKUP(AE390,Sheet1!$F:$F,Sheet1!$W:$W),FIND("-",_xlfn.XLOOKUP(AE390,Sheet1!$F:$F,Sheet1!$W:$W))+1))&amp;AE390,"NOT FOUND"),LEFT(J390,FIND("-",J390,FIND("-",J390)+1))&amp;AE390))</f>
        <v>KRTS-APSU26-YETKRTSCUT5008</v>
      </c>
    </row>
    <row r="391" spans="1:34" ht="15.75" customHeight="1" x14ac:dyDescent="0.2">
      <c r="A391" s="4" t="s">
        <v>30</v>
      </c>
      <c r="B391" s="4" t="s">
        <v>577</v>
      </c>
      <c r="C391" s="4" t="s">
        <v>578</v>
      </c>
      <c r="D391" s="4" t="s">
        <v>579</v>
      </c>
      <c r="E391" s="4" t="s">
        <v>34</v>
      </c>
      <c r="F391" s="4" t="s">
        <v>35</v>
      </c>
      <c r="G391" s="4" t="s">
        <v>43</v>
      </c>
      <c r="H391" s="4" t="s">
        <v>583</v>
      </c>
      <c r="I391" s="4" t="s">
        <v>584</v>
      </c>
      <c r="J391" s="4" t="s">
        <v>585</v>
      </c>
      <c r="L391" s="4" t="s">
        <v>40</v>
      </c>
      <c r="M391" s="4">
        <v>1</v>
      </c>
      <c r="N391" s="4">
        <v>161</v>
      </c>
      <c r="O391" s="4">
        <v>161</v>
      </c>
      <c r="P391" s="4" t="s">
        <v>41</v>
      </c>
      <c r="Q391" s="4">
        <v>244.3</v>
      </c>
      <c r="R391" s="4">
        <v>244.3</v>
      </c>
      <c r="S391" s="4">
        <v>1966.62</v>
      </c>
      <c r="T391" s="4">
        <v>39332.300000000003</v>
      </c>
      <c r="U391" s="4">
        <v>5</v>
      </c>
      <c r="V391" s="4" t="s">
        <v>42</v>
      </c>
      <c r="X391" s="7" t="str">
        <f t="shared" si="15"/>
        <v>441857089</v>
      </c>
      <c r="Y391" s="8" t="str">
        <f t="shared" si="16"/>
        <v>DC</v>
      </c>
      <c r="Z391" s="8">
        <f t="shared" si="17"/>
        <v>0</v>
      </c>
      <c r="AA391" s="8">
        <f t="shared" si="18"/>
        <v>161</v>
      </c>
      <c r="AB391" s="8">
        <f t="shared" si="19"/>
        <v>0</v>
      </c>
      <c r="AC391" s="8">
        <f t="shared" si="20"/>
        <v>0</v>
      </c>
      <c r="AD391" s="8">
        <f t="shared" si="21"/>
        <v>0</v>
      </c>
      <c r="AE391" s="9" t="str" cm="1">
        <f t="array" ref="AE391">IFERROR(_xlfn.XLOOKUP(H391,Sheet1!$G:$G,Sheet1!$F:$F),IFERROR(_xlfn.XLOOKUP(1,(--($X$2:$X$1074=X391))*(--ISNUMBER(MATCH($H$2:$H$1074,Sheet1!$G:$G,0))),_xlfn.XLOOKUP($H$2:$H$1074,Sheet1!$G:$G,Sheet1!$F:$F,"")),"NOT FOUND"))</f>
        <v>YETKRTSCUT5008</v>
      </c>
      <c r="AF391" s="10" t="str">
        <f t="shared" si="26"/>
        <v>BLACK</v>
      </c>
      <c r="AG391" s="11" t="str">
        <f t="shared" si="27"/>
        <v>Bangalore</v>
      </c>
      <c r="AH391" s="9" t="str">
        <f>IF(OR(J391="",AE391="",AE391="NOT FOUND"),"",IF(Y391="RP",IFERROR(LEFT(_xlfn.XLOOKUP(AE391,Sheet1!$F:$F,Sheet1!$W:$W),FIND("-",_xlfn.XLOOKUP(AE391,Sheet1!$F:$F,Sheet1!$W:$W),FIND("-",_xlfn.XLOOKUP(AE391,Sheet1!$F:$F,Sheet1!$W:$W))+1))&amp;AE391,"NOT FOUND"),LEFT(J391,FIND("-",J391,FIND("-",J391)+1))&amp;AE391))</f>
        <v>KRTS-APSU26-YETKRTSCUT5008</v>
      </c>
    </row>
    <row r="392" spans="1:34" ht="15.75" customHeight="1" x14ac:dyDescent="0.2">
      <c r="A392" s="4" t="s">
        <v>30</v>
      </c>
      <c r="B392" s="4" t="s">
        <v>577</v>
      </c>
      <c r="C392" s="4" t="s">
        <v>578</v>
      </c>
      <c r="D392" s="4" t="s">
        <v>579</v>
      </c>
      <c r="E392" s="4" t="s">
        <v>34</v>
      </c>
      <c r="F392" s="4" t="s">
        <v>35</v>
      </c>
      <c r="G392" s="4" t="s">
        <v>47</v>
      </c>
      <c r="H392" s="4" t="s">
        <v>586</v>
      </c>
      <c r="I392" s="4" t="s">
        <v>587</v>
      </c>
      <c r="J392" s="4" t="s">
        <v>588</v>
      </c>
      <c r="L392" s="4" t="s">
        <v>40</v>
      </c>
      <c r="M392" s="4">
        <v>1</v>
      </c>
      <c r="N392" s="4">
        <v>169</v>
      </c>
      <c r="O392" s="4">
        <v>169</v>
      </c>
      <c r="P392" s="4" t="s">
        <v>41</v>
      </c>
      <c r="Q392" s="4">
        <v>244.3</v>
      </c>
      <c r="R392" s="4">
        <v>244.3</v>
      </c>
      <c r="S392" s="4">
        <v>2064.34</v>
      </c>
      <c r="T392" s="4">
        <v>41286.699999999997</v>
      </c>
      <c r="U392" s="4">
        <v>5</v>
      </c>
      <c r="V392" s="4" t="s">
        <v>42</v>
      </c>
      <c r="X392" s="7" t="str">
        <f t="shared" si="15"/>
        <v>441857089</v>
      </c>
      <c r="Y392" s="8" t="str">
        <f t="shared" si="16"/>
        <v>DC</v>
      </c>
      <c r="Z392" s="8">
        <f t="shared" si="17"/>
        <v>0</v>
      </c>
      <c r="AA392" s="8">
        <f t="shared" si="18"/>
        <v>0</v>
      </c>
      <c r="AB392" s="8">
        <f t="shared" si="19"/>
        <v>169</v>
      </c>
      <c r="AC392" s="8">
        <f t="shared" si="20"/>
        <v>0</v>
      </c>
      <c r="AD392" s="8">
        <f t="shared" si="21"/>
        <v>0</v>
      </c>
      <c r="AE392" s="9" t="str" cm="1">
        <f t="array" ref="AE392">IFERROR(_xlfn.XLOOKUP(H392,Sheet1!$G:$G,Sheet1!$F:$F),IFERROR(_xlfn.XLOOKUP(1,(--($X$2:$X$1074=X392))*(--ISNUMBER(MATCH($H$2:$H$1074,Sheet1!$G:$G,0))),_xlfn.XLOOKUP($H$2:$H$1074,Sheet1!$G:$G,Sheet1!$F:$F,"")),"NOT FOUND"))</f>
        <v>YETKRTSCUT5008</v>
      </c>
      <c r="AF392" s="10" t="str">
        <f t="shared" si="26"/>
        <v>BLACK</v>
      </c>
      <c r="AG392" s="11" t="str">
        <f t="shared" si="27"/>
        <v>Bangalore</v>
      </c>
      <c r="AH392" s="9" t="str">
        <f>IF(OR(J392="",AE392="",AE392="NOT FOUND"),"",IF(Y392="RP",IFERROR(LEFT(_xlfn.XLOOKUP(AE392,Sheet1!$F:$F,Sheet1!$W:$W),FIND("-",_xlfn.XLOOKUP(AE392,Sheet1!$F:$F,Sheet1!$W:$W),FIND("-",_xlfn.XLOOKUP(AE392,Sheet1!$F:$F,Sheet1!$W:$W))+1))&amp;AE392,"NOT FOUND"),LEFT(J392,FIND("-",J392,FIND("-",J392)+1))&amp;AE392))</f>
        <v>KRTS-APSU26-YETKRTSCUT5008</v>
      </c>
    </row>
    <row r="393" spans="1:34" ht="15.75" customHeight="1" x14ac:dyDescent="0.2">
      <c r="A393" s="4" t="s">
        <v>30</v>
      </c>
      <c r="B393" s="4" t="s">
        <v>577</v>
      </c>
      <c r="C393" s="4" t="s">
        <v>578</v>
      </c>
      <c r="D393" s="4" t="s">
        <v>579</v>
      </c>
      <c r="E393" s="4" t="s">
        <v>34</v>
      </c>
      <c r="F393" s="4" t="s">
        <v>35</v>
      </c>
      <c r="G393" s="4" t="s">
        <v>51</v>
      </c>
      <c r="H393" s="4" t="s">
        <v>589</v>
      </c>
      <c r="I393" s="4" t="s">
        <v>590</v>
      </c>
      <c r="J393" s="4" t="s">
        <v>591</v>
      </c>
      <c r="L393" s="4" t="s">
        <v>40</v>
      </c>
      <c r="M393" s="4">
        <v>1</v>
      </c>
      <c r="N393" s="4">
        <v>180</v>
      </c>
      <c r="O393" s="4">
        <v>180</v>
      </c>
      <c r="P393" s="4" t="s">
        <v>41</v>
      </c>
      <c r="Q393" s="4">
        <v>244.3</v>
      </c>
      <c r="R393" s="4">
        <v>244.3</v>
      </c>
      <c r="S393" s="4">
        <v>2198.6999999999998</v>
      </c>
      <c r="T393" s="4">
        <v>43974</v>
      </c>
      <c r="U393" s="4">
        <v>5</v>
      </c>
      <c r="V393" s="4" t="s">
        <v>42</v>
      </c>
      <c r="X393" s="7" t="str">
        <f t="shared" si="15"/>
        <v>441857089</v>
      </c>
      <c r="Y393" s="8" t="str">
        <f t="shared" si="16"/>
        <v>DC</v>
      </c>
      <c r="Z393" s="8">
        <f t="shared" si="17"/>
        <v>0</v>
      </c>
      <c r="AA393" s="8">
        <f t="shared" si="18"/>
        <v>0</v>
      </c>
      <c r="AB393" s="8">
        <f t="shared" si="19"/>
        <v>0</v>
      </c>
      <c r="AC393" s="8">
        <f t="shared" si="20"/>
        <v>180</v>
      </c>
      <c r="AD393" s="8">
        <f t="shared" si="21"/>
        <v>0</v>
      </c>
      <c r="AE393" s="9" t="str" cm="1">
        <f t="array" ref="AE393">IFERROR(_xlfn.XLOOKUP(H393,Sheet1!$G:$G,Sheet1!$F:$F),IFERROR(_xlfn.XLOOKUP(1,(--($X$2:$X$1074=X393))*(--ISNUMBER(MATCH($H$2:$H$1074,Sheet1!$G:$G,0))),_xlfn.XLOOKUP($H$2:$H$1074,Sheet1!$G:$G,Sheet1!$F:$F,"")),"NOT FOUND"))</f>
        <v>YETKRTSCUT5008</v>
      </c>
      <c r="AF393" s="10" t="str">
        <f t="shared" si="26"/>
        <v>BLACK</v>
      </c>
      <c r="AG393" s="11" t="str">
        <f t="shared" si="27"/>
        <v>Bangalore</v>
      </c>
      <c r="AH393" s="9" t="str">
        <f>IF(OR(J393="",AE393="",AE393="NOT FOUND"),"",IF(Y393="RP",IFERROR(LEFT(_xlfn.XLOOKUP(AE393,Sheet1!$F:$F,Sheet1!$W:$W),FIND("-",_xlfn.XLOOKUP(AE393,Sheet1!$F:$F,Sheet1!$W:$W),FIND("-",_xlfn.XLOOKUP(AE393,Sheet1!$F:$F,Sheet1!$W:$W))+1))&amp;AE393,"NOT FOUND"),LEFT(J393,FIND("-",J393,FIND("-",J393)+1))&amp;AE393))</f>
        <v>KRTS-APSU26-YETKRTSCUT5008</v>
      </c>
    </row>
    <row r="394" spans="1:34" ht="15.75" customHeight="1" x14ac:dyDescent="0.2">
      <c r="A394" s="4" t="s">
        <v>30</v>
      </c>
      <c r="B394" s="4" t="s">
        <v>577</v>
      </c>
      <c r="C394" s="4" t="s">
        <v>578</v>
      </c>
      <c r="D394" s="4" t="s">
        <v>579</v>
      </c>
      <c r="E394" s="4" t="s">
        <v>34</v>
      </c>
      <c r="F394" s="4" t="s">
        <v>35</v>
      </c>
      <c r="G394" s="4" t="s">
        <v>55</v>
      </c>
      <c r="H394" s="4" t="s">
        <v>592</v>
      </c>
      <c r="I394" s="4" t="s">
        <v>593</v>
      </c>
      <c r="J394" s="4" t="s">
        <v>594</v>
      </c>
      <c r="L394" s="4" t="s">
        <v>40</v>
      </c>
      <c r="M394" s="4">
        <v>1</v>
      </c>
      <c r="N394" s="4">
        <v>117</v>
      </c>
      <c r="O394" s="4">
        <v>117</v>
      </c>
      <c r="P394" s="4" t="s">
        <v>41</v>
      </c>
      <c r="Q394" s="4">
        <v>244.3</v>
      </c>
      <c r="R394" s="4">
        <v>244.3</v>
      </c>
      <c r="S394" s="4">
        <v>1429.16</v>
      </c>
      <c r="T394" s="4">
        <v>28583.1</v>
      </c>
      <c r="U394" s="4">
        <v>5</v>
      </c>
      <c r="V394" s="4" t="s">
        <v>42</v>
      </c>
      <c r="X394" s="7" t="str">
        <f t="shared" si="15"/>
        <v>441857089</v>
      </c>
      <c r="Y394" s="8" t="str">
        <f t="shared" si="16"/>
        <v>DC</v>
      </c>
      <c r="Z394" s="8">
        <f t="shared" si="17"/>
        <v>0</v>
      </c>
      <c r="AA394" s="8">
        <f t="shared" si="18"/>
        <v>0</v>
      </c>
      <c r="AB394" s="8">
        <f t="shared" si="19"/>
        <v>0</v>
      </c>
      <c r="AC394" s="8">
        <f t="shared" si="20"/>
        <v>0</v>
      </c>
      <c r="AD394" s="8">
        <f t="shared" si="21"/>
        <v>117</v>
      </c>
      <c r="AE394" s="9" t="str" cm="1">
        <f t="array" ref="AE394">IFERROR(_xlfn.XLOOKUP(H394,Sheet1!$G:$G,Sheet1!$F:$F),IFERROR(_xlfn.XLOOKUP(1,(--($X$2:$X$1074=X394))*(--ISNUMBER(MATCH($H$2:$H$1074,Sheet1!$G:$G,0))),_xlfn.XLOOKUP($H$2:$H$1074,Sheet1!$G:$G,Sheet1!$F:$F,"")),"NOT FOUND"))</f>
        <v>YETKRTSCUT5008</v>
      </c>
      <c r="AF394" s="10" t="str">
        <f t="shared" si="26"/>
        <v>BLACK</v>
      </c>
      <c r="AG394" s="11" t="str">
        <f t="shared" si="27"/>
        <v>Bangalore</v>
      </c>
      <c r="AH394" s="9" t="str">
        <f>IF(OR(J394="",AE394="",AE394="NOT FOUND"),"",IF(Y394="RP",IFERROR(LEFT(_xlfn.XLOOKUP(AE394,Sheet1!$F:$F,Sheet1!$W:$W),FIND("-",_xlfn.XLOOKUP(AE394,Sheet1!$F:$F,Sheet1!$W:$W),FIND("-",_xlfn.XLOOKUP(AE394,Sheet1!$F:$F,Sheet1!$W:$W))+1))&amp;AE394,"NOT FOUND"),LEFT(J394,FIND("-",J394,FIND("-",J394)+1))&amp;AE394))</f>
        <v>KRTS-APSU26-YETKRTSCUT5008</v>
      </c>
    </row>
    <row r="395" spans="1:34" ht="15.75" customHeight="1" x14ac:dyDescent="0.2">
      <c r="A395" s="4" t="s">
        <v>61</v>
      </c>
      <c r="B395" s="4" t="s">
        <v>595</v>
      </c>
      <c r="C395" s="4" t="s">
        <v>578</v>
      </c>
      <c r="D395" s="4" t="s">
        <v>579</v>
      </c>
      <c r="E395" s="4" t="s">
        <v>34</v>
      </c>
      <c r="F395" s="4" t="s">
        <v>35</v>
      </c>
      <c r="G395" s="4" t="s">
        <v>36</v>
      </c>
      <c r="H395" s="4" t="s">
        <v>580</v>
      </c>
      <c r="I395" s="4" t="s">
        <v>581</v>
      </c>
      <c r="J395" s="4" t="s">
        <v>582</v>
      </c>
      <c r="L395" s="4" t="s">
        <v>40</v>
      </c>
      <c r="M395" s="4">
        <v>1</v>
      </c>
      <c r="N395" s="4">
        <v>51</v>
      </c>
      <c r="O395" s="4">
        <v>51</v>
      </c>
      <c r="P395" s="4" t="s">
        <v>41</v>
      </c>
      <c r="Q395" s="4">
        <v>244.3</v>
      </c>
      <c r="R395" s="4">
        <v>244.3</v>
      </c>
      <c r="S395" s="4">
        <v>622.97</v>
      </c>
      <c r="T395" s="4">
        <v>12459.3</v>
      </c>
      <c r="U395" s="4">
        <v>5</v>
      </c>
      <c r="V395" s="4" t="s">
        <v>42</v>
      </c>
      <c r="X395" s="7" t="str">
        <f t="shared" si="15"/>
        <v>441857089</v>
      </c>
      <c r="Y395" s="8" t="str">
        <f t="shared" si="16"/>
        <v>DC</v>
      </c>
      <c r="Z395" s="8">
        <f t="shared" si="17"/>
        <v>51</v>
      </c>
      <c r="AA395" s="8">
        <f t="shared" si="18"/>
        <v>0</v>
      </c>
      <c r="AB395" s="8">
        <f t="shared" si="19"/>
        <v>0</v>
      </c>
      <c r="AC395" s="8">
        <f t="shared" si="20"/>
        <v>0</v>
      </c>
      <c r="AD395" s="8">
        <f t="shared" si="21"/>
        <v>0</v>
      </c>
      <c r="AE395" s="9" t="str" cm="1">
        <f t="array" ref="AE395">IFERROR(_xlfn.XLOOKUP(H395,Sheet1!$G:$G,Sheet1!$F:$F),IFERROR(_xlfn.XLOOKUP(1,(--($X$2:$X$1074=X395))*(--ISNUMBER(MATCH($H$2:$H$1074,Sheet1!$G:$G,0))),_xlfn.XLOOKUP($H$2:$H$1074,Sheet1!$G:$G,Sheet1!$F:$F,"")),"NOT FOUND"))</f>
        <v>YETKRTSCUT5008</v>
      </c>
      <c r="AF395" s="10" t="str">
        <f t="shared" si="26"/>
        <v>BLACK</v>
      </c>
      <c r="AG395" s="11" t="str">
        <f t="shared" si="27"/>
        <v>HARIPAL</v>
      </c>
      <c r="AH395" s="9" t="str">
        <f>IF(OR(J395="",AE395="",AE395="NOT FOUND"),"",IF(Y395="RP",IFERROR(LEFT(_xlfn.XLOOKUP(AE395,Sheet1!$F:$F,Sheet1!$W:$W),FIND("-",_xlfn.XLOOKUP(AE395,Sheet1!$F:$F,Sheet1!$W:$W),FIND("-",_xlfn.XLOOKUP(AE395,Sheet1!$F:$F,Sheet1!$W:$W))+1))&amp;AE395,"NOT FOUND"),LEFT(J395,FIND("-",J395,FIND("-",J395)+1))&amp;AE395))</f>
        <v>KRTS-APSU26-YETKRTSCUT5008</v>
      </c>
    </row>
    <row r="396" spans="1:34" ht="15.75" customHeight="1" x14ac:dyDescent="0.2">
      <c r="A396" s="4" t="s">
        <v>61</v>
      </c>
      <c r="B396" s="4" t="s">
        <v>595</v>
      </c>
      <c r="C396" s="4" t="s">
        <v>578</v>
      </c>
      <c r="D396" s="4" t="s">
        <v>579</v>
      </c>
      <c r="E396" s="4" t="s">
        <v>34</v>
      </c>
      <c r="F396" s="4" t="s">
        <v>35</v>
      </c>
      <c r="G396" s="4" t="s">
        <v>43</v>
      </c>
      <c r="H396" s="4" t="s">
        <v>583</v>
      </c>
      <c r="I396" s="4" t="s">
        <v>584</v>
      </c>
      <c r="J396" s="4" t="s">
        <v>585</v>
      </c>
      <c r="L396" s="4" t="s">
        <v>40</v>
      </c>
      <c r="M396" s="4">
        <v>1</v>
      </c>
      <c r="N396" s="4">
        <v>77</v>
      </c>
      <c r="O396" s="4">
        <v>77</v>
      </c>
      <c r="P396" s="4" t="s">
        <v>41</v>
      </c>
      <c r="Q396" s="4">
        <v>244.3</v>
      </c>
      <c r="R396" s="4">
        <v>244.3</v>
      </c>
      <c r="S396" s="4">
        <v>940.56</v>
      </c>
      <c r="T396" s="4">
        <v>18811.099999999999</v>
      </c>
      <c r="U396" s="4">
        <v>5</v>
      </c>
      <c r="V396" s="4" t="s">
        <v>42</v>
      </c>
      <c r="X396" s="7" t="str">
        <f t="shared" si="15"/>
        <v>441857089</v>
      </c>
      <c r="Y396" s="8" t="str">
        <f t="shared" si="16"/>
        <v>DC</v>
      </c>
      <c r="Z396" s="8">
        <f t="shared" si="17"/>
        <v>0</v>
      </c>
      <c r="AA396" s="8">
        <f t="shared" si="18"/>
        <v>77</v>
      </c>
      <c r="AB396" s="8">
        <f t="shared" si="19"/>
        <v>0</v>
      </c>
      <c r="AC396" s="8">
        <f t="shared" si="20"/>
        <v>0</v>
      </c>
      <c r="AD396" s="8">
        <f t="shared" si="21"/>
        <v>0</v>
      </c>
      <c r="AE396" s="9" t="str" cm="1">
        <f t="array" ref="AE396">IFERROR(_xlfn.XLOOKUP(H396,Sheet1!$G:$G,Sheet1!$F:$F),IFERROR(_xlfn.XLOOKUP(1,(--($X$2:$X$1074=X396))*(--ISNUMBER(MATCH($H$2:$H$1074,Sheet1!$G:$G,0))),_xlfn.XLOOKUP($H$2:$H$1074,Sheet1!$G:$G,Sheet1!$F:$F,"")),"NOT FOUND"))</f>
        <v>YETKRTSCUT5008</v>
      </c>
      <c r="AF396" s="10" t="str">
        <f t="shared" si="26"/>
        <v>BLACK</v>
      </c>
      <c r="AG396" s="11" t="str">
        <f t="shared" si="27"/>
        <v>HARIPAL</v>
      </c>
      <c r="AH396" s="9" t="str">
        <f>IF(OR(J396="",AE396="",AE396="NOT FOUND"),"",IF(Y396="RP",IFERROR(LEFT(_xlfn.XLOOKUP(AE396,Sheet1!$F:$F,Sheet1!$W:$W),FIND("-",_xlfn.XLOOKUP(AE396,Sheet1!$F:$F,Sheet1!$W:$W),FIND("-",_xlfn.XLOOKUP(AE396,Sheet1!$F:$F,Sheet1!$W:$W))+1))&amp;AE396,"NOT FOUND"),LEFT(J396,FIND("-",J396,FIND("-",J396)+1))&amp;AE396))</f>
        <v>KRTS-APSU26-YETKRTSCUT5008</v>
      </c>
    </row>
    <row r="397" spans="1:34" ht="15.75" customHeight="1" x14ac:dyDescent="0.2">
      <c r="A397" s="4" t="s">
        <v>61</v>
      </c>
      <c r="B397" s="4" t="s">
        <v>595</v>
      </c>
      <c r="C397" s="4" t="s">
        <v>578</v>
      </c>
      <c r="D397" s="4" t="s">
        <v>579</v>
      </c>
      <c r="E397" s="4" t="s">
        <v>34</v>
      </c>
      <c r="F397" s="4" t="s">
        <v>35</v>
      </c>
      <c r="G397" s="4" t="s">
        <v>47</v>
      </c>
      <c r="H397" s="4" t="s">
        <v>586</v>
      </c>
      <c r="I397" s="4" t="s">
        <v>587</v>
      </c>
      <c r="J397" s="4" t="s">
        <v>588</v>
      </c>
      <c r="L397" s="4" t="s">
        <v>40</v>
      </c>
      <c r="M397" s="4">
        <v>1</v>
      </c>
      <c r="N397" s="4">
        <v>80</v>
      </c>
      <c r="O397" s="4">
        <v>80</v>
      </c>
      <c r="P397" s="4" t="s">
        <v>41</v>
      </c>
      <c r="Q397" s="4">
        <v>244.3</v>
      </c>
      <c r="R397" s="4">
        <v>244.3</v>
      </c>
      <c r="S397" s="4">
        <v>977.2</v>
      </c>
      <c r="T397" s="4">
        <v>19544</v>
      </c>
      <c r="U397" s="4">
        <v>5</v>
      </c>
      <c r="V397" s="4" t="s">
        <v>42</v>
      </c>
      <c r="X397" s="7" t="str">
        <f t="shared" si="15"/>
        <v>441857089</v>
      </c>
      <c r="Y397" s="8" t="str">
        <f t="shared" si="16"/>
        <v>DC</v>
      </c>
      <c r="Z397" s="8">
        <f t="shared" si="17"/>
        <v>0</v>
      </c>
      <c r="AA397" s="8">
        <f t="shared" si="18"/>
        <v>0</v>
      </c>
      <c r="AB397" s="8">
        <f t="shared" si="19"/>
        <v>80</v>
      </c>
      <c r="AC397" s="8">
        <f t="shared" si="20"/>
        <v>0</v>
      </c>
      <c r="AD397" s="8">
        <f t="shared" si="21"/>
        <v>0</v>
      </c>
      <c r="AE397" s="9" t="str" cm="1">
        <f t="array" ref="AE397">IFERROR(_xlfn.XLOOKUP(H397,Sheet1!$G:$G,Sheet1!$F:$F),IFERROR(_xlfn.XLOOKUP(1,(--($X$2:$X$1074=X397))*(--ISNUMBER(MATCH($H$2:$H$1074,Sheet1!$G:$G,0))),_xlfn.XLOOKUP($H$2:$H$1074,Sheet1!$G:$G,Sheet1!$F:$F,"")),"NOT FOUND"))</f>
        <v>YETKRTSCUT5008</v>
      </c>
      <c r="AF397" s="10" t="str">
        <f t="shared" si="26"/>
        <v>BLACK</v>
      </c>
      <c r="AG397" s="11" t="str">
        <f t="shared" si="27"/>
        <v>HARIPAL</v>
      </c>
      <c r="AH397" s="9" t="str">
        <f>IF(OR(J397="",AE397="",AE397="NOT FOUND"),"",IF(Y397="RP",IFERROR(LEFT(_xlfn.XLOOKUP(AE397,Sheet1!$F:$F,Sheet1!$W:$W),FIND("-",_xlfn.XLOOKUP(AE397,Sheet1!$F:$F,Sheet1!$W:$W),FIND("-",_xlfn.XLOOKUP(AE397,Sheet1!$F:$F,Sheet1!$W:$W))+1))&amp;AE397,"NOT FOUND"),LEFT(J397,FIND("-",J397,FIND("-",J397)+1))&amp;AE397))</f>
        <v>KRTS-APSU26-YETKRTSCUT5008</v>
      </c>
    </row>
    <row r="398" spans="1:34" ht="15.75" customHeight="1" x14ac:dyDescent="0.2">
      <c r="A398" s="4" t="s">
        <v>61</v>
      </c>
      <c r="B398" s="4" t="s">
        <v>595</v>
      </c>
      <c r="C398" s="4" t="s">
        <v>578</v>
      </c>
      <c r="D398" s="4" t="s">
        <v>579</v>
      </c>
      <c r="E398" s="4" t="s">
        <v>34</v>
      </c>
      <c r="F398" s="4" t="s">
        <v>35</v>
      </c>
      <c r="G398" s="4" t="s">
        <v>51</v>
      </c>
      <c r="H398" s="4" t="s">
        <v>589</v>
      </c>
      <c r="I398" s="4" t="s">
        <v>590</v>
      </c>
      <c r="J398" s="4" t="s">
        <v>591</v>
      </c>
      <c r="L398" s="4" t="s">
        <v>40</v>
      </c>
      <c r="M398" s="4">
        <v>1</v>
      </c>
      <c r="N398" s="4">
        <v>85</v>
      </c>
      <c r="O398" s="4">
        <v>85</v>
      </c>
      <c r="P398" s="4" t="s">
        <v>41</v>
      </c>
      <c r="Q398" s="4">
        <v>244.3</v>
      </c>
      <c r="R398" s="4">
        <v>244.3</v>
      </c>
      <c r="S398" s="4">
        <v>1038.28</v>
      </c>
      <c r="T398" s="4">
        <v>20765.5</v>
      </c>
      <c r="U398" s="4">
        <v>5</v>
      </c>
      <c r="V398" s="4" t="s">
        <v>42</v>
      </c>
      <c r="X398" s="7" t="str">
        <f t="shared" si="15"/>
        <v>441857089</v>
      </c>
      <c r="Y398" s="8" t="str">
        <f t="shared" si="16"/>
        <v>DC</v>
      </c>
      <c r="Z398" s="8">
        <f t="shared" si="17"/>
        <v>0</v>
      </c>
      <c r="AA398" s="8">
        <f t="shared" si="18"/>
        <v>0</v>
      </c>
      <c r="AB398" s="8">
        <f t="shared" si="19"/>
        <v>0</v>
      </c>
      <c r="AC398" s="8">
        <f t="shared" si="20"/>
        <v>85</v>
      </c>
      <c r="AD398" s="8">
        <f t="shared" si="21"/>
        <v>0</v>
      </c>
      <c r="AE398" s="9" t="str" cm="1">
        <f t="array" ref="AE398">IFERROR(_xlfn.XLOOKUP(H398,Sheet1!$G:$G,Sheet1!$F:$F),IFERROR(_xlfn.XLOOKUP(1,(--($X$2:$X$1074=X398))*(--ISNUMBER(MATCH($H$2:$H$1074,Sheet1!$G:$G,0))),_xlfn.XLOOKUP($H$2:$H$1074,Sheet1!$G:$G,Sheet1!$F:$F,"")),"NOT FOUND"))</f>
        <v>YETKRTSCUT5008</v>
      </c>
      <c r="AF398" s="10" t="str">
        <f t="shared" si="26"/>
        <v>BLACK</v>
      </c>
      <c r="AG398" s="11" t="str">
        <f t="shared" si="27"/>
        <v>HARIPAL</v>
      </c>
      <c r="AH398" s="9" t="str">
        <f>IF(OR(J398="",AE398="",AE398="NOT FOUND"),"",IF(Y398="RP",IFERROR(LEFT(_xlfn.XLOOKUP(AE398,Sheet1!$F:$F,Sheet1!$W:$W),FIND("-",_xlfn.XLOOKUP(AE398,Sheet1!$F:$F,Sheet1!$W:$W),FIND("-",_xlfn.XLOOKUP(AE398,Sheet1!$F:$F,Sheet1!$W:$W))+1))&amp;AE398,"NOT FOUND"),LEFT(J398,FIND("-",J398,FIND("-",J398)+1))&amp;AE398))</f>
        <v>KRTS-APSU26-YETKRTSCUT5008</v>
      </c>
    </row>
    <row r="399" spans="1:34" ht="15.75" customHeight="1" x14ac:dyDescent="0.2">
      <c r="A399" s="4" t="s">
        <v>61</v>
      </c>
      <c r="B399" s="4" t="s">
        <v>595</v>
      </c>
      <c r="C399" s="4" t="s">
        <v>578</v>
      </c>
      <c r="D399" s="4" t="s">
        <v>579</v>
      </c>
      <c r="E399" s="4" t="s">
        <v>34</v>
      </c>
      <c r="F399" s="4" t="s">
        <v>35</v>
      </c>
      <c r="G399" s="4" t="s">
        <v>55</v>
      </c>
      <c r="H399" s="4" t="s">
        <v>592</v>
      </c>
      <c r="I399" s="4" t="s">
        <v>593</v>
      </c>
      <c r="J399" s="4" t="s">
        <v>594</v>
      </c>
      <c r="L399" s="4" t="s">
        <v>40</v>
      </c>
      <c r="M399" s="4">
        <v>1</v>
      </c>
      <c r="N399" s="4">
        <v>56</v>
      </c>
      <c r="O399" s="4">
        <v>56</v>
      </c>
      <c r="P399" s="4" t="s">
        <v>41</v>
      </c>
      <c r="Q399" s="4">
        <v>244.3</v>
      </c>
      <c r="R399" s="4">
        <v>244.3</v>
      </c>
      <c r="S399" s="4">
        <v>684.04</v>
      </c>
      <c r="T399" s="4">
        <v>13680.8</v>
      </c>
      <c r="U399" s="4">
        <v>5</v>
      </c>
      <c r="V399" s="4" t="s">
        <v>42</v>
      </c>
      <c r="X399" s="7" t="str">
        <f t="shared" si="15"/>
        <v>441857089</v>
      </c>
      <c r="Y399" s="8" t="str">
        <f t="shared" si="16"/>
        <v>DC</v>
      </c>
      <c r="Z399" s="8">
        <f t="shared" si="17"/>
        <v>0</v>
      </c>
      <c r="AA399" s="8">
        <f t="shared" si="18"/>
        <v>0</v>
      </c>
      <c r="AB399" s="8">
        <f t="shared" si="19"/>
        <v>0</v>
      </c>
      <c r="AC399" s="8">
        <f t="shared" si="20"/>
        <v>0</v>
      </c>
      <c r="AD399" s="8">
        <f t="shared" si="21"/>
        <v>56</v>
      </c>
      <c r="AE399" s="9" t="str" cm="1">
        <f t="array" ref="AE399">IFERROR(_xlfn.XLOOKUP(H399,Sheet1!$G:$G,Sheet1!$F:$F),IFERROR(_xlfn.XLOOKUP(1,(--($X$2:$X$1074=X399))*(--ISNUMBER(MATCH($H$2:$H$1074,Sheet1!$G:$G,0))),_xlfn.XLOOKUP($H$2:$H$1074,Sheet1!$G:$G,Sheet1!$F:$F,"")),"NOT FOUND"))</f>
        <v>YETKRTSCUT5008</v>
      </c>
      <c r="AF399" s="10" t="str">
        <f t="shared" si="26"/>
        <v>BLACK</v>
      </c>
      <c r="AG399" s="11" t="str">
        <f t="shared" si="27"/>
        <v>HARIPAL</v>
      </c>
      <c r="AH399" s="9" t="str">
        <f>IF(OR(J399="",AE399="",AE399="NOT FOUND"),"",IF(Y399="RP",IFERROR(LEFT(_xlfn.XLOOKUP(AE399,Sheet1!$F:$F,Sheet1!$W:$W),FIND("-",_xlfn.XLOOKUP(AE399,Sheet1!$F:$F,Sheet1!$W:$W),FIND("-",_xlfn.XLOOKUP(AE399,Sheet1!$F:$F,Sheet1!$W:$W))+1))&amp;AE399,"NOT FOUND"),LEFT(J399,FIND("-",J399,FIND("-",J399)+1))&amp;AE399))</f>
        <v>KRTS-APSU26-YETKRTSCUT5008</v>
      </c>
    </row>
    <row r="400" spans="1:34" ht="15.75" customHeight="1" x14ac:dyDescent="0.2">
      <c r="A400" s="4" t="s">
        <v>30</v>
      </c>
      <c r="B400" s="4" t="s">
        <v>596</v>
      </c>
      <c r="C400" s="4" t="s">
        <v>597</v>
      </c>
      <c r="D400" s="4" t="s">
        <v>598</v>
      </c>
      <c r="E400" s="4" t="s">
        <v>34</v>
      </c>
      <c r="F400" s="4" t="s">
        <v>35</v>
      </c>
      <c r="G400" s="4" t="s">
        <v>36</v>
      </c>
      <c r="H400" s="4" t="s">
        <v>599</v>
      </c>
      <c r="I400" s="4" t="s">
        <v>600</v>
      </c>
      <c r="J400" s="4" t="s">
        <v>601</v>
      </c>
      <c r="L400" s="4" t="s">
        <v>40</v>
      </c>
      <c r="M400" s="4">
        <v>1</v>
      </c>
      <c r="N400" s="4">
        <v>30</v>
      </c>
      <c r="O400" s="4">
        <v>30</v>
      </c>
      <c r="P400" s="4" t="s">
        <v>41</v>
      </c>
      <c r="Q400" s="4">
        <v>324.3</v>
      </c>
      <c r="R400" s="4">
        <v>324.3</v>
      </c>
      <c r="S400" s="4">
        <v>486.45</v>
      </c>
      <c r="T400" s="4">
        <v>9729</v>
      </c>
      <c r="U400" s="4">
        <v>5</v>
      </c>
      <c r="V400" s="4" t="s">
        <v>42</v>
      </c>
      <c r="X400" s="7" t="str">
        <f t="shared" si="15"/>
        <v>441857193</v>
      </c>
      <c r="Y400" s="8" t="str">
        <f t="shared" si="16"/>
        <v>DC</v>
      </c>
      <c r="Z400" s="8">
        <f t="shared" si="17"/>
        <v>30</v>
      </c>
      <c r="AA400" s="8">
        <f t="shared" si="18"/>
        <v>0</v>
      </c>
      <c r="AB400" s="8">
        <f t="shared" si="19"/>
        <v>0</v>
      </c>
      <c r="AC400" s="8">
        <f t="shared" si="20"/>
        <v>0</v>
      </c>
      <c r="AD400" s="8">
        <f t="shared" si="21"/>
        <v>0</v>
      </c>
      <c r="AE400" s="9" t="str" cm="1">
        <f t="array" ref="AE400">IFERROR(_xlfn.XLOOKUP(H400,Sheet1!$G:$G,Sheet1!$F:$F),IFERROR(_xlfn.XLOOKUP(1,(--($X$2:$X$1074=X400))*(--ISNUMBER(MATCH($H$2:$H$1074,Sheet1!$G:$G,0))),_xlfn.XLOOKUP($H$2:$H$1074,Sheet1!$G:$G,Sheet1!$F:$F,"")),"NOT FOUND"))</f>
        <v>RETKRTSFUT4332</v>
      </c>
      <c r="AF400" s="10" t="str">
        <f t="shared" si="26"/>
        <v>LIME GREEN</v>
      </c>
      <c r="AG400" s="11" t="str">
        <f t="shared" si="27"/>
        <v>Bangalore</v>
      </c>
      <c r="AH400" s="9" t="str">
        <f>IF(OR(J400="",AE400="",AE400="NOT FOUND"),"",IF(Y400="RP",IFERROR(LEFT(_xlfn.XLOOKUP(AE400,Sheet1!$F:$F,Sheet1!$W:$W),FIND("-",_xlfn.XLOOKUP(AE400,Sheet1!$F:$F,Sheet1!$W:$W),FIND("-",_xlfn.XLOOKUP(AE400,Sheet1!$F:$F,Sheet1!$W:$W))+1))&amp;AE400,"NOT FOUND"),LEFT(J400,FIND("-",J400,FIND("-",J400)+1))&amp;AE400))</f>
        <v>KRTS-APSU26-RETKRTSFUT4332</v>
      </c>
    </row>
    <row r="401" spans="1:34" ht="15.75" customHeight="1" x14ac:dyDescent="0.2">
      <c r="A401" s="4" t="s">
        <v>30</v>
      </c>
      <c r="B401" s="4" t="s">
        <v>596</v>
      </c>
      <c r="C401" s="4" t="s">
        <v>597</v>
      </c>
      <c r="D401" s="4" t="s">
        <v>598</v>
      </c>
      <c r="E401" s="4" t="s">
        <v>34</v>
      </c>
      <c r="F401" s="4" t="s">
        <v>35</v>
      </c>
      <c r="G401" s="4" t="s">
        <v>43</v>
      </c>
      <c r="H401" s="4" t="s">
        <v>602</v>
      </c>
      <c r="I401" s="4" t="s">
        <v>603</v>
      </c>
      <c r="J401" s="4" t="s">
        <v>604</v>
      </c>
      <c r="L401" s="4" t="s">
        <v>40</v>
      </c>
      <c r="M401" s="4">
        <v>1</v>
      </c>
      <c r="N401" s="4">
        <v>168</v>
      </c>
      <c r="O401" s="4">
        <v>168</v>
      </c>
      <c r="P401" s="4" t="s">
        <v>41</v>
      </c>
      <c r="Q401" s="4">
        <v>324.3</v>
      </c>
      <c r="R401" s="4">
        <v>324.3</v>
      </c>
      <c r="S401" s="4">
        <v>2724.12</v>
      </c>
      <c r="T401" s="4">
        <v>54482.400000000001</v>
      </c>
      <c r="U401" s="4">
        <v>5</v>
      </c>
      <c r="V401" s="4" t="s">
        <v>42</v>
      </c>
      <c r="X401" s="7" t="str">
        <f t="shared" si="15"/>
        <v>441857193</v>
      </c>
      <c r="Y401" s="8" t="str">
        <f t="shared" si="16"/>
        <v>DC</v>
      </c>
      <c r="Z401" s="8">
        <f t="shared" si="17"/>
        <v>0</v>
      </c>
      <c r="AA401" s="8">
        <f t="shared" si="18"/>
        <v>168</v>
      </c>
      <c r="AB401" s="8">
        <f t="shared" si="19"/>
        <v>0</v>
      </c>
      <c r="AC401" s="8">
        <f t="shared" si="20"/>
        <v>0</v>
      </c>
      <c r="AD401" s="8">
        <f t="shared" si="21"/>
        <v>0</v>
      </c>
      <c r="AE401" s="9" t="str" cm="1">
        <f t="array" ref="AE401">IFERROR(_xlfn.XLOOKUP(H401,Sheet1!$G:$G,Sheet1!$F:$F),IFERROR(_xlfn.XLOOKUP(1,(--($X$2:$X$1074=X401))*(--ISNUMBER(MATCH($H$2:$H$1074,Sheet1!$G:$G,0))),_xlfn.XLOOKUP($H$2:$H$1074,Sheet1!$G:$G,Sheet1!$F:$F,"")),"NOT FOUND"))</f>
        <v>RETKRTSFUT4332</v>
      </c>
      <c r="AF401" s="10" t="str">
        <f t="shared" si="26"/>
        <v>LIME GREEN</v>
      </c>
      <c r="AG401" s="11" t="str">
        <f t="shared" si="27"/>
        <v>Bangalore</v>
      </c>
      <c r="AH401" s="9" t="str">
        <f>IF(OR(J401="",AE401="",AE401="NOT FOUND"),"",IF(Y401="RP",IFERROR(LEFT(_xlfn.XLOOKUP(AE401,Sheet1!$F:$F,Sheet1!$W:$W),FIND("-",_xlfn.XLOOKUP(AE401,Sheet1!$F:$F,Sheet1!$W:$W),FIND("-",_xlfn.XLOOKUP(AE401,Sheet1!$F:$F,Sheet1!$W:$W))+1))&amp;AE401,"NOT FOUND"),LEFT(J401,FIND("-",J401,FIND("-",J401)+1))&amp;AE401))</f>
        <v>KRTS-APSU26-RETKRTSFUT4332</v>
      </c>
    </row>
    <row r="402" spans="1:34" ht="15.75" customHeight="1" x14ac:dyDescent="0.2">
      <c r="A402" s="4" t="s">
        <v>30</v>
      </c>
      <c r="B402" s="4" t="s">
        <v>596</v>
      </c>
      <c r="C402" s="4" t="s">
        <v>597</v>
      </c>
      <c r="D402" s="4" t="s">
        <v>598</v>
      </c>
      <c r="E402" s="4" t="s">
        <v>34</v>
      </c>
      <c r="F402" s="4" t="s">
        <v>35</v>
      </c>
      <c r="G402" s="4" t="s">
        <v>47</v>
      </c>
      <c r="H402" s="4" t="s">
        <v>605</v>
      </c>
      <c r="I402" s="4" t="s">
        <v>606</v>
      </c>
      <c r="J402" s="4" t="s">
        <v>607</v>
      </c>
      <c r="L402" s="4" t="s">
        <v>40</v>
      </c>
      <c r="M402" s="4">
        <v>1</v>
      </c>
      <c r="N402" s="4">
        <v>189</v>
      </c>
      <c r="O402" s="4">
        <v>189</v>
      </c>
      <c r="P402" s="4" t="s">
        <v>41</v>
      </c>
      <c r="Q402" s="4">
        <v>324.3</v>
      </c>
      <c r="R402" s="4">
        <v>324.3</v>
      </c>
      <c r="S402" s="4">
        <v>3064.64</v>
      </c>
      <c r="T402" s="4">
        <v>61292.7</v>
      </c>
      <c r="U402" s="4">
        <v>5</v>
      </c>
      <c r="V402" s="4" t="s">
        <v>42</v>
      </c>
      <c r="X402" s="7" t="str">
        <f t="shared" si="15"/>
        <v>441857193</v>
      </c>
      <c r="Y402" s="8" t="str">
        <f t="shared" si="16"/>
        <v>DC</v>
      </c>
      <c r="Z402" s="8">
        <f t="shared" si="17"/>
        <v>0</v>
      </c>
      <c r="AA402" s="8">
        <f t="shared" si="18"/>
        <v>0</v>
      </c>
      <c r="AB402" s="8">
        <f t="shared" si="19"/>
        <v>189</v>
      </c>
      <c r="AC402" s="8">
        <f t="shared" si="20"/>
        <v>0</v>
      </c>
      <c r="AD402" s="8">
        <f t="shared" si="21"/>
        <v>0</v>
      </c>
      <c r="AE402" s="9" t="str" cm="1">
        <f t="array" ref="AE402">IFERROR(_xlfn.XLOOKUP(H402,Sheet1!$G:$G,Sheet1!$F:$F),IFERROR(_xlfn.XLOOKUP(1,(--($X$2:$X$1074=X402))*(--ISNUMBER(MATCH($H$2:$H$1074,Sheet1!$G:$G,0))),_xlfn.XLOOKUP($H$2:$H$1074,Sheet1!$G:$G,Sheet1!$F:$F,"")),"NOT FOUND"))</f>
        <v>RETKRTSFUT4332</v>
      </c>
      <c r="AF402" s="10" t="str">
        <f t="shared" si="26"/>
        <v>LIME GREEN</v>
      </c>
      <c r="AG402" s="11" t="str">
        <f t="shared" si="27"/>
        <v>Bangalore</v>
      </c>
      <c r="AH402" s="9" t="str">
        <f>IF(OR(J402="",AE402="",AE402="NOT FOUND"),"",IF(Y402="RP",IFERROR(LEFT(_xlfn.XLOOKUP(AE402,Sheet1!$F:$F,Sheet1!$W:$W),FIND("-",_xlfn.XLOOKUP(AE402,Sheet1!$F:$F,Sheet1!$W:$W),FIND("-",_xlfn.XLOOKUP(AE402,Sheet1!$F:$F,Sheet1!$W:$W))+1))&amp;AE402,"NOT FOUND"),LEFT(J402,FIND("-",J402,FIND("-",J402)+1))&amp;AE402))</f>
        <v>KRTS-APSU26-RETKRTSFUT4332</v>
      </c>
    </row>
    <row r="403" spans="1:34" ht="15.75" customHeight="1" x14ac:dyDescent="0.2">
      <c r="A403" s="4" t="s">
        <v>30</v>
      </c>
      <c r="B403" s="4" t="s">
        <v>596</v>
      </c>
      <c r="C403" s="4" t="s">
        <v>597</v>
      </c>
      <c r="D403" s="4" t="s">
        <v>598</v>
      </c>
      <c r="E403" s="4" t="s">
        <v>34</v>
      </c>
      <c r="F403" s="4" t="s">
        <v>35</v>
      </c>
      <c r="G403" s="4" t="s">
        <v>51</v>
      </c>
      <c r="H403" s="4" t="s">
        <v>608</v>
      </c>
      <c r="I403" s="4" t="s">
        <v>609</v>
      </c>
      <c r="J403" s="4" t="s">
        <v>610</v>
      </c>
      <c r="L403" s="4" t="s">
        <v>40</v>
      </c>
      <c r="M403" s="4">
        <v>1</v>
      </c>
      <c r="N403" s="4">
        <v>220</v>
      </c>
      <c r="O403" s="4">
        <v>220</v>
      </c>
      <c r="P403" s="4" t="s">
        <v>41</v>
      </c>
      <c r="Q403" s="4">
        <v>324.3</v>
      </c>
      <c r="R403" s="4">
        <v>324.3</v>
      </c>
      <c r="S403" s="4">
        <v>3567.3</v>
      </c>
      <c r="T403" s="4">
        <v>71346</v>
      </c>
      <c r="U403" s="4">
        <v>5</v>
      </c>
      <c r="V403" s="4" t="s">
        <v>42</v>
      </c>
      <c r="X403" s="7" t="str">
        <f t="shared" si="15"/>
        <v>441857193</v>
      </c>
      <c r="Y403" s="8" t="str">
        <f t="shared" si="16"/>
        <v>DC</v>
      </c>
      <c r="Z403" s="8">
        <f t="shared" si="17"/>
        <v>0</v>
      </c>
      <c r="AA403" s="8">
        <f t="shared" si="18"/>
        <v>0</v>
      </c>
      <c r="AB403" s="8">
        <f t="shared" si="19"/>
        <v>0</v>
      </c>
      <c r="AC403" s="8">
        <f t="shared" si="20"/>
        <v>220</v>
      </c>
      <c r="AD403" s="8">
        <f t="shared" si="21"/>
        <v>0</v>
      </c>
      <c r="AE403" s="9" t="str" cm="1">
        <f t="array" ref="AE403">IFERROR(_xlfn.XLOOKUP(H403,Sheet1!$G:$G,Sheet1!$F:$F),IFERROR(_xlfn.XLOOKUP(1,(--($X$2:$X$1074=X403))*(--ISNUMBER(MATCH($H$2:$H$1074,Sheet1!$G:$G,0))),_xlfn.XLOOKUP($H$2:$H$1074,Sheet1!$G:$G,Sheet1!$F:$F,"")),"NOT FOUND"))</f>
        <v>RETKRTSFUT4332</v>
      </c>
      <c r="AF403" s="10" t="str">
        <f t="shared" si="26"/>
        <v>LIME GREEN</v>
      </c>
      <c r="AG403" s="11" t="str">
        <f t="shared" si="27"/>
        <v>Bangalore</v>
      </c>
      <c r="AH403" s="9" t="str">
        <f>IF(OR(J403="",AE403="",AE403="NOT FOUND"),"",IF(Y403="RP",IFERROR(LEFT(_xlfn.XLOOKUP(AE403,Sheet1!$F:$F,Sheet1!$W:$W),FIND("-",_xlfn.XLOOKUP(AE403,Sheet1!$F:$F,Sheet1!$W:$W),FIND("-",_xlfn.XLOOKUP(AE403,Sheet1!$F:$F,Sheet1!$W:$W))+1))&amp;AE403,"NOT FOUND"),LEFT(J403,FIND("-",J403,FIND("-",J403)+1))&amp;AE403))</f>
        <v>KRTS-APSU26-RETKRTSFUT4332</v>
      </c>
    </row>
    <row r="404" spans="1:34" ht="15.75" customHeight="1" x14ac:dyDescent="0.2">
      <c r="A404" s="4" t="s">
        <v>30</v>
      </c>
      <c r="B404" s="4" t="s">
        <v>596</v>
      </c>
      <c r="C404" s="4" t="s">
        <v>597</v>
      </c>
      <c r="D404" s="4" t="s">
        <v>598</v>
      </c>
      <c r="E404" s="4" t="s">
        <v>34</v>
      </c>
      <c r="F404" s="4" t="s">
        <v>35</v>
      </c>
      <c r="G404" s="4" t="s">
        <v>55</v>
      </c>
      <c r="H404" s="4" t="s">
        <v>611</v>
      </c>
      <c r="I404" s="4" t="s">
        <v>612</v>
      </c>
      <c r="J404" s="4" t="s">
        <v>613</v>
      </c>
      <c r="L404" s="4" t="s">
        <v>40</v>
      </c>
      <c r="M404" s="4">
        <v>1</v>
      </c>
      <c r="N404" s="4">
        <v>42</v>
      </c>
      <c r="O404" s="4">
        <v>42</v>
      </c>
      <c r="P404" s="4" t="s">
        <v>41</v>
      </c>
      <c r="Q404" s="4">
        <v>324.3</v>
      </c>
      <c r="R404" s="4">
        <v>324.3</v>
      </c>
      <c r="S404" s="4">
        <v>681.03</v>
      </c>
      <c r="T404" s="4">
        <v>13620.6</v>
      </c>
      <c r="U404" s="4">
        <v>5</v>
      </c>
      <c r="V404" s="4" t="s">
        <v>42</v>
      </c>
      <c r="X404" s="7" t="str">
        <f t="shared" si="15"/>
        <v>441857193</v>
      </c>
      <c r="Y404" s="8" t="str">
        <f t="shared" si="16"/>
        <v>DC</v>
      </c>
      <c r="Z404" s="8">
        <f t="shared" si="17"/>
        <v>0</v>
      </c>
      <c r="AA404" s="8">
        <f t="shared" si="18"/>
        <v>0</v>
      </c>
      <c r="AB404" s="8">
        <f t="shared" si="19"/>
        <v>0</v>
      </c>
      <c r="AC404" s="8">
        <f t="shared" si="20"/>
        <v>0</v>
      </c>
      <c r="AD404" s="8">
        <f t="shared" si="21"/>
        <v>42</v>
      </c>
      <c r="AE404" s="9" t="str" cm="1">
        <f t="array" ref="AE404">IFERROR(_xlfn.XLOOKUP(H404,Sheet1!$G:$G,Sheet1!$F:$F),IFERROR(_xlfn.XLOOKUP(1,(--($X$2:$X$1074=X404))*(--ISNUMBER(MATCH($H$2:$H$1074,Sheet1!$G:$G,0))),_xlfn.XLOOKUP($H$2:$H$1074,Sheet1!$G:$G,Sheet1!$F:$F,"")),"NOT FOUND"))</f>
        <v>RETKRTSFUT4332</v>
      </c>
      <c r="AF404" s="10" t="str">
        <f t="shared" si="26"/>
        <v>LIME GREEN</v>
      </c>
      <c r="AG404" s="11" t="str">
        <f t="shared" si="27"/>
        <v>Bangalore</v>
      </c>
      <c r="AH404" s="9" t="str">
        <f>IF(OR(J404="",AE404="",AE404="NOT FOUND"),"",IF(Y404="RP",IFERROR(LEFT(_xlfn.XLOOKUP(AE404,Sheet1!$F:$F,Sheet1!$W:$W),FIND("-",_xlfn.XLOOKUP(AE404,Sheet1!$F:$F,Sheet1!$W:$W),FIND("-",_xlfn.XLOOKUP(AE404,Sheet1!$F:$F,Sheet1!$W:$W))+1))&amp;AE404,"NOT FOUND"),LEFT(J404,FIND("-",J404,FIND("-",J404)+1))&amp;AE404))</f>
        <v>KRTS-APSU26-RETKRTSFUT4332</v>
      </c>
    </row>
    <row r="405" spans="1:34" ht="15.75" customHeight="1" x14ac:dyDescent="0.2">
      <c r="A405" s="4" t="s">
        <v>59</v>
      </c>
      <c r="B405" s="4" t="s">
        <v>614</v>
      </c>
      <c r="C405" s="4" t="s">
        <v>597</v>
      </c>
      <c r="D405" s="4" t="s">
        <v>598</v>
      </c>
      <c r="E405" s="4" t="s">
        <v>34</v>
      </c>
      <c r="F405" s="4" t="s">
        <v>35</v>
      </c>
      <c r="G405" s="4" t="s">
        <v>36</v>
      </c>
      <c r="H405" s="4" t="s">
        <v>599</v>
      </c>
      <c r="I405" s="4" t="s">
        <v>600</v>
      </c>
      <c r="J405" s="4" t="s">
        <v>601</v>
      </c>
      <c r="L405" s="4" t="s">
        <v>40</v>
      </c>
      <c r="M405" s="4">
        <v>1</v>
      </c>
      <c r="N405" s="4">
        <v>30</v>
      </c>
      <c r="O405" s="4">
        <v>30</v>
      </c>
      <c r="P405" s="4" t="s">
        <v>41</v>
      </c>
      <c r="Q405" s="4">
        <v>324.3</v>
      </c>
      <c r="R405" s="4">
        <v>324.3</v>
      </c>
      <c r="S405" s="4">
        <v>486.45</v>
      </c>
      <c r="T405" s="4">
        <v>9729</v>
      </c>
      <c r="U405" s="4">
        <v>5</v>
      </c>
      <c r="V405" s="4" t="s">
        <v>42</v>
      </c>
      <c r="X405" s="7" t="str">
        <f t="shared" si="15"/>
        <v>441857193</v>
      </c>
      <c r="Y405" s="8" t="str">
        <f t="shared" si="16"/>
        <v>DC</v>
      </c>
      <c r="Z405" s="8">
        <f t="shared" si="17"/>
        <v>30</v>
      </c>
      <c r="AA405" s="8">
        <f t="shared" si="18"/>
        <v>0</v>
      </c>
      <c r="AB405" s="8">
        <f t="shared" si="19"/>
        <v>0</v>
      </c>
      <c r="AC405" s="8">
        <f t="shared" si="20"/>
        <v>0</v>
      </c>
      <c r="AD405" s="8">
        <f t="shared" si="21"/>
        <v>0</v>
      </c>
      <c r="AE405" s="9" t="str" cm="1">
        <f t="array" ref="AE405">IFERROR(_xlfn.XLOOKUP(H405,Sheet1!$G:$G,Sheet1!$F:$F),IFERROR(_xlfn.XLOOKUP(1,(--($X$2:$X$1074=X405))*(--ISNUMBER(MATCH($H$2:$H$1074,Sheet1!$G:$G,0))),_xlfn.XLOOKUP($H$2:$H$1074,Sheet1!$G:$G,Sheet1!$F:$F,"")),"NOT FOUND"))</f>
        <v>RETKRTSFUT4332</v>
      </c>
      <c r="AF405" s="10" t="str">
        <f t="shared" si="26"/>
        <v>LIME GREEN</v>
      </c>
      <c r="AG405" s="11" t="str">
        <f t="shared" si="27"/>
        <v>JHAJJAR</v>
      </c>
      <c r="AH405" s="9" t="str">
        <f>IF(OR(J405="",AE405="",AE405="NOT FOUND"),"",IF(Y405="RP",IFERROR(LEFT(_xlfn.XLOOKUP(AE405,Sheet1!$F:$F,Sheet1!$W:$W),FIND("-",_xlfn.XLOOKUP(AE405,Sheet1!$F:$F,Sheet1!$W:$W),FIND("-",_xlfn.XLOOKUP(AE405,Sheet1!$F:$F,Sheet1!$W:$W))+1))&amp;AE405,"NOT FOUND"),LEFT(J405,FIND("-",J405,FIND("-",J405)+1))&amp;AE405))</f>
        <v>KRTS-APSU26-RETKRTSFUT4332</v>
      </c>
    </row>
    <row r="406" spans="1:34" ht="15.75" customHeight="1" x14ac:dyDescent="0.2">
      <c r="A406" s="4" t="s">
        <v>59</v>
      </c>
      <c r="B406" s="4" t="s">
        <v>614</v>
      </c>
      <c r="C406" s="4" t="s">
        <v>597</v>
      </c>
      <c r="D406" s="4" t="s">
        <v>598</v>
      </c>
      <c r="E406" s="4" t="s">
        <v>34</v>
      </c>
      <c r="F406" s="4" t="s">
        <v>35</v>
      </c>
      <c r="G406" s="4" t="s">
        <v>43</v>
      </c>
      <c r="H406" s="4" t="s">
        <v>602</v>
      </c>
      <c r="I406" s="4" t="s">
        <v>603</v>
      </c>
      <c r="J406" s="4" t="s">
        <v>604</v>
      </c>
      <c r="L406" s="4" t="s">
        <v>40</v>
      </c>
      <c r="M406" s="4">
        <v>1</v>
      </c>
      <c r="N406" s="4">
        <v>95</v>
      </c>
      <c r="O406" s="4">
        <v>95</v>
      </c>
      <c r="P406" s="4" t="s">
        <v>41</v>
      </c>
      <c r="Q406" s="4">
        <v>324.3</v>
      </c>
      <c r="R406" s="4">
        <v>324.3</v>
      </c>
      <c r="S406" s="4">
        <v>1540.43</v>
      </c>
      <c r="T406" s="4">
        <v>30808.5</v>
      </c>
      <c r="U406" s="4">
        <v>5</v>
      </c>
      <c r="V406" s="4" t="s">
        <v>42</v>
      </c>
      <c r="X406" s="7" t="str">
        <f t="shared" si="15"/>
        <v>441857193</v>
      </c>
      <c r="Y406" s="8" t="str">
        <f t="shared" si="16"/>
        <v>DC</v>
      </c>
      <c r="Z406" s="8">
        <f t="shared" si="17"/>
        <v>0</v>
      </c>
      <c r="AA406" s="8">
        <f t="shared" si="18"/>
        <v>95</v>
      </c>
      <c r="AB406" s="8">
        <f t="shared" si="19"/>
        <v>0</v>
      </c>
      <c r="AC406" s="8">
        <f t="shared" si="20"/>
        <v>0</v>
      </c>
      <c r="AD406" s="8">
        <f t="shared" si="21"/>
        <v>0</v>
      </c>
      <c r="AE406" s="9" t="str" cm="1">
        <f t="array" ref="AE406">IFERROR(_xlfn.XLOOKUP(H406,Sheet1!$G:$G,Sheet1!$F:$F),IFERROR(_xlfn.XLOOKUP(1,(--($X$2:$X$1074=X406))*(--ISNUMBER(MATCH($H$2:$H$1074,Sheet1!$G:$G,0))),_xlfn.XLOOKUP($H$2:$H$1074,Sheet1!$G:$G,Sheet1!$F:$F,"")),"NOT FOUND"))</f>
        <v>RETKRTSFUT4332</v>
      </c>
      <c r="AF406" s="10" t="str">
        <f t="shared" si="26"/>
        <v>LIME GREEN</v>
      </c>
      <c r="AG406" s="11" t="str">
        <f t="shared" si="27"/>
        <v>JHAJJAR</v>
      </c>
      <c r="AH406" s="9" t="str">
        <f>IF(OR(J406="",AE406="",AE406="NOT FOUND"),"",IF(Y406="RP",IFERROR(LEFT(_xlfn.XLOOKUP(AE406,Sheet1!$F:$F,Sheet1!$W:$W),FIND("-",_xlfn.XLOOKUP(AE406,Sheet1!$F:$F,Sheet1!$W:$W),FIND("-",_xlfn.XLOOKUP(AE406,Sheet1!$F:$F,Sheet1!$W:$W))+1))&amp;AE406,"NOT FOUND"),LEFT(J406,FIND("-",J406,FIND("-",J406)+1))&amp;AE406))</f>
        <v>KRTS-APSU26-RETKRTSFUT4332</v>
      </c>
    </row>
    <row r="407" spans="1:34" ht="15.75" customHeight="1" x14ac:dyDescent="0.2">
      <c r="A407" s="4" t="s">
        <v>59</v>
      </c>
      <c r="B407" s="4" t="s">
        <v>614</v>
      </c>
      <c r="C407" s="4" t="s">
        <v>597</v>
      </c>
      <c r="D407" s="4" t="s">
        <v>598</v>
      </c>
      <c r="E407" s="4" t="s">
        <v>34</v>
      </c>
      <c r="F407" s="4" t="s">
        <v>35</v>
      </c>
      <c r="G407" s="4" t="s">
        <v>47</v>
      </c>
      <c r="H407" s="4" t="s">
        <v>605</v>
      </c>
      <c r="I407" s="4" t="s">
        <v>606</v>
      </c>
      <c r="J407" s="4" t="s">
        <v>607</v>
      </c>
      <c r="L407" s="4" t="s">
        <v>40</v>
      </c>
      <c r="M407" s="4">
        <v>1</v>
      </c>
      <c r="N407" s="4">
        <v>107</v>
      </c>
      <c r="O407" s="4">
        <v>107</v>
      </c>
      <c r="P407" s="4" t="s">
        <v>41</v>
      </c>
      <c r="Q407" s="4">
        <v>324.3</v>
      </c>
      <c r="R407" s="4">
        <v>324.3</v>
      </c>
      <c r="S407" s="4">
        <v>1735.01</v>
      </c>
      <c r="T407" s="4">
        <v>34700.1</v>
      </c>
      <c r="U407" s="4">
        <v>5</v>
      </c>
      <c r="V407" s="4" t="s">
        <v>42</v>
      </c>
      <c r="X407" s="7" t="str">
        <f t="shared" si="15"/>
        <v>441857193</v>
      </c>
      <c r="Y407" s="8" t="str">
        <f t="shared" si="16"/>
        <v>DC</v>
      </c>
      <c r="Z407" s="8">
        <f t="shared" si="17"/>
        <v>0</v>
      </c>
      <c r="AA407" s="8">
        <f t="shared" si="18"/>
        <v>0</v>
      </c>
      <c r="AB407" s="8">
        <f t="shared" si="19"/>
        <v>107</v>
      </c>
      <c r="AC407" s="8">
        <f t="shared" si="20"/>
        <v>0</v>
      </c>
      <c r="AD407" s="8">
        <f t="shared" si="21"/>
        <v>0</v>
      </c>
      <c r="AE407" s="9" t="str" cm="1">
        <f t="array" ref="AE407">IFERROR(_xlfn.XLOOKUP(H407,Sheet1!$G:$G,Sheet1!$F:$F),IFERROR(_xlfn.XLOOKUP(1,(--($X$2:$X$1074=X407))*(--ISNUMBER(MATCH($H$2:$H$1074,Sheet1!$G:$G,0))),_xlfn.XLOOKUP($H$2:$H$1074,Sheet1!$G:$G,Sheet1!$F:$F,"")),"NOT FOUND"))</f>
        <v>RETKRTSFUT4332</v>
      </c>
      <c r="AF407" s="10" t="str">
        <f t="shared" si="26"/>
        <v>LIME GREEN</v>
      </c>
      <c r="AG407" s="11" t="str">
        <f t="shared" si="27"/>
        <v>JHAJJAR</v>
      </c>
      <c r="AH407" s="9" t="str">
        <f>IF(OR(J407="",AE407="",AE407="NOT FOUND"),"",IF(Y407="RP",IFERROR(LEFT(_xlfn.XLOOKUP(AE407,Sheet1!$F:$F,Sheet1!$W:$W),FIND("-",_xlfn.XLOOKUP(AE407,Sheet1!$F:$F,Sheet1!$W:$W),FIND("-",_xlfn.XLOOKUP(AE407,Sheet1!$F:$F,Sheet1!$W:$W))+1))&amp;AE407,"NOT FOUND"),LEFT(J407,FIND("-",J407,FIND("-",J407)+1))&amp;AE407))</f>
        <v>KRTS-APSU26-RETKRTSFUT4332</v>
      </c>
    </row>
    <row r="408" spans="1:34" ht="15.75" customHeight="1" x14ac:dyDescent="0.2">
      <c r="A408" s="4" t="s">
        <v>59</v>
      </c>
      <c r="B408" s="4" t="s">
        <v>614</v>
      </c>
      <c r="C408" s="4" t="s">
        <v>597</v>
      </c>
      <c r="D408" s="4" t="s">
        <v>598</v>
      </c>
      <c r="E408" s="4" t="s">
        <v>34</v>
      </c>
      <c r="F408" s="4" t="s">
        <v>35</v>
      </c>
      <c r="G408" s="4" t="s">
        <v>51</v>
      </c>
      <c r="H408" s="4" t="s">
        <v>608</v>
      </c>
      <c r="I408" s="4" t="s">
        <v>609</v>
      </c>
      <c r="J408" s="4" t="s">
        <v>610</v>
      </c>
      <c r="L408" s="4" t="s">
        <v>40</v>
      </c>
      <c r="M408" s="4">
        <v>1</v>
      </c>
      <c r="N408" s="4">
        <v>125</v>
      </c>
      <c r="O408" s="4">
        <v>125</v>
      </c>
      <c r="P408" s="4" t="s">
        <v>41</v>
      </c>
      <c r="Q408" s="4">
        <v>324.3</v>
      </c>
      <c r="R408" s="4">
        <v>324.3</v>
      </c>
      <c r="S408" s="4">
        <v>2026.88</v>
      </c>
      <c r="T408" s="4">
        <v>40537.5</v>
      </c>
      <c r="U408" s="4">
        <v>5</v>
      </c>
      <c r="V408" s="4" t="s">
        <v>42</v>
      </c>
      <c r="X408" s="7" t="str">
        <f t="shared" si="15"/>
        <v>441857193</v>
      </c>
      <c r="Y408" s="8" t="str">
        <f t="shared" si="16"/>
        <v>DC</v>
      </c>
      <c r="Z408" s="8">
        <f t="shared" si="17"/>
        <v>0</v>
      </c>
      <c r="AA408" s="8">
        <f t="shared" si="18"/>
        <v>0</v>
      </c>
      <c r="AB408" s="8">
        <f t="shared" si="19"/>
        <v>0</v>
      </c>
      <c r="AC408" s="8">
        <f t="shared" si="20"/>
        <v>125</v>
      </c>
      <c r="AD408" s="8">
        <f t="shared" si="21"/>
        <v>0</v>
      </c>
      <c r="AE408" s="9" t="str" cm="1">
        <f t="array" ref="AE408">IFERROR(_xlfn.XLOOKUP(H408,Sheet1!$G:$G,Sheet1!$F:$F),IFERROR(_xlfn.XLOOKUP(1,(--($X$2:$X$1074=X408))*(--ISNUMBER(MATCH($H$2:$H$1074,Sheet1!$G:$G,0))),_xlfn.XLOOKUP($H$2:$H$1074,Sheet1!$G:$G,Sheet1!$F:$F,"")),"NOT FOUND"))</f>
        <v>RETKRTSFUT4332</v>
      </c>
      <c r="AF408" s="10" t="str">
        <f t="shared" si="26"/>
        <v>LIME GREEN</v>
      </c>
      <c r="AG408" s="11" t="str">
        <f t="shared" si="27"/>
        <v>JHAJJAR</v>
      </c>
      <c r="AH408" s="9" t="str">
        <f>IF(OR(J408="",AE408="",AE408="NOT FOUND"),"",IF(Y408="RP",IFERROR(LEFT(_xlfn.XLOOKUP(AE408,Sheet1!$F:$F,Sheet1!$W:$W),FIND("-",_xlfn.XLOOKUP(AE408,Sheet1!$F:$F,Sheet1!$W:$W),FIND("-",_xlfn.XLOOKUP(AE408,Sheet1!$F:$F,Sheet1!$W:$W))+1))&amp;AE408,"NOT FOUND"),LEFT(J408,FIND("-",J408,FIND("-",J408)+1))&amp;AE408))</f>
        <v>KRTS-APSU26-RETKRTSFUT4332</v>
      </c>
    </row>
    <row r="409" spans="1:34" ht="15.75" customHeight="1" x14ac:dyDescent="0.2">
      <c r="A409" s="4" t="s">
        <v>59</v>
      </c>
      <c r="B409" s="4" t="s">
        <v>614</v>
      </c>
      <c r="C409" s="4" t="s">
        <v>597</v>
      </c>
      <c r="D409" s="4" t="s">
        <v>598</v>
      </c>
      <c r="E409" s="4" t="s">
        <v>34</v>
      </c>
      <c r="F409" s="4" t="s">
        <v>35</v>
      </c>
      <c r="G409" s="4" t="s">
        <v>55</v>
      </c>
      <c r="H409" s="4" t="s">
        <v>611</v>
      </c>
      <c r="I409" s="4" t="s">
        <v>612</v>
      </c>
      <c r="J409" s="4" t="s">
        <v>613</v>
      </c>
      <c r="L409" s="4" t="s">
        <v>40</v>
      </c>
      <c r="M409" s="4">
        <v>1</v>
      </c>
      <c r="N409" s="4">
        <v>30</v>
      </c>
      <c r="O409" s="4">
        <v>30</v>
      </c>
      <c r="P409" s="4" t="s">
        <v>41</v>
      </c>
      <c r="Q409" s="4">
        <v>324.3</v>
      </c>
      <c r="R409" s="4">
        <v>324.3</v>
      </c>
      <c r="S409" s="4">
        <v>486.45</v>
      </c>
      <c r="T409" s="4">
        <v>9729</v>
      </c>
      <c r="U409" s="4">
        <v>5</v>
      </c>
      <c r="V409" s="4" t="s">
        <v>42</v>
      </c>
      <c r="X409" s="7" t="str">
        <f t="shared" si="15"/>
        <v>441857193</v>
      </c>
      <c r="Y409" s="8" t="str">
        <f t="shared" si="16"/>
        <v>DC</v>
      </c>
      <c r="Z409" s="8">
        <f t="shared" si="17"/>
        <v>0</v>
      </c>
      <c r="AA409" s="8">
        <f t="shared" si="18"/>
        <v>0</v>
      </c>
      <c r="AB409" s="8">
        <f t="shared" si="19"/>
        <v>0</v>
      </c>
      <c r="AC409" s="8">
        <f t="shared" si="20"/>
        <v>0</v>
      </c>
      <c r="AD409" s="8">
        <f t="shared" si="21"/>
        <v>30</v>
      </c>
      <c r="AE409" s="9" t="str" cm="1">
        <f t="array" ref="AE409">IFERROR(_xlfn.XLOOKUP(H409,Sheet1!$G:$G,Sheet1!$F:$F),IFERROR(_xlfn.XLOOKUP(1,(--($X$2:$X$1074=X409))*(--ISNUMBER(MATCH($H$2:$H$1074,Sheet1!$G:$G,0))),_xlfn.XLOOKUP($H$2:$H$1074,Sheet1!$G:$G,Sheet1!$F:$F,"")),"NOT FOUND"))</f>
        <v>RETKRTSFUT4332</v>
      </c>
      <c r="AF409" s="10" t="str">
        <f t="shared" si="26"/>
        <v>LIME GREEN</v>
      </c>
      <c r="AG409" s="11" t="str">
        <f t="shared" si="27"/>
        <v>JHAJJAR</v>
      </c>
      <c r="AH409" s="9" t="str">
        <f>IF(OR(J409="",AE409="",AE409="NOT FOUND"),"",IF(Y409="RP",IFERROR(LEFT(_xlfn.XLOOKUP(AE409,Sheet1!$F:$F,Sheet1!$W:$W),FIND("-",_xlfn.XLOOKUP(AE409,Sheet1!$F:$F,Sheet1!$W:$W),FIND("-",_xlfn.XLOOKUP(AE409,Sheet1!$F:$F,Sheet1!$W:$W))+1))&amp;AE409,"NOT FOUND"),LEFT(J409,FIND("-",J409,FIND("-",J409)+1))&amp;AE409))</f>
        <v>KRTS-APSU26-RETKRTSFUT4332</v>
      </c>
    </row>
    <row r="410" spans="1:34" ht="15.75" customHeight="1" x14ac:dyDescent="0.2">
      <c r="A410" s="4" t="s">
        <v>61</v>
      </c>
      <c r="B410" s="4" t="s">
        <v>615</v>
      </c>
      <c r="C410" s="4" t="s">
        <v>597</v>
      </c>
      <c r="D410" s="4" t="s">
        <v>598</v>
      </c>
      <c r="E410" s="4" t="s">
        <v>34</v>
      </c>
      <c r="F410" s="4" t="s">
        <v>35</v>
      </c>
      <c r="G410" s="4" t="s">
        <v>36</v>
      </c>
      <c r="H410" s="4" t="s">
        <v>599</v>
      </c>
      <c r="I410" s="4" t="s">
        <v>600</v>
      </c>
      <c r="J410" s="4" t="s">
        <v>601</v>
      </c>
      <c r="L410" s="4" t="s">
        <v>40</v>
      </c>
      <c r="M410" s="4">
        <v>1</v>
      </c>
      <c r="N410" s="4">
        <v>30</v>
      </c>
      <c r="O410" s="4">
        <v>30</v>
      </c>
      <c r="P410" s="4" t="s">
        <v>41</v>
      </c>
      <c r="Q410" s="4">
        <v>324.3</v>
      </c>
      <c r="R410" s="4">
        <v>324.3</v>
      </c>
      <c r="S410" s="4">
        <v>486.45</v>
      </c>
      <c r="T410" s="4">
        <v>9729</v>
      </c>
      <c r="U410" s="4">
        <v>5</v>
      </c>
      <c r="V410" s="4" t="s">
        <v>42</v>
      </c>
      <c r="X410" s="7" t="str">
        <f t="shared" si="15"/>
        <v>441857193</v>
      </c>
      <c r="Y410" s="8" t="str">
        <f t="shared" si="16"/>
        <v>DC</v>
      </c>
      <c r="Z410" s="8">
        <f t="shared" si="17"/>
        <v>30</v>
      </c>
      <c r="AA410" s="8">
        <f t="shared" si="18"/>
        <v>0</v>
      </c>
      <c r="AB410" s="8">
        <f t="shared" si="19"/>
        <v>0</v>
      </c>
      <c r="AC410" s="8">
        <f t="shared" si="20"/>
        <v>0</v>
      </c>
      <c r="AD410" s="8">
        <f t="shared" si="21"/>
        <v>0</v>
      </c>
      <c r="AE410" s="9" t="str" cm="1">
        <f t="array" ref="AE410">IFERROR(_xlfn.XLOOKUP(H410,Sheet1!$G:$G,Sheet1!$F:$F),IFERROR(_xlfn.XLOOKUP(1,(--($X$2:$X$1074=X410))*(--ISNUMBER(MATCH($H$2:$H$1074,Sheet1!$G:$G,0))),_xlfn.XLOOKUP($H$2:$H$1074,Sheet1!$G:$G,Sheet1!$F:$F,"")),"NOT FOUND"))</f>
        <v>RETKRTSFUT4332</v>
      </c>
      <c r="AF410" s="10" t="str">
        <f t="shared" si="26"/>
        <v>LIME GREEN</v>
      </c>
      <c r="AG410" s="11" t="str">
        <f t="shared" si="27"/>
        <v>HARIPAL</v>
      </c>
      <c r="AH410" s="9" t="str">
        <f>IF(OR(J410="",AE410="",AE410="NOT FOUND"),"",IF(Y410="RP",IFERROR(LEFT(_xlfn.XLOOKUP(AE410,Sheet1!$F:$F,Sheet1!$W:$W),FIND("-",_xlfn.XLOOKUP(AE410,Sheet1!$F:$F,Sheet1!$W:$W),FIND("-",_xlfn.XLOOKUP(AE410,Sheet1!$F:$F,Sheet1!$W:$W))+1))&amp;AE410,"NOT FOUND"),LEFT(J410,FIND("-",J410,FIND("-",J410)+1))&amp;AE410))</f>
        <v>KRTS-APSU26-RETKRTSFUT4332</v>
      </c>
    </row>
    <row r="411" spans="1:34" ht="15.75" customHeight="1" x14ac:dyDescent="0.2">
      <c r="A411" s="4" t="s">
        <v>61</v>
      </c>
      <c r="B411" s="4" t="s">
        <v>615</v>
      </c>
      <c r="C411" s="4" t="s">
        <v>597</v>
      </c>
      <c r="D411" s="4" t="s">
        <v>598</v>
      </c>
      <c r="E411" s="4" t="s">
        <v>34</v>
      </c>
      <c r="F411" s="4" t="s">
        <v>35</v>
      </c>
      <c r="G411" s="4" t="s">
        <v>43</v>
      </c>
      <c r="H411" s="4" t="s">
        <v>602</v>
      </c>
      <c r="I411" s="4" t="s">
        <v>603</v>
      </c>
      <c r="J411" s="4" t="s">
        <v>604</v>
      </c>
      <c r="L411" s="4" t="s">
        <v>40</v>
      </c>
      <c r="M411" s="4">
        <v>1</v>
      </c>
      <c r="N411" s="4">
        <v>97</v>
      </c>
      <c r="O411" s="4">
        <v>97</v>
      </c>
      <c r="P411" s="4" t="s">
        <v>41</v>
      </c>
      <c r="Q411" s="4">
        <v>324.3</v>
      </c>
      <c r="R411" s="4">
        <v>324.3</v>
      </c>
      <c r="S411" s="4">
        <v>1572.86</v>
      </c>
      <c r="T411" s="4">
        <v>31457.1</v>
      </c>
      <c r="U411" s="4">
        <v>5</v>
      </c>
      <c r="V411" s="4" t="s">
        <v>42</v>
      </c>
      <c r="X411" s="7" t="str">
        <f t="shared" si="15"/>
        <v>441857193</v>
      </c>
      <c r="Y411" s="8" t="str">
        <f t="shared" si="16"/>
        <v>DC</v>
      </c>
      <c r="Z411" s="8">
        <f t="shared" si="17"/>
        <v>0</v>
      </c>
      <c r="AA411" s="8">
        <f t="shared" si="18"/>
        <v>97</v>
      </c>
      <c r="AB411" s="8">
        <f t="shared" si="19"/>
        <v>0</v>
      </c>
      <c r="AC411" s="8">
        <f t="shared" si="20"/>
        <v>0</v>
      </c>
      <c r="AD411" s="8">
        <f t="shared" si="21"/>
        <v>0</v>
      </c>
      <c r="AE411" s="9" t="str" cm="1">
        <f t="array" ref="AE411">IFERROR(_xlfn.XLOOKUP(H411,Sheet1!$G:$G,Sheet1!$F:$F),IFERROR(_xlfn.XLOOKUP(1,(--($X$2:$X$1074=X411))*(--ISNUMBER(MATCH($H$2:$H$1074,Sheet1!$G:$G,0))),_xlfn.XLOOKUP($H$2:$H$1074,Sheet1!$G:$G,Sheet1!$F:$F,"")),"NOT FOUND"))</f>
        <v>RETKRTSFUT4332</v>
      </c>
      <c r="AF411" s="10" t="str">
        <f t="shared" si="26"/>
        <v>LIME GREEN</v>
      </c>
      <c r="AG411" s="11" t="str">
        <f t="shared" si="27"/>
        <v>HARIPAL</v>
      </c>
      <c r="AH411" s="9" t="str">
        <f>IF(OR(J411="",AE411="",AE411="NOT FOUND"),"",IF(Y411="RP",IFERROR(LEFT(_xlfn.XLOOKUP(AE411,Sheet1!$F:$F,Sheet1!$W:$W),FIND("-",_xlfn.XLOOKUP(AE411,Sheet1!$F:$F,Sheet1!$W:$W),FIND("-",_xlfn.XLOOKUP(AE411,Sheet1!$F:$F,Sheet1!$W:$W))+1))&amp;AE411,"NOT FOUND"),LEFT(J411,FIND("-",J411,FIND("-",J411)+1))&amp;AE411))</f>
        <v>KRTS-APSU26-RETKRTSFUT4332</v>
      </c>
    </row>
    <row r="412" spans="1:34" ht="15.75" customHeight="1" x14ac:dyDescent="0.2">
      <c r="A412" s="4" t="s">
        <v>61</v>
      </c>
      <c r="B412" s="4" t="s">
        <v>615</v>
      </c>
      <c r="C412" s="4" t="s">
        <v>597</v>
      </c>
      <c r="D412" s="4" t="s">
        <v>598</v>
      </c>
      <c r="E412" s="4" t="s">
        <v>34</v>
      </c>
      <c r="F412" s="4" t="s">
        <v>35</v>
      </c>
      <c r="G412" s="4" t="s">
        <v>47</v>
      </c>
      <c r="H412" s="4" t="s">
        <v>605</v>
      </c>
      <c r="I412" s="4" t="s">
        <v>606</v>
      </c>
      <c r="J412" s="4" t="s">
        <v>607</v>
      </c>
      <c r="L412" s="4" t="s">
        <v>40</v>
      </c>
      <c r="M412" s="4">
        <v>1</v>
      </c>
      <c r="N412" s="4">
        <v>109</v>
      </c>
      <c r="O412" s="4">
        <v>109</v>
      </c>
      <c r="P412" s="4" t="s">
        <v>41</v>
      </c>
      <c r="Q412" s="4">
        <v>324.3</v>
      </c>
      <c r="R412" s="4">
        <v>324.3</v>
      </c>
      <c r="S412" s="4">
        <v>1767.44</v>
      </c>
      <c r="T412" s="4">
        <v>35348.699999999997</v>
      </c>
      <c r="U412" s="4">
        <v>5</v>
      </c>
      <c r="V412" s="4" t="s">
        <v>42</v>
      </c>
      <c r="X412" s="7" t="str">
        <f t="shared" si="15"/>
        <v>441857193</v>
      </c>
      <c r="Y412" s="8" t="str">
        <f t="shared" si="16"/>
        <v>DC</v>
      </c>
      <c r="Z412" s="8">
        <f t="shared" si="17"/>
        <v>0</v>
      </c>
      <c r="AA412" s="8">
        <f t="shared" si="18"/>
        <v>0</v>
      </c>
      <c r="AB412" s="8">
        <f t="shared" si="19"/>
        <v>109</v>
      </c>
      <c r="AC412" s="8">
        <f t="shared" si="20"/>
        <v>0</v>
      </c>
      <c r="AD412" s="8">
        <f t="shared" si="21"/>
        <v>0</v>
      </c>
      <c r="AE412" s="9" t="str" cm="1">
        <f t="array" ref="AE412">IFERROR(_xlfn.XLOOKUP(H412,Sheet1!$G:$G,Sheet1!$F:$F),IFERROR(_xlfn.XLOOKUP(1,(--($X$2:$X$1074=X412))*(--ISNUMBER(MATCH($H$2:$H$1074,Sheet1!$G:$G,0))),_xlfn.XLOOKUP($H$2:$H$1074,Sheet1!$G:$G,Sheet1!$F:$F,"")),"NOT FOUND"))</f>
        <v>RETKRTSFUT4332</v>
      </c>
      <c r="AF412" s="10" t="str">
        <f t="shared" si="26"/>
        <v>LIME GREEN</v>
      </c>
      <c r="AG412" s="11" t="str">
        <f t="shared" si="27"/>
        <v>HARIPAL</v>
      </c>
      <c r="AH412" s="9" t="str">
        <f>IF(OR(J412="",AE412="",AE412="NOT FOUND"),"",IF(Y412="RP",IFERROR(LEFT(_xlfn.XLOOKUP(AE412,Sheet1!$F:$F,Sheet1!$W:$W),FIND("-",_xlfn.XLOOKUP(AE412,Sheet1!$F:$F,Sheet1!$W:$W),FIND("-",_xlfn.XLOOKUP(AE412,Sheet1!$F:$F,Sheet1!$W:$W))+1))&amp;AE412,"NOT FOUND"),LEFT(J412,FIND("-",J412,FIND("-",J412)+1))&amp;AE412))</f>
        <v>KRTS-APSU26-RETKRTSFUT4332</v>
      </c>
    </row>
    <row r="413" spans="1:34" ht="15.75" customHeight="1" x14ac:dyDescent="0.2">
      <c r="A413" s="4" t="s">
        <v>61</v>
      </c>
      <c r="B413" s="4" t="s">
        <v>615</v>
      </c>
      <c r="C413" s="4" t="s">
        <v>597</v>
      </c>
      <c r="D413" s="4" t="s">
        <v>598</v>
      </c>
      <c r="E413" s="4" t="s">
        <v>34</v>
      </c>
      <c r="F413" s="4" t="s">
        <v>35</v>
      </c>
      <c r="G413" s="4" t="s">
        <v>51</v>
      </c>
      <c r="H413" s="4" t="s">
        <v>608</v>
      </c>
      <c r="I413" s="4" t="s">
        <v>609</v>
      </c>
      <c r="J413" s="4" t="s">
        <v>610</v>
      </c>
      <c r="L413" s="4" t="s">
        <v>40</v>
      </c>
      <c r="M413" s="4">
        <v>1</v>
      </c>
      <c r="N413" s="4">
        <v>127</v>
      </c>
      <c r="O413" s="4">
        <v>127</v>
      </c>
      <c r="P413" s="4" t="s">
        <v>41</v>
      </c>
      <c r="Q413" s="4">
        <v>324.3</v>
      </c>
      <c r="R413" s="4">
        <v>324.3</v>
      </c>
      <c r="S413" s="4">
        <v>2059.31</v>
      </c>
      <c r="T413" s="4">
        <v>41186.1</v>
      </c>
      <c r="U413" s="4">
        <v>5</v>
      </c>
      <c r="V413" s="4" t="s">
        <v>42</v>
      </c>
      <c r="X413" s="7" t="str">
        <f t="shared" si="15"/>
        <v>441857193</v>
      </c>
      <c r="Y413" s="8" t="str">
        <f t="shared" si="16"/>
        <v>DC</v>
      </c>
      <c r="Z413" s="8">
        <f t="shared" si="17"/>
        <v>0</v>
      </c>
      <c r="AA413" s="8">
        <f t="shared" si="18"/>
        <v>0</v>
      </c>
      <c r="AB413" s="8">
        <f t="shared" si="19"/>
        <v>0</v>
      </c>
      <c r="AC413" s="8">
        <f t="shared" si="20"/>
        <v>127</v>
      </c>
      <c r="AD413" s="8">
        <f t="shared" si="21"/>
        <v>0</v>
      </c>
      <c r="AE413" s="9" t="str" cm="1">
        <f t="array" ref="AE413">IFERROR(_xlfn.XLOOKUP(H413,Sheet1!$G:$G,Sheet1!$F:$F),IFERROR(_xlfn.XLOOKUP(1,(--($X$2:$X$1074=X413))*(--ISNUMBER(MATCH($H$2:$H$1074,Sheet1!$G:$G,0))),_xlfn.XLOOKUP($H$2:$H$1074,Sheet1!$G:$G,Sheet1!$F:$F,"")),"NOT FOUND"))</f>
        <v>RETKRTSFUT4332</v>
      </c>
      <c r="AF413" s="10" t="str">
        <f t="shared" si="26"/>
        <v>LIME GREEN</v>
      </c>
      <c r="AG413" s="11" t="str">
        <f t="shared" si="27"/>
        <v>HARIPAL</v>
      </c>
      <c r="AH413" s="9" t="str">
        <f>IF(OR(J413="",AE413="",AE413="NOT FOUND"),"",IF(Y413="RP",IFERROR(LEFT(_xlfn.XLOOKUP(AE413,Sheet1!$F:$F,Sheet1!$W:$W),FIND("-",_xlfn.XLOOKUP(AE413,Sheet1!$F:$F,Sheet1!$W:$W),FIND("-",_xlfn.XLOOKUP(AE413,Sheet1!$F:$F,Sheet1!$W:$W))+1))&amp;AE413,"NOT FOUND"),LEFT(J413,FIND("-",J413,FIND("-",J413)+1))&amp;AE413))</f>
        <v>KRTS-APSU26-RETKRTSFUT4332</v>
      </c>
    </row>
    <row r="414" spans="1:34" ht="15.75" customHeight="1" x14ac:dyDescent="0.2">
      <c r="A414" s="4" t="s">
        <v>61</v>
      </c>
      <c r="B414" s="4" t="s">
        <v>615</v>
      </c>
      <c r="C414" s="4" t="s">
        <v>597</v>
      </c>
      <c r="D414" s="4" t="s">
        <v>598</v>
      </c>
      <c r="E414" s="4" t="s">
        <v>34</v>
      </c>
      <c r="F414" s="4" t="s">
        <v>35</v>
      </c>
      <c r="G414" s="4" t="s">
        <v>55</v>
      </c>
      <c r="H414" s="4" t="s">
        <v>611</v>
      </c>
      <c r="I414" s="4" t="s">
        <v>612</v>
      </c>
      <c r="J414" s="4" t="s">
        <v>613</v>
      </c>
      <c r="L414" s="4" t="s">
        <v>40</v>
      </c>
      <c r="M414" s="4">
        <v>1</v>
      </c>
      <c r="N414" s="4">
        <v>30</v>
      </c>
      <c r="O414" s="4">
        <v>30</v>
      </c>
      <c r="P414" s="4" t="s">
        <v>41</v>
      </c>
      <c r="Q414" s="4">
        <v>324.3</v>
      </c>
      <c r="R414" s="4">
        <v>324.3</v>
      </c>
      <c r="S414" s="4">
        <v>486.45</v>
      </c>
      <c r="T414" s="4">
        <v>9729</v>
      </c>
      <c r="U414" s="4">
        <v>5</v>
      </c>
      <c r="V414" s="4" t="s">
        <v>42</v>
      </c>
      <c r="X414" s="7" t="str">
        <f t="shared" si="15"/>
        <v>441857193</v>
      </c>
      <c r="Y414" s="8" t="str">
        <f t="shared" si="16"/>
        <v>DC</v>
      </c>
      <c r="Z414" s="8">
        <f t="shared" si="17"/>
        <v>0</v>
      </c>
      <c r="AA414" s="8">
        <f t="shared" si="18"/>
        <v>0</v>
      </c>
      <c r="AB414" s="8">
        <f t="shared" si="19"/>
        <v>0</v>
      </c>
      <c r="AC414" s="8">
        <f t="shared" si="20"/>
        <v>0</v>
      </c>
      <c r="AD414" s="8">
        <f t="shared" si="21"/>
        <v>30</v>
      </c>
      <c r="AE414" s="9" t="str" cm="1">
        <f t="array" ref="AE414">IFERROR(_xlfn.XLOOKUP(H414,Sheet1!$G:$G,Sheet1!$F:$F),IFERROR(_xlfn.XLOOKUP(1,(--($X$2:$X$1074=X414))*(--ISNUMBER(MATCH($H$2:$H$1074,Sheet1!$G:$G,0))),_xlfn.XLOOKUP($H$2:$H$1074,Sheet1!$G:$G,Sheet1!$F:$F,"")),"NOT FOUND"))</f>
        <v>RETKRTSFUT4332</v>
      </c>
      <c r="AF414" s="10" t="str">
        <f t="shared" si="26"/>
        <v>LIME GREEN</v>
      </c>
      <c r="AG414" s="11" t="str">
        <f t="shared" si="27"/>
        <v>HARIPAL</v>
      </c>
      <c r="AH414" s="9" t="str">
        <f>IF(OR(J414="",AE414="",AE414="NOT FOUND"),"",IF(Y414="RP",IFERROR(LEFT(_xlfn.XLOOKUP(AE414,Sheet1!$F:$F,Sheet1!$W:$W),FIND("-",_xlfn.XLOOKUP(AE414,Sheet1!$F:$F,Sheet1!$W:$W),FIND("-",_xlfn.XLOOKUP(AE414,Sheet1!$F:$F,Sheet1!$W:$W))+1))&amp;AE414,"NOT FOUND"),LEFT(J414,FIND("-",J414,FIND("-",J414)+1))&amp;AE414))</f>
        <v>KRTS-APSU26-RETKRTSFUT4332</v>
      </c>
    </row>
    <row r="415" spans="1:34" ht="15.75" customHeight="1" x14ac:dyDescent="0.2">
      <c r="A415" s="4" t="s">
        <v>30</v>
      </c>
      <c r="B415" s="4" t="s">
        <v>616</v>
      </c>
      <c r="C415" s="4" t="s">
        <v>597</v>
      </c>
      <c r="D415" s="4" t="s">
        <v>598</v>
      </c>
      <c r="E415" s="4" t="s">
        <v>34</v>
      </c>
      <c r="F415" s="4" t="s">
        <v>35</v>
      </c>
      <c r="G415" s="4" t="s">
        <v>36</v>
      </c>
      <c r="H415" s="4" t="s">
        <v>617</v>
      </c>
      <c r="I415" s="4" t="s">
        <v>618</v>
      </c>
      <c r="J415" s="4" t="s">
        <v>601</v>
      </c>
      <c r="L415" s="4" t="s">
        <v>40</v>
      </c>
      <c r="M415" s="4">
        <v>1</v>
      </c>
      <c r="N415" s="4">
        <v>30</v>
      </c>
      <c r="O415" s="4">
        <v>30</v>
      </c>
      <c r="P415" s="4" t="s">
        <v>41</v>
      </c>
      <c r="Q415" s="4">
        <v>264.3</v>
      </c>
      <c r="R415" s="4">
        <v>264.3</v>
      </c>
      <c r="S415" s="4">
        <v>396.45</v>
      </c>
      <c r="T415" s="4">
        <v>7929</v>
      </c>
      <c r="U415" s="4">
        <v>5</v>
      </c>
      <c r="V415" s="4" t="s">
        <v>42</v>
      </c>
      <c r="X415" s="7" t="str">
        <f t="shared" si="15"/>
        <v>441857192</v>
      </c>
      <c r="Y415" s="8" t="str">
        <f t="shared" si="16"/>
        <v>DC</v>
      </c>
      <c r="Z415" s="8">
        <f t="shared" si="17"/>
        <v>30</v>
      </c>
      <c r="AA415" s="8">
        <f t="shared" si="18"/>
        <v>0</v>
      </c>
      <c r="AB415" s="8">
        <f t="shared" si="19"/>
        <v>0</v>
      </c>
      <c r="AC415" s="8">
        <f t="shared" si="20"/>
        <v>0</v>
      </c>
      <c r="AD415" s="8">
        <f t="shared" si="21"/>
        <v>0</v>
      </c>
      <c r="AE415" s="9" t="str" cm="1">
        <f t="array" ref="AE415">IFERROR(_xlfn.XLOOKUP(H415,Sheet1!$G:$G,Sheet1!$F:$F),IFERROR(_xlfn.XLOOKUP(1,(--($X$2:$X$1074=X415))*(--ISNUMBER(MATCH($H$2:$H$1074,Sheet1!$G:$G,0))),_xlfn.XLOOKUP($H$2:$H$1074,Sheet1!$G:$G,Sheet1!$F:$F,"")),"NOT FOUND"))</f>
        <v>RETKRTSFUT4331</v>
      </c>
      <c r="AF415" s="10" t="str">
        <f t="shared" si="26"/>
        <v>LIME GREEN</v>
      </c>
      <c r="AG415" s="11" t="str">
        <f t="shared" si="27"/>
        <v>Bangalore</v>
      </c>
      <c r="AH415" s="9" t="str">
        <f>IF(OR(J415="",AE415="",AE415="NOT FOUND"),"",IF(Y415="RP",IFERROR(LEFT(_xlfn.XLOOKUP(AE415,Sheet1!$F:$F,Sheet1!$W:$W),FIND("-",_xlfn.XLOOKUP(AE415,Sheet1!$F:$F,Sheet1!$W:$W),FIND("-",_xlfn.XLOOKUP(AE415,Sheet1!$F:$F,Sheet1!$W:$W))+1))&amp;AE415,"NOT FOUND"),LEFT(J415,FIND("-",J415,FIND("-",J415)+1))&amp;AE415))</f>
        <v>KRTS-APSU26-RETKRTSFUT4331</v>
      </c>
    </row>
    <row r="416" spans="1:34" ht="15.75" customHeight="1" x14ac:dyDescent="0.2">
      <c r="A416" s="4" t="s">
        <v>30</v>
      </c>
      <c r="B416" s="4" t="s">
        <v>616</v>
      </c>
      <c r="C416" s="4" t="s">
        <v>597</v>
      </c>
      <c r="D416" s="4" t="s">
        <v>598</v>
      </c>
      <c r="E416" s="4" t="s">
        <v>34</v>
      </c>
      <c r="F416" s="4" t="s">
        <v>35</v>
      </c>
      <c r="G416" s="4" t="s">
        <v>43</v>
      </c>
      <c r="H416" s="4" t="s">
        <v>619</v>
      </c>
      <c r="I416" s="4" t="s">
        <v>620</v>
      </c>
      <c r="J416" s="4" t="s">
        <v>604</v>
      </c>
      <c r="L416" s="4" t="s">
        <v>40</v>
      </c>
      <c r="M416" s="4">
        <v>1</v>
      </c>
      <c r="N416" s="4">
        <v>222</v>
      </c>
      <c r="O416" s="4">
        <v>222</v>
      </c>
      <c r="P416" s="4" t="s">
        <v>41</v>
      </c>
      <c r="Q416" s="4">
        <v>264.3</v>
      </c>
      <c r="R416" s="4">
        <v>264.3</v>
      </c>
      <c r="S416" s="4">
        <v>2933.73</v>
      </c>
      <c r="T416" s="4">
        <v>58674.6</v>
      </c>
      <c r="U416" s="4">
        <v>5</v>
      </c>
      <c r="V416" s="4" t="s">
        <v>42</v>
      </c>
      <c r="X416" s="7" t="str">
        <f t="shared" si="15"/>
        <v>441857192</v>
      </c>
      <c r="Y416" s="8" t="str">
        <f t="shared" si="16"/>
        <v>DC</v>
      </c>
      <c r="Z416" s="8">
        <f t="shared" si="17"/>
        <v>0</v>
      </c>
      <c r="AA416" s="8">
        <f t="shared" si="18"/>
        <v>222</v>
      </c>
      <c r="AB416" s="8">
        <f t="shared" si="19"/>
        <v>0</v>
      </c>
      <c r="AC416" s="8">
        <f t="shared" si="20"/>
        <v>0</v>
      </c>
      <c r="AD416" s="8">
        <f t="shared" si="21"/>
        <v>0</v>
      </c>
      <c r="AE416" s="9" t="str" cm="1">
        <f t="array" ref="AE416">IFERROR(_xlfn.XLOOKUP(H416,Sheet1!$G:$G,Sheet1!$F:$F),IFERROR(_xlfn.XLOOKUP(1,(--($X$2:$X$1074=X416))*(--ISNUMBER(MATCH($H$2:$H$1074,Sheet1!$G:$G,0))),_xlfn.XLOOKUP($H$2:$H$1074,Sheet1!$G:$G,Sheet1!$F:$F,"")),"NOT FOUND"))</f>
        <v>RETKRTSFUT4331</v>
      </c>
      <c r="AF416" s="10" t="str">
        <f t="shared" si="26"/>
        <v>LIME GREEN</v>
      </c>
      <c r="AG416" s="11" t="str">
        <f t="shared" si="27"/>
        <v>Bangalore</v>
      </c>
      <c r="AH416" s="9" t="str">
        <f>IF(OR(J416="",AE416="",AE416="NOT FOUND"),"",IF(Y416="RP",IFERROR(LEFT(_xlfn.XLOOKUP(AE416,Sheet1!$F:$F,Sheet1!$W:$W),FIND("-",_xlfn.XLOOKUP(AE416,Sheet1!$F:$F,Sheet1!$W:$W),FIND("-",_xlfn.XLOOKUP(AE416,Sheet1!$F:$F,Sheet1!$W:$W))+1))&amp;AE416,"NOT FOUND"),LEFT(J416,FIND("-",J416,FIND("-",J416)+1))&amp;AE416))</f>
        <v>KRTS-APSU26-RETKRTSFUT4331</v>
      </c>
    </row>
    <row r="417" spans="1:34" ht="15.75" customHeight="1" x14ac:dyDescent="0.2">
      <c r="A417" s="4" t="s">
        <v>30</v>
      </c>
      <c r="B417" s="4" t="s">
        <v>616</v>
      </c>
      <c r="C417" s="4" t="s">
        <v>597</v>
      </c>
      <c r="D417" s="4" t="s">
        <v>598</v>
      </c>
      <c r="E417" s="4" t="s">
        <v>34</v>
      </c>
      <c r="F417" s="4" t="s">
        <v>35</v>
      </c>
      <c r="G417" s="4" t="s">
        <v>47</v>
      </c>
      <c r="H417" s="4" t="s">
        <v>621</v>
      </c>
      <c r="I417" s="4" t="s">
        <v>622</v>
      </c>
      <c r="J417" s="4" t="s">
        <v>607</v>
      </c>
      <c r="L417" s="4" t="s">
        <v>40</v>
      </c>
      <c r="M417" s="4">
        <v>1</v>
      </c>
      <c r="N417" s="4">
        <v>250</v>
      </c>
      <c r="O417" s="4">
        <v>250</v>
      </c>
      <c r="P417" s="4" t="s">
        <v>41</v>
      </c>
      <c r="Q417" s="4">
        <v>264.3</v>
      </c>
      <c r="R417" s="4">
        <v>264.3</v>
      </c>
      <c r="S417" s="4">
        <v>3303.75</v>
      </c>
      <c r="T417" s="4">
        <v>66075</v>
      </c>
      <c r="U417" s="4">
        <v>5</v>
      </c>
      <c r="V417" s="4" t="s">
        <v>42</v>
      </c>
      <c r="X417" s="7" t="str">
        <f t="shared" si="15"/>
        <v>441857192</v>
      </c>
      <c r="Y417" s="8" t="str">
        <f t="shared" si="16"/>
        <v>DC</v>
      </c>
      <c r="Z417" s="8">
        <f t="shared" si="17"/>
        <v>0</v>
      </c>
      <c r="AA417" s="8">
        <f t="shared" si="18"/>
        <v>0</v>
      </c>
      <c r="AB417" s="8">
        <f t="shared" si="19"/>
        <v>250</v>
      </c>
      <c r="AC417" s="8">
        <f t="shared" si="20"/>
        <v>0</v>
      </c>
      <c r="AD417" s="8">
        <f t="shared" si="21"/>
        <v>0</v>
      </c>
      <c r="AE417" s="9" t="str" cm="1">
        <f t="array" ref="AE417">IFERROR(_xlfn.XLOOKUP(H417,Sheet1!$G:$G,Sheet1!$F:$F),IFERROR(_xlfn.XLOOKUP(1,(--($X$2:$X$1074=X417))*(--ISNUMBER(MATCH($H$2:$H$1074,Sheet1!$G:$G,0))),_xlfn.XLOOKUP($H$2:$H$1074,Sheet1!$G:$G,Sheet1!$F:$F,"")),"NOT FOUND"))</f>
        <v>RETKRTSFUT4331</v>
      </c>
      <c r="AF417" s="10" t="str">
        <f t="shared" si="26"/>
        <v>LIME GREEN</v>
      </c>
      <c r="AG417" s="11" t="str">
        <f t="shared" si="27"/>
        <v>Bangalore</v>
      </c>
      <c r="AH417" s="9" t="str">
        <f>IF(OR(J417="",AE417="",AE417="NOT FOUND"),"",IF(Y417="RP",IFERROR(LEFT(_xlfn.XLOOKUP(AE417,Sheet1!$F:$F,Sheet1!$W:$W),FIND("-",_xlfn.XLOOKUP(AE417,Sheet1!$F:$F,Sheet1!$W:$W),FIND("-",_xlfn.XLOOKUP(AE417,Sheet1!$F:$F,Sheet1!$W:$W))+1))&amp;AE417,"NOT FOUND"),LEFT(J417,FIND("-",J417,FIND("-",J417)+1))&amp;AE417))</f>
        <v>KRTS-APSU26-RETKRTSFUT4331</v>
      </c>
    </row>
    <row r="418" spans="1:34" ht="15.75" customHeight="1" x14ac:dyDescent="0.2">
      <c r="A418" s="4" t="s">
        <v>30</v>
      </c>
      <c r="B418" s="4" t="s">
        <v>616</v>
      </c>
      <c r="C418" s="4" t="s">
        <v>597</v>
      </c>
      <c r="D418" s="4" t="s">
        <v>598</v>
      </c>
      <c r="E418" s="4" t="s">
        <v>34</v>
      </c>
      <c r="F418" s="4" t="s">
        <v>35</v>
      </c>
      <c r="G418" s="4" t="s">
        <v>51</v>
      </c>
      <c r="H418" s="4" t="s">
        <v>623</v>
      </c>
      <c r="I418" s="4" t="s">
        <v>624</v>
      </c>
      <c r="J418" s="4" t="s">
        <v>610</v>
      </c>
      <c r="L418" s="4" t="s">
        <v>40</v>
      </c>
      <c r="M418" s="4">
        <v>1</v>
      </c>
      <c r="N418" s="4">
        <v>292</v>
      </c>
      <c r="O418" s="4">
        <v>292</v>
      </c>
      <c r="P418" s="4" t="s">
        <v>41</v>
      </c>
      <c r="Q418" s="4">
        <v>264.3</v>
      </c>
      <c r="R418" s="4">
        <v>264.3</v>
      </c>
      <c r="S418" s="4">
        <v>3858.78</v>
      </c>
      <c r="T418" s="4">
        <v>77175.600000000006</v>
      </c>
      <c r="U418" s="4">
        <v>5</v>
      </c>
      <c r="V418" s="4" t="s">
        <v>42</v>
      </c>
      <c r="X418" s="7" t="str">
        <f t="shared" si="15"/>
        <v>441857192</v>
      </c>
      <c r="Y418" s="8" t="str">
        <f t="shared" si="16"/>
        <v>DC</v>
      </c>
      <c r="Z418" s="8">
        <f t="shared" si="17"/>
        <v>0</v>
      </c>
      <c r="AA418" s="8">
        <f t="shared" si="18"/>
        <v>0</v>
      </c>
      <c r="AB418" s="8">
        <f t="shared" si="19"/>
        <v>0</v>
      </c>
      <c r="AC418" s="8">
        <f t="shared" si="20"/>
        <v>292</v>
      </c>
      <c r="AD418" s="8">
        <f t="shared" si="21"/>
        <v>0</v>
      </c>
      <c r="AE418" s="9" t="str" cm="1">
        <f t="array" ref="AE418">IFERROR(_xlfn.XLOOKUP(H418,Sheet1!$G:$G,Sheet1!$F:$F),IFERROR(_xlfn.XLOOKUP(1,(--($X$2:$X$1074=X418))*(--ISNUMBER(MATCH($H$2:$H$1074,Sheet1!$G:$G,0))),_xlfn.XLOOKUP($H$2:$H$1074,Sheet1!$G:$G,Sheet1!$F:$F,"")),"NOT FOUND"))</f>
        <v>RETKRTSFUT4331</v>
      </c>
      <c r="AF418" s="10" t="str">
        <f t="shared" si="26"/>
        <v>LIME GREEN</v>
      </c>
      <c r="AG418" s="11" t="str">
        <f t="shared" si="27"/>
        <v>Bangalore</v>
      </c>
      <c r="AH418" s="9" t="str">
        <f>IF(OR(J418="",AE418="",AE418="NOT FOUND"),"",IF(Y418="RP",IFERROR(LEFT(_xlfn.XLOOKUP(AE418,Sheet1!$F:$F,Sheet1!$W:$W),FIND("-",_xlfn.XLOOKUP(AE418,Sheet1!$F:$F,Sheet1!$W:$W),FIND("-",_xlfn.XLOOKUP(AE418,Sheet1!$F:$F,Sheet1!$W:$W))+1))&amp;AE418,"NOT FOUND"),LEFT(J418,FIND("-",J418,FIND("-",J418)+1))&amp;AE418))</f>
        <v>KRTS-APSU26-RETKRTSFUT4331</v>
      </c>
    </row>
    <row r="419" spans="1:34" ht="15.75" customHeight="1" x14ac:dyDescent="0.2">
      <c r="A419" s="4" t="s">
        <v>30</v>
      </c>
      <c r="B419" s="4" t="s">
        <v>616</v>
      </c>
      <c r="C419" s="4" t="s">
        <v>597</v>
      </c>
      <c r="D419" s="4" t="s">
        <v>598</v>
      </c>
      <c r="E419" s="4" t="s">
        <v>34</v>
      </c>
      <c r="F419" s="4" t="s">
        <v>35</v>
      </c>
      <c r="G419" s="4" t="s">
        <v>55</v>
      </c>
      <c r="H419" s="4" t="s">
        <v>625</v>
      </c>
      <c r="I419" s="4" t="s">
        <v>626</v>
      </c>
      <c r="J419" s="4" t="s">
        <v>613</v>
      </c>
      <c r="L419" s="4" t="s">
        <v>40</v>
      </c>
      <c r="M419" s="4">
        <v>1</v>
      </c>
      <c r="N419" s="4">
        <v>56</v>
      </c>
      <c r="O419" s="4">
        <v>56</v>
      </c>
      <c r="P419" s="4" t="s">
        <v>41</v>
      </c>
      <c r="Q419" s="4">
        <v>264.3</v>
      </c>
      <c r="R419" s="4">
        <v>264.3</v>
      </c>
      <c r="S419" s="4">
        <v>740.04</v>
      </c>
      <c r="T419" s="4">
        <v>14800.8</v>
      </c>
      <c r="U419" s="4">
        <v>5</v>
      </c>
      <c r="V419" s="4" t="s">
        <v>42</v>
      </c>
      <c r="X419" s="7" t="str">
        <f t="shared" si="15"/>
        <v>441857192</v>
      </c>
      <c r="Y419" s="8" t="str">
        <f t="shared" si="16"/>
        <v>DC</v>
      </c>
      <c r="Z419" s="8">
        <f t="shared" si="17"/>
        <v>0</v>
      </c>
      <c r="AA419" s="8">
        <f t="shared" si="18"/>
        <v>0</v>
      </c>
      <c r="AB419" s="8">
        <f t="shared" si="19"/>
        <v>0</v>
      </c>
      <c r="AC419" s="8">
        <f t="shared" si="20"/>
        <v>0</v>
      </c>
      <c r="AD419" s="8">
        <f t="shared" si="21"/>
        <v>56</v>
      </c>
      <c r="AE419" s="9" t="str" cm="1">
        <f t="array" ref="AE419">IFERROR(_xlfn.XLOOKUP(H419,Sheet1!$G:$G,Sheet1!$F:$F),IFERROR(_xlfn.XLOOKUP(1,(--($X$2:$X$1074=X419))*(--ISNUMBER(MATCH($H$2:$H$1074,Sheet1!$G:$G,0))),_xlfn.XLOOKUP($H$2:$H$1074,Sheet1!$G:$G,Sheet1!$F:$F,"")),"NOT FOUND"))</f>
        <v>RETKRTSFUT4331</v>
      </c>
      <c r="AF419" s="10" t="str">
        <f t="shared" si="26"/>
        <v>LIME GREEN</v>
      </c>
      <c r="AG419" s="11" t="str">
        <f t="shared" si="27"/>
        <v>Bangalore</v>
      </c>
      <c r="AH419" s="9" t="str">
        <f>IF(OR(J419="",AE419="",AE419="NOT FOUND"),"",IF(Y419="RP",IFERROR(LEFT(_xlfn.XLOOKUP(AE419,Sheet1!$F:$F,Sheet1!$W:$W),FIND("-",_xlfn.XLOOKUP(AE419,Sheet1!$F:$F,Sheet1!$W:$W),FIND("-",_xlfn.XLOOKUP(AE419,Sheet1!$F:$F,Sheet1!$W:$W))+1))&amp;AE419,"NOT FOUND"),LEFT(J419,FIND("-",J419,FIND("-",J419)+1))&amp;AE419))</f>
        <v>KRTS-APSU26-RETKRTSFUT4331</v>
      </c>
    </row>
    <row r="420" spans="1:34" ht="15.75" customHeight="1" x14ac:dyDescent="0.2">
      <c r="A420" s="4" t="s">
        <v>30</v>
      </c>
      <c r="B420" s="4" t="s">
        <v>627</v>
      </c>
      <c r="C420" s="4" t="s">
        <v>597</v>
      </c>
      <c r="D420" s="4" t="s">
        <v>598</v>
      </c>
      <c r="E420" s="4" t="s">
        <v>34</v>
      </c>
      <c r="F420" s="4" t="s">
        <v>35</v>
      </c>
      <c r="G420" s="4" t="s">
        <v>36</v>
      </c>
      <c r="H420" s="4" t="s">
        <v>628</v>
      </c>
      <c r="I420" s="4" t="s">
        <v>629</v>
      </c>
      <c r="J420" s="4" t="s">
        <v>630</v>
      </c>
      <c r="L420" s="4" t="s">
        <v>40</v>
      </c>
      <c r="M420" s="4">
        <v>1</v>
      </c>
      <c r="N420" s="4">
        <v>30</v>
      </c>
      <c r="O420" s="4">
        <v>30</v>
      </c>
      <c r="P420" s="4" t="s">
        <v>41</v>
      </c>
      <c r="Q420" s="4">
        <v>269.3</v>
      </c>
      <c r="R420" s="4">
        <v>269.3</v>
      </c>
      <c r="S420" s="4">
        <v>403.95</v>
      </c>
      <c r="T420" s="4">
        <v>8079</v>
      </c>
      <c r="U420" s="4">
        <v>5</v>
      </c>
      <c r="V420" s="4" t="s">
        <v>42</v>
      </c>
      <c r="X420" s="7" t="str">
        <f t="shared" si="15"/>
        <v>441857191</v>
      </c>
      <c r="Y420" s="8" t="str">
        <f t="shared" si="16"/>
        <v>DC</v>
      </c>
      <c r="Z420" s="8">
        <f t="shared" si="17"/>
        <v>30</v>
      </c>
      <c r="AA420" s="8">
        <f t="shared" si="18"/>
        <v>0</v>
      </c>
      <c r="AB420" s="8">
        <f t="shared" si="19"/>
        <v>0</v>
      </c>
      <c r="AC420" s="8">
        <f t="shared" si="20"/>
        <v>0</v>
      </c>
      <c r="AD420" s="8">
        <f t="shared" si="21"/>
        <v>0</v>
      </c>
      <c r="AE420" s="9" t="str" cm="1">
        <f t="array" ref="AE420">IFERROR(_xlfn.XLOOKUP(H420,Sheet1!$G:$G,Sheet1!$F:$F),IFERROR(_xlfn.XLOOKUP(1,(--($X$2:$X$1074=X420))*(--ISNUMBER(MATCH($H$2:$H$1074,Sheet1!$G:$G,0))),_xlfn.XLOOKUP($H$2:$H$1074,Sheet1!$G:$G,Sheet1!$F:$F,"")),"NOT FOUND"))</f>
        <v>RETKRTSFUT4330</v>
      </c>
      <c r="AF420" s="10" t="str">
        <f t="shared" si="26"/>
        <v>MAGENTA</v>
      </c>
      <c r="AG420" s="11" t="str">
        <f t="shared" si="27"/>
        <v>Bangalore</v>
      </c>
      <c r="AH420" s="9" t="str">
        <f>IF(OR(J420="",AE420="",AE420="NOT FOUND"),"",IF(Y420="RP",IFERROR(LEFT(_xlfn.XLOOKUP(AE420,Sheet1!$F:$F,Sheet1!$W:$W),FIND("-",_xlfn.XLOOKUP(AE420,Sheet1!$F:$F,Sheet1!$W:$W),FIND("-",_xlfn.XLOOKUP(AE420,Sheet1!$F:$F,Sheet1!$W:$W))+1))&amp;AE420,"NOT FOUND"),LEFT(J420,FIND("-",J420,FIND("-",J420)+1))&amp;AE420))</f>
        <v>KRTS-APSU26-RETKRTSFUT4330</v>
      </c>
    </row>
    <row r="421" spans="1:34" ht="15.75" customHeight="1" x14ac:dyDescent="0.2">
      <c r="A421" s="4" t="s">
        <v>30</v>
      </c>
      <c r="B421" s="4" t="s">
        <v>627</v>
      </c>
      <c r="C421" s="4" t="s">
        <v>597</v>
      </c>
      <c r="D421" s="4" t="s">
        <v>598</v>
      </c>
      <c r="E421" s="4" t="s">
        <v>34</v>
      </c>
      <c r="F421" s="4" t="s">
        <v>35</v>
      </c>
      <c r="G421" s="4" t="s">
        <v>43</v>
      </c>
      <c r="H421" s="4" t="s">
        <v>631</v>
      </c>
      <c r="I421" s="4" t="s">
        <v>632</v>
      </c>
      <c r="J421" s="4" t="s">
        <v>633</v>
      </c>
      <c r="L421" s="4" t="s">
        <v>40</v>
      </c>
      <c r="M421" s="4">
        <v>1</v>
      </c>
      <c r="N421" s="4">
        <v>222</v>
      </c>
      <c r="O421" s="4">
        <v>222</v>
      </c>
      <c r="P421" s="4" t="s">
        <v>41</v>
      </c>
      <c r="Q421" s="4">
        <v>269.3</v>
      </c>
      <c r="R421" s="4">
        <v>269.3</v>
      </c>
      <c r="S421" s="4">
        <v>2989.23</v>
      </c>
      <c r="T421" s="4">
        <v>59784.6</v>
      </c>
      <c r="U421" s="4">
        <v>5</v>
      </c>
      <c r="V421" s="4" t="s">
        <v>42</v>
      </c>
      <c r="X421" s="7" t="str">
        <f t="shared" si="15"/>
        <v>441857191</v>
      </c>
      <c r="Y421" s="8" t="str">
        <f t="shared" si="16"/>
        <v>DC</v>
      </c>
      <c r="Z421" s="8">
        <f t="shared" si="17"/>
        <v>0</v>
      </c>
      <c r="AA421" s="8">
        <f t="shared" si="18"/>
        <v>222</v>
      </c>
      <c r="AB421" s="8">
        <f t="shared" si="19"/>
        <v>0</v>
      </c>
      <c r="AC421" s="8">
        <f t="shared" si="20"/>
        <v>0</v>
      </c>
      <c r="AD421" s="8">
        <f t="shared" si="21"/>
        <v>0</v>
      </c>
      <c r="AE421" s="9" t="str" cm="1">
        <f t="array" ref="AE421">IFERROR(_xlfn.XLOOKUP(H421,Sheet1!$G:$G,Sheet1!$F:$F),IFERROR(_xlfn.XLOOKUP(1,(--($X$2:$X$1074=X421))*(--ISNUMBER(MATCH($H$2:$H$1074,Sheet1!$G:$G,0))),_xlfn.XLOOKUP($H$2:$H$1074,Sheet1!$G:$G,Sheet1!$F:$F,"")),"NOT FOUND"))</f>
        <v>RETKRTSFUT4330</v>
      </c>
      <c r="AF421" s="10" t="str">
        <f t="shared" si="26"/>
        <v>MAGENTA</v>
      </c>
      <c r="AG421" s="11" t="str">
        <f t="shared" si="27"/>
        <v>Bangalore</v>
      </c>
      <c r="AH421" s="9" t="str">
        <f>IF(OR(J421="",AE421="",AE421="NOT FOUND"),"",IF(Y421="RP",IFERROR(LEFT(_xlfn.XLOOKUP(AE421,Sheet1!$F:$F,Sheet1!$W:$W),FIND("-",_xlfn.XLOOKUP(AE421,Sheet1!$F:$F,Sheet1!$W:$W),FIND("-",_xlfn.XLOOKUP(AE421,Sheet1!$F:$F,Sheet1!$W:$W))+1))&amp;AE421,"NOT FOUND"),LEFT(J421,FIND("-",J421,FIND("-",J421)+1))&amp;AE421))</f>
        <v>KRTS-APSU26-RETKRTSFUT4330</v>
      </c>
    </row>
    <row r="422" spans="1:34" ht="15.75" customHeight="1" x14ac:dyDescent="0.2">
      <c r="A422" s="4" t="s">
        <v>30</v>
      </c>
      <c r="B422" s="4" t="s">
        <v>627</v>
      </c>
      <c r="C422" s="4" t="s">
        <v>597</v>
      </c>
      <c r="D422" s="4" t="s">
        <v>598</v>
      </c>
      <c r="E422" s="4" t="s">
        <v>34</v>
      </c>
      <c r="F422" s="4" t="s">
        <v>35</v>
      </c>
      <c r="G422" s="4" t="s">
        <v>47</v>
      </c>
      <c r="H422" s="4" t="s">
        <v>634</v>
      </c>
      <c r="I422" s="4" t="s">
        <v>635</v>
      </c>
      <c r="J422" s="4" t="s">
        <v>636</v>
      </c>
      <c r="L422" s="4" t="s">
        <v>40</v>
      </c>
      <c r="M422" s="4">
        <v>1</v>
      </c>
      <c r="N422" s="4">
        <v>250</v>
      </c>
      <c r="O422" s="4">
        <v>250</v>
      </c>
      <c r="P422" s="4" t="s">
        <v>41</v>
      </c>
      <c r="Q422" s="4">
        <v>269.3</v>
      </c>
      <c r="R422" s="4">
        <v>269.3</v>
      </c>
      <c r="S422" s="4">
        <v>3366.25</v>
      </c>
      <c r="T422" s="4">
        <v>67325</v>
      </c>
      <c r="U422" s="4">
        <v>5</v>
      </c>
      <c r="V422" s="4" t="s">
        <v>42</v>
      </c>
      <c r="X422" s="7" t="str">
        <f t="shared" si="15"/>
        <v>441857191</v>
      </c>
      <c r="Y422" s="8" t="str">
        <f t="shared" si="16"/>
        <v>DC</v>
      </c>
      <c r="Z422" s="8">
        <f t="shared" si="17"/>
        <v>0</v>
      </c>
      <c r="AA422" s="8">
        <f t="shared" si="18"/>
        <v>0</v>
      </c>
      <c r="AB422" s="8">
        <f t="shared" si="19"/>
        <v>250</v>
      </c>
      <c r="AC422" s="8">
        <f t="shared" si="20"/>
        <v>0</v>
      </c>
      <c r="AD422" s="8">
        <f t="shared" si="21"/>
        <v>0</v>
      </c>
      <c r="AE422" s="9" t="str" cm="1">
        <f t="array" ref="AE422">IFERROR(_xlfn.XLOOKUP(H422,Sheet1!$G:$G,Sheet1!$F:$F),IFERROR(_xlfn.XLOOKUP(1,(--($X$2:$X$1074=X422))*(--ISNUMBER(MATCH($H$2:$H$1074,Sheet1!$G:$G,0))),_xlfn.XLOOKUP($H$2:$H$1074,Sheet1!$G:$G,Sheet1!$F:$F,"")),"NOT FOUND"))</f>
        <v>RETKRTSFUT4330</v>
      </c>
      <c r="AF422" s="10" t="str">
        <f t="shared" si="26"/>
        <v>MAGENTA</v>
      </c>
      <c r="AG422" s="11" t="str">
        <f t="shared" si="27"/>
        <v>Bangalore</v>
      </c>
      <c r="AH422" s="9" t="str">
        <f>IF(OR(J422="",AE422="",AE422="NOT FOUND"),"",IF(Y422="RP",IFERROR(LEFT(_xlfn.XLOOKUP(AE422,Sheet1!$F:$F,Sheet1!$W:$W),FIND("-",_xlfn.XLOOKUP(AE422,Sheet1!$F:$F,Sheet1!$W:$W),FIND("-",_xlfn.XLOOKUP(AE422,Sheet1!$F:$F,Sheet1!$W:$W))+1))&amp;AE422,"NOT FOUND"),LEFT(J422,FIND("-",J422,FIND("-",J422)+1))&amp;AE422))</f>
        <v>KRTS-APSU26-RETKRTSFUT4330</v>
      </c>
    </row>
    <row r="423" spans="1:34" ht="15.75" customHeight="1" x14ac:dyDescent="0.2">
      <c r="A423" s="4" t="s">
        <v>30</v>
      </c>
      <c r="B423" s="4" t="s">
        <v>627</v>
      </c>
      <c r="C423" s="4" t="s">
        <v>597</v>
      </c>
      <c r="D423" s="4" t="s">
        <v>598</v>
      </c>
      <c r="E423" s="4" t="s">
        <v>34</v>
      </c>
      <c r="F423" s="4" t="s">
        <v>35</v>
      </c>
      <c r="G423" s="4" t="s">
        <v>51</v>
      </c>
      <c r="H423" s="4" t="s">
        <v>637</v>
      </c>
      <c r="I423" s="4" t="s">
        <v>638</v>
      </c>
      <c r="J423" s="4" t="s">
        <v>639</v>
      </c>
      <c r="L423" s="4" t="s">
        <v>40</v>
      </c>
      <c r="M423" s="4">
        <v>1</v>
      </c>
      <c r="N423" s="4">
        <v>292</v>
      </c>
      <c r="O423" s="4">
        <v>292</v>
      </c>
      <c r="P423" s="4" t="s">
        <v>41</v>
      </c>
      <c r="Q423" s="4">
        <v>269.3</v>
      </c>
      <c r="R423" s="4">
        <v>269.3</v>
      </c>
      <c r="S423" s="4">
        <v>3931.78</v>
      </c>
      <c r="T423" s="4">
        <v>78635.600000000006</v>
      </c>
      <c r="U423" s="4">
        <v>5</v>
      </c>
      <c r="V423" s="4" t="s">
        <v>42</v>
      </c>
      <c r="X423" s="7" t="str">
        <f t="shared" si="15"/>
        <v>441857191</v>
      </c>
      <c r="Y423" s="8" t="str">
        <f t="shared" si="16"/>
        <v>DC</v>
      </c>
      <c r="Z423" s="8">
        <f t="shared" si="17"/>
        <v>0</v>
      </c>
      <c r="AA423" s="8">
        <f t="shared" si="18"/>
        <v>0</v>
      </c>
      <c r="AB423" s="8">
        <f t="shared" si="19"/>
        <v>0</v>
      </c>
      <c r="AC423" s="8">
        <f t="shared" si="20"/>
        <v>292</v>
      </c>
      <c r="AD423" s="8">
        <f t="shared" si="21"/>
        <v>0</v>
      </c>
      <c r="AE423" s="9" t="str" cm="1">
        <f t="array" ref="AE423">IFERROR(_xlfn.XLOOKUP(H423,Sheet1!$G:$G,Sheet1!$F:$F),IFERROR(_xlfn.XLOOKUP(1,(--($X$2:$X$1074=X423))*(--ISNUMBER(MATCH($H$2:$H$1074,Sheet1!$G:$G,0))),_xlfn.XLOOKUP($H$2:$H$1074,Sheet1!$G:$G,Sheet1!$F:$F,"")),"NOT FOUND"))</f>
        <v>RETKRTSFUT4330</v>
      </c>
      <c r="AF423" s="10" t="str">
        <f t="shared" si="26"/>
        <v>MAGENTA</v>
      </c>
      <c r="AG423" s="11" t="str">
        <f t="shared" si="27"/>
        <v>Bangalore</v>
      </c>
      <c r="AH423" s="9" t="str">
        <f>IF(OR(J423="",AE423="",AE423="NOT FOUND"),"",IF(Y423="RP",IFERROR(LEFT(_xlfn.XLOOKUP(AE423,Sheet1!$F:$F,Sheet1!$W:$W),FIND("-",_xlfn.XLOOKUP(AE423,Sheet1!$F:$F,Sheet1!$W:$W),FIND("-",_xlfn.XLOOKUP(AE423,Sheet1!$F:$F,Sheet1!$W:$W))+1))&amp;AE423,"NOT FOUND"),LEFT(J423,FIND("-",J423,FIND("-",J423)+1))&amp;AE423))</f>
        <v>KRTS-APSU26-RETKRTSFUT4330</v>
      </c>
    </row>
    <row r="424" spans="1:34" ht="15.75" customHeight="1" x14ac:dyDescent="0.2">
      <c r="A424" s="4" t="s">
        <v>30</v>
      </c>
      <c r="B424" s="4" t="s">
        <v>627</v>
      </c>
      <c r="C424" s="4" t="s">
        <v>597</v>
      </c>
      <c r="D424" s="4" t="s">
        <v>598</v>
      </c>
      <c r="E424" s="4" t="s">
        <v>34</v>
      </c>
      <c r="F424" s="4" t="s">
        <v>35</v>
      </c>
      <c r="G424" s="4" t="s">
        <v>55</v>
      </c>
      <c r="H424" s="4" t="s">
        <v>640</v>
      </c>
      <c r="I424" s="4" t="s">
        <v>641</v>
      </c>
      <c r="J424" s="4" t="s">
        <v>642</v>
      </c>
      <c r="L424" s="4" t="s">
        <v>40</v>
      </c>
      <c r="M424" s="4">
        <v>1</v>
      </c>
      <c r="N424" s="4">
        <v>56</v>
      </c>
      <c r="O424" s="4">
        <v>56</v>
      </c>
      <c r="P424" s="4" t="s">
        <v>41</v>
      </c>
      <c r="Q424" s="4">
        <v>269.3</v>
      </c>
      <c r="R424" s="4">
        <v>269.3</v>
      </c>
      <c r="S424" s="4">
        <v>754.04</v>
      </c>
      <c r="T424" s="4">
        <v>15080.8</v>
      </c>
      <c r="U424" s="4">
        <v>5</v>
      </c>
      <c r="V424" s="4" t="s">
        <v>42</v>
      </c>
      <c r="X424" s="7" t="str">
        <f t="shared" si="15"/>
        <v>441857191</v>
      </c>
      <c r="Y424" s="8" t="str">
        <f t="shared" si="16"/>
        <v>DC</v>
      </c>
      <c r="Z424" s="8">
        <f t="shared" si="17"/>
        <v>0</v>
      </c>
      <c r="AA424" s="8">
        <f t="shared" si="18"/>
        <v>0</v>
      </c>
      <c r="AB424" s="8">
        <f t="shared" si="19"/>
        <v>0</v>
      </c>
      <c r="AC424" s="8">
        <f t="shared" si="20"/>
        <v>0</v>
      </c>
      <c r="AD424" s="8">
        <f t="shared" si="21"/>
        <v>56</v>
      </c>
      <c r="AE424" s="9" t="str" cm="1">
        <f t="array" ref="AE424">IFERROR(_xlfn.XLOOKUP(H424,Sheet1!$G:$G,Sheet1!$F:$F),IFERROR(_xlfn.XLOOKUP(1,(--($X$2:$X$1074=X424))*(--ISNUMBER(MATCH($H$2:$H$1074,Sheet1!$G:$G,0))),_xlfn.XLOOKUP($H$2:$H$1074,Sheet1!$G:$G,Sheet1!$F:$F,"")),"NOT FOUND"))</f>
        <v>RETKRTSFUT4330</v>
      </c>
      <c r="AF424" s="10" t="str">
        <f t="shared" si="26"/>
        <v>MAGENTA</v>
      </c>
      <c r="AG424" s="11" t="str">
        <f t="shared" si="27"/>
        <v>Bangalore</v>
      </c>
      <c r="AH424" s="9" t="str">
        <f>IF(OR(J424="",AE424="",AE424="NOT FOUND"),"",IF(Y424="RP",IFERROR(LEFT(_xlfn.XLOOKUP(AE424,Sheet1!$F:$F,Sheet1!$W:$W),FIND("-",_xlfn.XLOOKUP(AE424,Sheet1!$F:$F,Sheet1!$W:$W),FIND("-",_xlfn.XLOOKUP(AE424,Sheet1!$F:$F,Sheet1!$W:$W))+1))&amp;AE424,"NOT FOUND"),LEFT(J424,FIND("-",J424,FIND("-",J424)+1))&amp;AE424))</f>
        <v>KRTS-APSU26-RETKRTSFUT4330</v>
      </c>
    </row>
    <row r="425" spans="1:34" ht="15.75" customHeight="1" x14ac:dyDescent="0.2">
      <c r="A425" s="4" t="s">
        <v>30</v>
      </c>
      <c r="B425" s="4" t="s">
        <v>643</v>
      </c>
      <c r="C425" s="4" t="s">
        <v>597</v>
      </c>
      <c r="D425" s="4" t="s">
        <v>598</v>
      </c>
      <c r="E425" s="4" t="s">
        <v>34</v>
      </c>
      <c r="F425" s="4" t="s">
        <v>35</v>
      </c>
      <c r="G425" s="4" t="s">
        <v>36</v>
      </c>
      <c r="H425" s="4" t="s">
        <v>644</v>
      </c>
      <c r="I425" s="4" t="s">
        <v>645</v>
      </c>
      <c r="J425" s="4" t="s">
        <v>646</v>
      </c>
      <c r="L425" s="4" t="s">
        <v>40</v>
      </c>
      <c r="M425" s="4">
        <v>1</v>
      </c>
      <c r="N425" s="4">
        <v>30</v>
      </c>
      <c r="O425" s="4">
        <v>30</v>
      </c>
      <c r="P425" s="4" t="s">
        <v>41</v>
      </c>
      <c r="Q425" s="4">
        <v>279.3</v>
      </c>
      <c r="R425" s="4">
        <v>279.3</v>
      </c>
      <c r="S425" s="4">
        <v>418.95</v>
      </c>
      <c r="T425" s="4">
        <v>8379</v>
      </c>
      <c r="U425" s="4">
        <v>5</v>
      </c>
      <c r="V425" s="4" t="s">
        <v>42</v>
      </c>
      <c r="X425" s="7" t="str">
        <f t="shared" si="15"/>
        <v>441857190</v>
      </c>
      <c r="Y425" s="8" t="str">
        <f t="shared" si="16"/>
        <v>DC</v>
      </c>
      <c r="Z425" s="8">
        <f t="shared" si="17"/>
        <v>30</v>
      </c>
      <c r="AA425" s="8">
        <f t="shared" si="18"/>
        <v>0</v>
      </c>
      <c r="AB425" s="8">
        <f t="shared" si="19"/>
        <v>0</v>
      </c>
      <c r="AC425" s="8">
        <f t="shared" si="20"/>
        <v>0</v>
      </c>
      <c r="AD425" s="8">
        <f t="shared" si="21"/>
        <v>0</v>
      </c>
      <c r="AE425" s="9" t="str" cm="1">
        <f t="array" ref="AE425">IFERROR(_xlfn.XLOOKUP(H425,Sheet1!$G:$G,Sheet1!$F:$F),IFERROR(_xlfn.XLOOKUP(1,(--($X$2:$X$1074=X425))*(--ISNUMBER(MATCH($H$2:$H$1074,Sheet1!$G:$G,0))),_xlfn.XLOOKUP($H$2:$H$1074,Sheet1!$G:$G,Sheet1!$F:$F,"")),"NOT FOUND"))</f>
        <v>RETKRTSFUT4329</v>
      </c>
      <c r="AF425" s="10" t="str">
        <f t="shared" si="26"/>
        <v>GREEN</v>
      </c>
      <c r="AG425" s="11" t="str">
        <f t="shared" si="27"/>
        <v>Bangalore</v>
      </c>
      <c r="AH425" s="9" t="str">
        <f>IF(OR(J425="",AE425="",AE425="NOT FOUND"),"",IF(Y425="RP",IFERROR(LEFT(_xlfn.XLOOKUP(AE425,Sheet1!$F:$F,Sheet1!$W:$W),FIND("-",_xlfn.XLOOKUP(AE425,Sheet1!$F:$F,Sheet1!$W:$W),FIND("-",_xlfn.XLOOKUP(AE425,Sheet1!$F:$F,Sheet1!$W:$W))+1))&amp;AE425,"NOT FOUND"),LEFT(J425,FIND("-",J425,FIND("-",J425)+1))&amp;AE425))</f>
        <v>KRTS-APSU26-RETKRTSFUT4329</v>
      </c>
    </row>
    <row r="426" spans="1:34" ht="15.75" customHeight="1" x14ac:dyDescent="0.2">
      <c r="A426" s="4" t="s">
        <v>30</v>
      </c>
      <c r="B426" s="4" t="s">
        <v>643</v>
      </c>
      <c r="C426" s="4" t="s">
        <v>597</v>
      </c>
      <c r="D426" s="4" t="s">
        <v>598</v>
      </c>
      <c r="E426" s="4" t="s">
        <v>34</v>
      </c>
      <c r="F426" s="4" t="s">
        <v>35</v>
      </c>
      <c r="G426" s="4" t="s">
        <v>43</v>
      </c>
      <c r="H426" s="4" t="s">
        <v>647</v>
      </c>
      <c r="I426" s="4" t="s">
        <v>648</v>
      </c>
      <c r="J426" s="4" t="s">
        <v>649</v>
      </c>
      <c r="L426" s="4" t="s">
        <v>40</v>
      </c>
      <c r="M426" s="4">
        <v>1</v>
      </c>
      <c r="N426" s="4">
        <v>222</v>
      </c>
      <c r="O426" s="4">
        <v>222</v>
      </c>
      <c r="P426" s="4" t="s">
        <v>41</v>
      </c>
      <c r="Q426" s="4">
        <v>279.3</v>
      </c>
      <c r="R426" s="4">
        <v>279.3</v>
      </c>
      <c r="S426" s="4">
        <v>3100.23</v>
      </c>
      <c r="T426" s="4">
        <v>62004.6</v>
      </c>
      <c r="U426" s="4">
        <v>5</v>
      </c>
      <c r="V426" s="4" t="s">
        <v>42</v>
      </c>
      <c r="X426" s="7" t="str">
        <f t="shared" si="15"/>
        <v>441857190</v>
      </c>
      <c r="Y426" s="8" t="str">
        <f t="shared" si="16"/>
        <v>DC</v>
      </c>
      <c r="Z426" s="8">
        <f t="shared" si="17"/>
        <v>0</v>
      </c>
      <c r="AA426" s="8">
        <f t="shared" si="18"/>
        <v>222</v>
      </c>
      <c r="AB426" s="8">
        <f t="shared" si="19"/>
        <v>0</v>
      </c>
      <c r="AC426" s="8">
        <f t="shared" si="20"/>
        <v>0</v>
      </c>
      <c r="AD426" s="8">
        <f t="shared" si="21"/>
        <v>0</v>
      </c>
      <c r="AE426" s="9" t="str" cm="1">
        <f t="array" ref="AE426">IFERROR(_xlfn.XLOOKUP(H426,Sheet1!$G:$G,Sheet1!$F:$F),IFERROR(_xlfn.XLOOKUP(1,(--($X$2:$X$1074=X426))*(--ISNUMBER(MATCH($H$2:$H$1074,Sheet1!$G:$G,0))),_xlfn.XLOOKUP($H$2:$H$1074,Sheet1!$G:$G,Sheet1!$F:$F,"")),"NOT FOUND"))</f>
        <v>RETKRTSFUT4329</v>
      </c>
      <c r="AF426" s="10" t="str">
        <f t="shared" si="26"/>
        <v>GREEN</v>
      </c>
      <c r="AG426" s="11" t="str">
        <f t="shared" si="27"/>
        <v>Bangalore</v>
      </c>
      <c r="AH426" s="9" t="str">
        <f>IF(OR(J426="",AE426="",AE426="NOT FOUND"),"",IF(Y426="RP",IFERROR(LEFT(_xlfn.XLOOKUP(AE426,Sheet1!$F:$F,Sheet1!$W:$W),FIND("-",_xlfn.XLOOKUP(AE426,Sheet1!$F:$F,Sheet1!$W:$W),FIND("-",_xlfn.XLOOKUP(AE426,Sheet1!$F:$F,Sheet1!$W:$W))+1))&amp;AE426,"NOT FOUND"),LEFT(J426,FIND("-",J426,FIND("-",J426)+1))&amp;AE426))</f>
        <v>KRTS-APSU26-RETKRTSFUT4329</v>
      </c>
    </row>
    <row r="427" spans="1:34" ht="15.75" customHeight="1" x14ac:dyDescent="0.2">
      <c r="A427" s="4" t="s">
        <v>30</v>
      </c>
      <c r="B427" s="4" t="s">
        <v>643</v>
      </c>
      <c r="C427" s="4" t="s">
        <v>597</v>
      </c>
      <c r="D427" s="4" t="s">
        <v>598</v>
      </c>
      <c r="E427" s="4" t="s">
        <v>34</v>
      </c>
      <c r="F427" s="4" t="s">
        <v>35</v>
      </c>
      <c r="G427" s="4" t="s">
        <v>47</v>
      </c>
      <c r="H427" s="4" t="s">
        <v>650</v>
      </c>
      <c r="I427" s="4" t="s">
        <v>651</v>
      </c>
      <c r="J427" s="4" t="s">
        <v>652</v>
      </c>
      <c r="L427" s="4" t="s">
        <v>40</v>
      </c>
      <c r="M427" s="4">
        <v>1</v>
      </c>
      <c r="N427" s="4">
        <v>250</v>
      </c>
      <c r="O427" s="4">
        <v>250</v>
      </c>
      <c r="P427" s="4" t="s">
        <v>41</v>
      </c>
      <c r="Q427" s="4">
        <v>279.3</v>
      </c>
      <c r="R427" s="4">
        <v>279.3</v>
      </c>
      <c r="S427" s="4">
        <v>3491.25</v>
      </c>
      <c r="T427" s="4">
        <v>69825</v>
      </c>
      <c r="U427" s="4">
        <v>5</v>
      </c>
      <c r="V427" s="4" t="s">
        <v>42</v>
      </c>
      <c r="X427" s="7" t="str">
        <f t="shared" si="15"/>
        <v>441857190</v>
      </c>
      <c r="Y427" s="8" t="str">
        <f t="shared" si="16"/>
        <v>DC</v>
      </c>
      <c r="Z427" s="8">
        <f t="shared" si="17"/>
        <v>0</v>
      </c>
      <c r="AA427" s="8">
        <f t="shared" si="18"/>
        <v>0</v>
      </c>
      <c r="AB427" s="8">
        <f t="shared" si="19"/>
        <v>250</v>
      </c>
      <c r="AC427" s="8">
        <f t="shared" si="20"/>
        <v>0</v>
      </c>
      <c r="AD427" s="8">
        <f t="shared" si="21"/>
        <v>0</v>
      </c>
      <c r="AE427" s="9" t="str" cm="1">
        <f t="array" ref="AE427">IFERROR(_xlfn.XLOOKUP(H427,Sheet1!$G:$G,Sheet1!$F:$F),IFERROR(_xlfn.XLOOKUP(1,(--($X$2:$X$1074=X427))*(--ISNUMBER(MATCH($H$2:$H$1074,Sheet1!$G:$G,0))),_xlfn.XLOOKUP($H$2:$H$1074,Sheet1!$G:$G,Sheet1!$F:$F,"")),"NOT FOUND"))</f>
        <v>RETKRTSFUT4329</v>
      </c>
      <c r="AF427" s="10" t="str">
        <f t="shared" si="26"/>
        <v>GREEN</v>
      </c>
      <c r="AG427" s="11" t="str">
        <f t="shared" si="27"/>
        <v>Bangalore</v>
      </c>
      <c r="AH427" s="9" t="str">
        <f>IF(OR(J427="",AE427="",AE427="NOT FOUND"),"",IF(Y427="RP",IFERROR(LEFT(_xlfn.XLOOKUP(AE427,Sheet1!$F:$F,Sheet1!$W:$W),FIND("-",_xlfn.XLOOKUP(AE427,Sheet1!$F:$F,Sheet1!$W:$W),FIND("-",_xlfn.XLOOKUP(AE427,Sheet1!$F:$F,Sheet1!$W:$W))+1))&amp;AE427,"NOT FOUND"),LEFT(J427,FIND("-",J427,FIND("-",J427)+1))&amp;AE427))</f>
        <v>KRTS-APSU26-RETKRTSFUT4329</v>
      </c>
    </row>
    <row r="428" spans="1:34" ht="15.75" customHeight="1" x14ac:dyDescent="0.2">
      <c r="A428" s="4" t="s">
        <v>30</v>
      </c>
      <c r="B428" s="4" t="s">
        <v>643</v>
      </c>
      <c r="C428" s="4" t="s">
        <v>597</v>
      </c>
      <c r="D428" s="4" t="s">
        <v>598</v>
      </c>
      <c r="E428" s="4" t="s">
        <v>34</v>
      </c>
      <c r="F428" s="4" t="s">
        <v>35</v>
      </c>
      <c r="G428" s="4" t="s">
        <v>51</v>
      </c>
      <c r="H428" s="4" t="s">
        <v>653</v>
      </c>
      <c r="I428" s="4" t="s">
        <v>654</v>
      </c>
      <c r="J428" s="4" t="s">
        <v>655</v>
      </c>
      <c r="L428" s="4" t="s">
        <v>40</v>
      </c>
      <c r="M428" s="4">
        <v>1</v>
      </c>
      <c r="N428" s="4">
        <v>292</v>
      </c>
      <c r="O428" s="4">
        <v>292</v>
      </c>
      <c r="P428" s="4" t="s">
        <v>41</v>
      </c>
      <c r="Q428" s="4">
        <v>279.3</v>
      </c>
      <c r="R428" s="4">
        <v>279.3</v>
      </c>
      <c r="S428" s="4">
        <v>4077.78</v>
      </c>
      <c r="T428" s="4">
        <v>81555.600000000006</v>
      </c>
      <c r="U428" s="4">
        <v>5</v>
      </c>
      <c r="V428" s="4" t="s">
        <v>42</v>
      </c>
      <c r="X428" s="7" t="str">
        <f t="shared" si="15"/>
        <v>441857190</v>
      </c>
      <c r="Y428" s="8" t="str">
        <f t="shared" si="16"/>
        <v>DC</v>
      </c>
      <c r="Z428" s="8">
        <f t="shared" si="17"/>
        <v>0</v>
      </c>
      <c r="AA428" s="8">
        <f t="shared" si="18"/>
        <v>0</v>
      </c>
      <c r="AB428" s="8">
        <f t="shared" si="19"/>
        <v>0</v>
      </c>
      <c r="AC428" s="8">
        <f t="shared" si="20"/>
        <v>292</v>
      </c>
      <c r="AD428" s="8">
        <f t="shared" si="21"/>
        <v>0</v>
      </c>
      <c r="AE428" s="9" t="str" cm="1">
        <f t="array" ref="AE428">IFERROR(_xlfn.XLOOKUP(H428,Sheet1!$G:$G,Sheet1!$F:$F),IFERROR(_xlfn.XLOOKUP(1,(--($X$2:$X$1074=X428))*(--ISNUMBER(MATCH($H$2:$H$1074,Sheet1!$G:$G,0))),_xlfn.XLOOKUP($H$2:$H$1074,Sheet1!$G:$G,Sheet1!$F:$F,"")),"NOT FOUND"))</f>
        <v>RETKRTSFUT4329</v>
      </c>
      <c r="AF428" s="10" t="str">
        <f t="shared" si="26"/>
        <v>GREEN</v>
      </c>
      <c r="AG428" s="11" t="str">
        <f t="shared" si="27"/>
        <v>Bangalore</v>
      </c>
      <c r="AH428" s="9" t="str">
        <f>IF(OR(J428="",AE428="",AE428="NOT FOUND"),"",IF(Y428="RP",IFERROR(LEFT(_xlfn.XLOOKUP(AE428,Sheet1!$F:$F,Sheet1!$W:$W),FIND("-",_xlfn.XLOOKUP(AE428,Sheet1!$F:$F,Sheet1!$W:$W),FIND("-",_xlfn.XLOOKUP(AE428,Sheet1!$F:$F,Sheet1!$W:$W))+1))&amp;AE428,"NOT FOUND"),LEFT(J428,FIND("-",J428,FIND("-",J428)+1))&amp;AE428))</f>
        <v>KRTS-APSU26-RETKRTSFUT4329</v>
      </c>
    </row>
    <row r="429" spans="1:34" ht="15.75" customHeight="1" x14ac:dyDescent="0.2">
      <c r="A429" s="4" t="s">
        <v>30</v>
      </c>
      <c r="B429" s="4" t="s">
        <v>643</v>
      </c>
      <c r="C429" s="4" t="s">
        <v>597</v>
      </c>
      <c r="D429" s="4" t="s">
        <v>598</v>
      </c>
      <c r="E429" s="4" t="s">
        <v>34</v>
      </c>
      <c r="F429" s="4" t="s">
        <v>35</v>
      </c>
      <c r="G429" s="4" t="s">
        <v>55</v>
      </c>
      <c r="H429" s="4" t="s">
        <v>656</v>
      </c>
      <c r="I429" s="4" t="s">
        <v>657</v>
      </c>
      <c r="J429" s="4" t="s">
        <v>658</v>
      </c>
      <c r="L429" s="4" t="s">
        <v>40</v>
      </c>
      <c r="M429" s="4">
        <v>1</v>
      </c>
      <c r="N429" s="4">
        <v>56</v>
      </c>
      <c r="O429" s="4">
        <v>56</v>
      </c>
      <c r="P429" s="4" t="s">
        <v>41</v>
      </c>
      <c r="Q429" s="4">
        <v>279.3</v>
      </c>
      <c r="R429" s="4">
        <v>279.3</v>
      </c>
      <c r="S429" s="4">
        <v>782.04</v>
      </c>
      <c r="T429" s="4">
        <v>15640.8</v>
      </c>
      <c r="U429" s="4">
        <v>5</v>
      </c>
      <c r="V429" s="4" t="s">
        <v>42</v>
      </c>
      <c r="X429" s="7" t="str">
        <f t="shared" si="15"/>
        <v>441857190</v>
      </c>
      <c r="Y429" s="8" t="str">
        <f t="shared" si="16"/>
        <v>DC</v>
      </c>
      <c r="Z429" s="8">
        <f t="shared" si="17"/>
        <v>0</v>
      </c>
      <c r="AA429" s="8">
        <f t="shared" si="18"/>
        <v>0</v>
      </c>
      <c r="AB429" s="8">
        <f t="shared" si="19"/>
        <v>0</v>
      </c>
      <c r="AC429" s="8">
        <f t="shared" si="20"/>
        <v>0</v>
      </c>
      <c r="AD429" s="8">
        <f t="shared" si="21"/>
        <v>56</v>
      </c>
      <c r="AE429" s="9" t="str" cm="1">
        <f t="array" ref="AE429">IFERROR(_xlfn.XLOOKUP(H429,Sheet1!$G:$G,Sheet1!$F:$F),IFERROR(_xlfn.XLOOKUP(1,(--($X$2:$X$1074=X429))*(--ISNUMBER(MATCH($H$2:$H$1074,Sheet1!$G:$G,0))),_xlfn.XLOOKUP($H$2:$H$1074,Sheet1!$G:$G,Sheet1!$F:$F,"")),"NOT FOUND"))</f>
        <v>RETKRTSFUT4329</v>
      </c>
      <c r="AF429" s="10" t="str">
        <f t="shared" si="26"/>
        <v>GREEN</v>
      </c>
      <c r="AG429" s="11" t="str">
        <f t="shared" si="27"/>
        <v>Bangalore</v>
      </c>
      <c r="AH429" s="9" t="str">
        <f>IF(OR(J429="",AE429="",AE429="NOT FOUND"),"",IF(Y429="RP",IFERROR(LEFT(_xlfn.XLOOKUP(AE429,Sheet1!$F:$F,Sheet1!$W:$W),FIND("-",_xlfn.XLOOKUP(AE429,Sheet1!$F:$F,Sheet1!$W:$W),FIND("-",_xlfn.XLOOKUP(AE429,Sheet1!$F:$F,Sheet1!$W:$W))+1))&amp;AE429,"NOT FOUND"),LEFT(J429,FIND("-",J429,FIND("-",J429)+1))&amp;AE429))</f>
        <v>KRTS-APSU26-RETKRTSFUT4329</v>
      </c>
    </row>
    <row r="430" spans="1:34" ht="15.75" customHeight="1" x14ac:dyDescent="0.2">
      <c r="A430" s="4" t="s">
        <v>59</v>
      </c>
      <c r="B430" s="4" t="s">
        <v>659</v>
      </c>
      <c r="C430" s="4" t="s">
        <v>597</v>
      </c>
      <c r="D430" s="4" t="s">
        <v>598</v>
      </c>
      <c r="E430" s="4" t="s">
        <v>34</v>
      </c>
      <c r="F430" s="4" t="s">
        <v>35</v>
      </c>
      <c r="G430" s="4" t="s">
        <v>36</v>
      </c>
      <c r="H430" s="4" t="s">
        <v>617</v>
      </c>
      <c r="I430" s="4" t="s">
        <v>618</v>
      </c>
      <c r="J430" s="4" t="s">
        <v>601</v>
      </c>
      <c r="L430" s="4" t="s">
        <v>40</v>
      </c>
      <c r="M430" s="4">
        <v>1</v>
      </c>
      <c r="N430" s="4">
        <v>30</v>
      </c>
      <c r="O430" s="4">
        <v>30</v>
      </c>
      <c r="P430" s="4" t="s">
        <v>41</v>
      </c>
      <c r="Q430" s="4">
        <v>264.3</v>
      </c>
      <c r="R430" s="4">
        <v>264.3</v>
      </c>
      <c r="S430" s="4">
        <v>396.45</v>
      </c>
      <c r="T430" s="4">
        <v>7929</v>
      </c>
      <c r="U430" s="4">
        <v>5</v>
      </c>
      <c r="V430" s="4" t="s">
        <v>42</v>
      </c>
      <c r="X430" s="7" t="str">
        <f t="shared" si="15"/>
        <v>441857192</v>
      </c>
      <c r="Y430" s="8" t="str">
        <f t="shared" si="16"/>
        <v>DC</v>
      </c>
      <c r="Z430" s="8">
        <f t="shared" si="17"/>
        <v>30</v>
      </c>
      <c r="AA430" s="8">
        <f t="shared" si="18"/>
        <v>0</v>
      </c>
      <c r="AB430" s="8">
        <f t="shared" si="19"/>
        <v>0</v>
      </c>
      <c r="AC430" s="8">
        <f t="shared" si="20"/>
        <v>0</v>
      </c>
      <c r="AD430" s="8">
        <f t="shared" si="21"/>
        <v>0</v>
      </c>
      <c r="AE430" s="9" t="str" cm="1">
        <f t="array" ref="AE430">IFERROR(_xlfn.XLOOKUP(H430,Sheet1!$G:$G,Sheet1!$F:$F),IFERROR(_xlfn.XLOOKUP(1,(--($X$2:$X$1074=X430))*(--ISNUMBER(MATCH($H$2:$H$1074,Sheet1!$G:$G,0))),_xlfn.XLOOKUP($H$2:$H$1074,Sheet1!$G:$G,Sheet1!$F:$F,"")),"NOT FOUND"))</f>
        <v>RETKRTSFUT4331</v>
      </c>
      <c r="AF430" s="10" t="str">
        <f t="shared" si="26"/>
        <v>LIME GREEN</v>
      </c>
      <c r="AG430" s="11" t="str">
        <f t="shared" si="27"/>
        <v>JHAJJAR</v>
      </c>
      <c r="AH430" s="9" t="str">
        <f>IF(OR(J430="",AE430="",AE430="NOT FOUND"),"",IF(Y430="RP",IFERROR(LEFT(_xlfn.XLOOKUP(AE430,Sheet1!$F:$F,Sheet1!$W:$W),FIND("-",_xlfn.XLOOKUP(AE430,Sheet1!$F:$F,Sheet1!$W:$W),FIND("-",_xlfn.XLOOKUP(AE430,Sheet1!$F:$F,Sheet1!$W:$W))+1))&amp;AE430,"NOT FOUND"),LEFT(J430,FIND("-",J430,FIND("-",J430)+1))&amp;AE430))</f>
        <v>KRTS-APSU26-RETKRTSFUT4331</v>
      </c>
    </row>
    <row r="431" spans="1:34" ht="15.75" customHeight="1" x14ac:dyDescent="0.2">
      <c r="A431" s="4" t="s">
        <v>59</v>
      </c>
      <c r="B431" s="4" t="s">
        <v>659</v>
      </c>
      <c r="C431" s="4" t="s">
        <v>597</v>
      </c>
      <c r="D431" s="4" t="s">
        <v>598</v>
      </c>
      <c r="E431" s="4" t="s">
        <v>34</v>
      </c>
      <c r="F431" s="4" t="s">
        <v>35</v>
      </c>
      <c r="G431" s="4" t="s">
        <v>43</v>
      </c>
      <c r="H431" s="4" t="s">
        <v>619</v>
      </c>
      <c r="I431" s="4" t="s">
        <v>620</v>
      </c>
      <c r="J431" s="4" t="s">
        <v>604</v>
      </c>
      <c r="L431" s="4" t="s">
        <v>40</v>
      </c>
      <c r="M431" s="4">
        <v>1</v>
      </c>
      <c r="N431" s="4">
        <v>112</v>
      </c>
      <c r="O431" s="4">
        <v>112</v>
      </c>
      <c r="P431" s="4" t="s">
        <v>41</v>
      </c>
      <c r="Q431" s="4">
        <v>264.3</v>
      </c>
      <c r="R431" s="4">
        <v>264.3</v>
      </c>
      <c r="S431" s="4">
        <v>1480.08</v>
      </c>
      <c r="T431" s="4">
        <v>29601.599999999999</v>
      </c>
      <c r="U431" s="4">
        <v>5</v>
      </c>
      <c r="V431" s="4" t="s">
        <v>42</v>
      </c>
      <c r="X431" s="7" t="str">
        <f t="shared" si="15"/>
        <v>441857192</v>
      </c>
      <c r="Y431" s="8" t="str">
        <f t="shared" si="16"/>
        <v>DC</v>
      </c>
      <c r="Z431" s="8">
        <f t="shared" si="17"/>
        <v>0</v>
      </c>
      <c r="AA431" s="8">
        <f t="shared" si="18"/>
        <v>112</v>
      </c>
      <c r="AB431" s="8">
        <f t="shared" si="19"/>
        <v>0</v>
      </c>
      <c r="AC431" s="8">
        <f t="shared" si="20"/>
        <v>0</v>
      </c>
      <c r="AD431" s="8">
        <f t="shared" si="21"/>
        <v>0</v>
      </c>
      <c r="AE431" s="9" t="str" cm="1">
        <f t="array" ref="AE431">IFERROR(_xlfn.XLOOKUP(H431,Sheet1!$G:$G,Sheet1!$F:$F),IFERROR(_xlfn.XLOOKUP(1,(--($X$2:$X$1074=X431))*(--ISNUMBER(MATCH($H$2:$H$1074,Sheet1!$G:$G,0))),_xlfn.XLOOKUP($H$2:$H$1074,Sheet1!$G:$G,Sheet1!$F:$F,"")),"NOT FOUND"))</f>
        <v>RETKRTSFUT4331</v>
      </c>
      <c r="AF431" s="10" t="str">
        <f t="shared" si="26"/>
        <v>LIME GREEN</v>
      </c>
      <c r="AG431" s="11" t="str">
        <f t="shared" si="27"/>
        <v>JHAJJAR</v>
      </c>
      <c r="AH431" s="9" t="str">
        <f>IF(OR(J431="",AE431="",AE431="NOT FOUND"),"",IF(Y431="RP",IFERROR(LEFT(_xlfn.XLOOKUP(AE431,Sheet1!$F:$F,Sheet1!$W:$W),FIND("-",_xlfn.XLOOKUP(AE431,Sheet1!$F:$F,Sheet1!$W:$W),FIND("-",_xlfn.XLOOKUP(AE431,Sheet1!$F:$F,Sheet1!$W:$W))+1))&amp;AE431,"NOT FOUND"),LEFT(J431,FIND("-",J431,FIND("-",J431)+1))&amp;AE431))</f>
        <v>KRTS-APSU26-RETKRTSFUT4331</v>
      </c>
    </row>
    <row r="432" spans="1:34" ht="15.75" customHeight="1" x14ac:dyDescent="0.2">
      <c r="A432" s="4" t="s">
        <v>59</v>
      </c>
      <c r="B432" s="4" t="s">
        <v>659</v>
      </c>
      <c r="C432" s="4" t="s">
        <v>597</v>
      </c>
      <c r="D432" s="4" t="s">
        <v>598</v>
      </c>
      <c r="E432" s="4" t="s">
        <v>34</v>
      </c>
      <c r="F432" s="4" t="s">
        <v>35</v>
      </c>
      <c r="G432" s="4" t="s">
        <v>47</v>
      </c>
      <c r="H432" s="4" t="s">
        <v>621</v>
      </c>
      <c r="I432" s="4" t="s">
        <v>622</v>
      </c>
      <c r="J432" s="4" t="s">
        <v>607</v>
      </c>
      <c r="L432" s="4" t="s">
        <v>40</v>
      </c>
      <c r="M432" s="4">
        <v>1</v>
      </c>
      <c r="N432" s="4">
        <v>126</v>
      </c>
      <c r="O432" s="4">
        <v>126</v>
      </c>
      <c r="P432" s="4" t="s">
        <v>41</v>
      </c>
      <c r="Q432" s="4">
        <v>264.3</v>
      </c>
      <c r="R432" s="4">
        <v>264.3</v>
      </c>
      <c r="S432" s="4">
        <v>1665.09</v>
      </c>
      <c r="T432" s="4">
        <v>33301.800000000003</v>
      </c>
      <c r="U432" s="4">
        <v>5</v>
      </c>
      <c r="V432" s="4" t="s">
        <v>42</v>
      </c>
      <c r="X432" s="7" t="str">
        <f t="shared" si="15"/>
        <v>441857192</v>
      </c>
      <c r="Y432" s="8" t="str">
        <f t="shared" si="16"/>
        <v>DC</v>
      </c>
      <c r="Z432" s="8">
        <f t="shared" si="17"/>
        <v>0</v>
      </c>
      <c r="AA432" s="8">
        <f t="shared" si="18"/>
        <v>0</v>
      </c>
      <c r="AB432" s="8">
        <f t="shared" si="19"/>
        <v>126</v>
      </c>
      <c r="AC432" s="8">
        <f t="shared" si="20"/>
        <v>0</v>
      </c>
      <c r="AD432" s="8">
        <f t="shared" si="21"/>
        <v>0</v>
      </c>
      <c r="AE432" s="9" t="str" cm="1">
        <f t="array" ref="AE432">IFERROR(_xlfn.XLOOKUP(H432,Sheet1!$G:$G,Sheet1!$F:$F),IFERROR(_xlfn.XLOOKUP(1,(--($X$2:$X$1074=X432))*(--ISNUMBER(MATCH($H$2:$H$1074,Sheet1!$G:$G,0))),_xlfn.XLOOKUP($H$2:$H$1074,Sheet1!$G:$G,Sheet1!$F:$F,"")),"NOT FOUND"))</f>
        <v>RETKRTSFUT4331</v>
      </c>
      <c r="AF432" s="10" t="str">
        <f t="shared" si="26"/>
        <v>LIME GREEN</v>
      </c>
      <c r="AG432" s="11" t="str">
        <f t="shared" si="27"/>
        <v>JHAJJAR</v>
      </c>
      <c r="AH432" s="9" t="str">
        <f>IF(OR(J432="",AE432="",AE432="NOT FOUND"),"",IF(Y432="RP",IFERROR(LEFT(_xlfn.XLOOKUP(AE432,Sheet1!$F:$F,Sheet1!$W:$W),FIND("-",_xlfn.XLOOKUP(AE432,Sheet1!$F:$F,Sheet1!$W:$W),FIND("-",_xlfn.XLOOKUP(AE432,Sheet1!$F:$F,Sheet1!$W:$W))+1))&amp;AE432,"NOT FOUND"),LEFT(J432,FIND("-",J432,FIND("-",J432)+1))&amp;AE432))</f>
        <v>KRTS-APSU26-RETKRTSFUT4331</v>
      </c>
    </row>
    <row r="433" spans="1:34" ht="15.75" customHeight="1" x14ac:dyDescent="0.2">
      <c r="A433" s="4" t="s">
        <v>59</v>
      </c>
      <c r="B433" s="4" t="s">
        <v>659</v>
      </c>
      <c r="C433" s="4" t="s">
        <v>597</v>
      </c>
      <c r="D433" s="4" t="s">
        <v>598</v>
      </c>
      <c r="E433" s="4" t="s">
        <v>34</v>
      </c>
      <c r="F433" s="4" t="s">
        <v>35</v>
      </c>
      <c r="G433" s="4" t="s">
        <v>51</v>
      </c>
      <c r="H433" s="4" t="s">
        <v>623</v>
      </c>
      <c r="I433" s="4" t="s">
        <v>624</v>
      </c>
      <c r="J433" s="4" t="s">
        <v>610</v>
      </c>
      <c r="L433" s="4" t="s">
        <v>40</v>
      </c>
      <c r="M433" s="4">
        <v>1</v>
      </c>
      <c r="N433" s="4">
        <v>147</v>
      </c>
      <c r="O433" s="4">
        <v>147</v>
      </c>
      <c r="P433" s="4" t="s">
        <v>41</v>
      </c>
      <c r="Q433" s="4">
        <v>264.3</v>
      </c>
      <c r="R433" s="4">
        <v>264.3</v>
      </c>
      <c r="S433" s="4">
        <v>1942.61</v>
      </c>
      <c r="T433" s="4">
        <v>38852.1</v>
      </c>
      <c r="U433" s="4">
        <v>5</v>
      </c>
      <c r="V433" s="4" t="s">
        <v>42</v>
      </c>
      <c r="X433" s="7" t="str">
        <f t="shared" si="15"/>
        <v>441857192</v>
      </c>
      <c r="Y433" s="8" t="str">
        <f t="shared" si="16"/>
        <v>DC</v>
      </c>
      <c r="Z433" s="8">
        <f t="shared" si="17"/>
        <v>0</v>
      </c>
      <c r="AA433" s="8">
        <f t="shared" si="18"/>
        <v>0</v>
      </c>
      <c r="AB433" s="8">
        <f t="shared" si="19"/>
        <v>0</v>
      </c>
      <c r="AC433" s="8">
        <f t="shared" si="20"/>
        <v>147</v>
      </c>
      <c r="AD433" s="8">
        <f t="shared" si="21"/>
        <v>0</v>
      </c>
      <c r="AE433" s="9" t="str" cm="1">
        <f t="array" ref="AE433">IFERROR(_xlfn.XLOOKUP(H433,Sheet1!$G:$G,Sheet1!$F:$F),IFERROR(_xlfn.XLOOKUP(1,(--($X$2:$X$1074=X433))*(--ISNUMBER(MATCH($H$2:$H$1074,Sheet1!$G:$G,0))),_xlfn.XLOOKUP($H$2:$H$1074,Sheet1!$G:$G,Sheet1!$F:$F,"")),"NOT FOUND"))</f>
        <v>RETKRTSFUT4331</v>
      </c>
      <c r="AF433" s="10" t="str">
        <f t="shared" si="26"/>
        <v>LIME GREEN</v>
      </c>
      <c r="AG433" s="11" t="str">
        <f t="shared" si="27"/>
        <v>JHAJJAR</v>
      </c>
      <c r="AH433" s="9" t="str">
        <f>IF(OR(J433="",AE433="",AE433="NOT FOUND"),"",IF(Y433="RP",IFERROR(LEFT(_xlfn.XLOOKUP(AE433,Sheet1!$F:$F,Sheet1!$W:$W),FIND("-",_xlfn.XLOOKUP(AE433,Sheet1!$F:$F,Sheet1!$W:$W),FIND("-",_xlfn.XLOOKUP(AE433,Sheet1!$F:$F,Sheet1!$W:$W))+1))&amp;AE433,"NOT FOUND"),LEFT(J433,FIND("-",J433,FIND("-",J433)+1))&amp;AE433))</f>
        <v>KRTS-APSU26-RETKRTSFUT4331</v>
      </c>
    </row>
    <row r="434" spans="1:34" ht="15.75" customHeight="1" x14ac:dyDescent="0.2">
      <c r="A434" s="4" t="s">
        <v>59</v>
      </c>
      <c r="B434" s="4" t="s">
        <v>659</v>
      </c>
      <c r="C434" s="4" t="s">
        <v>597</v>
      </c>
      <c r="D434" s="4" t="s">
        <v>598</v>
      </c>
      <c r="E434" s="4" t="s">
        <v>34</v>
      </c>
      <c r="F434" s="4" t="s">
        <v>35</v>
      </c>
      <c r="G434" s="4" t="s">
        <v>55</v>
      </c>
      <c r="H434" s="4" t="s">
        <v>625</v>
      </c>
      <c r="I434" s="4" t="s">
        <v>626</v>
      </c>
      <c r="J434" s="4" t="s">
        <v>613</v>
      </c>
      <c r="L434" s="4" t="s">
        <v>40</v>
      </c>
      <c r="M434" s="4">
        <v>1</v>
      </c>
      <c r="N434" s="4">
        <v>30</v>
      </c>
      <c r="O434" s="4">
        <v>30</v>
      </c>
      <c r="P434" s="4" t="s">
        <v>41</v>
      </c>
      <c r="Q434" s="4">
        <v>264.3</v>
      </c>
      <c r="R434" s="4">
        <v>264.3</v>
      </c>
      <c r="S434" s="4">
        <v>396.45</v>
      </c>
      <c r="T434" s="4">
        <v>7929</v>
      </c>
      <c r="U434" s="4">
        <v>5</v>
      </c>
      <c r="V434" s="4" t="s">
        <v>42</v>
      </c>
      <c r="X434" s="7" t="str">
        <f t="shared" si="15"/>
        <v>441857192</v>
      </c>
      <c r="Y434" s="8" t="str">
        <f t="shared" si="16"/>
        <v>DC</v>
      </c>
      <c r="Z434" s="8">
        <f t="shared" si="17"/>
        <v>0</v>
      </c>
      <c r="AA434" s="8">
        <f t="shared" si="18"/>
        <v>0</v>
      </c>
      <c r="AB434" s="8">
        <f t="shared" si="19"/>
        <v>0</v>
      </c>
      <c r="AC434" s="8">
        <f t="shared" si="20"/>
        <v>0</v>
      </c>
      <c r="AD434" s="8">
        <f t="shared" si="21"/>
        <v>30</v>
      </c>
      <c r="AE434" s="9" t="str" cm="1">
        <f t="array" ref="AE434">IFERROR(_xlfn.XLOOKUP(H434,Sheet1!$G:$G,Sheet1!$F:$F),IFERROR(_xlfn.XLOOKUP(1,(--($X$2:$X$1074=X434))*(--ISNUMBER(MATCH($H$2:$H$1074,Sheet1!$G:$G,0))),_xlfn.XLOOKUP($H$2:$H$1074,Sheet1!$G:$G,Sheet1!$F:$F,"")),"NOT FOUND"))</f>
        <v>RETKRTSFUT4331</v>
      </c>
      <c r="AF434" s="10" t="str">
        <f t="shared" si="26"/>
        <v>LIME GREEN</v>
      </c>
      <c r="AG434" s="11" t="str">
        <f t="shared" si="27"/>
        <v>JHAJJAR</v>
      </c>
      <c r="AH434" s="9" t="str">
        <f>IF(OR(J434="",AE434="",AE434="NOT FOUND"),"",IF(Y434="RP",IFERROR(LEFT(_xlfn.XLOOKUP(AE434,Sheet1!$F:$F,Sheet1!$W:$W),FIND("-",_xlfn.XLOOKUP(AE434,Sheet1!$F:$F,Sheet1!$W:$W),FIND("-",_xlfn.XLOOKUP(AE434,Sheet1!$F:$F,Sheet1!$W:$W))+1))&amp;AE434,"NOT FOUND"),LEFT(J434,FIND("-",J434,FIND("-",J434)+1))&amp;AE434))</f>
        <v>KRTS-APSU26-RETKRTSFUT4331</v>
      </c>
    </row>
    <row r="435" spans="1:34" ht="15.75" customHeight="1" x14ac:dyDescent="0.2">
      <c r="A435" s="4" t="s">
        <v>30</v>
      </c>
      <c r="B435" s="4" t="s">
        <v>660</v>
      </c>
      <c r="C435" s="4" t="s">
        <v>597</v>
      </c>
      <c r="D435" s="4" t="s">
        <v>598</v>
      </c>
      <c r="E435" s="4" t="s">
        <v>34</v>
      </c>
      <c r="F435" s="4" t="s">
        <v>35</v>
      </c>
      <c r="G435" s="4" t="s">
        <v>36</v>
      </c>
      <c r="H435" s="4" t="s">
        <v>661</v>
      </c>
      <c r="I435" s="4" t="s">
        <v>662</v>
      </c>
      <c r="J435" s="4" t="s">
        <v>663</v>
      </c>
      <c r="L435" s="4" t="s">
        <v>40</v>
      </c>
      <c r="M435" s="4">
        <v>1</v>
      </c>
      <c r="N435" s="4">
        <v>30</v>
      </c>
      <c r="O435" s="4">
        <v>30</v>
      </c>
      <c r="P435" s="4" t="s">
        <v>41</v>
      </c>
      <c r="Q435" s="4">
        <v>264.3</v>
      </c>
      <c r="R435" s="4">
        <v>264.3</v>
      </c>
      <c r="S435" s="4">
        <v>396.45</v>
      </c>
      <c r="T435" s="4">
        <v>7929</v>
      </c>
      <c r="U435" s="4">
        <v>5</v>
      </c>
      <c r="V435" s="4" t="s">
        <v>42</v>
      </c>
      <c r="X435" s="7" t="str">
        <f t="shared" si="15"/>
        <v>441857189</v>
      </c>
      <c r="Y435" s="8" t="str">
        <f t="shared" si="16"/>
        <v>DC</v>
      </c>
      <c r="Z435" s="8">
        <f t="shared" si="17"/>
        <v>30</v>
      </c>
      <c r="AA435" s="8">
        <f t="shared" si="18"/>
        <v>0</v>
      </c>
      <c r="AB435" s="8">
        <f t="shared" si="19"/>
        <v>0</v>
      </c>
      <c r="AC435" s="8">
        <f t="shared" si="20"/>
        <v>0</v>
      </c>
      <c r="AD435" s="8">
        <f t="shared" si="21"/>
        <v>0</v>
      </c>
      <c r="AE435" s="9" t="str" cm="1">
        <f t="array" ref="AE435">IFERROR(_xlfn.XLOOKUP(H435,Sheet1!$G:$G,Sheet1!$F:$F),IFERROR(_xlfn.XLOOKUP(1,(--($X$2:$X$1074=X435))*(--ISNUMBER(MATCH($H$2:$H$1074,Sheet1!$G:$G,0))),_xlfn.XLOOKUP($H$2:$H$1074,Sheet1!$G:$G,Sheet1!$F:$F,"")),"NOT FOUND"))</f>
        <v>RETKRTSFUT4322</v>
      </c>
      <c r="AF435" s="10" t="str">
        <f t="shared" si="26"/>
        <v>SKY BLUE</v>
      </c>
      <c r="AG435" s="11" t="str">
        <f t="shared" si="27"/>
        <v>Bangalore</v>
      </c>
      <c r="AH435" s="9" t="str">
        <f>IF(OR(J435="",AE435="",AE435="NOT FOUND"),"",IF(Y435="RP",IFERROR(LEFT(_xlfn.XLOOKUP(AE435,Sheet1!$F:$F,Sheet1!$W:$W),FIND("-",_xlfn.XLOOKUP(AE435,Sheet1!$F:$F,Sheet1!$W:$W),FIND("-",_xlfn.XLOOKUP(AE435,Sheet1!$F:$F,Sheet1!$W:$W))+1))&amp;AE435,"NOT FOUND"),LEFT(J435,FIND("-",J435,FIND("-",J435)+1))&amp;AE435))</f>
        <v>KRTS-APSU26-RETKRTSFUT4322</v>
      </c>
    </row>
    <row r="436" spans="1:34" ht="15.75" customHeight="1" x14ac:dyDescent="0.2">
      <c r="A436" s="4" t="s">
        <v>30</v>
      </c>
      <c r="B436" s="4" t="s">
        <v>660</v>
      </c>
      <c r="C436" s="4" t="s">
        <v>597</v>
      </c>
      <c r="D436" s="4" t="s">
        <v>598</v>
      </c>
      <c r="E436" s="4" t="s">
        <v>34</v>
      </c>
      <c r="F436" s="4" t="s">
        <v>35</v>
      </c>
      <c r="G436" s="4" t="s">
        <v>43</v>
      </c>
      <c r="H436" s="4" t="s">
        <v>664</v>
      </c>
      <c r="I436" s="4" t="s">
        <v>665</v>
      </c>
      <c r="J436" s="4" t="s">
        <v>666</v>
      </c>
      <c r="L436" s="4" t="s">
        <v>40</v>
      </c>
      <c r="M436" s="4">
        <v>1</v>
      </c>
      <c r="N436" s="4">
        <v>222</v>
      </c>
      <c r="O436" s="4">
        <v>222</v>
      </c>
      <c r="P436" s="4" t="s">
        <v>41</v>
      </c>
      <c r="Q436" s="4">
        <v>264.3</v>
      </c>
      <c r="R436" s="4">
        <v>264.3</v>
      </c>
      <c r="S436" s="4">
        <v>2933.73</v>
      </c>
      <c r="T436" s="4">
        <v>58674.6</v>
      </c>
      <c r="U436" s="4">
        <v>5</v>
      </c>
      <c r="V436" s="4" t="s">
        <v>42</v>
      </c>
      <c r="X436" s="7" t="str">
        <f t="shared" si="15"/>
        <v>441857189</v>
      </c>
      <c r="Y436" s="8" t="str">
        <f t="shared" si="16"/>
        <v>DC</v>
      </c>
      <c r="Z436" s="8">
        <f t="shared" si="17"/>
        <v>0</v>
      </c>
      <c r="AA436" s="8">
        <f t="shared" si="18"/>
        <v>222</v>
      </c>
      <c r="AB436" s="8">
        <f t="shared" si="19"/>
        <v>0</v>
      </c>
      <c r="AC436" s="8">
        <f t="shared" si="20"/>
        <v>0</v>
      </c>
      <c r="AD436" s="8">
        <f t="shared" si="21"/>
        <v>0</v>
      </c>
      <c r="AE436" s="9" t="str" cm="1">
        <f t="array" ref="AE436">IFERROR(_xlfn.XLOOKUP(H436,Sheet1!$G:$G,Sheet1!$F:$F),IFERROR(_xlfn.XLOOKUP(1,(--($X$2:$X$1074=X436))*(--ISNUMBER(MATCH($H$2:$H$1074,Sheet1!$G:$G,0))),_xlfn.XLOOKUP($H$2:$H$1074,Sheet1!$G:$G,Sheet1!$F:$F,"")),"NOT FOUND"))</f>
        <v>RETKRTSFUT4322</v>
      </c>
      <c r="AF436" s="10" t="str">
        <f t="shared" si="26"/>
        <v>SKY BLUE</v>
      </c>
      <c r="AG436" s="11" t="str">
        <f t="shared" si="27"/>
        <v>Bangalore</v>
      </c>
      <c r="AH436" s="9" t="str">
        <f>IF(OR(J436="",AE436="",AE436="NOT FOUND"),"",IF(Y436="RP",IFERROR(LEFT(_xlfn.XLOOKUP(AE436,Sheet1!$F:$F,Sheet1!$W:$W),FIND("-",_xlfn.XLOOKUP(AE436,Sheet1!$F:$F,Sheet1!$W:$W),FIND("-",_xlfn.XLOOKUP(AE436,Sheet1!$F:$F,Sheet1!$W:$W))+1))&amp;AE436,"NOT FOUND"),LEFT(J436,FIND("-",J436,FIND("-",J436)+1))&amp;AE436))</f>
        <v>KRTS-APSU26-RETKRTSFUT4322</v>
      </c>
    </row>
    <row r="437" spans="1:34" ht="15.75" customHeight="1" x14ac:dyDescent="0.2">
      <c r="A437" s="4" t="s">
        <v>30</v>
      </c>
      <c r="B437" s="4" t="s">
        <v>660</v>
      </c>
      <c r="C437" s="4" t="s">
        <v>597</v>
      </c>
      <c r="D437" s="4" t="s">
        <v>598</v>
      </c>
      <c r="E437" s="4" t="s">
        <v>34</v>
      </c>
      <c r="F437" s="4" t="s">
        <v>35</v>
      </c>
      <c r="G437" s="4" t="s">
        <v>47</v>
      </c>
      <c r="H437" s="4" t="s">
        <v>667</v>
      </c>
      <c r="I437" s="4" t="s">
        <v>668</v>
      </c>
      <c r="J437" s="4" t="s">
        <v>669</v>
      </c>
      <c r="L437" s="4" t="s">
        <v>40</v>
      </c>
      <c r="M437" s="4">
        <v>1</v>
      </c>
      <c r="N437" s="4">
        <v>250</v>
      </c>
      <c r="O437" s="4">
        <v>250</v>
      </c>
      <c r="P437" s="4" t="s">
        <v>41</v>
      </c>
      <c r="Q437" s="4">
        <v>264.3</v>
      </c>
      <c r="R437" s="4">
        <v>264.3</v>
      </c>
      <c r="S437" s="4">
        <v>3303.75</v>
      </c>
      <c r="T437" s="4">
        <v>66075</v>
      </c>
      <c r="U437" s="4">
        <v>5</v>
      </c>
      <c r="V437" s="4" t="s">
        <v>42</v>
      </c>
      <c r="X437" s="7" t="str">
        <f t="shared" si="15"/>
        <v>441857189</v>
      </c>
      <c r="Y437" s="8" t="str">
        <f t="shared" si="16"/>
        <v>DC</v>
      </c>
      <c r="Z437" s="8">
        <f t="shared" si="17"/>
        <v>0</v>
      </c>
      <c r="AA437" s="8">
        <f t="shared" si="18"/>
        <v>0</v>
      </c>
      <c r="AB437" s="8">
        <f t="shared" si="19"/>
        <v>250</v>
      </c>
      <c r="AC437" s="8">
        <f t="shared" si="20"/>
        <v>0</v>
      </c>
      <c r="AD437" s="8">
        <f t="shared" si="21"/>
        <v>0</v>
      </c>
      <c r="AE437" s="9" t="str" cm="1">
        <f t="array" ref="AE437">IFERROR(_xlfn.XLOOKUP(H437,Sheet1!$G:$G,Sheet1!$F:$F),IFERROR(_xlfn.XLOOKUP(1,(--($X$2:$X$1074=X437))*(--ISNUMBER(MATCH($H$2:$H$1074,Sheet1!$G:$G,0))),_xlfn.XLOOKUP($H$2:$H$1074,Sheet1!$G:$G,Sheet1!$F:$F,"")),"NOT FOUND"))</f>
        <v>RETKRTSFUT4322</v>
      </c>
      <c r="AF437" s="10" t="str">
        <f t="shared" si="26"/>
        <v>SKY BLUE</v>
      </c>
      <c r="AG437" s="11" t="str">
        <f t="shared" si="27"/>
        <v>Bangalore</v>
      </c>
      <c r="AH437" s="9" t="str">
        <f>IF(OR(J437="",AE437="",AE437="NOT FOUND"),"",IF(Y437="RP",IFERROR(LEFT(_xlfn.XLOOKUP(AE437,Sheet1!$F:$F,Sheet1!$W:$W),FIND("-",_xlfn.XLOOKUP(AE437,Sheet1!$F:$F,Sheet1!$W:$W),FIND("-",_xlfn.XLOOKUP(AE437,Sheet1!$F:$F,Sheet1!$W:$W))+1))&amp;AE437,"NOT FOUND"),LEFT(J437,FIND("-",J437,FIND("-",J437)+1))&amp;AE437))</f>
        <v>KRTS-APSU26-RETKRTSFUT4322</v>
      </c>
    </row>
    <row r="438" spans="1:34" ht="15.75" customHeight="1" x14ac:dyDescent="0.2">
      <c r="A438" s="4" t="s">
        <v>30</v>
      </c>
      <c r="B438" s="4" t="s">
        <v>660</v>
      </c>
      <c r="C438" s="4" t="s">
        <v>597</v>
      </c>
      <c r="D438" s="4" t="s">
        <v>598</v>
      </c>
      <c r="E438" s="4" t="s">
        <v>34</v>
      </c>
      <c r="F438" s="4" t="s">
        <v>35</v>
      </c>
      <c r="G438" s="4" t="s">
        <v>51</v>
      </c>
      <c r="H438" s="4" t="s">
        <v>670</v>
      </c>
      <c r="I438" s="4" t="s">
        <v>671</v>
      </c>
      <c r="J438" s="4" t="s">
        <v>672</v>
      </c>
      <c r="L438" s="4" t="s">
        <v>40</v>
      </c>
      <c r="M438" s="4">
        <v>1</v>
      </c>
      <c r="N438" s="4">
        <v>292</v>
      </c>
      <c r="O438" s="4">
        <v>292</v>
      </c>
      <c r="P438" s="4" t="s">
        <v>41</v>
      </c>
      <c r="Q438" s="4">
        <v>264.3</v>
      </c>
      <c r="R438" s="4">
        <v>264.3</v>
      </c>
      <c r="S438" s="4">
        <v>3858.78</v>
      </c>
      <c r="T438" s="4">
        <v>77175.600000000006</v>
      </c>
      <c r="U438" s="4">
        <v>5</v>
      </c>
      <c r="V438" s="4" t="s">
        <v>42</v>
      </c>
      <c r="X438" s="7" t="str">
        <f t="shared" si="15"/>
        <v>441857189</v>
      </c>
      <c r="Y438" s="8" t="str">
        <f t="shared" si="16"/>
        <v>DC</v>
      </c>
      <c r="Z438" s="8">
        <f t="shared" si="17"/>
        <v>0</v>
      </c>
      <c r="AA438" s="8">
        <f t="shared" si="18"/>
        <v>0</v>
      </c>
      <c r="AB438" s="8">
        <f t="shared" si="19"/>
        <v>0</v>
      </c>
      <c r="AC438" s="8">
        <f t="shared" si="20"/>
        <v>292</v>
      </c>
      <c r="AD438" s="8">
        <f t="shared" si="21"/>
        <v>0</v>
      </c>
      <c r="AE438" s="9" t="str" cm="1">
        <f t="array" ref="AE438">IFERROR(_xlfn.XLOOKUP(H438,Sheet1!$G:$G,Sheet1!$F:$F),IFERROR(_xlfn.XLOOKUP(1,(--($X$2:$X$1074=X438))*(--ISNUMBER(MATCH($H$2:$H$1074,Sheet1!$G:$G,0))),_xlfn.XLOOKUP($H$2:$H$1074,Sheet1!$G:$G,Sheet1!$F:$F,"")),"NOT FOUND"))</f>
        <v>RETKRTSFUT4322</v>
      </c>
      <c r="AF438" s="10" t="str">
        <f t="shared" si="26"/>
        <v>SKY BLUE</v>
      </c>
      <c r="AG438" s="11" t="str">
        <f t="shared" si="27"/>
        <v>Bangalore</v>
      </c>
      <c r="AH438" s="9" t="str">
        <f>IF(OR(J438="",AE438="",AE438="NOT FOUND"),"",IF(Y438="RP",IFERROR(LEFT(_xlfn.XLOOKUP(AE438,Sheet1!$F:$F,Sheet1!$W:$W),FIND("-",_xlfn.XLOOKUP(AE438,Sheet1!$F:$F,Sheet1!$W:$W),FIND("-",_xlfn.XLOOKUP(AE438,Sheet1!$F:$F,Sheet1!$W:$W))+1))&amp;AE438,"NOT FOUND"),LEFT(J438,FIND("-",J438,FIND("-",J438)+1))&amp;AE438))</f>
        <v>KRTS-APSU26-RETKRTSFUT4322</v>
      </c>
    </row>
    <row r="439" spans="1:34" ht="15.75" customHeight="1" x14ac:dyDescent="0.2">
      <c r="A439" s="4" t="s">
        <v>30</v>
      </c>
      <c r="B439" s="4" t="s">
        <v>660</v>
      </c>
      <c r="C439" s="4" t="s">
        <v>597</v>
      </c>
      <c r="D439" s="4" t="s">
        <v>598</v>
      </c>
      <c r="E439" s="4" t="s">
        <v>34</v>
      </c>
      <c r="F439" s="4" t="s">
        <v>35</v>
      </c>
      <c r="G439" s="4" t="s">
        <v>55</v>
      </c>
      <c r="H439" s="4" t="s">
        <v>673</v>
      </c>
      <c r="I439" s="4" t="s">
        <v>674</v>
      </c>
      <c r="J439" s="4" t="s">
        <v>675</v>
      </c>
      <c r="L439" s="4" t="s">
        <v>40</v>
      </c>
      <c r="M439" s="4">
        <v>1</v>
      </c>
      <c r="N439" s="4">
        <v>56</v>
      </c>
      <c r="O439" s="4">
        <v>56</v>
      </c>
      <c r="P439" s="4" t="s">
        <v>41</v>
      </c>
      <c r="Q439" s="4">
        <v>264.3</v>
      </c>
      <c r="R439" s="4">
        <v>264.3</v>
      </c>
      <c r="S439" s="4">
        <v>740.04</v>
      </c>
      <c r="T439" s="4">
        <v>14800.8</v>
      </c>
      <c r="U439" s="4">
        <v>5</v>
      </c>
      <c r="V439" s="4" t="s">
        <v>42</v>
      </c>
      <c r="X439" s="7" t="str">
        <f t="shared" si="15"/>
        <v>441857189</v>
      </c>
      <c r="Y439" s="8" t="str">
        <f t="shared" si="16"/>
        <v>DC</v>
      </c>
      <c r="Z439" s="8">
        <f t="shared" si="17"/>
        <v>0</v>
      </c>
      <c r="AA439" s="8">
        <f t="shared" si="18"/>
        <v>0</v>
      </c>
      <c r="AB439" s="8">
        <f t="shared" si="19"/>
        <v>0</v>
      </c>
      <c r="AC439" s="8">
        <f t="shared" si="20"/>
        <v>0</v>
      </c>
      <c r="AD439" s="8">
        <f t="shared" si="21"/>
        <v>56</v>
      </c>
      <c r="AE439" s="9" t="str" cm="1">
        <f t="array" ref="AE439">IFERROR(_xlfn.XLOOKUP(H439,Sheet1!$G:$G,Sheet1!$F:$F),IFERROR(_xlfn.XLOOKUP(1,(--($X$2:$X$1074=X439))*(--ISNUMBER(MATCH($H$2:$H$1074,Sheet1!$G:$G,0))),_xlfn.XLOOKUP($H$2:$H$1074,Sheet1!$G:$G,Sheet1!$F:$F,"")),"NOT FOUND"))</f>
        <v>RETKRTSFUT4322</v>
      </c>
      <c r="AF439" s="10" t="str">
        <f t="shared" si="26"/>
        <v>SKY BLUE</v>
      </c>
      <c r="AG439" s="11" t="str">
        <f t="shared" si="27"/>
        <v>Bangalore</v>
      </c>
      <c r="AH439" s="9" t="str">
        <f>IF(OR(J439="",AE439="",AE439="NOT FOUND"),"",IF(Y439="RP",IFERROR(LEFT(_xlfn.XLOOKUP(AE439,Sheet1!$F:$F,Sheet1!$W:$W),FIND("-",_xlfn.XLOOKUP(AE439,Sheet1!$F:$F,Sheet1!$W:$W),FIND("-",_xlfn.XLOOKUP(AE439,Sheet1!$F:$F,Sheet1!$W:$W))+1))&amp;AE439,"NOT FOUND"),LEFT(J439,FIND("-",J439,FIND("-",J439)+1))&amp;AE439))</f>
        <v>KRTS-APSU26-RETKRTSFUT4322</v>
      </c>
    </row>
    <row r="440" spans="1:34" ht="15.75" customHeight="1" x14ac:dyDescent="0.2">
      <c r="A440" s="4" t="s">
        <v>30</v>
      </c>
      <c r="B440" s="4" t="s">
        <v>676</v>
      </c>
      <c r="C440" s="4" t="s">
        <v>597</v>
      </c>
      <c r="D440" s="4" t="s">
        <v>598</v>
      </c>
      <c r="E440" s="4" t="s">
        <v>34</v>
      </c>
      <c r="F440" s="4" t="s">
        <v>35</v>
      </c>
      <c r="G440" s="4" t="s">
        <v>36</v>
      </c>
      <c r="H440" s="4" t="s">
        <v>677</v>
      </c>
      <c r="I440" s="4" t="s">
        <v>678</v>
      </c>
      <c r="J440" s="4" t="s">
        <v>679</v>
      </c>
      <c r="L440" s="4" t="s">
        <v>40</v>
      </c>
      <c r="M440" s="4">
        <v>1</v>
      </c>
      <c r="N440" s="4">
        <v>30</v>
      </c>
      <c r="O440" s="4">
        <v>30</v>
      </c>
      <c r="P440" s="4" t="s">
        <v>41</v>
      </c>
      <c r="Q440" s="4">
        <v>269.3</v>
      </c>
      <c r="R440" s="4">
        <v>269.3</v>
      </c>
      <c r="S440" s="4">
        <v>403.95</v>
      </c>
      <c r="T440" s="4">
        <v>8079</v>
      </c>
      <c r="U440" s="4">
        <v>5</v>
      </c>
      <c r="V440" s="4" t="s">
        <v>42</v>
      </c>
      <c r="X440" s="7" t="str">
        <f t="shared" si="15"/>
        <v>441857188</v>
      </c>
      <c r="Y440" s="8" t="str">
        <f t="shared" si="16"/>
        <v>DC</v>
      </c>
      <c r="Z440" s="8">
        <f t="shared" si="17"/>
        <v>30</v>
      </c>
      <c r="AA440" s="8">
        <f t="shared" si="18"/>
        <v>0</v>
      </c>
      <c r="AB440" s="8">
        <f t="shared" si="19"/>
        <v>0</v>
      </c>
      <c r="AC440" s="8">
        <f t="shared" si="20"/>
        <v>0</v>
      </c>
      <c r="AD440" s="8">
        <f t="shared" si="21"/>
        <v>0</v>
      </c>
      <c r="AE440" s="9" t="str" cm="1">
        <f t="array" ref="AE440">IFERROR(_xlfn.XLOOKUP(H440,Sheet1!$G:$G,Sheet1!$F:$F),IFERROR(_xlfn.XLOOKUP(1,(--($X$2:$X$1074=X440))*(--ISNUMBER(MATCH($H$2:$H$1074,Sheet1!$G:$G,0))),_xlfn.XLOOKUP($H$2:$H$1074,Sheet1!$G:$G,Sheet1!$F:$F,"")),"NOT FOUND"))</f>
        <v>RETKRTSFUT4321</v>
      </c>
      <c r="AF440" s="10" t="str">
        <f t="shared" si="26"/>
        <v>LIME GREEN</v>
      </c>
      <c r="AG440" s="11" t="str">
        <f t="shared" si="27"/>
        <v>Bangalore</v>
      </c>
      <c r="AH440" s="9" t="str">
        <f>IF(OR(J440="",AE440="",AE440="NOT FOUND"),"",IF(Y440="RP",IFERROR(LEFT(_xlfn.XLOOKUP(AE440,Sheet1!$F:$F,Sheet1!$W:$W),FIND("-",_xlfn.XLOOKUP(AE440,Sheet1!$F:$F,Sheet1!$W:$W),FIND("-",_xlfn.XLOOKUP(AE440,Sheet1!$F:$F,Sheet1!$W:$W))+1))&amp;AE440,"NOT FOUND"),LEFT(J440,FIND("-",J440,FIND("-",J440)+1))&amp;AE440))</f>
        <v>KRTS-APSU26-RETKRTSFUT4321</v>
      </c>
    </row>
    <row r="441" spans="1:34" ht="15.75" customHeight="1" x14ac:dyDescent="0.2">
      <c r="A441" s="4" t="s">
        <v>30</v>
      </c>
      <c r="B441" s="4" t="s">
        <v>676</v>
      </c>
      <c r="C441" s="4" t="s">
        <v>597</v>
      </c>
      <c r="D441" s="4" t="s">
        <v>598</v>
      </c>
      <c r="E441" s="4" t="s">
        <v>34</v>
      </c>
      <c r="F441" s="4" t="s">
        <v>35</v>
      </c>
      <c r="G441" s="4" t="s">
        <v>43</v>
      </c>
      <c r="H441" s="4" t="s">
        <v>680</v>
      </c>
      <c r="I441" s="4" t="s">
        <v>681</v>
      </c>
      <c r="J441" s="4" t="s">
        <v>682</v>
      </c>
      <c r="L441" s="4" t="s">
        <v>40</v>
      </c>
      <c r="M441" s="4">
        <v>1</v>
      </c>
      <c r="N441" s="4">
        <v>222</v>
      </c>
      <c r="O441" s="4">
        <v>222</v>
      </c>
      <c r="P441" s="4" t="s">
        <v>41</v>
      </c>
      <c r="Q441" s="4">
        <v>269.3</v>
      </c>
      <c r="R441" s="4">
        <v>269.3</v>
      </c>
      <c r="S441" s="4">
        <v>2989.23</v>
      </c>
      <c r="T441" s="4">
        <v>59784.6</v>
      </c>
      <c r="U441" s="4">
        <v>5</v>
      </c>
      <c r="V441" s="4" t="s">
        <v>42</v>
      </c>
      <c r="X441" s="7" t="str">
        <f t="shared" si="15"/>
        <v>441857188</v>
      </c>
      <c r="Y441" s="8" t="str">
        <f t="shared" si="16"/>
        <v>DC</v>
      </c>
      <c r="Z441" s="8">
        <f t="shared" si="17"/>
        <v>0</v>
      </c>
      <c r="AA441" s="8">
        <f t="shared" si="18"/>
        <v>222</v>
      </c>
      <c r="AB441" s="8">
        <f t="shared" si="19"/>
        <v>0</v>
      </c>
      <c r="AC441" s="8">
        <f t="shared" si="20"/>
        <v>0</v>
      </c>
      <c r="AD441" s="8">
        <f t="shared" si="21"/>
        <v>0</v>
      </c>
      <c r="AE441" s="9" t="str" cm="1">
        <f t="array" ref="AE441">IFERROR(_xlfn.XLOOKUP(H441,Sheet1!$G:$G,Sheet1!$F:$F),IFERROR(_xlfn.XLOOKUP(1,(--($X$2:$X$1074=X441))*(--ISNUMBER(MATCH($H$2:$H$1074,Sheet1!$G:$G,0))),_xlfn.XLOOKUP($H$2:$H$1074,Sheet1!$G:$G,Sheet1!$F:$F,"")),"NOT FOUND"))</f>
        <v>RETKRTSFUT4321</v>
      </c>
      <c r="AF441" s="10" t="str">
        <f t="shared" si="26"/>
        <v>LIME GREEN</v>
      </c>
      <c r="AG441" s="11" t="str">
        <f t="shared" si="27"/>
        <v>Bangalore</v>
      </c>
      <c r="AH441" s="9" t="str">
        <f>IF(OR(J441="",AE441="",AE441="NOT FOUND"),"",IF(Y441="RP",IFERROR(LEFT(_xlfn.XLOOKUP(AE441,Sheet1!$F:$F,Sheet1!$W:$W),FIND("-",_xlfn.XLOOKUP(AE441,Sheet1!$F:$F,Sheet1!$W:$W),FIND("-",_xlfn.XLOOKUP(AE441,Sheet1!$F:$F,Sheet1!$W:$W))+1))&amp;AE441,"NOT FOUND"),LEFT(J441,FIND("-",J441,FIND("-",J441)+1))&amp;AE441))</f>
        <v>KRTS-APSU26-RETKRTSFUT4321</v>
      </c>
    </row>
    <row r="442" spans="1:34" ht="15.75" customHeight="1" x14ac:dyDescent="0.2">
      <c r="A442" s="4" t="s">
        <v>30</v>
      </c>
      <c r="B442" s="4" t="s">
        <v>676</v>
      </c>
      <c r="C442" s="4" t="s">
        <v>597</v>
      </c>
      <c r="D442" s="4" t="s">
        <v>598</v>
      </c>
      <c r="E442" s="4" t="s">
        <v>34</v>
      </c>
      <c r="F442" s="4" t="s">
        <v>35</v>
      </c>
      <c r="G442" s="4" t="s">
        <v>47</v>
      </c>
      <c r="H442" s="4" t="s">
        <v>683</v>
      </c>
      <c r="I442" s="4" t="s">
        <v>684</v>
      </c>
      <c r="J442" s="4" t="s">
        <v>685</v>
      </c>
      <c r="L442" s="4" t="s">
        <v>40</v>
      </c>
      <c r="M442" s="4">
        <v>1</v>
      </c>
      <c r="N442" s="4">
        <v>250</v>
      </c>
      <c r="O442" s="4">
        <v>250</v>
      </c>
      <c r="P442" s="4" t="s">
        <v>41</v>
      </c>
      <c r="Q442" s="4">
        <v>269.3</v>
      </c>
      <c r="R442" s="4">
        <v>269.3</v>
      </c>
      <c r="S442" s="4">
        <v>3366.25</v>
      </c>
      <c r="T442" s="4">
        <v>67325</v>
      </c>
      <c r="U442" s="4">
        <v>5</v>
      </c>
      <c r="V442" s="4" t="s">
        <v>42</v>
      </c>
      <c r="X442" s="7" t="str">
        <f t="shared" si="15"/>
        <v>441857188</v>
      </c>
      <c r="Y442" s="8" t="str">
        <f t="shared" si="16"/>
        <v>DC</v>
      </c>
      <c r="Z442" s="8">
        <f t="shared" si="17"/>
        <v>0</v>
      </c>
      <c r="AA442" s="8">
        <f t="shared" si="18"/>
        <v>0</v>
      </c>
      <c r="AB442" s="8">
        <f t="shared" si="19"/>
        <v>250</v>
      </c>
      <c r="AC442" s="8">
        <f t="shared" si="20"/>
        <v>0</v>
      </c>
      <c r="AD442" s="8">
        <f t="shared" si="21"/>
        <v>0</v>
      </c>
      <c r="AE442" s="9" t="str" cm="1">
        <f t="array" ref="AE442">IFERROR(_xlfn.XLOOKUP(H442,Sheet1!$G:$G,Sheet1!$F:$F),IFERROR(_xlfn.XLOOKUP(1,(--($X$2:$X$1074=X442))*(--ISNUMBER(MATCH($H$2:$H$1074,Sheet1!$G:$G,0))),_xlfn.XLOOKUP($H$2:$H$1074,Sheet1!$G:$G,Sheet1!$F:$F,"")),"NOT FOUND"))</f>
        <v>RETKRTSFUT4321</v>
      </c>
      <c r="AF442" s="10" t="str">
        <f t="shared" si="26"/>
        <v>LIME GREEN</v>
      </c>
      <c r="AG442" s="11" t="str">
        <f t="shared" si="27"/>
        <v>Bangalore</v>
      </c>
      <c r="AH442" s="9" t="str">
        <f>IF(OR(J442="",AE442="",AE442="NOT FOUND"),"",IF(Y442="RP",IFERROR(LEFT(_xlfn.XLOOKUP(AE442,Sheet1!$F:$F,Sheet1!$W:$W),FIND("-",_xlfn.XLOOKUP(AE442,Sheet1!$F:$F,Sheet1!$W:$W),FIND("-",_xlfn.XLOOKUP(AE442,Sheet1!$F:$F,Sheet1!$W:$W))+1))&amp;AE442,"NOT FOUND"),LEFT(J442,FIND("-",J442,FIND("-",J442)+1))&amp;AE442))</f>
        <v>KRTS-APSU26-RETKRTSFUT4321</v>
      </c>
    </row>
    <row r="443" spans="1:34" ht="15.75" customHeight="1" x14ac:dyDescent="0.2">
      <c r="A443" s="4" t="s">
        <v>30</v>
      </c>
      <c r="B443" s="4" t="s">
        <v>676</v>
      </c>
      <c r="C443" s="4" t="s">
        <v>597</v>
      </c>
      <c r="D443" s="4" t="s">
        <v>598</v>
      </c>
      <c r="E443" s="4" t="s">
        <v>34</v>
      </c>
      <c r="F443" s="4" t="s">
        <v>35</v>
      </c>
      <c r="G443" s="4" t="s">
        <v>51</v>
      </c>
      <c r="H443" s="4" t="s">
        <v>686</v>
      </c>
      <c r="I443" s="4" t="s">
        <v>687</v>
      </c>
      <c r="J443" s="4" t="s">
        <v>610</v>
      </c>
      <c r="L443" s="4" t="s">
        <v>40</v>
      </c>
      <c r="M443" s="4">
        <v>1</v>
      </c>
      <c r="N443" s="4">
        <v>292</v>
      </c>
      <c r="O443" s="4">
        <v>292</v>
      </c>
      <c r="P443" s="4" t="s">
        <v>41</v>
      </c>
      <c r="Q443" s="4">
        <v>269.3</v>
      </c>
      <c r="R443" s="4">
        <v>269.3</v>
      </c>
      <c r="S443" s="4">
        <v>3931.78</v>
      </c>
      <c r="T443" s="4">
        <v>78635.600000000006</v>
      </c>
      <c r="U443" s="4">
        <v>5</v>
      </c>
      <c r="V443" s="4" t="s">
        <v>42</v>
      </c>
      <c r="X443" s="7" t="str">
        <f t="shared" si="15"/>
        <v>441857188</v>
      </c>
      <c r="Y443" s="8" t="str">
        <f t="shared" si="16"/>
        <v>DC</v>
      </c>
      <c r="Z443" s="8">
        <f t="shared" si="17"/>
        <v>0</v>
      </c>
      <c r="AA443" s="8">
        <f t="shared" si="18"/>
        <v>0</v>
      </c>
      <c r="AB443" s="8">
        <f t="shared" si="19"/>
        <v>0</v>
      </c>
      <c r="AC443" s="8">
        <f t="shared" si="20"/>
        <v>292</v>
      </c>
      <c r="AD443" s="8">
        <f t="shared" si="21"/>
        <v>0</v>
      </c>
      <c r="AE443" s="9" t="str" cm="1">
        <f t="array" ref="AE443">IFERROR(_xlfn.XLOOKUP(H443,Sheet1!$G:$G,Sheet1!$F:$F),IFERROR(_xlfn.XLOOKUP(1,(--($X$2:$X$1074=X443))*(--ISNUMBER(MATCH($H$2:$H$1074,Sheet1!$G:$G,0))),_xlfn.XLOOKUP($H$2:$H$1074,Sheet1!$G:$G,Sheet1!$F:$F,"")),"NOT FOUND"))</f>
        <v>RETKRTSFUT4321</v>
      </c>
      <c r="AF443" s="10" t="str">
        <f t="shared" si="26"/>
        <v>LIME GREEN</v>
      </c>
      <c r="AG443" s="11" t="str">
        <f t="shared" si="27"/>
        <v>Bangalore</v>
      </c>
      <c r="AH443" s="9" t="str">
        <f>IF(OR(J443="",AE443="",AE443="NOT FOUND"),"",IF(Y443="RP",IFERROR(LEFT(_xlfn.XLOOKUP(AE443,Sheet1!$F:$F,Sheet1!$W:$W),FIND("-",_xlfn.XLOOKUP(AE443,Sheet1!$F:$F,Sheet1!$W:$W),FIND("-",_xlfn.XLOOKUP(AE443,Sheet1!$F:$F,Sheet1!$W:$W))+1))&amp;AE443,"NOT FOUND"),LEFT(J443,FIND("-",J443,FIND("-",J443)+1))&amp;AE443))</f>
        <v>KRTS-APSU26-RETKRTSFUT4321</v>
      </c>
    </row>
    <row r="444" spans="1:34" ht="15.75" customHeight="1" x14ac:dyDescent="0.2">
      <c r="A444" s="4" t="s">
        <v>30</v>
      </c>
      <c r="B444" s="4" t="s">
        <v>676</v>
      </c>
      <c r="C444" s="4" t="s">
        <v>597</v>
      </c>
      <c r="D444" s="4" t="s">
        <v>598</v>
      </c>
      <c r="E444" s="4" t="s">
        <v>34</v>
      </c>
      <c r="F444" s="4" t="s">
        <v>35</v>
      </c>
      <c r="G444" s="4" t="s">
        <v>55</v>
      </c>
      <c r="H444" s="4" t="s">
        <v>688</v>
      </c>
      <c r="I444" s="4" t="s">
        <v>689</v>
      </c>
      <c r="J444" s="4" t="s">
        <v>613</v>
      </c>
      <c r="L444" s="4" t="s">
        <v>40</v>
      </c>
      <c r="M444" s="4">
        <v>1</v>
      </c>
      <c r="N444" s="4">
        <v>56</v>
      </c>
      <c r="O444" s="4">
        <v>56</v>
      </c>
      <c r="P444" s="4" t="s">
        <v>41</v>
      </c>
      <c r="Q444" s="4">
        <v>269.3</v>
      </c>
      <c r="R444" s="4">
        <v>269.3</v>
      </c>
      <c r="S444" s="4">
        <v>754.04</v>
      </c>
      <c r="T444" s="4">
        <v>15080.8</v>
      </c>
      <c r="U444" s="4">
        <v>5</v>
      </c>
      <c r="V444" s="4" t="s">
        <v>42</v>
      </c>
      <c r="X444" s="7" t="str">
        <f t="shared" si="15"/>
        <v>441857188</v>
      </c>
      <c r="Y444" s="8" t="str">
        <f t="shared" si="16"/>
        <v>DC</v>
      </c>
      <c r="Z444" s="8">
        <f t="shared" si="17"/>
        <v>0</v>
      </c>
      <c r="AA444" s="8">
        <f t="shared" si="18"/>
        <v>0</v>
      </c>
      <c r="AB444" s="8">
        <f t="shared" si="19"/>
        <v>0</v>
      </c>
      <c r="AC444" s="8">
        <f t="shared" si="20"/>
        <v>0</v>
      </c>
      <c r="AD444" s="8">
        <f t="shared" si="21"/>
        <v>56</v>
      </c>
      <c r="AE444" s="9" t="str" cm="1">
        <f t="array" ref="AE444">IFERROR(_xlfn.XLOOKUP(H444,Sheet1!$G:$G,Sheet1!$F:$F),IFERROR(_xlfn.XLOOKUP(1,(--($X$2:$X$1074=X444))*(--ISNUMBER(MATCH($H$2:$H$1074,Sheet1!$G:$G,0))),_xlfn.XLOOKUP($H$2:$H$1074,Sheet1!$G:$G,Sheet1!$F:$F,"")),"NOT FOUND"))</f>
        <v>RETKRTSFUT4321</v>
      </c>
      <c r="AF444" s="10" t="str">
        <f t="shared" si="26"/>
        <v>LIME GREEN</v>
      </c>
      <c r="AG444" s="11" t="str">
        <f t="shared" si="27"/>
        <v>Bangalore</v>
      </c>
      <c r="AH444" s="9" t="str">
        <f>IF(OR(J444="",AE444="",AE444="NOT FOUND"),"",IF(Y444="RP",IFERROR(LEFT(_xlfn.XLOOKUP(AE444,Sheet1!$F:$F,Sheet1!$W:$W),FIND("-",_xlfn.XLOOKUP(AE444,Sheet1!$F:$F,Sheet1!$W:$W),FIND("-",_xlfn.XLOOKUP(AE444,Sheet1!$F:$F,Sheet1!$W:$W))+1))&amp;AE444,"NOT FOUND"),LEFT(J444,FIND("-",J444,FIND("-",J444)+1))&amp;AE444))</f>
        <v>KRTS-APSU26-RETKRTSFUT4321</v>
      </c>
    </row>
    <row r="445" spans="1:34" ht="15.75" customHeight="1" x14ac:dyDescent="0.2">
      <c r="A445" s="4" t="s">
        <v>59</v>
      </c>
      <c r="B445" s="4" t="s">
        <v>690</v>
      </c>
      <c r="C445" s="4" t="s">
        <v>597</v>
      </c>
      <c r="D445" s="4" t="s">
        <v>598</v>
      </c>
      <c r="E445" s="4" t="s">
        <v>34</v>
      </c>
      <c r="F445" s="4" t="s">
        <v>35</v>
      </c>
      <c r="G445" s="4" t="s">
        <v>36</v>
      </c>
      <c r="H445" s="4" t="s">
        <v>628</v>
      </c>
      <c r="I445" s="4" t="s">
        <v>629</v>
      </c>
      <c r="J445" s="4" t="s">
        <v>630</v>
      </c>
      <c r="L445" s="4" t="s">
        <v>40</v>
      </c>
      <c r="M445" s="4">
        <v>1</v>
      </c>
      <c r="N445" s="4">
        <v>30</v>
      </c>
      <c r="O445" s="4">
        <v>30</v>
      </c>
      <c r="P445" s="4" t="s">
        <v>41</v>
      </c>
      <c r="Q445" s="4">
        <v>269.3</v>
      </c>
      <c r="R445" s="4">
        <v>269.3</v>
      </c>
      <c r="S445" s="4">
        <v>403.95</v>
      </c>
      <c r="T445" s="4">
        <v>8079</v>
      </c>
      <c r="U445" s="4">
        <v>5</v>
      </c>
      <c r="V445" s="4" t="s">
        <v>42</v>
      </c>
      <c r="X445" s="7" t="str">
        <f t="shared" si="15"/>
        <v>441857191</v>
      </c>
      <c r="Y445" s="8" t="str">
        <f t="shared" si="16"/>
        <v>DC</v>
      </c>
      <c r="Z445" s="8">
        <f t="shared" si="17"/>
        <v>30</v>
      </c>
      <c r="AA445" s="8">
        <f t="shared" si="18"/>
        <v>0</v>
      </c>
      <c r="AB445" s="8">
        <f t="shared" si="19"/>
        <v>0</v>
      </c>
      <c r="AC445" s="8">
        <f t="shared" si="20"/>
        <v>0</v>
      </c>
      <c r="AD445" s="8">
        <f t="shared" si="21"/>
        <v>0</v>
      </c>
      <c r="AE445" s="9" t="str" cm="1">
        <f t="array" ref="AE445">IFERROR(_xlfn.XLOOKUP(H445,Sheet1!$G:$G,Sheet1!$F:$F),IFERROR(_xlfn.XLOOKUP(1,(--($X$2:$X$1074=X445))*(--ISNUMBER(MATCH($H$2:$H$1074,Sheet1!$G:$G,0))),_xlfn.XLOOKUP($H$2:$H$1074,Sheet1!$G:$G,Sheet1!$F:$F,"")),"NOT FOUND"))</f>
        <v>RETKRTSFUT4330</v>
      </c>
      <c r="AF445" s="10" t="str">
        <f t="shared" si="26"/>
        <v>MAGENTA</v>
      </c>
      <c r="AG445" s="11" t="str">
        <f t="shared" si="27"/>
        <v>JHAJJAR</v>
      </c>
      <c r="AH445" s="9" t="str">
        <f>IF(OR(J445="",AE445="",AE445="NOT FOUND"),"",IF(Y445="RP",IFERROR(LEFT(_xlfn.XLOOKUP(AE445,Sheet1!$F:$F,Sheet1!$W:$W),FIND("-",_xlfn.XLOOKUP(AE445,Sheet1!$F:$F,Sheet1!$W:$W),FIND("-",_xlfn.XLOOKUP(AE445,Sheet1!$F:$F,Sheet1!$W:$W))+1))&amp;AE445,"NOT FOUND"),LEFT(J445,FIND("-",J445,FIND("-",J445)+1))&amp;AE445))</f>
        <v>KRTS-APSU26-RETKRTSFUT4330</v>
      </c>
    </row>
    <row r="446" spans="1:34" ht="15.75" customHeight="1" x14ac:dyDescent="0.2">
      <c r="A446" s="4" t="s">
        <v>59</v>
      </c>
      <c r="B446" s="4" t="s">
        <v>690</v>
      </c>
      <c r="C446" s="4" t="s">
        <v>597</v>
      </c>
      <c r="D446" s="4" t="s">
        <v>598</v>
      </c>
      <c r="E446" s="4" t="s">
        <v>34</v>
      </c>
      <c r="F446" s="4" t="s">
        <v>35</v>
      </c>
      <c r="G446" s="4" t="s">
        <v>43</v>
      </c>
      <c r="H446" s="4" t="s">
        <v>631</v>
      </c>
      <c r="I446" s="4" t="s">
        <v>632</v>
      </c>
      <c r="J446" s="4" t="s">
        <v>633</v>
      </c>
      <c r="L446" s="4" t="s">
        <v>40</v>
      </c>
      <c r="M446" s="4">
        <v>1</v>
      </c>
      <c r="N446" s="4">
        <v>112</v>
      </c>
      <c r="O446" s="4">
        <v>112</v>
      </c>
      <c r="P446" s="4" t="s">
        <v>41</v>
      </c>
      <c r="Q446" s="4">
        <v>269.3</v>
      </c>
      <c r="R446" s="4">
        <v>269.3</v>
      </c>
      <c r="S446" s="4">
        <v>1508.08</v>
      </c>
      <c r="T446" s="4">
        <v>30161.599999999999</v>
      </c>
      <c r="U446" s="4">
        <v>5</v>
      </c>
      <c r="V446" s="4" t="s">
        <v>42</v>
      </c>
      <c r="X446" s="7" t="str">
        <f t="shared" si="15"/>
        <v>441857191</v>
      </c>
      <c r="Y446" s="8" t="str">
        <f t="shared" si="16"/>
        <v>DC</v>
      </c>
      <c r="Z446" s="8">
        <f t="shared" si="17"/>
        <v>0</v>
      </c>
      <c r="AA446" s="8">
        <f t="shared" si="18"/>
        <v>112</v>
      </c>
      <c r="AB446" s="8">
        <f t="shared" si="19"/>
        <v>0</v>
      </c>
      <c r="AC446" s="8">
        <f t="shared" si="20"/>
        <v>0</v>
      </c>
      <c r="AD446" s="8">
        <f t="shared" si="21"/>
        <v>0</v>
      </c>
      <c r="AE446" s="9" t="str" cm="1">
        <f t="array" ref="AE446">IFERROR(_xlfn.XLOOKUP(H446,Sheet1!$G:$G,Sheet1!$F:$F),IFERROR(_xlfn.XLOOKUP(1,(--($X$2:$X$1074=X446))*(--ISNUMBER(MATCH($H$2:$H$1074,Sheet1!$G:$G,0))),_xlfn.XLOOKUP($H$2:$H$1074,Sheet1!$G:$G,Sheet1!$F:$F,"")),"NOT FOUND"))</f>
        <v>RETKRTSFUT4330</v>
      </c>
      <c r="AF446" s="10" t="str">
        <f t="shared" si="26"/>
        <v>MAGENTA</v>
      </c>
      <c r="AG446" s="11" t="str">
        <f t="shared" si="27"/>
        <v>JHAJJAR</v>
      </c>
      <c r="AH446" s="9" t="str">
        <f>IF(OR(J446="",AE446="",AE446="NOT FOUND"),"",IF(Y446="RP",IFERROR(LEFT(_xlfn.XLOOKUP(AE446,Sheet1!$F:$F,Sheet1!$W:$W),FIND("-",_xlfn.XLOOKUP(AE446,Sheet1!$F:$F,Sheet1!$W:$W),FIND("-",_xlfn.XLOOKUP(AE446,Sheet1!$F:$F,Sheet1!$W:$W))+1))&amp;AE446,"NOT FOUND"),LEFT(J446,FIND("-",J446,FIND("-",J446)+1))&amp;AE446))</f>
        <v>KRTS-APSU26-RETKRTSFUT4330</v>
      </c>
    </row>
    <row r="447" spans="1:34" ht="15.75" customHeight="1" x14ac:dyDescent="0.2">
      <c r="A447" s="4" t="s">
        <v>59</v>
      </c>
      <c r="B447" s="4" t="s">
        <v>690</v>
      </c>
      <c r="C447" s="4" t="s">
        <v>597</v>
      </c>
      <c r="D447" s="4" t="s">
        <v>598</v>
      </c>
      <c r="E447" s="4" t="s">
        <v>34</v>
      </c>
      <c r="F447" s="4" t="s">
        <v>35</v>
      </c>
      <c r="G447" s="4" t="s">
        <v>47</v>
      </c>
      <c r="H447" s="4" t="s">
        <v>634</v>
      </c>
      <c r="I447" s="4" t="s">
        <v>635</v>
      </c>
      <c r="J447" s="4" t="s">
        <v>636</v>
      </c>
      <c r="L447" s="4" t="s">
        <v>40</v>
      </c>
      <c r="M447" s="4">
        <v>1</v>
      </c>
      <c r="N447" s="4">
        <v>126</v>
      </c>
      <c r="O447" s="4">
        <v>126</v>
      </c>
      <c r="P447" s="4" t="s">
        <v>41</v>
      </c>
      <c r="Q447" s="4">
        <v>269.3</v>
      </c>
      <c r="R447" s="4">
        <v>269.3</v>
      </c>
      <c r="S447" s="4">
        <v>1696.59</v>
      </c>
      <c r="T447" s="4">
        <v>33931.800000000003</v>
      </c>
      <c r="U447" s="4">
        <v>5</v>
      </c>
      <c r="V447" s="4" t="s">
        <v>42</v>
      </c>
      <c r="X447" s="7" t="str">
        <f t="shared" si="15"/>
        <v>441857191</v>
      </c>
      <c r="Y447" s="8" t="str">
        <f t="shared" si="16"/>
        <v>DC</v>
      </c>
      <c r="Z447" s="8">
        <f t="shared" si="17"/>
        <v>0</v>
      </c>
      <c r="AA447" s="8">
        <f t="shared" si="18"/>
        <v>0</v>
      </c>
      <c r="AB447" s="8">
        <f t="shared" si="19"/>
        <v>126</v>
      </c>
      <c r="AC447" s="8">
        <f t="shared" si="20"/>
        <v>0</v>
      </c>
      <c r="AD447" s="8">
        <f t="shared" si="21"/>
        <v>0</v>
      </c>
      <c r="AE447" s="9" t="str" cm="1">
        <f t="array" ref="AE447">IFERROR(_xlfn.XLOOKUP(H447,Sheet1!$G:$G,Sheet1!$F:$F),IFERROR(_xlfn.XLOOKUP(1,(--($X$2:$X$1074=X447))*(--ISNUMBER(MATCH($H$2:$H$1074,Sheet1!$G:$G,0))),_xlfn.XLOOKUP($H$2:$H$1074,Sheet1!$G:$G,Sheet1!$F:$F,"")),"NOT FOUND"))</f>
        <v>RETKRTSFUT4330</v>
      </c>
      <c r="AF447" s="10" t="str">
        <f t="shared" si="26"/>
        <v>MAGENTA</v>
      </c>
      <c r="AG447" s="11" t="str">
        <f t="shared" si="27"/>
        <v>JHAJJAR</v>
      </c>
      <c r="AH447" s="9" t="str">
        <f>IF(OR(J447="",AE447="",AE447="NOT FOUND"),"",IF(Y447="RP",IFERROR(LEFT(_xlfn.XLOOKUP(AE447,Sheet1!$F:$F,Sheet1!$W:$W),FIND("-",_xlfn.XLOOKUP(AE447,Sheet1!$F:$F,Sheet1!$W:$W),FIND("-",_xlfn.XLOOKUP(AE447,Sheet1!$F:$F,Sheet1!$W:$W))+1))&amp;AE447,"NOT FOUND"),LEFT(J447,FIND("-",J447,FIND("-",J447)+1))&amp;AE447))</f>
        <v>KRTS-APSU26-RETKRTSFUT4330</v>
      </c>
    </row>
    <row r="448" spans="1:34" ht="15.75" customHeight="1" x14ac:dyDescent="0.2">
      <c r="A448" s="4" t="s">
        <v>59</v>
      </c>
      <c r="B448" s="4" t="s">
        <v>690</v>
      </c>
      <c r="C448" s="4" t="s">
        <v>597</v>
      </c>
      <c r="D448" s="4" t="s">
        <v>598</v>
      </c>
      <c r="E448" s="4" t="s">
        <v>34</v>
      </c>
      <c r="F448" s="4" t="s">
        <v>35</v>
      </c>
      <c r="G448" s="4" t="s">
        <v>51</v>
      </c>
      <c r="H448" s="4" t="s">
        <v>637</v>
      </c>
      <c r="I448" s="4" t="s">
        <v>638</v>
      </c>
      <c r="J448" s="4" t="s">
        <v>639</v>
      </c>
      <c r="L448" s="4" t="s">
        <v>40</v>
      </c>
      <c r="M448" s="4">
        <v>1</v>
      </c>
      <c r="N448" s="4">
        <v>147</v>
      </c>
      <c r="O448" s="4">
        <v>147</v>
      </c>
      <c r="P448" s="4" t="s">
        <v>41</v>
      </c>
      <c r="Q448" s="4">
        <v>269.3</v>
      </c>
      <c r="R448" s="4">
        <v>269.3</v>
      </c>
      <c r="S448" s="4">
        <v>1979.36</v>
      </c>
      <c r="T448" s="4">
        <v>39587.1</v>
      </c>
      <c r="U448" s="4">
        <v>5</v>
      </c>
      <c r="V448" s="4" t="s">
        <v>42</v>
      </c>
      <c r="X448" s="7" t="str">
        <f t="shared" si="15"/>
        <v>441857191</v>
      </c>
      <c r="Y448" s="8" t="str">
        <f t="shared" si="16"/>
        <v>DC</v>
      </c>
      <c r="Z448" s="8">
        <f t="shared" si="17"/>
        <v>0</v>
      </c>
      <c r="AA448" s="8">
        <f t="shared" si="18"/>
        <v>0</v>
      </c>
      <c r="AB448" s="8">
        <f t="shared" si="19"/>
        <v>0</v>
      </c>
      <c r="AC448" s="8">
        <f t="shared" si="20"/>
        <v>147</v>
      </c>
      <c r="AD448" s="8">
        <f t="shared" si="21"/>
        <v>0</v>
      </c>
      <c r="AE448" s="9" t="str" cm="1">
        <f t="array" ref="AE448">IFERROR(_xlfn.XLOOKUP(H448,Sheet1!$G:$G,Sheet1!$F:$F),IFERROR(_xlfn.XLOOKUP(1,(--($X$2:$X$1074=X448))*(--ISNUMBER(MATCH($H$2:$H$1074,Sheet1!$G:$G,0))),_xlfn.XLOOKUP($H$2:$H$1074,Sheet1!$G:$G,Sheet1!$F:$F,"")),"NOT FOUND"))</f>
        <v>RETKRTSFUT4330</v>
      </c>
      <c r="AF448" s="10" t="str">
        <f t="shared" si="26"/>
        <v>MAGENTA</v>
      </c>
      <c r="AG448" s="11" t="str">
        <f t="shared" si="27"/>
        <v>JHAJJAR</v>
      </c>
      <c r="AH448" s="9" t="str">
        <f>IF(OR(J448="",AE448="",AE448="NOT FOUND"),"",IF(Y448="RP",IFERROR(LEFT(_xlfn.XLOOKUP(AE448,Sheet1!$F:$F,Sheet1!$W:$W),FIND("-",_xlfn.XLOOKUP(AE448,Sheet1!$F:$F,Sheet1!$W:$W),FIND("-",_xlfn.XLOOKUP(AE448,Sheet1!$F:$F,Sheet1!$W:$W))+1))&amp;AE448,"NOT FOUND"),LEFT(J448,FIND("-",J448,FIND("-",J448)+1))&amp;AE448))</f>
        <v>KRTS-APSU26-RETKRTSFUT4330</v>
      </c>
    </row>
    <row r="449" spans="1:34" ht="15.75" customHeight="1" x14ac:dyDescent="0.2">
      <c r="A449" s="4" t="s">
        <v>59</v>
      </c>
      <c r="B449" s="4" t="s">
        <v>690</v>
      </c>
      <c r="C449" s="4" t="s">
        <v>597</v>
      </c>
      <c r="D449" s="4" t="s">
        <v>598</v>
      </c>
      <c r="E449" s="4" t="s">
        <v>34</v>
      </c>
      <c r="F449" s="4" t="s">
        <v>35</v>
      </c>
      <c r="G449" s="4" t="s">
        <v>55</v>
      </c>
      <c r="H449" s="4" t="s">
        <v>640</v>
      </c>
      <c r="I449" s="4" t="s">
        <v>641</v>
      </c>
      <c r="J449" s="4" t="s">
        <v>642</v>
      </c>
      <c r="L449" s="4" t="s">
        <v>40</v>
      </c>
      <c r="M449" s="4">
        <v>1</v>
      </c>
      <c r="N449" s="4">
        <v>30</v>
      </c>
      <c r="O449" s="4">
        <v>30</v>
      </c>
      <c r="P449" s="4" t="s">
        <v>41</v>
      </c>
      <c r="Q449" s="4">
        <v>269.3</v>
      </c>
      <c r="R449" s="4">
        <v>269.3</v>
      </c>
      <c r="S449" s="4">
        <v>403.95</v>
      </c>
      <c r="T449" s="4">
        <v>8079</v>
      </c>
      <c r="U449" s="4">
        <v>5</v>
      </c>
      <c r="V449" s="4" t="s">
        <v>42</v>
      </c>
      <c r="X449" s="7" t="str">
        <f t="shared" si="15"/>
        <v>441857191</v>
      </c>
      <c r="Y449" s="8" t="str">
        <f t="shared" si="16"/>
        <v>DC</v>
      </c>
      <c r="Z449" s="8">
        <f t="shared" si="17"/>
        <v>0</v>
      </c>
      <c r="AA449" s="8">
        <f t="shared" si="18"/>
        <v>0</v>
      </c>
      <c r="AB449" s="8">
        <f t="shared" si="19"/>
        <v>0</v>
      </c>
      <c r="AC449" s="8">
        <f t="shared" si="20"/>
        <v>0</v>
      </c>
      <c r="AD449" s="8">
        <f t="shared" si="21"/>
        <v>30</v>
      </c>
      <c r="AE449" s="9" t="str" cm="1">
        <f t="array" ref="AE449">IFERROR(_xlfn.XLOOKUP(H449,Sheet1!$G:$G,Sheet1!$F:$F),IFERROR(_xlfn.XLOOKUP(1,(--($X$2:$X$1074=X449))*(--ISNUMBER(MATCH($H$2:$H$1074,Sheet1!$G:$G,0))),_xlfn.XLOOKUP($H$2:$H$1074,Sheet1!$G:$G,Sheet1!$F:$F,"")),"NOT FOUND"))</f>
        <v>RETKRTSFUT4330</v>
      </c>
      <c r="AF449" s="10" t="str">
        <f t="shared" si="26"/>
        <v>MAGENTA</v>
      </c>
      <c r="AG449" s="11" t="str">
        <f t="shared" si="27"/>
        <v>JHAJJAR</v>
      </c>
      <c r="AH449" s="9" t="str">
        <f>IF(OR(J449="",AE449="",AE449="NOT FOUND"),"",IF(Y449="RP",IFERROR(LEFT(_xlfn.XLOOKUP(AE449,Sheet1!$F:$F,Sheet1!$W:$W),FIND("-",_xlfn.XLOOKUP(AE449,Sheet1!$F:$F,Sheet1!$W:$W),FIND("-",_xlfn.XLOOKUP(AE449,Sheet1!$F:$F,Sheet1!$W:$W))+1))&amp;AE449,"NOT FOUND"),LEFT(J449,FIND("-",J449,FIND("-",J449)+1))&amp;AE449))</f>
        <v>KRTS-APSU26-RETKRTSFUT4330</v>
      </c>
    </row>
    <row r="450" spans="1:34" ht="15.75" customHeight="1" x14ac:dyDescent="0.2">
      <c r="A450" s="4" t="s">
        <v>30</v>
      </c>
      <c r="B450" s="4" t="s">
        <v>691</v>
      </c>
      <c r="C450" s="4" t="s">
        <v>597</v>
      </c>
      <c r="D450" s="4" t="s">
        <v>598</v>
      </c>
      <c r="E450" s="4" t="s">
        <v>34</v>
      </c>
      <c r="F450" s="4" t="s">
        <v>35</v>
      </c>
      <c r="G450" s="4" t="s">
        <v>36</v>
      </c>
      <c r="H450" s="4" t="s">
        <v>692</v>
      </c>
      <c r="I450" s="4" t="s">
        <v>693</v>
      </c>
      <c r="J450" s="4" t="s">
        <v>694</v>
      </c>
      <c r="L450" s="4" t="s">
        <v>40</v>
      </c>
      <c r="M450" s="4">
        <v>1</v>
      </c>
      <c r="N450" s="4">
        <v>30</v>
      </c>
      <c r="O450" s="4">
        <v>30</v>
      </c>
      <c r="P450" s="4" t="s">
        <v>41</v>
      </c>
      <c r="Q450" s="4">
        <v>264.3</v>
      </c>
      <c r="R450" s="4">
        <v>264.3</v>
      </c>
      <c r="S450" s="4">
        <v>396.45</v>
      </c>
      <c r="T450" s="4">
        <v>7929</v>
      </c>
      <c r="U450" s="4">
        <v>5</v>
      </c>
      <c r="V450" s="4" t="s">
        <v>42</v>
      </c>
      <c r="X450" s="7" t="str">
        <f t="shared" si="15"/>
        <v>441857187</v>
      </c>
      <c r="Y450" s="8" t="str">
        <f t="shared" si="16"/>
        <v>DC</v>
      </c>
      <c r="Z450" s="8">
        <f t="shared" si="17"/>
        <v>30</v>
      </c>
      <c r="AA450" s="8">
        <f t="shared" si="18"/>
        <v>0</v>
      </c>
      <c r="AB450" s="8">
        <f t="shared" si="19"/>
        <v>0</v>
      </c>
      <c r="AC450" s="8">
        <f t="shared" si="20"/>
        <v>0</v>
      </c>
      <c r="AD450" s="8">
        <f t="shared" si="21"/>
        <v>0</v>
      </c>
      <c r="AE450" s="9" t="str" cm="1">
        <f t="array" ref="AE450">IFERROR(_xlfn.XLOOKUP(H450,Sheet1!$G:$G,Sheet1!$F:$F),IFERROR(_xlfn.XLOOKUP(1,(--($X$2:$X$1074=X450))*(--ISNUMBER(MATCH($H$2:$H$1074,Sheet1!$G:$G,0))),_xlfn.XLOOKUP($H$2:$H$1074,Sheet1!$G:$G,Sheet1!$F:$F,"")),"NOT FOUND"))</f>
        <v>RETKRTSFUT4316</v>
      </c>
      <c r="AF450" s="10" t="str">
        <f t="shared" si="26"/>
        <v>FUCHSIA</v>
      </c>
      <c r="AG450" s="11" t="str">
        <f t="shared" si="27"/>
        <v>Bangalore</v>
      </c>
      <c r="AH450" s="9" t="str">
        <f>IF(OR(J450="",AE450="",AE450="NOT FOUND"),"",IF(Y450="RP",IFERROR(LEFT(_xlfn.XLOOKUP(AE450,Sheet1!$F:$F,Sheet1!$W:$W),FIND("-",_xlfn.XLOOKUP(AE450,Sheet1!$F:$F,Sheet1!$W:$W),FIND("-",_xlfn.XLOOKUP(AE450,Sheet1!$F:$F,Sheet1!$W:$W))+1))&amp;AE450,"NOT FOUND"),LEFT(J450,FIND("-",J450,FIND("-",J450)+1))&amp;AE450))</f>
        <v>KRTS-APSU26-RETKRTSFUT4316</v>
      </c>
    </row>
    <row r="451" spans="1:34" ht="15.75" customHeight="1" x14ac:dyDescent="0.2">
      <c r="A451" s="4" t="s">
        <v>30</v>
      </c>
      <c r="B451" s="4" t="s">
        <v>691</v>
      </c>
      <c r="C451" s="4" t="s">
        <v>597</v>
      </c>
      <c r="D451" s="4" t="s">
        <v>598</v>
      </c>
      <c r="E451" s="4" t="s">
        <v>34</v>
      </c>
      <c r="F451" s="4" t="s">
        <v>35</v>
      </c>
      <c r="G451" s="4" t="s">
        <v>43</v>
      </c>
      <c r="H451" s="4" t="s">
        <v>695</v>
      </c>
      <c r="I451" s="4" t="s">
        <v>696</v>
      </c>
      <c r="J451" s="4" t="s">
        <v>697</v>
      </c>
      <c r="L451" s="4" t="s">
        <v>40</v>
      </c>
      <c r="M451" s="4">
        <v>1</v>
      </c>
      <c r="N451" s="4">
        <v>222</v>
      </c>
      <c r="O451" s="4">
        <v>222</v>
      </c>
      <c r="P451" s="4" t="s">
        <v>41</v>
      </c>
      <c r="Q451" s="4">
        <v>264.3</v>
      </c>
      <c r="R451" s="4">
        <v>264.3</v>
      </c>
      <c r="S451" s="4">
        <v>2933.73</v>
      </c>
      <c r="T451" s="4">
        <v>58674.6</v>
      </c>
      <c r="U451" s="4">
        <v>5</v>
      </c>
      <c r="V451" s="4" t="s">
        <v>42</v>
      </c>
      <c r="X451" s="7" t="str">
        <f t="shared" si="15"/>
        <v>441857187</v>
      </c>
      <c r="Y451" s="8" t="str">
        <f t="shared" si="16"/>
        <v>DC</v>
      </c>
      <c r="Z451" s="8">
        <f t="shared" si="17"/>
        <v>0</v>
      </c>
      <c r="AA451" s="8">
        <f t="shared" si="18"/>
        <v>222</v>
      </c>
      <c r="AB451" s="8">
        <f t="shared" si="19"/>
        <v>0</v>
      </c>
      <c r="AC451" s="8">
        <f t="shared" si="20"/>
        <v>0</v>
      </c>
      <c r="AD451" s="8">
        <f t="shared" si="21"/>
        <v>0</v>
      </c>
      <c r="AE451" s="9" t="str" cm="1">
        <f t="array" ref="AE451">IFERROR(_xlfn.XLOOKUP(H451,Sheet1!$G:$G,Sheet1!$F:$F),IFERROR(_xlfn.XLOOKUP(1,(--($X$2:$X$1074=X451))*(--ISNUMBER(MATCH($H$2:$H$1074,Sheet1!$G:$G,0))),_xlfn.XLOOKUP($H$2:$H$1074,Sheet1!$G:$G,Sheet1!$F:$F,"")),"NOT FOUND"))</f>
        <v>RETKRTSFUT4316</v>
      </c>
      <c r="AF451" s="10" t="str">
        <f t="shared" ref="AF451:AF514" si="28">IFERROR(IF(ISNUMBER(SEARCH("(RP)",J451)),TRIM(SUBSTITUTE(MID(J451,10,LEN(J451)),"(RP)","")),TRIM(MID(J451,FIND(",",J451)+1,FIND(",",J451,FIND(",",J451)+1)-FIND(",",J451)-1))),"")</f>
        <v>FUCHSIA</v>
      </c>
      <c r="AG451" s="11" t="str">
        <f t="shared" ref="AG451:AG514" si="29">IF(A451="SZAF","Bangalore",IF(A451="SAEX","JHAJJAR",IF(A451="S0EU","HARIPAL","")))</f>
        <v>Bangalore</v>
      </c>
      <c r="AH451" s="9" t="str">
        <f>IF(OR(J451="",AE451="",AE451="NOT FOUND"),"",IF(Y451="RP",IFERROR(LEFT(_xlfn.XLOOKUP(AE451,Sheet1!$F:$F,Sheet1!$W:$W),FIND("-",_xlfn.XLOOKUP(AE451,Sheet1!$F:$F,Sheet1!$W:$W),FIND("-",_xlfn.XLOOKUP(AE451,Sheet1!$F:$F,Sheet1!$W:$W))+1))&amp;AE451,"NOT FOUND"),LEFT(J451,FIND("-",J451,FIND("-",J451)+1))&amp;AE451))</f>
        <v>KRTS-APSU26-RETKRTSFUT4316</v>
      </c>
    </row>
    <row r="452" spans="1:34" ht="15.75" customHeight="1" x14ac:dyDescent="0.2">
      <c r="A452" s="4" t="s">
        <v>30</v>
      </c>
      <c r="B452" s="4" t="s">
        <v>691</v>
      </c>
      <c r="C452" s="4" t="s">
        <v>597</v>
      </c>
      <c r="D452" s="4" t="s">
        <v>598</v>
      </c>
      <c r="E452" s="4" t="s">
        <v>34</v>
      </c>
      <c r="F452" s="4" t="s">
        <v>35</v>
      </c>
      <c r="G452" s="4" t="s">
        <v>47</v>
      </c>
      <c r="H452" s="4" t="s">
        <v>698</v>
      </c>
      <c r="I452" s="4" t="s">
        <v>699</v>
      </c>
      <c r="J452" s="4" t="s">
        <v>700</v>
      </c>
      <c r="L452" s="4" t="s">
        <v>40</v>
      </c>
      <c r="M452" s="4">
        <v>1</v>
      </c>
      <c r="N452" s="4">
        <v>250</v>
      </c>
      <c r="O452" s="4">
        <v>250</v>
      </c>
      <c r="P452" s="4" t="s">
        <v>41</v>
      </c>
      <c r="Q452" s="4">
        <v>264.3</v>
      </c>
      <c r="R452" s="4">
        <v>264.3</v>
      </c>
      <c r="S452" s="4">
        <v>3303.75</v>
      </c>
      <c r="T452" s="4">
        <v>66075</v>
      </c>
      <c r="U452" s="4">
        <v>5</v>
      </c>
      <c r="V452" s="4" t="s">
        <v>42</v>
      </c>
      <c r="X452" s="7" t="str">
        <f t="shared" si="15"/>
        <v>441857187</v>
      </c>
      <c r="Y452" s="8" t="str">
        <f t="shared" si="16"/>
        <v>DC</v>
      </c>
      <c r="Z452" s="8">
        <f t="shared" si="17"/>
        <v>0</v>
      </c>
      <c r="AA452" s="8">
        <f t="shared" si="18"/>
        <v>0</v>
      </c>
      <c r="AB452" s="8">
        <f t="shared" si="19"/>
        <v>250</v>
      </c>
      <c r="AC452" s="8">
        <f t="shared" si="20"/>
        <v>0</v>
      </c>
      <c r="AD452" s="8">
        <f t="shared" si="21"/>
        <v>0</v>
      </c>
      <c r="AE452" s="9" t="str" cm="1">
        <f t="array" ref="AE452">IFERROR(_xlfn.XLOOKUP(H452,Sheet1!$G:$G,Sheet1!$F:$F),IFERROR(_xlfn.XLOOKUP(1,(--($X$2:$X$1074=X452))*(--ISNUMBER(MATCH($H$2:$H$1074,Sheet1!$G:$G,0))),_xlfn.XLOOKUP($H$2:$H$1074,Sheet1!$G:$G,Sheet1!$F:$F,"")),"NOT FOUND"))</f>
        <v>RETKRTSFUT4316</v>
      </c>
      <c r="AF452" s="10" t="str">
        <f t="shared" si="28"/>
        <v>FUCHSIA</v>
      </c>
      <c r="AG452" s="11" t="str">
        <f t="shared" si="29"/>
        <v>Bangalore</v>
      </c>
      <c r="AH452" s="9" t="str">
        <f>IF(OR(J452="",AE452="",AE452="NOT FOUND"),"",IF(Y452="RP",IFERROR(LEFT(_xlfn.XLOOKUP(AE452,Sheet1!$F:$F,Sheet1!$W:$W),FIND("-",_xlfn.XLOOKUP(AE452,Sheet1!$F:$F,Sheet1!$W:$W),FIND("-",_xlfn.XLOOKUP(AE452,Sheet1!$F:$F,Sheet1!$W:$W))+1))&amp;AE452,"NOT FOUND"),LEFT(J452,FIND("-",J452,FIND("-",J452)+1))&amp;AE452))</f>
        <v>KRTS-APSU26-RETKRTSFUT4316</v>
      </c>
    </row>
    <row r="453" spans="1:34" ht="15.75" customHeight="1" x14ac:dyDescent="0.2">
      <c r="A453" s="4" t="s">
        <v>30</v>
      </c>
      <c r="B453" s="4" t="s">
        <v>691</v>
      </c>
      <c r="C453" s="4" t="s">
        <v>597</v>
      </c>
      <c r="D453" s="4" t="s">
        <v>598</v>
      </c>
      <c r="E453" s="4" t="s">
        <v>34</v>
      </c>
      <c r="F453" s="4" t="s">
        <v>35</v>
      </c>
      <c r="G453" s="4" t="s">
        <v>51</v>
      </c>
      <c r="H453" s="4" t="s">
        <v>701</v>
      </c>
      <c r="I453" s="4" t="s">
        <v>702</v>
      </c>
      <c r="J453" s="4" t="s">
        <v>703</v>
      </c>
      <c r="L453" s="4" t="s">
        <v>40</v>
      </c>
      <c r="M453" s="4">
        <v>1</v>
      </c>
      <c r="N453" s="4">
        <v>292</v>
      </c>
      <c r="O453" s="4">
        <v>292</v>
      </c>
      <c r="P453" s="4" t="s">
        <v>41</v>
      </c>
      <c r="Q453" s="4">
        <v>264.3</v>
      </c>
      <c r="R453" s="4">
        <v>264.3</v>
      </c>
      <c r="S453" s="4">
        <v>3858.78</v>
      </c>
      <c r="T453" s="4">
        <v>77175.600000000006</v>
      </c>
      <c r="U453" s="4">
        <v>5</v>
      </c>
      <c r="V453" s="4" t="s">
        <v>42</v>
      </c>
      <c r="X453" s="7" t="str">
        <f t="shared" si="15"/>
        <v>441857187</v>
      </c>
      <c r="Y453" s="8" t="str">
        <f t="shared" si="16"/>
        <v>DC</v>
      </c>
      <c r="Z453" s="8">
        <f t="shared" si="17"/>
        <v>0</v>
      </c>
      <c r="AA453" s="8">
        <f t="shared" si="18"/>
        <v>0</v>
      </c>
      <c r="AB453" s="8">
        <f t="shared" si="19"/>
        <v>0</v>
      </c>
      <c r="AC453" s="8">
        <f t="shared" si="20"/>
        <v>292</v>
      </c>
      <c r="AD453" s="8">
        <f t="shared" si="21"/>
        <v>0</v>
      </c>
      <c r="AE453" s="9" t="str" cm="1">
        <f t="array" ref="AE453">IFERROR(_xlfn.XLOOKUP(H453,Sheet1!$G:$G,Sheet1!$F:$F),IFERROR(_xlfn.XLOOKUP(1,(--($X$2:$X$1074=X453))*(--ISNUMBER(MATCH($H$2:$H$1074,Sheet1!$G:$G,0))),_xlfn.XLOOKUP($H$2:$H$1074,Sheet1!$G:$G,Sheet1!$F:$F,"")),"NOT FOUND"))</f>
        <v>RETKRTSFUT4316</v>
      </c>
      <c r="AF453" s="10" t="str">
        <f t="shared" si="28"/>
        <v>FUCHSIA</v>
      </c>
      <c r="AG453" s="11" t="str">
        <f t="shared" si="29"/>
        <v>Bangalore</v>
      </c>
      <c r="AH453" s="9" t="str">
        <f>IF(OR(J453="",AE453="",AE453="NOT FOUND"),"",IF(Y453="RP",IFERROR(LEFT(_xlfn.XLOOKUP(AE453,Sheet1!$F:$F,Sheet1!$W:$W),FIND("-",_xlfn.XLOOKUP(AE453,Sheet1!$F:$F,Sheet1!$W:$W),FIND("-",_xlfn.XLOOKUP(AE453,Sheet1!$F:$F,Sheet1!$W:$W))+1))&amp;AE453,"NOT FOUND"),LEFT(J453,FIND("-",J453,FIND("-",J453)+1))&amp;AE453))</f>
        <v>KRTS-APSU26-RETKRTSFUT4316</v>
      </c>
    </row>
    <row r="454" spans="1:34" ht="15.75" customHeight="1" x14ac:dyDescent="0.2">
      <c r="A454" s="4" t="s">
        <v>30</v>
      </c>
      <c r="B454" s="4" t="s">
        <v>691</v>
      </c>
      <c r="C454" s="4" t="s">
        <v>597</v>
      </c>
      <c r="D454" s="4" t="s">
        <v>598</v>
      </c>
      <c r="E454" s="4" t="s">
        <v>34</v>
      </c>
      <c r="F454" s="4" t="s">
        <v>35</v>
      </c>
      <c r="G454" s="4" t="s">
        <v>55</v>
      </c>
      <c r="H454" s="4" t="s">
        <v>704</v>
      </c>
      <c r="I454" s="4" t="s">
        <v>705</v>
      </c>
      <c r="J454" s="4" t="s">
        <v>706</v>
      </c>
      <c r="L454" s="4" t="s">
        <v>40</v>
      </c>
      <c r="M454" s="4">
        <v>1</v>
      </c>
      <c r="N454" s="4">
        <v>56</v>
      </c>
      <c r="O454" s="4">
        <v>56</v>
      </c>
      <c r="P454" s="4" t="s">
        <v>41</v>
      </c>
      <c r="Q454" s="4">
        <v>264.3</v>
      </c>
      <c r="R454" s="4">
        <v>264.3</v>
      </c>
      <c r="S454" s="4">
        <v>740.04</v>
      </c>
      <c r="T454" s="4">
        <v>14800.8</v>
      </c>
      <c r="U454" s="4">
        <v>5</v>
      </c>
      <c r="V454" s="4" t="s">
        <v>42</v>
      </c>
      <c r="X454" s="7" t="str">
        <f t="shared" si="15"/>
        <v>441857187</v>
      </c>
      <c r="Y454" s="8" t="str">
        <f t="shared" si="16"/>
        <v>DC</v>
      </c>
      <c r="Z454" s="8">
        <f t="shared" si="17"/>
        <v>0</v>
      </c>
      <c r="AA454" s="8">
        <f t="shared" si="18"/>
        <v>0</v>
      </c>
      <c r="AB454" s="8">
        <f t="shared" si="19"/>
        <v>0</v>
      </c>
      <c r="AC454" s="8">
        <f t="shared" si="20"/>
        <v>0</v>
      </c>
      <c r="AD454" s="8">
        <f t="shared" si="21"/>
        <v>56</v>
      </c>
      <c r="AE454" s="9" t="str" cm="1">
        <f t="array" ref="AE454">IFERROR(_xlfn.XLOOKUP(H454,Sheet1!$G:$G,Sheet1!$F:$F),IFERROR(_xlfn.XLOOKUP(1,(--($X$2:$X$1074=X454))*(--ISNUMBER(MATCH($H$2:$H$1074,Sheet1!$G:$G,0))),_xlfn.XLOOKUP($H$2:$H$1074,Sheet1!$G:$G,Sheet1!$F:$F,"")),"NOT FOUND"))</f>
        <v>RETKRTSFUT4316</v>
      </c>
      <c r="AF454" s="10" t="str">
        <f t="shared" si="28"/>
        <v>FUCHSIA</v>
      </c>
      <c r="AG454" s="11" t="str">
        <f t="shared" si="29"/>
        <v>Bangalore</v>
      </c>
      <c r="AH454" s="9" t="str">
        <f>IF(OR(J454="",AE454="",AE454="NOT FOUND"),"",IF(Y454="RP",IFERROR(LEFT(_xlfn.XLOOKUP(AE454,Sheet1!$F:$F,Sheet1!$W:$W),FIND("-",_xlfn.XLOOKUP(AE454,Sheet1!$F:$F,Sheet1!$W:$W),FIND("-",_xlfn.XLOOKUP(AE454,Sheet1!$F:$F,Sheet1!$W:$W))+1))&amp;AE454,"NOT FOUND"),LEFT(J454,FIND("-",J454,FIND("-",J454)+1))&amp;AE454))</f>
        <v>KRTS-APSU26-RETKRTSFUT4316</v>
      </c>
    </row>
    <row r="455" spans="1:34" ht="15.75" customHeight="1" x14ac:dyDescent="0.2">
      <c r="A455" s="4" t="s">
        <v>59</v>
      </c>
      <c r="B455" s="4" t="s">
        <v>707</v>
      </c>
      <c r="C455" s="4" t="s">
        <v>597</v>
      </c>
      <c r="D455" s="4" t="s">
        <v>598</v>
      </c>
      <c r="E455" s="4" t="s">
        <v>34</v>
      </c>
      <c r="F455" s="4" t="s">
        <v>35</v>
      </c>
      <c r="G455" s="4" t="s">
        <v>36</v>
      </c>
      <c r="H455" s="4" t="s">
        <v>644</v>
      </c>
      <c r="I455" s="4" t="s">
        <v>645</v>
      </c>
      <c r="J455" s="4" t="s">
        <v>646</v>
      </c>
      <c r="L455" s="4" t="s">
        <v>40</v>
      </c>
      <c r="M455" s="4">
        <v>1</v>
      </c>
      <c r="N455" s="4">
        <v>30</v>
      </c>
      <c r="O455" s="4">
        <v>30</v>
      </c>
      <c r="P455" s="4" t="s">
        <v>41</v>
      </c>
      <c r="Q455" s="4">
        <v>279.3</v>
      </c>
      <c r="R455" s="4">
        <v>279.3</v>
      </c>
      <c r="S455" s="4">
        <v>418.95</v>
      </c>
      <c r="T455" s="4">
        <v>8379</v>
      </c>
      <c r="U455" s="4">
        <v>5</v>
      </c>
      <c r="V455" s="4" t="s">
        <v>42</v>
      </c>
      <c r="X455" s="7" t="str">
        <f t="shared" si="15"/>
        <v>441857190</v>
      </c>
      <c r="Y455" s="8" t="str">
        <f t="shared" si="16"/>
        <v>DC</v>
      </c>
      <c r="Z455" s="8">
        <f t="shared" si="17"/>
        <v>30</v>
      </c>
      <c r="AA455" s="8">
        <f t="shared" si="18"/>
        <v>0</v>
      </c>
      <c r="AB455" s="8">
        <f t="shared" si="19"/>
        <v>0</v>
      </c>
      <c r="AC455" s="8">
        <f t="shared" si="20"/>
        <v>0</v>
      </c>
      <c r="AD455" s="8">
        <f t="shared" si="21"/>
        <v>0</v>
      </c>
      <c r="AE455" s="9" t="str" cm="1">
        <f t="array" ref="AE455">IFERROR(_xlfn.XLOOKUP(H455,Sheet1!$G:$G,Sheet1!$F:$F),IFERROR(_xlfn.XLOOKUP(1,(--($X$2:$X$1074=X455))*(--ISNUMBER(MATCH($H$2:$H$1074,Sheet1!$G:$G,0))),_xlfn.XLOOKUP($H$2:$H$1074,Sheet1!$G:$G,Sheet1!$F:$F,"")),"NOT FOUND"))</f>
        <v>RETKRTSFUT4329</v>
      </c>
      <c r="AF455" s="10" t="str">
        <f t="shared" si="28"/>
        <v>GREEN</v>
      </c>
      <c r="AG455" s="11" t="str">
        <f t="shared" si="29"/>
        <v>JHAJJAR</v>
      </c>
      <c r="AH455" s="9" t="str">
        <f>IF(OR(J455="",AE455="",AE455="NOT FOUND"),"",IF(Y455="RP",IFERROR(LEFT(_xlfn.XLOOKUP(AE455,Sheet1!$F:$F,Sheet1!$W:$W),FIND("-",_xlfn.XLOOKUP(AE455,Sheet1!$F:$F,Sheet1!$W:$W),FIND("-",_xlfn.XLOOKUP(AE455,Sheet1!$F:$F,Sheet1!$W:$W))+1))&amp;AE455,"NOT FOUND"),LEFT(J455,FIND("-",J455,FIND("-",J455)+1))&amp;AE455))</f>
        <v>KRTS-APSU26-RETKRTSFUT4329</v>
      </c>
    </row>
    <row r="456" spans="1:34" ht="15.75" customHeight="1" x14ac:dyDescent="0.2">
      <c r="A456" s="4" t="s">
        <v>59</v>
      </c>
      <c r="B456" s="4" t="s">
        <v>707</v>
      </c>
      <c r="C456" s="4" t="s">
        <v>597</v>
      </c>
      <c r="D456" s="4" t="s">
        <v>598</v>
      </c>
      <c r="E456" s="4" t="s">
        <v>34</v>
      </c>
      <c r="F456" s="4" t="s">
        <v>35</v>
      </c>
      <c r="G456" s="4" t="s">
        <v>43</v>
      </c>
      <c r="H456" s="4" t="s">
        <v>647</v>
      </c>
      <c r="I456" s="4" t="s">
        <v>648</v>
      </c>
      <c r="J456" s="4" t="s">
        <v>649</v>
      </c>
      <c r="L456" s="4" t="s">
        <v>40</v>
      </c>
      <c r="M456" s="4">
        <v>1</v>
      </c>
      <c r="N456" s="4">
        <v>112</v>
      </c>
      <c r="O456" s="4">
        <v>112</v>
      </c>
      <c r="P456" s="4" t="s">
        <v>41</v>
      </c>
      <c r="Q456" s="4">
        <v>279.3</v>
      </c>
      <c r="R456" s="4">
        <v>279.3</v>
      </c>
      <c r="S456" s="4">
        <v>1564.08</v>
      </c>
      <c r="T456" s="4">
        <v>31281.599999999999</v>
      </c>
      <c r="U456" s="4">
        <v>5</v>
      </c>
      <c r="V456" s="4" t="s">
        <v>42</v>
      </c>
      <c r="X456" s="7" t="str">
        <f t="shared" si="15"/>
        <v>441857190</v>
      </c>
      <c r="Y456" s="8" t="str">
        <f t="shared" si="16"/>
        <v>DC</v>
      </c>
      <c r="Z456" s="8">
        <f t="shared" si="17"/>
        <v>0</v>
      </c>
      <c r="AA456" s="8">
        <f t="shared" si="18"/>
        <v>112</v>
      </c>
      <c r="AB456" s="8">
        <f t="shared" si="19"/>
        <v>0</v>
      </c>
      <c r="AC456" s="8">
        <f t="shared" si="20"/>
        <v>0</v>
      </c>
      <c r="AD456" s="8">
        <f t="shared" si="21"/>
        <v>0</v>
      </c>
      <c r="AE456" s="9" t="str" cm="1">
        <f t="array" ref="AE456">IFERROR(_xlfn.XLOOKUP(H456,Sheet1!$G:$G,Sheet1!$F:$F),IFERROR(_xlfn.XLOOKUP(1,(--($X$2:$X$1074=X456))*(--ISNUMBER(MATCH($H$2:$H$1074,Sheet1!$G:$G,0))),_xlfn.XLOOKUP($H$2:$H$1074,Sheet1!$G:$G,Sheet1!$F:$F,"")),"NOT FOUND"))</f>
        <v>RETKRTSFUT4329</v>
      </c>
      <c r="AF456" s="10" t="str">
        <f t="shared" si="28"/>
        <v>GREEN</v>
      </c>
      <c r="AG456" s="11" t="str">
        <f t="shared" si="29"/>
        <v>JHAJJAR</v>
      </c>
      <c r="AH456" s="9" t="str">
        <f>IF(OR(J456="",AE456="",AE456="NOT FOUND"),"",IF(Y456="RP",IFERROR(LEFT(_xlfn.XLOOKUP(AE456,Sheet1!$F:$F,Sheet1!$W:$W),FIND("-",_xlfn.XLOOKUP(AE456,Sheet1!$F:$F,Sheet1!$W:$W),FIND("-",_xlfn.XLOOKUP(AE456,Sheet1!$F:$F,Sheet1!$W:$W))+1))&amp;AE456,"NOT FOUND"),LEFT(J456,FIND("-",J456,FIND("-",J456)+1))&amp;AE456))</f>
        <v>KRTS-APSU26-RETKRTSFUT4329</v>
      </c>
    </row>
    <row r="457" spans="1:34" ht="15.75" customHeight="1" x14ac:dyDescent="0.2">
      <c r="A457" s="4" t="s">
        <v>59</v>
      </c>
      <c r="B457" s="4" t="s">
        <v>707</v>
      </c>
      <c r="C457" s="4" t="s">
        <v>597</v>
      </c>
      <c r="D457" s="4" t="s">
        <v>598</v>
      </c>
      <c r="E457" s="4" t="s">
        <v>34</v>
      </c>
      <c r="F457" s="4" t="s">
        <v>35</v>
      </c>
      <c r="G457" s="4" t="s">
        <v>47</v>
      </c>
      <c r="H457" s="4" t="s">
        <v>650</v>
      </c>
      <c r="I457" s="4" t="s">
        <v>651</v>
      </c>
      <c r="J457" s="4" t="s">
        <v>652</v>
      </c>
      <c r="L457" s="4" t="s">
        <v>40</v>
      </c>
      <c r="M457" s="4">
        <v>1</v>
      </c>
      <c r="N457" s="4">
        <v>126</v>
      </c>
      <c r="O457" s="4">
        <v>126</v>
      </c>
      <c r="P457" s="4" t="s">
        <v>41</v>
      </c>
      <c r="Q457" s="4">
        <v>279.3</v>
      </c>
      <c r="R457" s="4">
        <v>279.3</v>
      </c>
      <c r="S457" s="4">
        <v>1759.59</v>
      </c>
      <c r="T457" s="4">
        <v>35191.800000000003</v>
      </c>
      <c r="U457" s="4">
        <v>5</v>
      </c>
      <c r="V457" s="4" t="s">
        <v>42</v>
      </c>
      <c r="X457" s="7" t="str">
        <f t="shared" si="15"/>
        <v>441857190</v>
      </c>
      <c r="Y457" s="8" t="str">
        <f t="shared" si="16"/>
        <v>DC</v>
      </c>
      <c r="Z457" s="8">
        <f t="shared" si="17"/>
        <v>0</v>
      </c>
      <c r="AA457" s="8">
        <f t="shared" si="18"/>
        <v>0</v>
      </c>
      <c r="AB457" s="8">
        <f t="shared" si="19"/>
        <v>126</v>
      </c>
      <c r="AC457" s="8">
        <f t="shared" si="20"/>
        <v>0</v>
      </c>
      <c r="AD457" s="8">
        <f t="shared" si="21"/>
        <v>0</v>
      </c>
      <c r="AE457" s="9" t="str" cm="1">
        <f t="array" ref="AE457">IFERROR(_xlfn.XLOOKUP(H457,Sheet1!$G:$G,Sheet1!$F:$F),IFERROR(_xlfn.XLOOKUP(1,(--($X$2:$X$1074=X457))*(--ISNUMBER(MATCH($H$2:$H$1074,Sheet1!$G:$G,0))),_xlfn.XLOOKUP($H$2:$H$1074,Sheet1!$G:$G,Sheet1!$F:$F,"")),"NOT FOUND"))</f>
        <v>RETKRTSFUT4329</v>
      </c>
      <c r="AF457" s="10" t="str">
        <f t="shared" si="28"/>
        <v>GREEN</v>
      </c>
      <c r="AG457" s="11" t="str">
        <f t="shared" si="29"/>
        <v>JHAJJAR</v>
      </c>
      <c r="AH457" s="9" t="str">
        <f>IF(OR(J457="",AE457="",AE457="NOT FOUND"),"",IF(Y457="RP",IFERROR(LEFT(_xlfn.XLOOKUP(AE457,Sheet1!$F:$F,Sheet1!$W:$W),FIND("-",_xlfn.XLOOKUP(AE457,Sheet1!$F:$F,Sheet1!$W:$W),FIND("-",_xlfn.XLOOKUP(AE457,Sheet1!$F:$F,Sheet1!$W:$W))+1))&amp;AE457,"NOT FOUND"),LEFT(J457,FIND("-",J457,FIND("-",J457)+1))&amp;AE457))</f>
        <v>KRTS-APSU26-RETKRTSFUT4329</v>
      </c>
    </row>
    <row r="458" spans="1:34" ht="15.75" customHeight="1" x14ac:dyDescent="0.2">
      <c r="A458" s="4" t="s">
        <v>59</v>
      </c>
      <c r="B458" s="4" t="s">
        <v>707</v>
      </c>
      <c r="C458" s="4" t="s">
        <v>597</v>
      </c>
      <c r="D458" s="4" t="s">
        <v>598</v>
      </c>
      <c r="E458" s="4" t="s">
        <v>34</v>
      </c>
      <c r="F458" s="4" t="s">
        <v>35</v>
      </c>
      <c r="G458" s="4" t="s">
        <v>51</v>
      </c>
      <c r="H458" s="4" t="s">
        <v>653</v>
      </c>
      <c r="I458" s="4" t="s">
        <v>654</v>
      </c>
      <c r="J458" s="4" t="s">
        <v>655</v>
      </c>
      <c r="L458" s="4" t="s">
        <v>40</v>
      </c>
      <c r="M458" s="4">
        <v>1</v>
      </c>
      <c r="N458" s="4">
        <v>147</v>
      </c>
      <c r="O458" s="4">
        <v>147</v>
      </c>
      <c r="P458" s="4" t="s">
        <v>41</v>
      </c>
      <c r="Q458" s="4">
        <v>279.3</v>
      </c>
      <c r="R458" s="4">
        <v>279.3</v>
      </c>
      <c r="S458" s="4">
        <v>2052.86</v>
      </c>
      <c r="T458" s="4">
        <v>41057.1</v>
      </c>
      <c r="U458" s="4">
        <v>5</v>
      </c>
      <c r="V458" s="4" t="s">
        <v>42</v>
      </c>
      <c r="X458" s="7" t="str">
        <f t="shared" si="15"/>
        <v>441857190</v>
      </c>
      <c r="Y458" s="8" t="str">
        <f t="shared" si="16"/>
        <v>DC</v>
      </c>
      <c r="Z458" s="8">
        <f t="shared" si="17"/>
        <v>0</v>
      </c>
      <c r="AA458" s="8">
        <f t="shared" si="18"/>
        <v>0</v>
      </c>
      <c r="AB458" s="8">
        <f t="shared" si="19"/>
        <v>0</v>
      </c>
      <c r="AC458" s="8">
        <f t="shared" si="20"/>
        <v>147</v>
      </c>
      <c r="AD458" s="8">
        <f t="shared" si="21"/>
        <v>0</v>
      </c>
      <c r="AE458" s="9" t="str" cm="1">
        <f t="array" ref="AE458">IFERROR(_xlfn.XLOOKUP(H458,Sheet1!$G:$G,Sheet1!$F:$F),IFERROR(_xlfn.XLOOKUP(1,(--($X$2:$X$1074=X458))*(--ISNUMBER(MATCH($H$2:$H$1074,Sheet1!$G:$G,0))),_xlfn.XLOOKUP($H$2:$H$1074,Sheet1!$G:$G,Sheet1!$F:$F,"")),"NOT FOUND"))</f>
        <v>RETKRTSFUT4329</v>
      </c>
      <c r="AF458" s="10" t="str">
        <f t="shared" si="28"/>
        <v>GREEN</v>
      </c>
      <c r="AG458" s="11" t="str">
        <f t="shared" si="29"/>
        <v>JHAJJAR</v>
      </c>
      <c r="AH458" s="9" t="str">
        <f>IF(OR(J458="",AE458="",AE458="NOT FOUND"),"",IF(Y458="RP",IFERROR(LEFT(_xlfn.XLOOKUP(AE458,Sheet1!$F:$F,Sheet1!$W:$W),FIND("-",_xlfn.XLOOKUP(AE458,Sheet1!$F:$F,Sheet1!$W:$W),FIND("-",_xlfn.XLOOKUP(AE458,Sheet1!$F:$F,Sheet1!$W:$W))+1))&amp;AE458,"NOT FOUND"),LEFT(J458,FIND("-",J458,FIND("-",J458)+1))&amp;AE458))</f>
        <v>KRTS-APSU26-RETKRTSFUT4329</v>
      </c>
    </row>
    <row r="459" spans="1:34" ht="15.75" customHeight="1" x14ac:dyDescent="0.2">
      <c r="A459" s="4" t="s">
        <v>59</v>
      </c>
      <c r="B459" s="4" t="s">
        <v>707</v>
      </c>
      <c r="C459" s="4" t="s">
        <v>597</v>
      </c>
      <c r="D459" s="4" t="s">
        <v>598</v>
      </c>
      <c r="E459" s="4" t="s">
        <v>34</v>
      </c>
      <c r="F459" s="4" t="s">
        <v>35</v>
      </c>
      <c r="G459" s="4" t="s">
        <v>55</v>
      </c>
      <c r="H459" s="4" t="s">
        <v>656</v>
      </c>
      <c r="I459" s="4" t="s">
        <v>657</v>
      </c>
      <c r="J459" s="4" t="s">
        <v>658</v>
      </c>
      <c r="L459" s="4" t="s">
        <v>40</v>
      </c>
      <c r="M459" s="4">
        <v>1</v>
      </c>
      <c r="N459" s="4">
        <v>30</v>
      </c>
      <c r="O459" s="4">
        <v>30</v>
      </c>
      <c r="P459" s="4" t="s">
        <v>41</v>
      </c>
      <c r="Q459" s="4">
        <v>279.3</v>
      </c>
      <c r="R459" s="4">
        <v>279.3</v>
      </c>
      <c r="S459" s="4">
        <v>418.95</v>
      </c>
      <c r="T459" s="4">
        <v>8379</v>
      </c>
      <c r="U459" s="4">
        <v>5</v>
      </c>
      <c r="V459" s="4" t="s">
        <v>42</v>
      </c>
      <c r="X459" s="7" t="str">
        <f t="shared" si="15"/>
        <v>441857190</v>
      </c>
      <c r="Y459" s="8" t="str">
        <f t="shared" si="16"/>
        <v>DC</v>
      </c>
      <c r="Z459" s="8">
        <f t="shared" si="17"/>
        <v>0</v>
      </c>
      <c r="AA459" s="8">
        <f t="shared" si="18"/>
        <v>0</v>
      </c>
      <c r="AB459" s="8">
        <f t="shared" si="19"/>
        <v>0</v>
      </c>
      <c r="AC459" s="8">
        <f t="shared" si="20"/>
        <v>0</v>
      </c>
      <c r="AD459" s="8">
        <f t="shared" si="21"/>
        <v>30</v>
      </c>
      <c r="AE459" s="9" t="str" cm="1">
        <f t="array" ref="AE459">IFERROR(_xlfn.XLOOKUP(H459,Sheet1!$G:$G,Sheet1!$F:$F),IFERROR(_xlfn.XLOOKUP(1,(--($X$2:$X$1074=X459))*(--ISNUMBER(MATCH($H$2:$H$1074,Sheet1!$G:$G,0))),_xlfn.XLOOKUP($H$2:$H$1074,Sheet1!$G:$G,Sheet1!$F:$F,"")),"NOT FOUND"))</f>
        <v>RETKRTSFUT4329</v>
      </c>
      <c r="AF459" s="10" t="str">
        <f t="shared" si="28"/>
        <v>GREEN</v>
      </c>
      <c r="AG459" s="11" t="str">
        <f t="shared" si="29"/>
        <v>JHAJJAR</v>
      </c>
      <c r="AH459" s="9" t="str">
        <f>IF(OR(J459="",AE459="",AE459="NOT FOUND"),"",IF(Y459="RP",IFERROR(LEFT(_xlfn.XLOOKUP(AE459,Sheet1!$F:$F,Sheet1!$W:$W),FIND("-",_xlfn.XLOOKUP(AE459,Sheet1!$F:$F,Sheet1!$W:$W),FIND("-",_xlfn.XLOOKUP(AE459,Sheet1!$F:$F,Sheet1!$W:$W))+1))&amp;AE459,"NOT FOUND"),LEFT(J459,FIND("-",J459,FIND("-",J459)+1))&amp;AE459))</f>
        <v>KRTS-APSU26-RETKRTSFUT4329</v>
      </c>
    </row>
    <row r="460" spans="1:34" ht="15.75" customHeight="1" x14ac:dyDescent="0.2">
      <c r="A460" s="4" t="s">
        <v>61</v>
      </c>
      <c r="B460" s="4" t="s">
        <v>708</v>
      </c>
      <c r="C460" s="4" t="s">
        <v>597</v>
      </c>
      <c r="D460" s="4" t="s">
        <v>598</v>
      </c>
      <c r="E460" s="4" t="s">
        <v>34</v>
      </c>
      <c r="F460" s="4" t="s">
        <v>35</v>
      </c>
      <c r="G460" s="4" t="s">
        <v>36</v>
      </c>
      <c r="H460" s="4" t="s">
        <v>617</v>
      </c>
      <c r="I460" s="4" t="s">
        <v>618</v>
      </c>
      <c r="J460" s="4" t="s">
        <v>601</v>
      </c>
      <c r="L460" s="4" t="s">
        <v>40</v>
      </c>
      <c r="M460" s="4">
        <v>1</v>
      </c>
      <c r="N460" s="4">
        <v>30</v>
      </c>
      <c r="O460" s="4">
        <v>30</v>
      </c>
      <c r="P460" s="4" t="s">
        <v>41</v>
      </c>
      <c r="Q460" s="4">
        <v>264.3</v>
      </c>
      <c r="R460" s="4">
        <v>264.3</v>
      </c>
      <c r="S460" s="4">
        <v>396.45</v>
      </c>
      <c r="T460" s="4">
        <v>7929</v>
      </c>
      <c r="U460" s="4">
        <v>5</v>
      </c>
      <c r="V460" s="4" t="s">
        <v>42</v>
      </c>
      <c r="X460" s="7" t="str">
        <f t="shared" si="15"/>
        <v>441857192</v>
      </c>
      <c r="Y460" s="8" t="str">
        <f t="shared" si="16"/>
        <v>DC</v>
      </c>
      <c r="Z460" s="8">
        <f t="shared" si="17"/>
        <v>30</v>
      </c>
      <c r="AA460" s="8">
        <f t="shared" si="18"/>
        <v>0</v>
      </c>
      <c r="AB460" s="8">
        <f t="shared" si="19"/>
        <v>0</v>
      </c>
      <c r="AC460" s="8">
        <f t="shared" si="20"/>
        <v>0</v>
      </c>
      <c r="AD460" s="8">
        <f t="shared" si="21"/>
        <v>0</v>
      </c>
      <c r="AE460" s="9" t="str" cm="1">
        <f t="array" ref="AE460">IFERROR(_xlfn.XLOOKUP(H460,Sheet1!$G:$G,Sheet1!$F:$F),IFERROR(_xlfn.XLOOKUP(1,(--($X$2:$X$1074=X460))*(--ISNUMBER(MATCH($H$2:$H$1074,Sheet1!$G:$G,0))),_xlfn.XLOOKUP($H$2:$H$1074,Sheet1!$G:$G,Sheet1!$F:$F,"")),"NOT FOUND"))</f>
        <v>RETKRTSFUT4331</v>
      </c>
      <c r="AF460" s="10" t="str">
        <f t="shared" si="28"/>
        <v>LIME GREEN</v>
      </c>
      <c r="AG460" s="11" t="str">
        <f t="shared" si="29"/>
        <v>HARIPAL</v>
      </c>
      <c r="AH460" s="9" t="str">
        <f>IF(OR(J460="",AE460="",AE460="NOT FOUND"),"",IF(Y460="RP",IFERROR(LEFT(_xlfn.XLOOKUP(AE460,Sheet1!$F:$F,Sheet1!$W:$W),FIND("-",_xlfn.XLOOKUP(AE460,Sheet1!$F:$F,Sheet1!$W:$W),FIND("-",_xlfn.XLOOKUP(AE460,Sheet1!$F:$F,Sheet1!$W:$W))+1))&amp;AE460,"NOT FOUND"),LEFT(J460,FIND("-",J460,FIND("-",J460)+1))&amp;AE460))</f>
        <v>KRTS-APSU26-RETKRTSFUT4331</v>
      </c>
    </row>
    <row r="461" spans="1:34" ht="15.75" customHeight="1" x14ac:dyDescent="0.2">
      <c r="A461" s="4" t="s">
        <v>61</v>
      </c>
      <c r="B461" s="4" t="s">
        <v>708</v>
      </c>
      <c r="C461" s="4" t="s">
        <v>597</v>
      </c>
      <c r="D461" s="4" t="s">
        <v>598</v>
      </c>
      <c r="E461" s="4" t="s">
        <v>34</v>
      </c>
      <c r="F461" s="4" t="s">
        <v>35</v>
      </c>
      <c r="G461" s="4" t="s">
        <v>43</v>
      </c>
      <c r="H461" s="4" t="s">
        <v>619</v>
      </c>
      <c r="I461" s="4" t="s">
        <v>620</v>
      </c>
      <c r="J461" s="4" t="s">
        <v>604</v>
      </c>
      <c r="L461" s="4" t="s">
        <v>40</v>
      </c>
      <c r="M461" s="4">
        <v>1</v>
      </c>
      <c r="N461" s="4">
        <v>106</v>
      </c>
      <c r="O461" s="4">
        <v>106</v>
      </c>
      <c r="P461" s="4" t="s">
        <v>41</v>
      </c>
      <c r="Q461" s="4">
        <v>264.3</v>
      </c>
      <c r="R461" s="4">
        <v>264.3</v>
      </c>
      <c r="S461" s="4">
        <v>1400.79</v>
      </c>
      <c r="T461" s="4">
        <v>28015.8</v>
      </c>
      <c r="U461" s="4">
        <v>5</v>
      </c>
      <c r="V461" s="4" t="s">
        <v>42</v>
      </c>
      <c r="X461" s="7" t="str">
        <f t="shared" si="15"/>
        <v>441857192</v>
      </c>
      <c r="Y461" s="8" t="str">
        <f t="shared" si="16"/>
        <v>DC</v>
      </c>
      <c r="Z461" s="8">
        <f t="shared" si="17"/>
        <v>0</v>
      </c>
      <c r="AA461" s="8">
        <f t="shared" si="18"/>
        <v>106</v>
      </c>
      <c r="AB461" s="8">
        <f t="shared" si="19"/>
        <v>0</v>
      </c>
      <c r="AC461" s="8">
        <f t="shared" si="20"/>
        <v>0</v>
      </c>
      <c r="AD461" s="8">
        <f t="shared" si="21"/>
        <v>0</v>
      </c>
      <c r="AE461" s="9" t="str" cm="1">
        <f t="array" ref="AE461">IFERROR(_xlfn.XLOOKUP(H461,Sheet1!$G:$G,Sheet1!$F:$F),IFERROR(_xlfn.XLOOKUP(1,(--($X$2:$X$1074=X461))*(--ISNUMBER(MATCH($H$2:$H$1074,Sheet1!$G:$G,0))),_xlfn.XLOOKUP($H$2:$H$1074,Sheet1!$G:$G,Sheet1!$F:$F,"")),"NOT FOUND"))</f>
        <v>RETKRTSFUT4331</v>
      </c>
      <c r="AF461" s="10" t="str">
        <f t="shared" si="28"/>
        <v>LIME GREEN</v>
      </c>
      <c r="AG461" s="11" t="str">
        <f t="shared" si="29"/>
        <v>HARIPAL</v>
      </c>
      <c r="AH461" s="9" t="str">
        <f>IF(OR(J461="",AE461="",AE461="NOT FOUND"),"",IF(Y461="RP",IFERROR(LEFT(_xlfn.XLOOKUP(AE461,Sheet1!$F:$F,Sheet1!$W:$W),FIND("-",_xlfn.XLOOKUP(AE461,Sheet1!$F:$F,Sheet1!$W:$W),FIND("-",_xlfn.XLOOKUP(AE461,Sheet1!$F:$F,Sheet1!$W:$W))+1))&amp;AE461,"NOT FOUND"),LEFT(J461,FIND("-",J461,FIND("-",J461)+1))&amp;AE461))</f>
        <v>KRTS-APSU26-RETKRTSFUT4331</v>
      </c>
    </row>
    <row r="462" spans="1:34" ht="15.75" customHeight="1" x14ac:dyDescent="0.2">
      <c r="A462" s="4" t="s">
        <v>61</v>
      </c>
      <c r="B462" s="4" t="s">
        <v>708</v>
      </c>
      <c r="C462" s="4" t="s">
        <v>597</v>
      </c>
      <c r="D462" s="4" t="s">
        <v>598</v>
      </c>
      <c r="E462" s="4" t="s">
        <v>34</v>
      </c>
      <c r="F462" s="4" t="s">
        <v>35</v>
      </c>
      <c r="G462" s="4" t="s">
        <v>47</v>
      </c>
      <c r="H462" s="4" t="s">
        <v>621</v>
      </c>
      <c r="I462" s="4" t="s">
        <v>622</v>
      </c>
      <c r="J462" s="4" t="s">
        <v>607</v>
      </c>
      <c r="L462" s="4" t="s">
        <v>40</v>
      </c>
      <c r="M462" s="4">
        <v>1</v>
      </c>
      <c r="N462" s="4">
        <v>119</v>
      </c>
      <c r="O462" s="4">
        <v>119</v>
      </c>
      <c r="P462" s="4" t="s">
        <v>41</v>
      </c>
      <c r="Q462" s="4">
        <v>264.3</v>
      </c>
      <c r="R462" s="4">
        <v>264.3</v>
      </c>
      <c r="S462" s="4">
        <v>1572.59</v>
      </c>
      <c r="T462" s="4">
        <v>31451.7</v>
      </c>
      <c r="U462" s="4">
        <v>5</v>
      </c>
      <c r="V462" s="4" t="s">
        <v>42</v>
      </c>
      <c r="X462" s="7" t="str">
        <f t="shared" si="15"/>
        <v>441857192</v>
      </c>
      <c r="Y462" s="8" t="str">
        <f t="shared" si="16"/>
        <v>DC</v>
      </c>
      <c r="Z462" s="8">
        <f t="shared" si="17"/>
        <v>0</v>
      </c>
      <c r="AA462" s="8">
        <f t="shared" si="18"/>
        <v>0</v>
      </c>
      <c r="AB462" s="8">
        <f t="shared" si="19"/>
        <v>119</v>
      </c>
      <c r="AC462" s="8">
        <f t="shared" si="20"/>
        <v>0</v>
      </c>
      <c r="AD462" s="8">
        <f t="shared" si="21"/>
        <v>0</v>
      </c>
      <c r="AE462" s="9" t="str" cm="1">
        <f t="array" ref="AE462">IFERROR(_xlfn.XLOOKUP(H462,Sheet1!$G:$G,Sheet1!$F:$F),IFERROR(_xlfn.XLOOKUP(1,(--($X$2:$X$1074=X462))*(--ISNUMBER(MATCH($H$2:$H$1074,Sheet1!$G:$G,0))),_xlfn.XLOOKUP($H$2:$H$1074,Sheet1!$G:$G,Sheet1!$F:$F,"")),"NOT FOUND"))</f>
        <v>RETKRTSFUT4331</v>
      </c>
      <c r="AF462" s="10" t="str">
        <f t="shared" si="28"/>
        <v>LIME GREEN</v>
      </c>
      <c r="AG462" s="11" t="str">
        <f t="shared" si="29"/>
        <v>HARIPAL</v>
      </c>
      <c r="AH462" s="9" t="str">
        <f>IF(OR(J462="",AE462="",AE462="NOT FOUND"),"",IF(Y462="RP",IFERROR(LEFT(_xlfn.XLOOKUP(AE462,Sheet1!$F:$F,Sheet1!$W:$W),FIND("-",_xlfn.XLOOKUP(AE462,Sheet1!$F:$F,Sheet1!$W:$W),FIND("-",_xlfn.XLOOKUP(AE462,Sheet1!$F:$F,Sheet1!$W:$W))+1))&amp;AE462,"NOT FOUND"),LEFT(J462,FIND("-",J462,FIND("-",J462)+1))&amp;AE462))</f>
        <v>KRTS-APSU26-RETKRTSFUT4331</v>
      </c>
    </row>
    <row r="463" spans="1:34" ht="15.75" customHeight="1" x14ac:dyDescent="0.2">
      <c r="A463" s="4" t="s">
        <v>61</v>
      </c>
      <c r="B463" s="4" t="s">
        <v>708</v>
      </c>
      <c r="C463" s="4" t="s">
        <v>597</v>
      </c>
      <c r="D463" s="4" t="s">
        <v>598</v>
      </c>
      <c r="E463" s="4" t="s">
        <v>34</v>
      </c>
      <c r="F463" s="4" t="s">
        <v>35</v>
      </c>
      <c r="G463" s="4" t="s">
        <v>51</v>
      </c>
      <c r="H463" s="4" t="s">
        <v>623</v>
      </c>
      <c r="I463" s="4" t="s">
        <v>624</v>
      </c>
      <c r="J463" s="4" t="s">
        <v>610</v>
      </c>
      <c r="L463" s="4" t="s">
        <v>40</v>
      </c>
      <c r="M463" s="4">
        <v>1</v>
      </c>
      <c r="N463" s="4">
        <v>139</v>
      </c>
      <c r="O463" s="4">
        <v>139</v>
      </c>
      <c r="P463" s="4" t="s">
        <v>41</v>
      </c>
      <c r="Q463" s="4">
        <v>264.3</v>
      </c>
      <c r="R463" s="4">
        <v>264.3</v>
      </c>
      <c r="S463" s="4">
        <v>1836.89</v>
      </c>
      <c r="T463" s="4">
        <v>36737.699999999997</v>
      </c>
      <c r="U463" s="4">
        <v>5</v>
      </c>
      <c r="V463" s="4" t="s">
        <v>42</v>
      </c>
      <c r="X463" s="7" t="str">
        <f t="shared" si="15"/>
        <v>441857192</v>
      </c>
      <c r="Y463" s="8" t="str">
        <f t="shared" si="16"/>
        <v>DC</v>
      </c>
      <c r="Z463" s="8">
        <f t="shared" si="17"/>
        <v>0</v>
      </c>
      <c r="AA463" s="8">
        <f t="shared" si="18"/>
        <v>0</v>
      </c>
      <c r="AB463" s="8">
        <f t="shared" si="19"/>
        <v>0</v>
      </c>
      <c r="AC463" s="8">
        <f t="shared" si="20"/>
        <v>139</v>
      </c>
      <c r="AD463" s="8">
        <f t="shared" si="21"/>
        <v>0</v>
      </c>
      <c r="AE463" s="9" t="str" cm="1">
        <f t="array" ref="AE463">IFERROR(_xlfn.XLOOKUP(H463,Sheet1!$G:$G,Sheet1!$F:$F),IFERROR(_xlfn.XLOOKUP(1,(--($X$2:$X$1074=X463))*(--ISNUMBER(MATCH($H$2:$H$1074,Sheet1!$G:$G,0))),_xlfn.XLOOKUP($H$2:$H$1074,Sheet1!$G:$G,Sheet1!$F:$F,"")),"NOT FOUND"))</f>
        <v>RETKRTSFUT4331</v>
      </c>
      <c r="AF463" s="10" t="str">
        <f t="shared" si="28"/>
        <v>LIME GREEN</v>
      </c>
      <c r="AG463" s="11" t="str">
        <f t="shared" si="29"/>
        <v>HARIPAL</v>
      </c>
      <c r="AH463" s="9" t="str">
        <f>IF(OR(J463="",AE463="",AE463="NOT FOUND"),"",IF(Y463="RP",IFERROR(LEFT(_xlfn.XLOOKUP(AE463,Sheet1!$F:$F,Sheet1!$W:$W),FIND("-",_xlfn.XLOOKUP(AE463,Sheet1!$F:$F,Sheet1!$W:$W),FIND("-",_xlfn.XLOOKUP(AE463,Sheet1!$F:$F,Sheet1!$W:$W))+1))&amp;AE463,"NOT FOUND"),LEFT(J463,FIND("-",J463,FIND("-",J463)+1))&amp;AE463))</f>
        <v>KRTS-APSU26-RETKRTSFUT4331</v>
      </c>
    </row>
    <row r="464" spans="1:34" ht="15.75" customHeight="1" x14ac:dyDescent="0.2">
      <c r="A464" s="4" t="s">
        <v>61</v>
      </c>
      <c r="B464" s="4" t="s">
        <v>708</v>
      </c>
      <c r="C464" s="4" t="s">
        <v>597</v>
      </c>
      <c r="D464" s="4" t="s">
        <v>598</v>
      </c>
      <c r="E464" s="4" t="s">
        <v>34</v>
      </c>
      <c r="F464" s="4" t="s">
        <v>35</v>
      </c>
      <c r="G464" s="4" t="s">
        <v>55</v>
      </c>
      <c r="H464" s="4" t="s">
        <v>625</v>
      </c>
      <c r="I464" s="4" t="s">
        <v>626</v>
      </c>
      <c r="J464" s="4" t="s">
        <v>613</v>
      </c>
      <c r="L464" s="4" t="s">
        <v>40</v>
      </c>
      <c r="M464" s="4">
        <v>1</v>
      </c>
      <c r="N464" s="4">
        <v>30</v>
      </c>
      <c r="O464" s="4">
        <v>30</v>
      </c>
      <c r="P464" s="4" t="s">
        <v>41</v>
      </c>
      <c r="Q464" s="4">
        <v>264.3</v>
      </c>
      <c r="R464" s="4">
        <v>264.3</v>
      </c>
      <c r="S464" s="4">
        <v>396.45</v>
      </c>
      <c r="T464" s="4">
        <v>7929</v>
      </c>
      <c r="U464" s="4">
        <v>5</v>
      </c>
      <c r="V464" s="4" t="s">
        <v>42</v>
      </c>
      <c r="X464" s="7" t="str">
        <f t="shared" si="15"/>
        <v>441857192</v>
      </c>
      <c r="Y464" s="8" t="str">
        <f t="shared" si="16"/>
        <v>DC</v>
      </c>
      <c r="Z464" s="8">
        <f t="shared" si="17"/>
        <v>0</v>
      </c>
      <c r="AA464" s="8">
        <f t="shared" si="18"/>
        <v>0</v>
      </c>
      <c r="AB464" s="8">
        <f t="shared" si="19"/>
        <v>0</v>
      </c>
      <c r="AC464" s="8">
        <f t="shared" si="20"/>
        <v>0</v>
      </c>
      <c r="AD464" s="8">
        <f t="shared" si="21"/>
        <v>30</v>
      </c>
      <c r="AE464" s="9" t="str" cm="1">
        <f t="array" ref="AE464">IFERROR(_xlfn.XLOOKUP(H464,Sheet1!$G:$G,Sheet1!$F:$F),IFERROR(_xlfn.XLOOKUP(1,(--($X$2:$X$1074=X464))*(--ISNUMBER(MATCH($H$2:$H$1074,Sheet1!$G:$G,0))),_xlfn.XLOOKUP($H$2:$H$1074,Sheet1!$G:$G,Sheet1!$F:$F,"")),"NOT FOUND"))</f>
        <v>RETKRTSFUT4331</v>
      </c>
      <c r="AF464" s="10" t="str">
        <f t="shared" si="28"/>
        <v>LIME GREEN</v>
      </c>
      <c r="AG464" s="11" t="str">
        <f t="shared" si="29"/>
        <v>HARIPAL</v>
      </c>
      <c r="AH464" s="9" t="str">
        <f>IF(OR(J464="",AE464="",AE464="NOT FOUND"),"",IF(Y464="RP",IFERROR(LEFT(_xlfn.XLOOKUP(AE464,Sheet1!$F:$F,Sheet1!$W:$W),FIND("-",_xlfn.XLOOKUP(AE464,Sheet1!$F:$F,Sheet1!$W:$W),FIND("-",_xlfn.XLOOKUP(AE464,Sheet1!$F:$F,Sheet1!$W:$W))+1))&amp;AE464,"NOT FOUND"),LEFT(J464,FIND("-",J464,FIND("-",J464)+1))&amp;AE464))</f>
        <v>KRTS-APSU26-RETKRTSFUT4331</v>
      </c>
    </row>
    <row r="465" spans="1:34" ht="15.75" customHeight="1" x14ac:dyDescent="0.2">
      <c r="A465" s="4" t="s">
        <v>59</v>
      </c>
      <c r="B465" s="4" t="s">
        <v>709</v>
      </c>
      <c r="C465" s="4" t="s">
        <v>597</v>
      </c>
      <c r="D465" s="4" t="s">
        <v>598</v>
      </c>
      <c r="E465" s="4" t="s">
        <v>34</v>
      </c>
      <c r="F465" s="4" t="s">
        <v>35</v>
      </c>
      <c r="G465" s="4" t="s">
        <v>36</v>
      </c>
      <c r="H465" s="4" t="s">
        <v>661</v>
      </c>
      <c r="I465" s="4" t="s">
        <v>662</v>
      </c>
      <c r="J465" s="4" t="s">
        <v>663</v>
      </c>
      <c r="L465" s="4" t="s">
        <v>40</v>
      </c>
      <c r="M465" s="4">
        <v>1</v>
      </c>
      <c r="N465" s="4">
        <v>30</v>
      </c>
      <c r="O465" s="4">
        <v>30</v>
      </c>
      <c r="P465" s="4" t="s">
        <v>41</v>
      </c>
      <c r="Q465" s="4">
        <v>264.3</v>
      </c>
      <c r="R465" s="4">
        <v>264.3</v>
      </c>
      <c r="S465" s="4">
        <v>396.45</v>
      </c>
      <c r="T465" s="4">
        <v>7929</v>
      </c>
      <c r="U465" s="4">
        <v>5</v>
      </c>
      <c r="V465" s="4" t="s">
        <v>42</v>
      </c>
      <c r="X465" s="7" t="str">
        <f t="shared" si="15"/>
        <v>441857189</v>
      </c>
      <c r="Y465" s="8" t="str">
        <f t="shared" si="16"/>
        <v>DC</v>
      </c>
      <c r="Z465" s="8">
        <f t="shared" si="17"/>
        <v>30</v>
      </c>
      <c r="AA465" s="8">
        <f t="shared" si="18"/>
        <v>0</v>
      </c>
      <c r="AB465" s="8">
        <f t="shared" si="19"/>
        <v>0</v>
      </c>
      <c r="AC465" s="8">
        <f t="shared" si="20"/>
        <v>0</v>
      </c>
      <c r="AD465" s="8">
        <f t="shared" si="21"/>
        <v>0</v>
      </c>
      <c r="AE465" s="9" t="str" cm="1">
        <f t="array" ref="AE465">IFERROR(_xlfn.XLOOKUP(H465,Sheet1!$G:$G,Sheet1!$F:$F),IFERROR(_xlfn.XLOOKUP(1,(--($X$2:$X$1074=X465))*(--ISNUMBER(MATCH($H$2:$H$1074,Sheet1!$G:$G,0))),_xlfn.XLOOKUP($H$2:$H$1074,Sheet1!$G:$G,Sheet1!$F:$F,"")),"NOT FOUND"))</f>
        <v>RETKRTSFUT4322</v>
      </c>
      <c r="AF465" s="10" t="str">
        <f t="shared" si="28"/>
        <v>SKY BLUE</v>
      </c>
      <c r="AG465" s="11" t="str">
        <f t="shared" si="29"/>
        <v>JHAJJAR</v>
      </c>
      <c r="AH465" s="9" t="str">
        <f>IF(OR(J465="",AE465="",AE465="NOT FOUND"),"",IF(Y465="RP",IFERROR(LEFT(_xlfn.XLOOKUP(AE465,Sheet1!$F:$F,Sheet1!$W:$W),FIND("-",_xlfn.XLOOKUP(AE465,Sheet1!$F:$F,Sheet1!$W:$W),FIND("-",_xlfn.XLOOKUP(AE465,Sheet1!$F:$F,Sheet1!$W:$W))+1))&amp;AE465,"NOT FOUND"),LEFT(J465,FIND("-",J465,FIND("-",J465)+1))&amp;AE465))</f>
        <v>KRTS-APSU26-RETKRTSFUT4322</v>
      </c>
    </row>
    <row r="466" spans="1:34" ht="15.75" customHeight="1" x14ac:dyDescent="0.2">
      <c r="A466" s="4" t="s">
        <v>59</v>
      </c>
      <c r="B466" s="4" t="s">
        <v>709</v>
      </c>
      <c r="C466" s="4" t="s">
        <v>597</v>
      </c>
      <c r="D466" s="4" t="s">
        <v>598</v>
      </c>
      <c r="E466" s="4" t="s">
        <v>34</v>
      </c>
      <c r="F466" s="4" t="s">
        <v>35</v>
      </c>
      <c r="G466" s="4" t="s">
        <v>43</v>
      </c>
      <c r="H466" s="4" t="s">
        <v>664</v>
      </c>
      <c r="I466" s="4" t="s">
        <v>665</v>
      </c>
      <c r="J466" s="4" t="s">
        <v>666</v>
      </c>
      <c r="L466" s="4" t="s">
        <v>40</v>
      </c>
      <c r="M466" s="4">
        <v>1</v>
      </c>
      <c r="N466" s="4">
        <v>112</v>
      </c>
      <c r="O466" s="4">
        <v>112</v>
      </c>
      <c r="P466" s="4" t="s">
        <v>41</v>
      </c>
      <c r="Q466" s="4">
        <v>264.3</v>
      </c>
      <c r="R466" s="4">
        <v>264.3</v>
      </c>
      <c r="S466" s="4">
        <v>1480.08</v>
      </c>
      <c r="T466" s="4">
        <v>29601.599999999999</v>
      </c>
      <c r="U466" s="4">
        <v>5</v>
      </c>
      <c r="V466" s="4" t="s">
        <v>42</v>
      </c>
      <c r="X466" s="7" t="str">
        <f t="shared" si="15"/>
        <v>441857189</v>
      </c>
      <c r="Y466" s="8" t="str">
        <f t="shared" si="16"/>
        <v>DC</v>
      </c>
      <c r="Z466" s="8">
        <f t="shared" si="17"/>
        <v>0</v>
      </c>
      <c r="AA466" s="8">
        <f t="shared" si="18"/>
        <v>112</v>
      </c>
      <c r="AB466" s="8">
        <f t="shared" si="19"/>
        <v>0</v>
      </c>
      <c r="AC466" s="8">
        <f t="shared" si="20"/>
        <v>0</v>
      </c>
      <c r="AD466" s="8">
        <f t="shared" si="21"/>
        <v>0</v>
      </c>
      <c r="AE466" s="9" t="str" cm="1">
        <f t="array" ref="AE466">IFERROR(_xlfn.XLOOKUP(H466,Sheet1!$G:$G,Sheet1!$F:$F),IFERROR(_xlfn.XLOOKUP(1,(--($X$2:$X$1074=X466))*(--ISNUMBER(MATCH($H$2:$H$1074,Sheet1!$G:$G,0))),_xlfn.XLOOKUP($H$2:$H$1074,Sheet1!$G:$G,Sheet1!$F:$F,"")),"NOT FOUND"))</f>
        <v>RETKRTSFUT4322</v>
      </c>
      <c r="AF466" s="10" t="str">
        <f t="shared" si="28"/>
        <v>SKY BLUE</v>
      </c>
      <c r="AG466" s="11" t="str">
        <f t="shared" si="29"/>
        <v>JHAJJAR</v>
      </c>
      <c r="AH466" s="9" t="str">
        <f>IF(OR(J466="",AE466="",AE466="NOT FOUND"),"",IF(Y466="RP",IFERROR(LEFT(_xlfn.XLOOKUP(AE466,Sheet1!$F:$F,Sheet1!$W:$W),FIND("-",_xlfn.XLOOKUP(AE466,Sheet1!$F:$F,Sheet1!$W:$W),FIND("-",_xlfn.XLOOKUP(AE466,Sheet1!$F:$F,Sheet1!$W:$W))+1))&amp;AE466,"NOT FOUND"),LEFT(J466,FIND("-",J466,FIND("-",J466)+1))&amp;AE466))</f>
        <v>KRTS-APSU26-RETKRTSFUT4322</v>
      </c>
    </row>
    <row r="467" spans="1:34" ht="15.75" customHeight="1" x14ac:dyDescent="0.2">
      <c r="A467" s="4" t="s">
        <v>59</v>
      </c>
      <c r="B467" s="4" t="s">
        <v>709</v>
      </c>
      <c r="C467" s="4" t="s">
        <v>597</v>
      </c>
      <c r="D467" s="4" t="s">
        <v>598</v>
      </c>
      <c r="E467" s="4" t="s">
        <v>34</v>
      </c>
      <c r="F467" s="4" t="s">
        <v>35</v>
      </c>
      <c r="G467" s="4" t="s">
        <v>47</v>
      </c>
      <c r="H467" s="4" t="s">
        <v>667</v>
      </c>
      <c r="I467" s="4" t="s">
        <v>668</v>
      </c>
      <c r="J467" s="4" t="s">
        <v>669</v>
      </c>
      <c r="L467" s="4" t="s">
        <v>40</v>
      </c>
      <c r="M467" s="4">
        <v>1</v>
      </c>
      <c r="N467" s="4">
        <v>126</v>
      </c>
      <c r="O467" s="4">
        <v>126</v>
      </c>
      <c r="P467" s="4" t="s">
        <v>41</v>
      </c>
      <c r="Q467" s="4">
        <v>264.3</v>
      </c>
      <c r="R467" s="4">
        <v>264.3</v>
      </c>
      <c r="S467" s="4">
        <v>1665.09</v>
      </c>
      <c r="T467" s="4">
        <v>33301.800000000003</v>
      </c>
      <c r="U467" s="4">
        <v>5</v>
      </c>
      <c r="V467" s="4" t="s">
        <v>42</v>
      </c>
      <c r="X467" s="7" t="str">
        <f t="shared" si="15"/>
        <v>441857189</v>
      </c>
      <c r="Y467" s="8" t="str">
        <f t="shared" si="16"/>
        <v>DC</v>
      </c>
      <c r="Z467" s="8">
        <f t="shared" si="17"/>
        <v>0</v>
      </c>
      <c r="AA467" s="8">
        <f t="shared" si="18"/>
        <v>0</v>
      </c>
      <c r="AB467" s="8">
        <f t="shared" si="19"/>
        <v>126</v>
      </c>
      <c r="AC467" s="8">
        <f t="shared" si="20"/>
        <v>0</v>
      </c>
      <c r="AD467" s="8">
        <f t="shared" si="21"/>
        <v>0</v>
      </c>
      <c r="AE467" s="9" t="str" cm="1">
        <f t="array" ref="AE467">IFERROR(_xlfn.XLOOKUP(H467,Sheet1!$G:$G,Sheet1!$F:$F),IFERROR(_xlfn.XLOOKUP(1,(--($X$2:$X$1074=X467))*(--ISNUMBER(MATCH($H$2:$H$1074,Sheet1!$G:$G,0))),_xlfn.XLOOKUP($H$2:$H$1074,Sheet1!$G:$G,Sheet1!$F:$F,"")),"NOT FOUND"))</f>
        <v>RETKRTSFUT4322</v>
      </c>
      <c r="AF467" s="10" t="str">
        <f t="shared" si="28"/>
        <v>SKY BLUE</v>
      </c>
      <c r="AG467" s="11" t="str">
        <f t="shared" si="29"/>
        <v>JHAJJAR</v>
      </c>
      <c r="AH467" s="9" t="str">
        <f>IF(OR(J467="",AE467="",AE467="NOT FOUND"),"",IF(Y467="RP",IFERROR(LEFT(_xlfn.XLOOKUP(AE467,Sheet1!$F:$F,Sheet1!$W:$W),FIND("-",_xlfn.XLOOKUP(AE467,Sheet1!$F:$F,Sheet1!$W:$W),FIND("-",_xlfn.XLOOKUP(AE467,Sheet1!$F:$F,Sheet1!$W:$W))+1))&amp;AE467,"NOT FOUND"),LEFT(J467,FIND("-",J467,FIND("-",J467)+1))&amp;AE467))</f>
        <v>KRTS-APSU26-RETKRTSFUT4322</v>
      </c>
    </row>
    <row r="468" spans="1:34" ht="15.75" customHeight="1" x14ac:dyDescent="0.2">
      <c r="A468" s="4" t="s">
        <v>59</v>
      </c>
      <c r="B468" s="4" t="s">
        <v>709</v>
      </c>
      <c r="C468" s="4" t="s">
        <v>597</v>
      </c>
      <c r="D468" s="4" t="s">
        <v>598</v>
      </c>
      <c r="E468" s="4" t="s">
        <v>34</v>
      </c>
      <c r="F468" s="4" t="s">
        <v>35</v>
      </c>
      <c r="G468" s="4" t="s">
        <v>51</v>
      </c>
      <c r="H468" s="4" t="s">
        <v>670</v>
      </c>
      <c r="I468" s="4" t="s">
        <v>671</v>
      </c>
      <c r="J468" s="4" t="s">
        <v>672</v>
      </c>
      <c r="L468" s="4" t="s">
        <v>40</v>
      </c>
      <c r="M468" s="4">
        <v>1</v>
      </c>
      <c r="N468" s="4">
        <v>147</v>
      </c>
      <c r="O468" s="4">
        <v>147</v>
      </c>
      <c r="P468" s="4" t="s">
        <v>41</v>
      </c>
      <c r="Q468" s="4">
        <v>264.3</v>
      </c>
      <c r="R468" s="4">
        <v>264.3</v>
      </c>
      <c r="S468" s="4">
        <v>1942.61</v>
      </c>
      <c r="T468" s="4">
        <v>38852.1</v>
      </c>
      <c r="U468" s="4">
        <v>5</v>
      </c>
      <c r="V468" s="4" t="s">
        <v>42</v>
      </c>
      <c r="X468" s="7" t="str">
        <f t="shared" si="15"/>
        <v>441857189</v>
      </c>
      <c r="Y468" s="8" t="str">
        <f t="shared" si="16"/>
        <v>DC</v>
      </c>
      <c r="Z468" s="8">
        <f t="shared" si="17"/>
        <v>0</v>
      </c>
      <c r="AA468" s="8">
        <f t="shared" si="18"/>
        <v>0</v>
      </c>
      <c r="AB468" s="8">
        <f t="shared" si="19"/>
        <v>0</v>
      </c>
      <c r="AC468" s="8">
        <f t="shared" si="20"/>
        <v>147</v>
      </c>
      <c r="AD468" s="8">
        <f t="shared" si="21"/>
        <v>0</v>
      </c>
      <c r="AE468" s="9" t="str" cm="1">
        <f t="array" ref="AE468">IFERROR(_xlfn.XLOOKUP(H468,Sheet1!$G:$G,Sheet1!$F:$F),IFERROR(_xlfn.XLOOKUP(1,(--($X$2:$X$1074=X468))*(--ISNUMBER(MATCH($H$2:$H$1074,Sheet1!$G:$G,0))),_xlfn.XLOOKUP($H$2:$H$1074,Sheet1!$G:$G,Sheet1!$F:$F,"")),"NOT FOUND"))</f>
        <v>RETKRTSFUT4322</v>
      </c>
      <c r="AF468" s="10" t="str">
        <f t="shared" si="28"/>
        <v>SKY BLUE</v>
      </c>
      <c r="AG468" s="11" t="str">
        <f t="shared" si="29"/>
        <v>JHAJJAR</v>
      </c>
      <c r="AH468" s="9" t="str">
        <f>IF(OR(J468="",AE468="",AE468="NOT FOUND"),"",IF(Y468="RP",IFERROR(LEFT(_xlfn.XLOOKUP(AE468,Sheet1!$F:$F,Sheet1!$W:$W),FIND("-",_xlfn.XLOOKUP(AE468,Sheet1!$F:$F,Sheet1!$W:$W),FIND("-",_xlfn.XLOOKUP(AE468,Sheet1!$F:$F,Sheet1!$W:$W))+1))&amp;AE468,"NOT FOUND"),LEFT(J468,FIND("-",J468,FIND("-",J468)+1))&amp;AE468))</f>
        <v>KRTS-APSU26-RETKRTSFUT4322</v>
      </c>
    </row>
    <row r="469" spans="1:34" ht="15.75" customHeight="1" x14ac:dyDescent="0.2">
      <c r="A469" s="4" t="s">
        <v>59</v>
      </c>
      <c r="B469" s="4" t="s">
        <v>709</v>
      </c>
      <c r="C469" s="4" t="s">
        <v>597</v>
      </c>
      <c r="D469" s="4" t="s">
        <v>598</v>
      </c>
      <c r="E469" s="4" t="s">
        <v>34</v>
      </c>
      <c r="F469" s="4" t="s">
        <v>35</v>
      </c>
      <c r="G469" s="4" t="s">
        <v>55</v>
      </c>
      <c r="H469" s="4" t="s">
        <v>673</v>
      </c>
      <c r="I469" s="4" t="s">
        <v>674</v>
      </c>
      <c r="J469" s="4" t="s">
        <v>675</v>
      </c>
      <c r="L469" s="4" t="s">
        <v>40</v>
      </c>
      <c r="M469" s="4">
        <v>1</v>
      </c>
      <c r="N469" s="4">
        <v>30</v>
      </c>
      <c r="O469" s="4">
        <v>30</v>
      </c>
      <c r="P469" s="4" t="s">
        <v>41</v>
      </c>
      <c r="Q469" s="4">
        <v>264.3</v>
      </c>
      <c r="R469" s="4">
        <v>264.3</v>
      </c>
      <c r="S469" s="4">
        <v>396.45</v>
      </c>
      <c r="T469" s="4">
        <v>7929</v>
      </c>
      <c r="U469" s="4">
        <v>5</v>
      </c>
      <c r="V469" s="4" t="s">
        <v>42</v>
      </c>
      <c r="X469" s="7" t="str">
        <f t="shared" si="15"/>
        <v>441857189</v>
      </c>
      <c r="Y469" s="8" t="str">
        <f t="shared" si="16"/>
        <v>DC</v>
      </c>
      <c r="Z469" s="8">
        <f t="shared" si="17"/>
        <v>0</v>
      </c>
      <c r="AA469" s="8">
        <f t="shared" si="18"/>
        <v>0</v>
      </c>
      <c r="AB469" s="8">
        <f t="shared" si="19"/>
        <v>0</v>
      </c>
      <c r="AC469" s="8">
        <f t="shared" si="20"/>
        <v>0</v>
      </c>
      <c r="AD469" s="8">
        <f t="shared" si="21"/>
        <v>30</v>
      </c>
      <c r="AE469" s="9" t="str" cm="1">
        <f t="array" ref="AE469">IFERROR(_xlfn.XLOOKUP(H469,Sheet1!$G:$G,Sheet1!$F:$F),IFERROR(_xlfn.XLOOKUP(1,(--($X$2:$X$1074=X469))*(--ISNUMBER(MATCH($H$2:$H$1074,Sheet1!$G:$G,0))),_xlfn.XLOOKUP($H$2:$H$1074,Sheet1!$G:$G,Sheet1!$F:$F,"")),"NOT FOUND"))</f>
        <v>RETKRTSFUT4322</v>
      </c>
      <c r="AF469" s="10" t="str">
        <f t="shared" si="28"/>
        <v>SKY BLUE</v>
      </c>
      <c r="AG469" s="11" t="str">
        <f t="shared" si="29"/>
        <v>JHAJJAR</v>
      </c>
      <c r="AH469" s="9" t="str">
        <f>IF(OR(J469="",AE469="",AE469="NOT FOUND"),"",IF(Y469="RP",IFERROR(LEFT(_xlfn.XLOOKUP(AE469,Sheet1!$F:$F,Sheet1!$W:$W),FIND("-",_xlfn.XLOOKUP(AE469,Sheet1!$F:$F,Sheet1!$W:$W),FIND("-",_xlfn.XLOOKUP(AE469,Sheet1!$F:$F,Sheet1!$W:$W))+1))&amp;AE469,"NOT FOUND"),LEFT(J469,FIND("-",J469,FIND("-",J469)+1))&amp;AE469))</f>
        <v>KRTS-APSU26-RETKRTSFUT4322</v>
      </c>
    </row>
    <row r="470" spans="1:34" ht="15.75" customHeight="1" x14ac:dyDescent="0.2">
      <c r="A470" s="4" t="s">
        <v>59</v>
      </c>
      <c r="B470" s="4" t="s">
        <v>710</v>
      </c>
      <c r="C470" s="4" t="s">
        <v>597</v>
      </c>
      <c r="D470" s="4" t="s">
        <v>598</v>
      </c>
      <c r="E470" s="4" t="s">
        <v>34</v>
      </c>
      <c r="F470" s="4" t="s">
        <v>35</v>
      </c>
      <c r="G470" s="4" t="s">
        <v>36</v>
      </c>
      <c r="H470" s="4" t="s">
        <v>677</v>
      </c>
      <c r="I470" s="4" t="s">
        <v>678</v>
      </c>
      <c r="J470" s="4" t="s">
        <v>679</v>
      </c>
      <c r="L470" s="4" t="s">
        <v>40</v>
      </c>
      <c r="M470" s="4">
        <v>1</v>
      </c>
      <c r="N470" s="4">
        <v>30</v>
      </c>
      <c r="O470" s="4">
        <v>30</v>
      </c>
      <c r="P470" s="4" t="s">
        <v>41</v>
      </c>
      <c r="Q470" s="4">
        <v>269.3</v>
      </c>
      <c r="R470" s="4">
        <v>269.3</v>
      </c>
      <c r="S470" s="4">
        <v>403.95</v>
      </c>
      <c r="T470" s="4">
        <v>8079</v>
      </c>
      <c r="U470" s="4">
        <v>5</v>
      </c>
      <c r="V470" s="4" t="s">
        <v>42</v>
      </c>
      <c r="X470" s="7" t="str">
        <f t="shared" si="15"/>
        <v>441857188</v>
      </c>
      <c r="Y470" s="8" t="str">
        <f t="shared" si="16"/>
        <v>DC</v>
      </c>
      <c r="Z470" s="8">
        <f t="shared" si="17"/>
        <v>30</v>
      </c>
      <c r="AA470" s="8">
        <f t="shared" si="18"/>
        <v>0</v>
      </c>
      <c r="AB470" s="8">
        <f t="shared" si="19"/>
        <v>0</v>
      </c>
      <c r="AC470" s="8">
        <f t="shared" si="20"/>
        <v>0</v>
      </c>
      <c r="AD470" s="8">
        <f t="shared" si="21"/>
        <v>0</v>
      </c>
      <c r="AE470" s="9" t="str" cm="1">
        <f t="array" ref="AE470">IFERROR(_xlfn.XLOOKUP(H470,Sheet1!$G:$G,Sheet1!$F:$F),IFERROR(_xlfn.XLOOKUP(1,(--($X$2:$X$1074=X470))*(--ISNUMBER(MATCH($H$2:$H$1074,Sheet1!$G:$G,0))),_xlfn.XLOOKUP($H$2:$H$1074,Sheet1!$G:$G,Sheet1!$F:$F,"")),"NOT FOUND"))</f>
        <v>RETKRTSFUT4321</v>
      </c>
      <c r="AF470" s="10" t="str">
        <f t="shared" si="28"/>
        <v>LIME GREEN</v>
      </c>
      <c r="AG470" s="11" t="str">
        <f t="shared" si="29"/>
        <v>JHAJJAR</v>
      </c>
      <c r="AH470" s="9" t="str">
        <f>IF(OR(J470="",AE470="",AE470="NOT FOUND"),"",IF(Y470="RP",IFERROR(LEFT(_xlfn.XLOOKUP(AE470,Sheet1!$F:$F,Sheet1!$W:$W),FIND("-",_xlfn.XLOOKUP(AE470,Sheet1!$F:$F,Sheet1!$W:$W),FIND("-",_xlfn.XLOOKUP(AE470,Sheet1!$F:$F,Sheet1!$W:$W))+1))&amp;AE470,"NOT FOUND"),LEFT(J470,FIND("-",J470,FIND("-",J470)+1))&amp;AE470))</f>
        <v>KRTS-APSU26-RETKRTSFUT4321</v>
      </c>
    </row>
    <row r="471" spans="1:34" ht="15.75" customHeight="1" x14ac:dyDescent="0.2">
      <c r="A471" s="4" t="s">
        <v>59</v>
      </c>
      <c r="B471" s="4" t="s">
        <v>710</v>
      </c>
      <c r="C471" s="4" t="s">
        <v>597</v>
      </c>
      <c r="D471" s="4" t="s">
        <v>598</v>
      </c>
      <c r="E471" s="4" t="s">
        <v>34</v>
      </c>
      <c r="F471" s="4" t="s">
        <v>35</v>
      </c>
      <c r="G471" s="4" t="s">
        <v>43</v>
      </c>
      <c r="H471" s="4" t="s">
        <v>680</v>
      </c>
      <c r="I471" s="4" t="s">
        <v>681</v>
      </c>
      <c r="J471" s="4" t="s">
        <v>682</v>
      </c>
      <c r="L471" s="4" t="s">
        <v>40</v>
      </c>
      <c r="M471" s="4">
        <v>1</v>
      </c>
      <c r="N471" s="4">
        <v>112</v>
      </c>
      <c r="O471" s="4">
        <v>112</v>
      </c>
      <c r="P471" s="4" t="s">
        <v>41</v>
      </c>
      <c r="Q471" s="4">
        <v>269.3</v>
      </c>
      <c r="R471" s="4">
        <v>269.3</v>
      </c>
      <c r="S471" s="4">
        <v>1508.08</v>
      </c>
      <c r="T471" s="4">
        <v>30161.599999999999</v>
      </c>
      <c r="U471" s="4">
        <v>5</v>
      </c>
      <c r="V471" s="4" t="s">
        <v>42</v>
      </c>
      <c r="X471" s="7" t="str">
        <f t="shared" si="15"/>
        <v>441857188</v>
      </c>
      <c r="Y471" s="8" t="str">
        <f t="shared" si="16"/>
        <v>DC</v>
      </c>
      <c r="Z471" s="8">
        <f t="shared" si="17"/>
        <v>0</v>
      </c>
      <c r="AA471" s="8">
        <f t="shared" si="18"/>
        <v>112</v>
      </c>
      <c r="AB471" s="8">
        <f t="shared" si="19"/>
        <v>0</v>
      </c>
      <c r="AC471" s="8">
        <f t="shared" si="20"/>
        <v>0</v>
      </c>
      <c r="AD471" s="8">
        <f t="shared" si="21"/>
        <v>0</v>
      </c>
      <c r="AE471" s="9" t="str" cm="1">
        <f t="array" ref="AE471">IFERROR(_xlfn.XLOOKUP(H471,Sheet1!$G:$G,Sheet1!$F:$F),IFERROR(_xlfn.XLOOKUP(1,(--($X$2:$X$1074=X471))*(--ISNUMBER(MATCH($H$2:$H$1074,Sheet1!$G:$G,0))),_xlfn.XLOOKUP($H$2:$H$1074,Sheet1!$G:$G,Sheet1!$F:$F,"")),"NOT FOUND"))</f>
        <v>RETKRTSFUT4321</v>
      </c>
      <c r="AF471" s="10" t="str">
        <f t="shared" si="28"/>
        <v>LIME GREEN</v>
      </c>
      <c r="AG471" s="11" t="str">
        <f t="shared" si="29"/>
        <v>JHAJJAR</v>
      </c>
      <c r="AH471" s="9" t="str">
        <f>IF(OR(J471="",AE471="",AE471="NOT FOUND"),"",IF(Y471="RP",IFERROR(LEFT(_xlfn.XLOOKUP(AE471,Sheet1!$F:$F,Sheet1!$W:$W),FIND("-",_xlfn.XLOOKUP(AE471,Sheet1!$F:$F,Sheet1!$W:$W),FIND("-",_xlfn.XLOOKUP(AE471,Sheet1!$F:$F,Sheet1!$W:$W))+1))&amp;AE471,"NOT FOUND"),LEFT(J471,FIND("-",J471,FIND("-",J471)+1))&amp;AE471))</f>
        <v>KRTS-APSU26-RETKRTSFUT4321</v>
      </c>
    </row>
    <row r="472" spans="1:34" ht="15.75" customHeight="1" x14ac:dyDescent="0.2">
      <c r="A472" s="4" t="s">
        <v>59</v>
      </c>
      <c r="B472" s="4" t="s">
        <v>710</v>
      </c>
      <c r="C472" s="4" t="s">
        <v>597</v>
      </c>
      <c r="D472" s="4" t="s">
        <v>598</v>
      </c>
      <c r="E472" s="4" t="s">
        <v>34</v>
      </c>
      <c r="F472" s="4" t="s">
        <v>35</v>
      </c>
      <c r="G472" s="4" t="s">
        <v>47</v>
      </c>
      <c r="H472" s="4" t="s">
        <v>683</v>
      </c>
      <c r="I472" s="4" t="s">
        <v>684</v>
      </c>
      <c r="J472" s="4" t="s">
        <v>685</v>
      </c>
      <c r="L472" s="4" t="s">
        <v>40</v>
      </c>
      <c r="M472" s="4">
        <v>1</v>
      </c>
      <c r="N472" s="4">
        <v>126</v>
      </c>
      <c r="O472" s="4">
        <v>126</v>
      </c>
      <c r="P472" s="4" t="s">
        <v>41</v>
      </c>
      <c r="Q472" s="4">
        <v>269.3</v>
      </c>
      <c r="R472" s="4">
        <v>269.3</v>
      </c>
      <c r="S472" s="4">
        <v>1696.59</v>
      </c>
      <c r="T472" s="4">
        <v>33931.800000000003</v>
      </c>
      <c r="U472" s="4">
        <v>5</v>
      </c>
      <c r="V472" s="4" t="s">
        <v>42</v>
      </c>
      <c r="X472" s="7" t="str">
        <f t="shared" si="15"/>
        <v>441857188</v>
      </c>
      <c r="Y472" s="8" t="str">
        <f t="shared" si="16"/>
        <v>DC</v>
      </c>
      <c r="Z472" s="8">
        <f t="shared" si="17"/>
        <v>0</v>
      </c>
      <c r="AA472" s="8">
        <f t="shared" si="18"/>
        <v>0</v>
      </c>
      <c r="AB472" s="8">
        <f t="shared" si="19"/>
        <v>126</v>
      </c>
      <c r="AC472" s="8">
        <f t="shared" si="20"/>
        <v>0</v>
      </c>
      <c r="AD472" s="8">
        <f t="shared" si="21"/>
        <v>0</v>
      </c>
      <c r="AE472" s="9" t="str" cm="1">
        <f t="array" ref="AE472">IFERROR(_xlfn.XLOOKUP(H472,Sheet1!$G:$G,Sheet1!$F:$F),IFERROR(_xlfn.XLOOKUP(1,(--($X$2:$X$1074=X472))*(--ISNUMBER(MATCH($H$2:$H$1074,Sheet1!$G:$G,0))),_xlfn.XLOOKUP($H$2:$H$1074,Sheet1!$G:$G,Sheet1!$F:$F,"")),"NOT FOUND"))</f>
        <v>RETKRTSFUT4321</v>
      </c>
      <c r="AF472" s="10" t="str">
        <f t="shared" si="28"/>
        <v>LIME GREEN</v>
      </c>
      <c r="AG472" s="11" t="str">
        <f t="shared" si="29"/>
        <v>JHAJJAR</v>
      </c>
      <c r="AH472" s="9" t="str">
        <f>IF(OR(J472="",AE472="",AE472="NOT FOUND"),"",IF(Y472="RP",IFERROR(LEFT(_xlfn.XLOOKUP(AE472,Sheet1!$F:$F,Sheet1!$W:$W),FIND("-",_xlfn.XLOOKUP(AE472,Sheet1!$F:$F,Sheet1!$W:$W),FIND("-",_xlfn.XLOOKUP(AE472,Sheet1!$F:$F,Sheet1!$W:$W))+1))&amp;AE472,"NOT FOUND"),LEFT(J472,FIND("-",J472,FIND("-",J472)+1))&amp;AE472))</f>
        <v>KRTS-APSU26-RETKRTSFUT4321</v>
      </c>
    </row>
    <row r="473" spans="1:34" ht="15.75" customHeight="1" x14ac:dyDescent="0.2">
      <c r="A473" s="4" t="s">
        <v>59</v>
      </c>
      <c r="B473" s="4" t="s">
        <v>710</v>
      </c>
      <c r="C473" s="4" t="s">
        <v>597</v>
      </c>
      <c r="D473" s="4" t="s">
        <v>598</v>
      </c>
      <c r="E473" s="4" t="s">
        <v>34</v>
      </c>
      <c r="F473" s="4" t="s">
        <v>35</v>
      </c>
      <c r="G473" s="4" t="s">
        <v>51</v>
      </c>
      <c r="H473" s="4" t="s">
        <v>686</v>
      </c>
      <c r="I473" s="4" t="s">
        <v>687</v>
      </c>
      <c r="J473" s="4" t="s">
        <v>610</v>
      </c>
      <c r="L473" s="4" t="s">
        <v>40</v>
      </c>
      <c r="M473" s="4">
        <v>1</v>
      </c>
      <c r="N473" s="4">
        <v>147</v>
      </c>
      <c r="O473" s="4">
        <v>147</v>
      </c>
      <c r="P473" s="4" t="s">
        <v>41</v>
      </c>
      <c r="Q473" s="4">
        <v>269.3</v>
      </c>
      <c r="R473" s="4">
        <v>269.3</v>
      </c>
      <c r="S473" s="4">
        <v>1979.36</v>
      </c>
      <c r="T473" s="4">
        <v>39587.1</v>
      </c>
      <c r="U473" s="4">
        <v>5</v>
      </c>
      <c r="V473" s="4" t="s">
        <v>42</v>
      </c>
      <c r="X473" s="7" t="str">
        <f t="shared" si="15"/>
        <v>441857188</v>
      </c>
      <c r="Y473" s="8" t="str">
        <f t="shared" si="16"/>
        <v>DC</v>
      </c>
      <c r="Z473" s="8">
        <f t="shared" si="17"/>
        <v>0</v>
      </c>
      <c r="AA473" s="8">
        <f t="shared" si="18"/>
        <v>0</v>
      </c>
      <c r="AB473" s="8">
        <f t="shared" si="19"/>
        <v>0</v>
      </c>
      <c r="AC473" s="8">
        <f t="shared" si="20"/>
        <v>147</v>
      </c>
      <c r="AD473" s="8">
        <f t="shared" si="21"/>
        <v>0</v>
      </c>
      <c r="AE473" s="9" t="str" cm="1">
        <f t="array" ref="AE473">IFERROR(_xlfn.XLOOKUP(H473,Sheet1!$G:$G,Sheet1!$F:$F),IFERROR(_xlfn.XLOOKUP(1,(--($X$2:$X$1074=X473))*(--ISNUMBER(MATCH($H$2:$H$1074,Sheet1!$G:$G,0))),_xlfn.XLOOKUP($H$2:$H$1074,Sheet1!$G:$G,Sheet1!$F:$F,"")),"NOT FOUND"))</f>
        <v>RETKRTSFUT4321</v>
      </c>
      <c r="AF473" s="10" t="str">
        <f t="shared" si="28"/>
        <v>LIME GREEN</v>
      </c>
      <c r="AG473" s="11" t="str">
        <f t="shared" si="29"/>
        <v>JHAJJAR</v>
      </c>
      <c r="AH473" s="9" t="str">
        <f>IF(OR(J473="",AE473="",AE473="NOT FOUND"),"",IF(Y473="RP",IFERROR(LEFT(_xlfn.XLOOKUP(AE473,Sheet1!$F:$F,Sheet1!$W:$W),FIND("-",_xlfn.XLOOKUP(AE473,Sheet1!$F:$F,Sheet1!$W:$W),FIND("-",_xlfn.XLOOKUP(AE473,Sheet1!$F:$F,Sheet1!$W:$W))+1))&amp;AE473,"NOT FOUND"),LEFT(J473,FIND("-",J473,FIND("-",J473)+1))&amp;AE473))</f>
        <v>KRTS-APSU26-RETKRTSFUT4321</v>
      </c>
    </row>
    <row r="474" spans="1:34" ht="15.75" customHeight="1" x14ac:dyDescent="0.2">
      <c r="A474" s="4" t="s">
        <v>59</v>
      </c>
      <c r="B474" s="4" t="s">
        <v>710</v>
      </c>
      <c r="C474" s="4" t="s">
        <v>597</v>
      </c>
      <c r="D474" s="4" t="s">
        <v>598</v>
      </c>
      <c r="E474" s="4" t="s">
        <v>34</v>
      </c>
      <c r="F474" s="4" t="s">
        <v>35</v>
      </c>
      <c r="G474" s="4" t="s">
        <v>55</v>
      </c>
      <c r="H474" s="4" t="s">
        <v>688</v>
      </c>
      <c r="I474" s="4" t="s">
        <v>689</v>
      </c>
      <c r="J474" s="4" t="s">
        <v>613</v>
      </c>
      <c r="L474" s="4" t="s">
        <v>40</v>
      </c>
      <c r="M474" s="4">
        <v>1</v>
      </c>
      <c r="N474" s="4">
        <v>30</v>
      </c>
      <c r="O474" s="4">
        <v>30</v>
      </c>
      <c r="P474" s="4" t="s">
        <v>41</v>
      </c>
      <c r="Q474" s="4">
        <v>269.3</v>
      </c>
      <c r="R474" s="4">
        <v>269.3</v>
      </c>
      <c r="S474" s="4">
        <v>403.95</v>
      </c>
      <c r="T474" s="4">
        <v>8079</v>
      </c>
      <c r="U474" s="4">
        <v>5</v>
      </c>
      <c r="V474" s="4" t="s">
        <v>42</v>
      </c>
      <c r="X474" s="7" t="str">
        <f t="shared" si="15"/>
        <v>441857188</v>
      </c>
      <c r="Y474" s="8" t="str">
        <f t="shared" si="16"/>
        <v>DC</v>
      </c>
      <c r="Z474" s="8">
        <f t="shared" si="17"/>
        <v>0</v>
      </c>
      <c r="AA474" s="8">
        <f t="shared" si="18"/>
        <v>0</v>
      </c>
      <c r="AB474" s="8">
        <f t="shared" si="19"/>
        <v>0</v>
      </c>
      <c r="AC474" s="8">
        <f t="shared" si="20"/>
        <v>0</v>
      </c>
      <c r="AD474" s="8">
        <f t="shared" si="21"/>
        <v>30</v>
      </c>
      <c r="AE474" s="9" t="str" cm="1">
        <f t="array" ref="AE474">IFERROR(_xlfn.XLOOKUP(H474,Sheet1!$G:$G,Sheet1!$F:$F),IFERROR(_xlfn.XLOOKUP(1,(--($X$2:$X$1074=X474))*(--ISNUMBER(MATCH($H$2:$H$1074,Sheet1!$G:$G,0))),_xlfn.XLOOKUP($H$2:$H$1074,Sheet1!$G:$G,Sheet1!$F:$F,"")),"NOT FOUND"))</f>
        <v>RETKRTSFUT4321</v>
      </c>
      <c r="AF474" s="10" t="str">
        <f t="shared" si="28"/>
        <v>LIME GREEN</v>
      </c>
      <c r="AG474" s="11" t="str">
        <f t="shared" si="29"/>
        <v>JHAJJAR</v>
      </c>
      <c r="AH474" s="9" t="str">
        <f>IF(OR(J474="",AE474="",AE474="NOT FOUND"),"",IF(Y474="RP",IFERROR(LEFT(_xlfn.XLOOKUP(AE474,Sheet1!$F:$F,Sheet1!$W:$W),FIND("-",_xlfn.XLOOKUP(AE474,Sheet1!$F:$F,Sheet1!$W:$W),FIND("-",_xlfn.XLOOKUP(AE474,Sheet1!$F:$F,Sheet1!$W:$W))+1))&amp;AE474,"NOT FOUND"),LEFT(J474,FIND("-",J474,FIND("-",J474)+1))&amp;AE474))</f>
        <v>KRTS-APSU26-RETKRTSFUT4321</v>
      </c>
    </row>
    <row r="475" spans="1:34" ht="15.75" customHeight="1" x14ac:dyDescent="0.2">
      <c r="A475" s="4" t="s">
        <v>61</v>
      </c>
      <c r="B475" s="4" t="s">
        <v>711</v>
      </c>
      <c r="C475" s="4" t="s">
        <v>597</v>
      </c>
      <c r="D475" s="4" t="s">
        <v>598</v>
      </c>
      <c r="E475" s="4" t="s">
        <v>34</v>
      </c>
      <c r="F475" s="4" t="s">
        <v>35</v>
      </c>
      <c r="G475" s="4" t="s">
        <v>36</v>
      </c>
      <c r="H475" s="4" t="s">
        <v>628</v>
      </c>
      <c r="I475" s="4" t="s">
        <v>629</v>
      </c>
      <c r="J475" s="4" t="s">
        <v>630</v>
      </c>
      <c r="L475" s="4" t="s">
        <v>40</v>
      </c>
      <c r="M475" s="4">
        <v>1</v>
      </c>
      <c r="N475" s="4">
        <v>30</v>
      </c>
      <c r="O475" s="4">
        <v>30</v>
      </c>
      <c r="P475" s="4" t="s">
        <v>41</v>
      </c>
      <c r="Q475" s="4">
        <v>269.3</v>
      </c>
      <c r="R475" s="4">
        <v>269.3</v>
      </c>
      <c r="S475" s="4">
        <v>403.95</v>
      </c>
      <c r="T475" s="4">
        <v>8079</v>
      </c>
      <c r="U475" s="4">
        <v>5</v>
      </c>
      <c r="V475" s="4" t="s">
        <v>42</v>
      </c>
      <c r="X475" s="7" t="str">
        <f t="shared" si="15"/>
        <v>441857191</v>
      </c>
      <c r="Y475" s="8" t="str">
        <f t="shared" si="16"/>
        <v>DC</v>
      </c>
      <c r="Z475" s="8">
        <f t="shared" si="17"/>
        <v>30</v>
      </c>
      <c r="AA475" s="8">
        <f t="shared" si="18"/>
        <v>0</v>
      </c>
      <c r="AB475" s="8">
        <f t="shared" si="19"/>
        <v>0</v>
      </c>
      <c r="AC475" s="8">
        <f t="shared" si="20"/>
        <v>0</v>
      </c>
      <c r="AD475" s="8">
        <f t="shared" si="21"/>
        <v>0</v>
      </c>
      <c r="AE475" s="9" t="str" cm="1">
        <f t="array" ref="AE475">IFERROR(_xlfn.XLOOKUP(H475,Sheet1!$G:$G,Sheet1!$F:$F),IFERROR(_xlfn.XLOOKUP(1,(--($X$2:$X$1074=X475))*(--ISNUMBER(MATCH($H$2:$H$1074,Sheet1!$G:$G,0))),_xlfn.XLOOKUP($H$2:$H$1074,Sheet1!$G:$G,Sheet1!$F:$F,"")),"NOT FOUND"))</f>
        <v>RETKRTSFUT4330</v>
      </c>
      <c r="AF475" s="10" t="str">
        <f t="shared" si="28"/>
        <v>MAGENTA</v>
      </c>
      <c r="AG475" s="11" t="str">
        <f t="shared" si="29"/>
        <v>HARIPAL</v>
      </c>
      <c r="AH475" s="9" t="str">
        <f>IF(OR(J475="",AE475="",AE475="NOT FOUND"),"",IF(Y475="RP",IFERROR(LEFT(_xlfn.XLOOKUP(AE475,Sheet1!$F:$F,Sheet1!$W:$W),FIND("-",_xlfn.XLOOKUP(AE475,Sheet1!$F:$F,Sheet1!$W:$W),FIND("-",_xlfn.XLOOKUP(AE475,Sheet1!$F:$F,Sheet1!$W:$W))+1))&amp;AE475,"NOT FOUND"),LEFT(J475,FIND("-",J475,FIND("-",J475)+1))&amp;AE475))</f>
        <v>KRTS-APSU26-RETKRTSFUT4330</v>
      </c>
    </row>
    <row r="476" spans="1:34" ht="15.75" customHeight="1" x14ac:dyDescent="0.2">
      <c r="A476" s="4" t="s">
        <v>61</v>
      </c>
      <c r="B476" s="4" t="s">
        <v>711</v>
      </c>
      <c r="C476" s="4" t="s">
        <v>597</v>
      </c>
      <c r="D476" s="4" t="s">
        <v>598</v>
      </c>
      <c r="E476" s="4" t="s">
        <v>34</v>
      </c>
      <c r="F476" s="4" t="s">
        <v>35</v>
      </c>
      <c r="G476" s="4" t="s">
        <v>43</v>
      </c>
      <c r="H476" s="4" t="s">
        <v>631</v>
      </c>
      <c r="I476" s="4" t="s">
        <v>632</v>
      </c>
      <c r="J476" s="4" t="s">
        <v>633</v>
      </c>
      <c r="L476" s="4" t="s">
        <v>40</v>
      </c>
      <c r="M476" s="4">
        <v>1</v>
      </c>
      <c r="N476" s="4">
        <v>106</v>
      </c>
      <c r="O476" s="4">
        <v>106</v>
      </c>
      <c r="P476" s="4" t="s">
        <v>41</v>
      </c>
      <c r="Q476" s="4">
        <v>269.3</v>
      </c>
      <c r="R476" s="4">
        <v>269.3</v>
      </c>
      <c r="S476" s="4">
        <v>1427.29</v>
      </c>
      <c r="T476" s="4">
        <v>28545.8</v>
      </c>
      <c r="U476" s="4">
        <v>5</v>
      </c>
      <c r="V476" s="4" t="s">
        <v>42</v>
      </c>
      <c r="X476" s="7" t="str">
        <f t="shared" si="15"/>
        <v>441857191</v>
      </c>
      <c r="Y476" s="8" t="str">
        <f t="shared" si="16"/>
        <v>DC</v>
      </c>
      <c r="Z476" s="8">
        <f t="shared" si="17"/>
        <v>0</v>
      </c>
      <c r="AA476" s="8">
        <f t="shared" si="18"/>
        <v>106</v>
      </c>
      <c r="AB476" s="8">
        <f t="shared" si="19"/>
        <v>0</v>
      </c>
      <c r="AC476" s="8">
        <f t="shared" si="20"/>
        <v>0</v>
      </c>
      <c r="AD476" s="8">
        <f t="shared" si="21"/>
        <v>0</v>
      </c>
      <c r="AE476" s="9" t="str" cm="1">
        <f t="array" ref="AE476">IFERROR(_xlfn.XLOOKUP(H476,Sheet1!$G:$G,Sheet1!$F:$F),IFERROR(_xlfn.XLOOKUP(1,(--($X$2:$X$1074=X476))*(--ISNUMBER(MATCH($H$2:$H$1074,Sheet1!$G:$G,0))),_xlfn.XLOOKUP($H$2:$H$1074,Sheet1!$G:$G,Sheet1!$F:$F,"")),"NOT FOUND"))</f>
        <v>RETKRTSFUT4330</v>
      </c>
      <c r="AF476" s="10" t="str">
        <f t="shared" si="28"/>
        <v>MAGENTA</v>
      </c>
      <c r="AG476" s="11" t="str">
        <f t="shared" si="29"/>
        <v>HARIPAL</v>
      </c>
      <c r="AH476" s="9" t="str">
        <f>IF(OR(J476="",AE476="",AE476="NOT FOUND"),"",IF(Y476="RP",IFERROR(LEFT(_xlfn.XLOOKUP(AE476,Sheet1!$F:$F,Sheet1!$W:$W),FIND("-",_xlfn.XLOOKUP(AE476,Sheet1!$F:$F,Sheet1!$W:$W),FIND("-",_xlfn.XLOOKUP(AE476,Sheet1!$F:$F,Sheet1!$W:$W))+1))&amp;AE476,"NOT FOUND"),LEFT(J476,FIND("-",J476,FIND("-",J476)+1))&amp;AE476))</f>
        <v>KRTS-APSU26-RETKRTSFUT4330</v>
      </c>
    </row>
    <row r="477" spans="1:34" ht="15.75" customHeight="1" x14ac:dyDescent="0.2">
      <c r="A477" s="4" t="s">
        <v>61</v>
      </c>
      <c r="B477" s="4" t="s">
        <v>711</v>
      </c>
      <c r="C477" s="4" t="s">
        <v>597</v>
      </c>
      <c r="D477" s="4" t="s">
        <v>598</v>
      </c>
      <c r="E477" s="4" t="s">
        <v>34</v>
      </c>
      <c r="F477" s="4" t="s">
        <v>35</v>
      </c>
      <c r="G477" s="4" t="s">
        <v>47</v>
      </c>
      <c r="H477" s="4" t="s">
        <v>634</v>
      </c>
      <c r="I477" s="4" t="s">
        <v>635</v>
      </c>
      <c r="J477" s="4" t="s">
        <v>636</v>
      </c>
      <c r="L477" s="4" t="s">
        <v>40</v>
      </c>
      <c r="M477" s="4">
        <v>1</v>
      </c>
      <c r="N477" s="4">
        <v>119</v>
      </c>
      <c r="O477" s="4">
        <v>119</v>
      </c>
      <c r="P477" s="4" t="s">
        <v>41</v>
      </c>
      <c r="Q477" s="4">
        <v>269.3</v>
      </c>
      <c r="R477" s="4">
        <v>269.3</v>
      </c>
      <c r="S477" s="4">
        <v>1602.34</v>
      </c>
      <c r="T477" s="4">
        <v>32046.7</v>
      </c>
      <c r="U477" s="4">
        <v>5</v>
      </c>
      <c r="V477" s="4" t="s">
        <v>42</v>
      </c>
      <c r="X477" s="7" t="str">
        <f t="shared" si="15"/>
        <v>441857191</v>
      </c>
      <c r="Y477" s="8" t="str">
        <f t="shared" si="16"/>
        <v>DC</v>
      </c>
      <c r="Z477" s="8">
        <f t="shared" si="17"/>
        <v>0</v>
      </c>
      <c r="AA477" s="8">
        <f t="shared" si="18"/>
        <v>0</v>
      </c>
      <c r="AB477" s="8">
        <f t="shared" si="19"/>
        <v>119</v>
      </c>
      <c r="AC477" s="8">
        <f t="shared" si="20"/>
        <v>0</v>
      </c>
      <c r="AD477" s="8">
        <f t="shared" si="21"/>
        <v>0</v>
      </c>
      <c r="AE477" s="9" t="str" cm="1">
        <f t="array" ref="AE477">IFERROR(_xlfn.XLOOKUP(H477,Sheet1!$G:$G,Sheet1!$F:$F),IFERROR(_xlfn.XLOOKUP(1,(--($X$2:$X$1074=X477))*(--ISNUMBER(MATCH($H$2:$H$1074,Sheet1!$G:$G,0))),_xlfn.XLOOKUP($H$2:$H$1074,Sheet1!$G:$G,Sheet1!$F:$F,"")),"NOT FOUND"))</f>
        <v>RETKRTSFUT4330</v>
      </c>
      <c r="AF477" s="10" t="str">
        <f t="shared" si="28"/>
        <v>MAGENTA</v>
      </c>
      <c r="AG477" s="11" t="str">
        <f t="shared" si="29"/>
        <v>HARIPAL</v>
      </c>
      <c r="AH477" s="9" t="str">
        <f>IF(OR(J477="",AE477="",AE477="NOT FOUND"),"",IF(Y477="RP",IFERROR(LEFT(_xlfn.XLOOKUP(AE477,Sheet1!$F:$F,Sheet1!$W:$W),FIND("-",_xlfn.XLOOKUP(AE477,Sheet1!$F:$F,Sheet1!$W:$W),FIND("-",_xlfn.XLOOKUP(AE477,Sheet1!$F:$F,Sheet1!$W:$W))+1))&amp;AE477,"NOT FOUND"),LEFT(J477,FIND("-",J477,FIND("-",J477)+1))&amp;AE477))</f>
        <v>KRTS-APSU26-RETKRTSFUT4330</v>
      </c>
    </row>
    <row r="478" spans="1:34" ht="15.75" customHeight="1" x14ac:dyDescent="0.2">
      <c r="A478" s="4" t="s">
        <v>61</v>
      </c>
      <c r="B478" s="4" t="s">
        <v>711</v>
      </c>
      <c r="C478" s="4" t="s">
        <v>597</v>
      </c>
      <c r="D478" s="4" t="s">
        <v>598</v>
      </c>
      <c r="E478" s="4" t="s">
        <v>34</v>
      </c>
      <c r="F478" s="4" t="s">
        <v>35</v>
      </c>
      <c r="G478" s="4" t="s">
        <v>51</v>
      </c>
      <c r="H478" s="4" t="s">
        <v>637</v>
      </c>
      <c r="I478" s="4" t="s">
        <v>638</v>
      </c>
      <c r="J478" s="4" t="s">
        <v>639</v>
      </c>
      <c r="L478" s="4" t="s">
        <v>40</v>
      </c>
      <c r="M478" s="4">
        <v>1</v>
      </c>
      <c r="N478" s="4">
        <v>139</v>
      </c>
      <c r="O478" s="4">
        <v>139</v>
      </c>
      <c r="P478" s="4" t="s">
        <v>41</v>
      </c>
      <c r="Q478" s="4">
        <v>269.3</v>
      </c>
      <c r="R478" s="4">
        <v>269.3</v>
      </c>
      <c r="S478" s="4">
        <v>1871.64</v>
      </c>
      <c r="T478" s="4">
        <v>37432.699999999997</v>
      </c>
      <c r="U478" s="4">
        <v>5</v>
      </c>
      <c r="V478" s="4" t="s">
        <v>42</v>
      </c>
      <c r="X478" s="7" t="str">
        <f t="shared" si="15"/>
        <v>441857191</v>
      </c>
      <c r="Y478" s="8" t="str">
        <f t="shared" si="16"/>
        <v>DC</v>
      </c>
      <c r="Z478" s="8">
        <f t="shared" si="17"/>
        <v>0</v>
      </c>
      <c r="AA478" s="8">
        <f t="shared" si="18"/>
        <v>0</v>
      </c>
      <c r="AB478" s="8">
        <f t="shared" si="19"/>
        <v>0</v>
      </c>
      <c r="AC478" s="8">
        <f t="shared" si="20"/>
        <v>139</v>
      </c>
      <c r="AD478" s="8">
        <f t="shared" si="21"/>
        <v>0</v>
      </c>
      <c r="AE478" s="9" t="str" cm="1">
        <f t="array" ref="AE478">IFERROR(_xlfn.XLOOKUP(H478,Sheet1!$G:$G,Sheet1!$F:$F),IFERROR(_xlfn.XLOOKUP(1,(--($X$2:$X$1074=X478))*(--ISNUMBER(MATCH($H$2:$H$1074,Sheet1!$G:$G,0))),_xlfn.XLOOKUP($H$2:$H$1074,Sheet1!$G:$G,Sheet1!$F:$F,"")),"NOT FOUND"))</f>
        <v>RETKRTSFUT4330</v>
      </c>
      <c r="AF478" s="10" t="str">
        <f t="shared" si="28"/>
        <v>MAGENTA</v>
      </c>
      <c r="AG478" s="11" t="str">
        <f t="shared" si="29"/>
        <v>HARIPAL</v>
      </c>
      <c r="AH478" s="9" t="str">
        <f>IF(OR(J478="",AE478="",AE478="NOT FOUND"),"",IF(Y478="RP",IFERROR(LEFT(_xlfn.XLOOKUP(AE478,Sheet1!$F:$F,Sheet1!$W:$W),FIND("-",_xlfn.XLOOKUP(AE478,Sheet1!$F:$F,Sheet1!$W:$W),FIND("-",_xlfn.XLOOKUP(AE478,Sheet1!$F:$F,Sheet1!$W:$W))+1))&amp;AE478,"NOT FOUND"),LEFT(J478,FIND("-",J478,FIND("-",J478)+1))&amp;AE478))</f>
        <v>KRTS-APSU26-RETKRTSFUT4330</v>
      </c>
    </row>
    <row r="479" spans="1:34" ht="15.75" customHeight="1" x14ac:dyDescent="0.2">
      <c r="A479" s="4" t="s">
        <v>61</v>
      </c>
      <c r="B479" s="4" t="s">
        <v>711</v>
      </c>
      <c r="C479" s="4" t="s">
        <v>597</v>
      </c>
      <c r="D479" s="4" t="s">
        <v>598</v>
      </c>
      <c r="E479" s="4" t="s">
        <v>34</v>
      </c>
      <c r="F479" s="4" t="s">
        <v>35</v>
      </c>
      <c r="G479" s="4" t="s">
        <v>55</v>
      </c>
      <c r="H479" s="4" t="s">
        <v>640</v>
      </c>
      <c r="I479" s="4" t="s">
        <v>641</v>
      </c>
      <c r="J479" s="4" t="s">
        <v>642</v>
      </c>
      <c r="L479" s="4" t="s">
        <v>40</v>
      </c>
      <c r="M479" s="4">
        <v>1</v>
      </c>
      <c r="N479" s="4">
        <v>30</v>
      </c>
      <c r="O479" s="4">
        <v>30</v>
      </c>
      <c r="P479" s="4" t="s">
        <v>41</v>
      </c>
      <c r="Q479" s="4">
        <v>269.3</v>
      </c>
      <c r="R479" s="4">
        <v>269.3</v>
      </c>
      <c r="S479" s="4">
        <v>403.95</v>
      </c>
      <c r="T479" s="4">
        <v>8079</v>
      </c>
      <c r="U479" s="4">
        <v>5</v>
      </c>
      <c r="V479" s="4" t="s">
        <v>42</v>
      </c>
      <c r="X479" s="7" t="str">
        <f t="shared" si="15"/>
        <v>441857191</v>
      </c>
      <c r="Y479" s="8" t="str">
        <f t="shared" si="16"/>
        <v>DC</v>
      </c>
      <c r="Z479" s="8">
        <f t="shared" si="17"/>
        <v>0</v>
      </c>
      <c r="AA479" s="8">
        <f t="shared" si="18"/>
        <v>0</v>
      </c>
      <c r="AB479" s="8">
        <f t="shared" si="19"/>
        <v>0</v>
      </c>
      <c r="AC479" s="8">
        <f t="shared" si="20"/>
        <v>0</v>
      </c>
      <c r="AD479" s="8">
        <f t="shared" si="21"/>
        <v>30</v>
      </c>
      <c r="AE479" s="9" t="str" cm="1">
        <f t="array" ref="AE479">IFERROR(_xlfn.XLOOKUP(H479,Sheet1!$G:$G,Sheet1!$F:$F),IFERROR(_xlfn.XLOOKUP(1,(--($X$2:$X$1074=X479))*(--ISNUMBER(MATCH($H$2:$H$1074,Sheet1!$G:$G,0))),_xlfn.XLOOKUP($H$2:$H$1074,Sheet1!$G:$G,Sheet1!$F:$F,"")),"NOT FOUND"))</f>
        <v>RETKRTSFUT4330</v>
      </c>
      <c r="AF479" s="10" t="str">
        <f t="shared" si="28"/>
        <v>MAGENTA</v>
      </c>
      <c r="AG479" s="11" t="str">
        <f t="shared" si="29"/>
        <v>HARIPAL</v>
      </c>
      <c r="AH479" s="9" t="str">
        <f>IF(OR(J479="",AE479="",AE479="NOT FOUND"),"",IF(Y479="RP",IFERROR(LEFT(_xlfn.XLOOKUP(AE479,Sheet1!$F:$F,Sheet1!$W:$W),FIND("-",_xlfn.XLOOKUP(AE479,Sheet1!$F:$F,Sheet1!$W:$W),FIND("-",_xlfn.XLOOKUP(AE479,Sheet1!$F:$F,Sheet1!$W:$W))+1))&amp;AE479,"NOT FOUND"),LEFT(J479,FIND("-",J479,FIND("-",J479)+1))&amp;AE479))</f>
        <v>KRTS-APSU26-RETKRTSFUT4330</v>
      </c>
    </row>
    <row r="480" spans="1:34" ht="15.75" customHeight="1" x14ac:dyDescent="0.2">
      <c r="A480" s="4" t="s">
        <v>61</v>
      </c>
      <c r="B480" s="4" t="s">
        <v>712</v>
      </c>
      <c r="C480" s="4" t="s">
        <v>597</v>
      </c>
      <c r="D480" s="4" t="s">
        <v>598</v>
      </c>
      <c r="E480" s="4" t="s">
        <v>34</v>
      </c>
      <c r="F480" s="4" t="s">
        <v>35</v>
      </c>
      <c r="G480" s="4" t="s">
        <v>36</v>
      </c>
      <c r="H480" s="4" t="s">
        <v>644</v>
      </c>
      <c r="I480" s="4" t="s">
        <v>645</v>
      </c>
      <c r="J480" s="4" t="s">
        <v>646</v>
      </c>
      <c r="L480" s="4" t="s">
        <v>40</v>
      </c>
      <c r="M480" s="4">
        <v>1</v>
      </c>
      <c r="N480" s="4">
        <v>30</v>
      </c>
      <c r="O480" s="4">
        <v>30</v>
      </c>
      <c r="P480" s="4" t="s">
        <v>41</v>
      </c>
      <c r="Q480" s="4">
        <v>279.3</v>
      </c>
      <c r="R480" s="4">
        <v>279.3</v>
      </c>
      <c r="S480" s="4">
        <v>418.95</v>
      </c>
      <c r="T480" s="4">
        <v>8379</v>
      </c>
      <c r="U480" s="4">
        <v>5</v>
      </c>
      <c r="V480" s="4" t="s">
        <v>42</v>
      </c>
      <c r="X480" s="7" t="str">
        <f t="shared" si="15"/>
        <v>441857190</v>
      </c>
      <c r="Y480" s="8" t="str">
        <f t="shared" si="16"/>
        <v>DC</v>
      </c>
      <c r="Z480" s="8">
        <f t="shared" si="17"/>
        <v>30</v>
      </c>
      <c r="AA480" s="8">
        <f t="shared" si="18"/>
        <v>0</v>
      </c>
      <c r="AB480" s="8">
        <f t="shared" si="19"/>
        <v>0</v>
      </c>
      <c r="AC480" s="8">
        <f t="shared" si="20"/>
        <v>0</v>
      </c>
      <c r="AD480" s="8">
        <f t="shared" si="21"/>
        <v>0</v>
      </c>
      <c r="AE480" s="9" t="str" cm="1">
        <f t="array" ref="AE480">IFERROR(_xlfn.XLOOKUP(H480,Sheet1!$G:$G,Sheet1!$F:$F),IFERROR(_xlfn.XLOOKUP(1,(--($X$2:$X$1074=X480))*(--ISNUMBER(MATCH($H$2:$H$1074,Sheet1!$G:$G,0))),_xlfn.XLOOKUP($H$2:$H$1074,Sheet1!$G:$G,Sheet1!$F:$F,"")),"NOT FOUND"))</f>
        <v>RETKRTSFUT4329</v>
      </c>
      <c r="AF480" s="10" t="str">
        <f t="shared" si="28"/>
        <v>GREEN</v>
      </c>
      <c r="AG480" s="11" t="str">
        <f t="shared" si="29"/>
        <v>HARIPAL</v>
      </c>
      <c r="AH480" s="9" t="str">
        <f>IF(OR(J480="",AE480="",AE480="NOT FOUND"),"",IF(Y480="RP",IFERROR(LEFT(_xlfn.XLOOKUP(AE480,Sheet1!$F:$F,Sheet1!$W:$W),FIND("-",_xlfn.XLOOKUP(AE480,Sheet1!$F:$F,Sheet1!$W:$W),FIND("-",_xlfn.XLOOKUP(AE480,Sheet1!$F:$F,Sheet1!$W:$W))+1))&amp;AE480,"NOT FOUND"),LEFT(J480,FIND("-",J480,FIND("-",J480)+1))&amp;AE480))</f>
        <v>KRTS-APSU26-RETKRTSFUT4329</v>
      </c>
    </row>
    <row r="481" spans="1:34" ht="15.75" customHeight="1" x14ac:dyDescent="0.2">
      <c r="A481" s="4" t="s">
        <v>61</v>
      </c>
      <c r="B481" s="4" t="s">
        <v>712</v>
      </c>
      <c r="C481" s="4" t="s">
        <v>597</v>
      </c>
      <c r="D481" s="4" t="s">
        <v>598</v>
      </c>
      <c r="E481" s="4" t="s">
        <v>34</v>
      </c>
      <c r="F481" s="4" t="s">
        <v>35</v>
      </c>
      <c r="G481" s="4" t="s">
        <v>43</v>
      </c>
      <c r="H481" s="4" t="s">
        <v>647</v>
      </c>
      <c r="I481" s="4" t="s">
        <v>648</v>
      </c>
      <c r="J481" s="4" t="s">
        <v>649</v>
      </c>
      <c r="L481" s="4" t="s">
        <v>40</v>
      </c>
      <c r="M481" s="4">
        <v>1</v>
      </c>
      <c r="N481" s="4">
        <v>106</v>
      </c>
      <c r="O481" s="4">
        <v>106</v>
      </c>
      <c r="P481" s="4" t="s">
        <v>41</v>
      </c>
      <c r="Q481" s="4">
        <v>279.3</v>
      </c>
      <c r="R481" s="4">
        <v>279.3</v>
      </c>
      <c r="S481" s="4">
        <v>1480.29</v>
      </c>
      <c r="T481" s="4">
        <v>29605.8</v>
      </c>
      <c r="U481" s="4">
        <v>5</v>
      </c>
      <c r="V481" s="4" t="s">
        <v>42</v>
      </c>
      <c r="X481" s="7" t="str">
        <f t="shared" si="15"/>
        <v>441857190</v>
      </c>
      <c r="Y481" s="8" t="str">
        <f t="shared" si="16"/>
        <v>DC</v>
      </c>
      <c r="Z481" s="8">
        <f t="shared" si="17"/>
        <v>0</v>
      </c>
      <c r="AA481" s="8">
        <f t="shared" si="18"/>
        <v>106</v>
      </c>
      <c r="AB481" s="8">
        <f t="shared" si="19"/>
        <v>0</v>
      </c>
      <c r="AC481" s="8">
        <f t="shared" si="20"/>
        <v>0</v>
      </c>
      <c r="AD481" s="8">
        <f t="shared" si="21"/>
        <v>0</v>
      </c>
      <c r="AE481" s="9" t="str" cm="1">
        <f t="array" ref="AE481">IFERROR(_xlfn.XLOOKUP(H481,Sheet1!$G:$G,Sheet1!$F:$F),IFERROR(_xlfn.XLOOKUP(1,(--($X$2:$X$1074=X481))*(--ISNUMBER(MATCH($H$2:$H$1074,Sheet1!$G:$G,0))),_xlfn.XLOOKUP($H$2:$H$1074,Sheet1!$G:$G,Sheet1!$F:$F,"")),"NOT FOUND"))</f>
        <v>RETKRTSFUT4329</v>
      </c>
      <c r="AF481" s="10" t="str">
        <f t="shared" si="28"/>
        <v>GREEN</v>
      </c>
      <c r="AG481" s="11" t="str">
        <f t="shared" si="29"/>
        <v>HARIPAL</v>
      </c>
      <c r="AH481" s="9" t="str">
        <f>IF(OR(J481="",AE481="",AE481="NOT FOUND"),"",IF(Y481="RP",IFERROR(LEFT(_xlfn.XLOOKUP(AE481,Sheet1!$F:$F,Sheet1!$W:$W),FIND("-",_xlfn.XLOOKUP(AE481,Sheet1!$F:$F,Sheet1!$W:$W),FIND("-",_xlfn.XLOOKUP(AE481,Sheet1!$F:$F,Sheet1!$W:$W))+1))&amp;AE481,"NOT FOUND"),LEFT(J481,FIND("-",J481,FIND("-",J481)+1))&amp;AE481))</f>
        <v>KRTS-APSU26-RETKRTSFUT4329</v>
      </c>
    </row>
    <row r="482" spans="1:34" ht="15.75" customHeight="1" x14ac:dyDescent="0.2">
      <c r="A482" s="4" t="s">
        <v>61</v>
      </c>
      <c r="B482" s="4" t="s">
        <v>712</v>
      </c>
      <c r="C482" s="4" t="s">
        <v>597</v>
      </c>
      <c r="D482" s="4" t="s">
        <v>598</v>
      </c>
      <c r="E482" s="4" t="s">
        <v>34</v>
      </c>
      <c r="F482" s="4" t="s">
        <v>35</v>
      </c>
      <c r="G482" s="4" t="s">
        <v>47</v>
      </c>
      <c r="H482" s="4" t="s">
        <v>650</v>
      </c>
      <c r="I482" s="4" t="s">
        <v>651</v>
      </c>
      <c r="J482" s="4" t="s">
        <v>652</v>
      </c>
      <c r="L482" s="4" t="s">
        <v>40</v>
      </c>
      <c r="M482" s="4">
        <v>1</v>
      </c>
      <c r="N482" s="4">
        <v>119</v>
      </c>
      <c r="O482" s="4">
        <v>119</v>
      </c>
      <c r="P482" s="4" t="s">
        <v>41</v>
      </c>
      <c r="Q482" s="4">
        <v>279.3</v>
      </c>
      <c r="R482" s="4">
        <v>279.3</v>
      </c>
      <c r="S482" s="4">
        <v>1661.84</v>
      </c>
      <c r="T482" s="4">
        <v>33236.699999999997</v>
      </c>
      <c r="U482" s="4">
        <v>5</v>
      </c>
      <c r="V482" s="4" t="s">
        <v>42</v>
      </c>
      <c r="X482" s="7" t="str">
        <f t="shared" si="15"/>
        <v>441857190</v>
      </c>
      <c r="Y482" s="8" t="str">
        <f t="shared" si="16"/>
        <v>DC</v>
      </c>
      <c r="Z482" s="8">
        <f t="shared" si="17"/>
        <v>0</v>
      </c>
      <c r="AA482" s="8">
        <f t="shared" si="18"/>
        <v>0</v>
      </c>
      <c r="AB482" s="8">
        <f t="shared" si="19"/>
        <v>119</v>
      </c>
      <c r="AC482" s="8">
        <f t="shared" si="20"/>
        <v>0</v>
      </c>
      <c r="AD482" s="8">
        <f t="shared" si="21"/>
        <v>0</v>
      </c>
      <c r="AE482" s="9" t="str" cm="1">
        <f t="array" ref="AE482">IFERROR(_xlfn.XLOOKUP(H482,Sheet1!$G:$G,Sheet1!$F:$F),IFERROR(_xlfn.XLOOKUP(1,(--($X$2:$X$1074=X482))*(--ISNUMBER(MATCH($H$2:$H$1074,Sheet1!$G:$G,0))),_xlfn.XLOOKUP($H$2:$H$1074,Sheet1!$G:$G,Sheet1!$F:$F,"")),"NOT FOUND"))</f>
        <v>RETKRTSFUT4329</v>
      </c>
      <c r="AF482" s="10" t="str">
        <f t="shared" si="28"/>
        <v>GREEN</v>
      </c>
      <c r="AG482" s="11" t="str">
        <f t="shared" si="29"/>
        <v>HARIPAL</v>
      </c>
      <c r="AH482" s="9" t="str">
        <f>IF(OR(J482="",AE482="",AE482="NOT FOUND"),"",IF(Y482="RP",IFERROR(LEFT(_xlfn.XLOOKUP(AE482,Sheet1!$F:$F,Sheet1!$W:$W),FIND("-",_xlfn.XLOOKUP(AE482,Sheet1!$F:$F,Sheet1!$W:$W),FIND("-",_xlfn.XLOOKUP(AE482,Sheet1!$F:$F,Sheet1!$W:$W))+1))&amp;AE482,"NOT FOUND"),LEFT(J482,FIND("-",J482,FIND("-",J482)+1))&amp;AE482))</f>
        <v>KRTS-APSU26-RETKRTSFUT4329</v>
      </c>
    </row>
    <row r="483" spans="1:34" ht="15.75" customHeight="1" x14ac:dyDescent="0.2">
      <c r="A483" s="4" t="s">
        <v>61</v>
      </c>
      <c r="B483" s="4" t="s">
        <v>712</v>
      </c>
      <c r="C483" s="4" t="s">
        <v>597</v>
      </c>
      <c r="D483" s="4" t="s">
        <v>598</v>
      </c>
      <c r="E483" s="4" t="s">
        <v>34</v>
      </c>
      <c r="F483" s="4" t="s">
        <v>35</v>
      </c>
      <c r="G483" s="4" t="s">
        <v>51</v>
      </c>
      <c r="H483" s="4" t="s">
        <v>653</v>
      </c>
      <c r="I483" s="4" t="s">
        <v>654</v>
      </c>
      <c r="J483" s="4" t="s">
        <v>655</v>
      </c>
      <c r="L483" s="4" t="s">
        <v>40</v>
      </c>
      <c r="M483" s="4">
        <v>1</v>
      </c>
      <c r="N483" s="4">
        <v>139</v>
      </c>
      <c r="O483" s="4">
        <v>139</v>
      </c>
      <c r="P483" s="4" t="s">
        <v>41</v>
      </c>
      <c r="Q483" s="4">
        <v>279.3</v>
      </c>
      <c r="R483" s="4">
        <v>279.3</v>
      </c>
      <c r="S483" s="4">
        <v>1941.14</v>
      </c>
      <c r="T483" s="4">
        <v>38822.699999999997</v>
      </c>
      <c r="U483" s="4">
        <v>5</v>
      </c>
      <c r="V483" s="4" t="s">
        <v>42</v>
      </c>
      <c r="X483" s="7" t="str">
        <f t="shared" si="15"/>
        <v>441857190</v>
      </c>
      <c r="Y483" s="8" t="str">
        <f t="shared" si="16"/>
        <v>DC</v>
      </c>
      <c r="Z483" s="8">
        <f t="shared" si="17"/>
        <v>0</v>
      </c>
      <c r="AA483" s="8">
        <f t="shared" si="18"/>
        <v>0</v>
      </c>
      <c r="AB483" s="8">
        <f t="shared" si="19"/>
        <v>0</v>
      </c>
      <c r="AC483" s="8">
        <f t="shared" si="20"/>
        <v>139</v>
      </c>
      <c r="AD483" s="8">
        <f t="shared" si="21"/>
        <v>0</v>
      </c>
      <c r="AE483" s="9" t="str" cm="1">
        <f t="array" ref="AE483">IFERROR(_xlfn.XLOOKUP(H483,Sheet1!$G:$G,Sheet1!$F:$F),IFERROR(_xlfn.XLOOKUP(1,(--($X$2:$X$1074=X483))*(--ISNUMBER(MATCH($H$2:$H$1074,Sheet1!$G:$G,0))),_xlfn.XLOOKUP($H$2:$H$1074,Sheet1!$G:$G,Sheet1!$F:$F,"")),"NOT FOUND"))</f>
        <v>RETKRTSFUT4329</v>
      </c>
      <c r="AF483" s="10" t="str">
        <f t="shared" si="28"/>
        <v>GREEN</v>
      </c>
      <c r="AG483" s="11" t="str">
        <f t="shared" si="29"/>
        <v>HARIPAL</v>
      </c>
      <c r="AH483" s="9" t="str">
        <f>IF(OR(J483="",AE483="",AE483="NOT FOUND"),"",IF(Y483="RP",IFERROR(LEFT(_xlfn.XLOOKUP(AE483,Sheet1!$F:$F,Sheet1!$W:$W),FIND("-",_xlfn.XLOOKUP(AE483,Sheet1!$F:$F,Sheet1!$W:$W),FIND("-",_xlfn.XLOOKUP(AE483,Sheet1!$F:$F,Sheet1!$W:$W))+1))&amp;AE483,"NOT FOUND"),LEFT(J483,FIND("-",J483,FIND("-",J483)+1))&amp;AE483))</f>
        <v>KRTS-APSU26-RETKRTSFUT4329</v>
      </c>
    </row>
    <row r="484" spans="1:34" ht="15.75" customHeight="1" x14ac:dyDescent="0.2">
      <c r="A484" s="4" t="s">
        <v>61</v>
      </c>
      <c r="B484" s="4" t="s">
        <v>712</v>
      </c>
      <c r="C484" s="4" t="s">
        <v>597</v>
      </c>
      <c r="D484" s="4" t="s">
        <v>598</v>
      </c>
      <c r="E484" s="4" t="s">
        <v>34</v>
      </c>
      <c r="F484" s="4" t="s">
        <v>35</v>
      </c>
      <c r="G484" s="4" t="s">
        <v>55</v>
      </c>
      <c r="H484" s="4" t="s">
        <v>656</v>
      </c>
      <c r="I484" s="4" t="s">
        <v>657</v>
      </c>
      <c r="J484" s="4" t="s">
        <v>658</v>
      </c>
      <c r="L484" s="4" t="s">
        <v>40</v>
      </c>
      <c r="M484" s="4">
        <v>1</v>
      </c>
      <c r="N484" s="4">
        <v>30</v>
      </c>
      <c r="O484" s="4">
        <v>30</v>
      </c>
      <c r="P484" s="4" t="s">
        <v>41</v>
      </c>
      <c r="Q484" s="4">
        <v>279.3</v>
      </c>
      <c r="R484" s="4">
        <v>279.3</v>
      </c>
      <c r="S484" s="4">
        <v>418.95</v>
      </c>
      <c r="T484" s="4">
        <v>8379</v>
      </c>
      <c r="U484" s="4">
        <v>5</v>
      </c>
      <c r="V484" s="4" t="s">
        <v>42</v>
      </c>
      <c r="X484" s="7" t="str">
        <f t="shared" si="15"/>
        <v>441857190</v>
      </c>
      <c r="Y484" s="8" t="str">
        <f t="shared" si="16"/>
        <v>DC</v>
      </c>
      <c r="Z484" s="8">
        <f t="shared" si="17"/>
        <v>0</v>
      </c>
      <c r="AA484" s="8">
        <f t="shared" si="18"/>
        <v>0</v>
      </c>
      <c r="AB484" s="8">
        <f t="shared" si="19"/>
        <v>0</v>
      </c>
      <c r="AC484" s="8">
        <f t="shared" si="20"/>
        <v>0</v>
      </c>
      <c r="AD484" s="8">
        <f t="shared" si="21"/>
        <v>30</v>
      </c>
      <c r="AE484" s="9" t="str" cm="1">
        <f t="array" ref="AE484">IFERROR(_xlfn.XLOOKUP(H484,Sheet1!$G:$G,Sheet1!$F:$F),IFERROR(_xlfn.XLOOKUP(1,(--($X$2:$X$1074=X484))*(--ISNUMBER(MATCH($H$2:$H$1074,Sheet1!$G:$G,0))),_xlfn.XLOOKUP($H$2:$H$1074,Sheet1!$G:$G,Sheet1!$F:$F,"")),"NOT FOUND"))</f>
        <v>RETKRTSFUT4329</v>
      </c>
      <c r="AF484" s="10" t="str">
        <f t="shared" si="28"/>
        <v>GREEN</v>
      </c>
      <c r="AG484" s="11" t="str">
        <f t="shared" si="29"/>
        <v>HARIPAL</v>
      </c>
      <c r="AH484" s="9" t="str">
        <f>IF(OR(J484="",AE484="",AE484="NOT FOUND"),"",IF(Y484="RP",IFERROR(LEFT(_xlfn.XLOOKUP(AE484,Sheet1!$F:$F,Sheet1!$W:$W),FIND("-",_xlfn.XLOOKUP(AE484,Sheet1!$F:$F,Sheet1!$W:$W),FIND("-",_xlfn.XLOOKUP(AE484,Sheet1!$F:$F,Sheet1!$W:$W))+1))&amp;AE484,"NOT FOUND"),LEFT(J484,FIND("-",J484,FIND("-",J484)+1))&amp;AE484))</f>
        <v>KRTS-APSU26-RETKRTSFUT4329</v>
      </c>
    </row>
    <row r="485" spans="1:34" ht="15.75" customHeight="1" x14ac:dyDescent="0.2">
      <c r="A485" s="4" t="s">
        <v>59</v>
      </c>
      <c r="B485" s="4" t="s">
        <v>713</v>
      </c>
      <c r="C485" s="4" t="s">
        <v>597</v>
      </c>
      <c r="D485" s="4" t="s">
        <v>598</v>
      </c>
      <c r="E485" s="4" t="s">
        <v>34</v>
      </c>
      <c r="F485" s="4" t="s">
        <v>35</v>
      </c>
      <c r="G485" s="4" t="s">
        <v>36</v>
      </c>
      <c r="H485" s="4" t="s">
        <v>692</v>
      </c>
      <c r="I485" s="4" t="s">
        <v>693</v>
      </c>
      <c r="J485" s="4" t="s">
        <v>694</v>
      </c>
      <c r="L485" s="4" t="s">
        <v>40</v>
      </c>
      <c r="M485" s="4">
        <v>1</v>
      </c>
      <c r="N485" s="4">
        <v>30</v>
      </c>
      <c r="O485" s="4">
        <v>30</v>
      </c>
      <c r="P485" s="4" t="s">
        <v>41</v>
      </c>
      <c r="Q485" s="4">
        <v>264.3</v>
      </c>
      <c r="R485" s="4">
        <v>264.3</v>
      </c>
      <c r="S485" s="4">
        <v>396.45</v>
      </c>
      <c r="T485" s="4">
        <v>7929</v>
      </c>
      <c r="U485" s="4">
        <v>5</v>
      </c>
      <c r="V485" s="4" t="s">
        <v>42</v>
      </c>
      <c r="X485" s="7" t="str">
        <f t="shared" si="15"/>
        <v>441857187</v>
      </c>
      <c r="Y485" s="8" t="str">
        <f t="shared" si="16"/>
        <v>DC</v>
      </c>
      <c r="Z485" s="8">
        <f t="shared" si="17"/>
        <v>30</v>
      </c>
      <c r="AA485" s="8">
        <f t="shared" si="18"/>
        <v>0</v>
      </c>
      <c r="AB485" s="8">
        <f t="shared" si="19"/>
        <v>0</v>
      </c>
      <c r="AC485" s="8">
        <f t="shared" si="20"/>
        <v>0</v>
      </c>
      <c r="AD485" s="8">
        <f t="shared" si="21"/>
        <v>0</v>
      </c>
      <c r="AE485" s="9" t="str" cm="1">
        <f t="array" ref="AE485">IFERROR(_xlfn.XLOOKUP(H485,Sheet1!$G:$G,Sheet1!$F:$F),IFERROR(_xlfn.XLOOKUP(1,(--($X$2:$X$1074=X485))*(--ISNUMBER(MATCH($H$2:$H$1074,Sheet1!$G:$G,0))),_xlfn.XLOOKUP($H$2:$H$1074,Sheet1!$G:$G,Sheet1!$F:$F,"")),"NOT FOUND"))</f>
        <v>RETKRTSFUT4316</v>
      </c>
      <c r="AF485" s="10" t="str">
        <f t="shared" si="28"/>
        <v>FUCHSIA</v>
      </c>
      <c r="AG485" s="11" t="str">
        <f t="shared" si="29"/>
        <v>JHAJJAR</v>
      </c>
      <c r="AH485" s="9" t="str">
        <f>IF(OR(J485="",AE485="",AE485="NOT FOUND"),"",IF(Y485="RP",IFERROR(LEFT(_xlfn.XLOOKUP(AE485,Sheet1!$F:$F,Sheet1!$W:$W),FIND("-",_xlfn.XLOOKUP(AE485,Sheet1!$F:$F,Sheet1!$W:$W),FIND("-",_xlfn.XLOOKUP(AE485,Sheet1!$F:$F,Sheet1!$W:$W))+1))&amp;AE485,"NOT FOUND"),LEFT(J485,FIND("-",J485,FIND("-",J485)+1))&amp;AE485))</f>
        <v>KRTS-APSU26-RETKRTSFUT4316</v>
      </c>
    </row>
    <row r="486" spans="1:34" ht="15.75" customHeight="1" x14ac:dyDescent="0.2">
      <c r="A486" s="4" t="s">
        <v>59</v>
      </c>
      <c r="B486" s="4" t="s">
        <v>713</v>
      </c>
      <c r="C486" s="4" t="s">
        <v>597</v>
      </c>
      <c r="D486" s="4" t="s">
        <v>598</v>
      </c>
      <c r="E486" s="4" t="s">
        <v>34</v>
      </c>
      <c r="F486" s="4" t="s">
        <v>35</v>
      </c>
      <c r="G486" s="4" t="s">
        <v>43</v>
      </c>
      <c r="H486" s="4" t="s">
        <v>695</v>
      </c>
      <c r="I486" s="4" t="s">
        <v>696</v>
      </c>
      <c r="J486" s="4" t="s">
        <v>697</v>
      </c>
      <c r="L486" s="4" t="s">
        <v>40</v>
      </c>
      <c r="M486" s="4">
        <v>1</v>
      </c>
      <c r="N486" s="4">
        <v>112</v>
      </c>
      <c r="O486" s="4">
        <v>112</v>
      </c>
      <c r="P486" s="4" t="s">
        <v>41</v>
      </c>
      <c r="Q486" s="4">
        <v>264.3</v>
      </c>
      <c r="R486" s="4">
        <v>264.3</v>
      </c>
      <c r="S486" s="4">
        <v>1480.08</v>
      </c>
      <c r="T486" s="4">
        <v>29601.599999999999</v>
      </c>
      <c r="U486" s="4">
        <v>5</v>
      </c>
      <c r="V486" s="4" t="s">
        <v>42</v>
      </c>
      <c r="X486" s="7" t="str">
        <f t="shared" si="15"/>
        <v>441857187</v>
      </c>
      <c r="Y486" s="8" t="str">
        <f t="shared" si="16"/>
        <v>DC</v>
      </c>
      <c r="Z486" s="8">
        <f t="shared" si="17"/>
        <v>0</v>
      </c>
      <c r="AA486" s="8">
        <f t="shared" si="18"/>
        <v>112</v>
      </c>
      <c r="AB486" s="8">
        <f t="shared" si="19"/>
        <v>0</v>
      </c>
      <c r="AC486" s="8">
        <f t="shared" si="20"/>
        <v>0</v>
      </c>
      <c r="AD486" s="8">
        <f t="shared" si="21"/>
        <v>0</v>
      </c>
      <c r="AE486" s="9" t="str" cm="1">
        <f t="array" ref="AE486">IFERROR(_xlfn.XLOOKUP(H486,Sheet1!$G:$G,Sheet1!$F:$F),IFERROR(_xlfn.XLOOKUP(1,(--($X$2:$X$1074=X486))*(--ISNUMBER(MATCH($H$2:$H$1074,Sheet1!$G:$G,0))),_xlfn.XLOOKUP($H$2:$H$1074,Sheet1!$G:$G,Sheet1!$F:$F,"")),"NOT FOUND"))</f>
        <v>RETKRTSFUT4316</v>
      </c>
      <c r="AF486" s="10" t="str">
        <f t="shared" si="28"/>
        <v>FUCHSIA</v>
      </c>
      <c r="AG486" s="11" t="str">
        <f t="shared" si="29"/>
        <v>JHAJJAR</v>
      </c>
      <c r="AH486" s="9" t="str">
        <f>IF(OR(J486="",AE486="",AE486="NOT FOUND"),"",IF(Y486="RP",IFERROR(LEFT(_xlfn.XLOOKUP(AE486,Sheet1!$F:$F,Sheet1!$W:$W),FIND("-",_xlfn.XLOOKUP(AE486,Sheet1!$F:$F,Sheet1!$W:$W),FIND("-",_xlfn.XLOOKUP(AE486,Sheet1!$F:$F,Sheet1!$W:$W))+1))&amp;AE486,"NOT FOUND"),LEFT(J486,FIND("-",J486,FIND("-",J486)+1))&amp;AE486))</f>
        <v>KRTS-APSU26-RETKRTSFUT4316</v>
      </c>
    </row>
    <row r="487" spans="1:34" ht="15.75" customHeight="1" x14ac:dyDescent="0.2">
      <c r="A487" s="4" t="s">
        <v>59</v>
      </c>
      <c r="B487" s="4" t="s">
        <v>713</v>
      </c>
      <c r="C487" s="4" t="s">
        <v>597</v>
      </c>
      <c r="D487" s="4" t="s">
        <v>598</v>
      </c>
      <c r="E487" s="4" t="s">
        <v>34</v>
      </c>
      <c r="F487" s="4" t="s">
        <v>35</v>
      </c>
      <c r="G487" s="4" t="s">
        <v>47</v>
      </c>
      <c r="H487" s="4" t="s">
        <v>698</v>
      </c>
      <c r="I487" s="4" t="s">
        <v>699</v>
      </c>
      <c r="J487" s="4" t="s">
        <v>700</v>
      </c>
      <c r="L487" s="4" t="s">
        <v>40</v>
      </c>
      <c r="M487" s="4">
        <v>1</v>
      </c>
      <c r="N487" s="4">
        <v>126</v>
      </c>
      <c r="O487" s="4">
        <v>126</v>
      </c>
      <c r="P487" s="4" t="s">
        <v>41</v>
      </c>
      <c r="Q487" s="4">
        <v>264.3</v>
      </c>
      <c r="R487" s="4">
        <v>264.3</v>
      </c>
      <c r="S487" s="4">
        <v>1665.09</v>
      </c>
      <c r="T487" s="4">
        <v>33301.800000000003</v>
      </c>
      <c r="U487" s="4">
        <v>5</v>
      </c>
      <c r="V487" s="4" t="s">
        <v>42</v>
      </c>
      <c r="X487" s="7" t="str">
        <f t="shared" si="15"/>
        <v>441857187</v>
      </c>
      <c r="Y487" s="8" t="str">
        <f t="shared" si="16"/>
        <v>DC</v>
      </c>
      <c r="Z487" s="8">
        <f t="shared" si="17"/>
        <v>0</v>
      </c>
      <c r="AA487" s="8">
        <f t="shared" si="18"/>
        <v>0</v>
      </c>
      <c r="AB487" s="8">
        <f t="shared" si="19"/>
        <v>126</v>
      </c>
      <c r="AC487" s="8">
        <f t="shared" si="20"/>
        <v>0</v>
      </c>
      <c r="AD487" s="8">
        <f t="shared" si="21"/>
        <v>0</v>
      </c>
      <c r="AE487" s="9" t="str" cm="1">
        <f t="array" ref="AE487">IFERROR(_xlfn.XLOOKUP(H487,Sheet1!$G:$G,Sheet1!$F:$F),IFERROR(_xlfn.XLOOKUP(1,(--($X$2:$X$1074=X487))*(--ISNUMBER(MATCH($H$2:$H$1074,Sheet1!$G:$G,0))),_xlfn.XLOOKUP($H$2:$H$1074,Sheet1!$G:$G,Sheet1!$F:$F,"")),"NOT FOUND"))</f>
        <v>RETKRTSFUT4316</v>
      </c>
      <c r="AF487" s="10" t="str">
        <f t="shared" si="28"/>
        <v>FUCHSIA</v>
      </c>
      <c r="AG487" s="11" t="str">
        <f t="shared" si="29"/>
        <v>JHAJJAR</v>
      </c>
      <c r="AH487" s="9" t="str">
        <f>IF(OR(J487="",AE487="",AE487="NOT FOUND"),"",IF(Y487="RP",IFERROR(LEFT(_xlfn.XLOOKUP(AE487,Sheet1!$F:$F,Sheet1!$W:$W),FIND("-",_xlfn.XLOOKUP(AE487,Sheet1!$F:$F,Sheet1!$W:$W),FIND("-",_xlfn.XLOOKUP(AE487,Sheet1!$F:$F,Sheet1!$W:$W))+1))&amp;AE487,"NOT FOUND"),LEFT(J487,FIND("-",J487,FIND("-",J487)+1))&amp;AE487))</f>
        <v>KRTS-APSU26-RETKRTSFUT4316</v>
      </c>
    </row>
    <row r="488" spans="1:34" ht="15.75" customHeight="1" x14ac:dyDescent="0.2">
      <c r="A488" s="4" t="s">
        <v>59</v>
      </c>
      <c r="B488" s="4" t="s">
        <v>713</v>
      </c>
      <c r="C488" s="4" t="s">
        <v>597</v>
      </c>
      <c r="D488" s="4" t="s">
        <v>598</v>
      </c>
      <c r="E488" s="4" t="s">
        <v>34</v>
      </c>
      <c r="F488" s="4" t="s">
        <v>35</v>
      </c>
      <c r="G488" s="4" t="s">
        <v>51</v>
      </c>
      <c r="H488" s="4" t="s">
        <v>701</v>
      </c>
      <c r="I488" s="4" t="s">
        <v>702</v>
      </c>
      <c r="J488" s="4" t="s">
        <v>703</v>
      </c>
      <c r="L488" s="4" t="s">
        <v>40</v>
      </c>
      <c r="M488" s="4">
        <v>1</v>
      </c>
      <c r="N488" s="4">
        <v>147</v>
      </c>
      <c r="O488" s="4">
        <v>147</v>
      </c>
      <c r="P488" s="4" t="s">
        <v>41</v>
      </c>
      <c r="Q488" s="4">
        <v>264.3</v>
      </c>
      <c r="R488" s="4">
        <v>264.3</v>
      </c>
      <c r="S488" s="4">
        <v>1942.61</v>
      </c>
      <c r="T488" s="4">
        <v>38852.1</v>
      </c>
      <c r="U488" s="4">
        <v>5</v>
      </c>
      <c r="V488" s="4" t="s">
        <v>42</v>
      </c>
      <c r="X488" s="7" t="str">
        <f t="shared" si="15"/>
        <v>441857187</v>
      </c>
      <c r="Y488" s="8" t="str">
        <f t="shared" si="16"/>
        <v>DC</v>
      </c>
      <c r="Z488" s="8">
        <f t="shared" si="17"/>
        <v>0</v>
      </c>
      <c r="AA488" s="8">
        <f t="shared" si="18"/>
        <v>0</v>
      </c>
      <c r="AB488" s="8">
        <f t="shared" si="19"/>
        <v>0</v>
      </c>
      <c r="AC488" s="8">
        <f t="shared" si="20"/>
        <v>147</v>
      </c>
      <c r="AD488" s="8">
        <f t="shared" si="21"/>
        <v>0</v>
      </c>
      <c r="AE488" s="9" t="str" cm="1">
        <f t="array" ref="AE488">IFERROR(_xlfn.XLOOKUP(H488,Sheet1!$G:$G,Sheet1!$F:$F),IFERROR(_xlfn.XLOOKUP(1,(--($X$2:$X$1074=X488))*(--ISNUMBER(MATCH($H$2:$H$1074,Sheet1!$G:$G,0))),_xlfn.XLOOKUP($H$2:$H$1074,Sheet1!$G:$G,Sheet1!$F:$F,"")),"NOT FOUND"))</f>
        <v>RETKRTSFUT4316</v>
      </c>
      <c r="AF488" s="10" t="str">
        <f t="shared" si="28"/>
        <v>FUCHSIA</v>
      </c>
      <c r="AG488" s="11" t="str">
        <f t="shared" si="29"/>
        <v>JHAJJAR</v>
      </c>
      <c r="AH488" s="9" t="str">
        <f>IF(OR(J488="",AE488="",AE488="NOT FOUND"),"",IF(Y488="RP",IFERROR(LEFT(_xlfn.XLOOKUP(AE488,Sheet1!$F:$F,Sheet1!$W:$W),FIND("-",_xlfn.XLOOKUP(AE488,Sheet1!$F:$F,Sheet1!$W:$W),FIND("-",_xlfn.XLOOKUP(AE488,Sheet1!$F:$F,Sheet1!$W:$W))+1))&amp;AE488,"NOT FOUND"),LEFT(J488,FIND("-",J488,FIND("-",J488)+1))&amp;AE488))</f>
        <v>KRTS-APSU26-RETKRTSFUT4316</v>
      </c>
    </row>
    <row r="489" spans="1:34" ht="15.75" customHeight="1" x14ac:dyDescent="0.2">
      <c r="A489" s="4" t="s">
        <v>59</v>
      </c>
      <c r="B489" s="4" t="s">
        <v>713</v>
      </c>
      <c r="C489" s="4" t="s">
        <v>597</v>
      </c>
      <c r="D489" s="4" t="s">
        <v>598</v>
      </c>
      <c r="E489" s="4" t="s">
        <v>34</v>
      </c>
      <c r="F489" s="4" t="s">
        <v>35</v>
      </c>
      <c r="G489" s="4" t="s">
        <v>55</v>
      </c>
      <c r="H489" s="4" t="s">
        <v>704</v>
      </c>
      <c r="I489" s="4" t="s">
        <v>705</v>
      </c>
      <c r="J489" s="4" t="s">
        <v>706</v>
      </c>
      <c r="L489" s="4" t="s">
        <v>40</v>
      </c>
      <c r="M489" s="4">
        <v>1</v>
      </c>
      <c r="N489" s="4">
        <v>30</v>
      </c>
      <c r="O489" s="4">
        <v>30</v>
      </c>
      <c r="P489" s="4" t="s">
        <v>41</v>
      </c>
      <c r="Q489" s="4">
        <v>264.3</v>
      </c>
      <c r="R489" s="4">
        <v>264.3</v>
      </c>
      <c r="S489" s="4">
        <v>396.45</v>
      </c>
      <c r="T489" s="4">
        <v>7929</v>
      </c>
      <c r="U489" s="4">
        <v>5</v>
      </c>
      <c r="V489" s="4" t="s">
        <v>42</v>
      </c>
      <c r="X489" s="7" t="str">
        <f t="shared" si="15"/>
        <v>441857187</v>
      </c>
      <c r="Y489" s="8" t="str">
        <f t="shared" si="16"/>
        <v>DC</v>
      </c>
      <c r="Z489" s="8">
        <f t="shared" si="17"/>
        <v>0</v>
      </c>
      <c r="AA489" s="8">
        <f t="shared" si="18"/>
        <v>0</v>
      </c>
      <c r="AB489" s="8">
        <f t="shared" si="19"/>
        <v>0</v>
      </c>
      <c r="AC489" s="8">
        <f t="shared" si="20"/>
        <v>0</v>
      </c>
      <c r="AD489" s="8">
        <f t="shared" si="21"/>
        <v>30</v>
      </c>
      <c r="AE489" s="9" t="str" cm="1">
        <f t="array" ref="AE489">IFERROR(_xlfn.XLOOKUP(H489,Sheet1!$G:$G,Sheet1!$F:$F),IFERROR(_xlfn.XLOOKUP(1,(--($X$2:$X$1074=X489))*(--ISNUMBER(MATCH($H$2:$H$1074,Sheet1!$G:$G,0))),_xlfn.XLOOKUP($H$2:$H$1074,Sheet1!$G:$G,Sheet1!$F:$F,"")),"NOT FOUND"))</f>
        <v>RETKRTSFUT4316</v>
      </c>
      <c r="AF489" s="10" t="str">
        <f t="shared" si="28"/>
        <v>FUCHSIA</v>
      </c>
      <c r="AG489" s="11" t="str">
        <f t="shared" si="29"/>
        <v>JHAJJAR</v>
      </c>
      <c r="AH489" s="9" t="str">
        <f>IF(OR(J489="",AE489="",AE489="NOT FOUND"),"",IF(Y489="RP",IFERROR(LEFT(_xlfn.XLOOKUP(AE489,Sheet1!$F:$F,Sheet1!$W:$W),FIND("-",_xlfn.XLOOKUP(AE489,Sheet1!$F:$F,Sheet1!$W:$W),FIND("-",_xlfn.XLOOKUP(AE489,Sheet1!$F:$F,Sheet1!$W:$W))+1))&amp;AE489,"NOT FOUND"),LEFT(J489,FIND("-",J489,FIND("-",J489)+1))&amp;AE489))</f>
        <v>KRTS-APSU26-RETKRTSFUT4316</v>
      </c>
    </row>
    <row r="490" spans="1:34" ht="15.75" customHeight="1" x14ac:dyDescent="0.2">
      <c r="A490" s="4" t="s">
        <v>61</v>
      </c>
      <c r="B490" s="4" t="s">
        <v>714</v>
      </c>
      <c r="C490" s="4" t="s">
        <v>597</v>
      </c>
      <c r="D490" s="4" t="s">
        <v>598</v>
      </c>
      <c r="E490" s="4" t="s">
        <v>34</v>
      </c>
      <c r="F490" s="4" t="s">
        <v>35</v>
      </c>
      <c r="G490" s="4" t="s">
        <v>36</v>
      </c>
      <c r="H490" s="4" t="s">
        <v>661</v>
      </c>
      <c r="I490" s="4" t="s">
        <v>662</v>
      </c>
      <c r="J490" s="4" t="s">
        <v>663</v>
      </c>
      <c r="L490" s="4" t="s">
        <v>40</v>
      </c>
      <c r="M490" s="4">
        <v>1</v>
      </c>
      <c r="N490" s="4">
        <v>30</v>
      </c>
      <c r="O490" s="4">
        <v>30</v>
      </c>
      <c r="P490" s="4" t="s">
        <v>41</v>
      </c>
      <c r="Q490" s="4">
        <v>264.3</v>
      </c>
      <c r="R490" s="4">
        <v>264.3</v>
      </c>
      <c r="S490" s="4">
        <v>396.45</v>
      </c>
      <c r="T490" s="4">
        <v>7929</v>
      </c>
      <c r="U490" s="4">
        <v>5</v>
      </c>
      <c r="V490" s="4" t="s">
        <v>42</v>
      </c>
      <c r="X490" s="7" t="str">
        <f t="shared" si="15"/>
        <v>441857189</v>
      </c>
      <c r="Y490" s="8" t="str">
        <f t="shared" si="16"/>
        <v>DC</v>
      </c>
      <c r="Z490" s="8">
        <f t="shared" si="17"/>
        <v>30</v>
      </c>
      <c r="AA490" s="8">
        <f t="shared" si="18"/>
        <v>0</v>
      </c>
      <c r="AB490" s="8">
        <f t="shared" si="19"/>
        <v>0</v>
      </c>
      <c r="AC490" s="8">
        <f t="shared" si="20"/>
        <v>0</v>
      </c>
      <c r="AD490" s="8">
        <f t="shared" si="21"/>
        <v>0</v>
      </c>
      <c r="AE490" s="9" t="str" cm="1">
        <f t="array" ref="AE490">IFERROR(_xlfn.XLOOKUP(H490,Sheet1!$G:$G,Sheet1!$F:$F),IFERROR(_xlfn.XLOOKUP(1,(--($X$2:$X$1074=X490))*(--ISNUMBER(MATCH($H$2:$H$1074,Sheet1!$G:$G,0))),_xlfn.XLOOKUP($H$2:$H$1074,Sheet1!$G:$G,Sheet1!$F:$F,"")),"NOT FOUND"))</f>
        <v>RETKRTSFUT4322</v>
      </c>
      <c r="AF490" s="10" t="str">
        <f t="shared" si="28"/>
        <v>SKY BLUE</v>
      </c>
      <c r="AG490" s="11" t="str">
        <f t="shared" si="29"/>
        <v>HARIPAL</v>
      </c>
      <c r="AH490" s="9" t="str">
        <f>IF(OR(J490="",AE490="",AE490="NOT FOUND"),"",IF(Y490="RP",IFERROR(LEFT(_xlfn.XLOOKUP(AE490,Sheet1!$F:$F,Sheet1!$W:$W),FIND("-",_xlfn.XLOOKUP(AE490,Sheet1!$F:$F,Sheet1!$W:$W),FIND("-",_xlfn.XLOOKUP(AE490,Sheet1!$F:$F,Sheet1!$W:$W))+1))&amp;AE490,"NOT FOUND"),LEFT(J490,FIND("-",J490,FIND("-",J490)+1))&amp;AE490))</f>
        <v>KRTS-APSU26-RETKRTSFUT4322</v>
      </c>
    </row>
    <row r="491" spans="1:34" ht="15.75" customHeight="1" x14ac:dyDescent="0.2">
      <c r="A491" s="4" t="s">
        <v>61</v>
      </c>
      <c r="B491" s="4" t="s">
        <v>714</v>
      </c>
      <c r="C491" s="4" t="s">
        <v>597</v>
      </c>
      <c r="D491" s="4" t="s">
        <v>598</v>
      </c>
      <c r="E491" s="4" t="s">
        <v>34</v>
      </c>
      <c r="F491" s="4" t="s">
        <v>35</v>
      </c>
      <c r="G491" s="4" t="s">
        <v>43</v>
      </c>
      <c r="H491" s="4" t="s">
        <v>664</v>
      </c>
      <c r="I491" s="4" t="s">
        <v>665</v>
      </c>
      <c r="J491" s="4" t="s">
        <v>666</v>
      </c>
      <c r="L491" s="4" t="s">
        <v>40</v>
      </c>
      <c r="M491" s="4">
        <v>1</v>
      </c>
      <c r="N491" s="4">
        <v>106</v>
      </c>
      <c r="O491" s="4">
        <v>106</v>
      </c>
      <c r="P491" s="4" t="s">
        <v>41</v>
      </c>
      <c r="Q491" s="4">
        <v>264.3</v>
      </c>
      <c r="R491" s="4">
        <v>264.3</v>
      </c>
      <c r="S491" s="4">
        <v>1400.79</v>
      </c>
      <c r="T491" s="4">
        <v>28015.8</v>
      </c>
      <c r="U491" s="4">
        <v>5</v>
      </c>
      <c r="V491" s="4" t="s">
        <v>42</v>
      </c>
      <c r="X491" s="7" t="str">
        <f t="shared" si="15"/>
        <v>441857189</v>
      </c>
      <c r="Y491" s="8" t="str">
        <f t="shared" si="16"/>
        <v>DC</v>
      </c>
      <c r="Z491" s="8">
        <f t="shared" si="17"/>
        <v>0</v>
      </c>
      <c r="AA491" s="8">
        <f t="shared" si="18"/>
        <v>106</v>
      </c>
      <c r="AB491" s="8">
        <f t="shared" si="19"/>
        <v>0</v>
      </c>
      <c r="AC491" s="8">
        <f t="shared" si="20"/>
        <v>0</v>
      </c>
      <c r="AD491" s="8">
        <f t="shared" si="21"/>
        <v>0</v>
      </c>
      <c r="AE491" s="9" t="str" cm="1">
        <f t="array" ref="AE491">IFERROR(_xlfn.XLOOKUP(H491,Sheet1!$G:$G,Sheet1!$F:$F),IFERROR(_xlfn.XLOOKUP(1,(--($X$2:$X$1074=X491))*(--ISNUMBER(MATCH($H$2:$H$1074,Sheet1!$G:$G,0))),_xlfn.XLOOKUP($H$2:$H$1074,Sheet1!$G:$G,Sheet1!$F:$F,"")),"NOT FOUND"))</f>
        <v>RETKRTSFUT4322</v>
      </c>
      <c r="AF491" s="10" t="str">
        <f t="shared" si="28"/>
        <v>SKY BLUE</v>
      </c>
      <c r="AG491" s="11" t="str">
        <f t="shared" si="29"/>
        <v>HARIPAL</v>
      </c>
      <c r="AH491" s="9" t="str">
        <f>IF(OR(J491="",AE491="",AE491="NOT FOUND"),"",IF(Y491="RP",IFERROR(LEFT(_xlfn.XLOOKUP(AE491,Sheet1!$F:$F,Sheet1!$W:$W),FIND("-",_xlfn.XLOOKUP(AE491,Sheet1!$F:$F,Sheet1!$W:$W),FIND("-",_xlfn.XLOOKUP(AE491,Sheet1!$F:$F,Sheet1!$W:$W))+1))&amp;AE491,"NOT FOUND"),LEFT(J491,FIND("-",J491,FIND("-",J491)+1))&amp;AE491))</f>
        <v>KRTS-APSU26-RETKRTSFUT4322</v>
      </c>
    </row>
    <row r="492" spans="1:34" ht="15.75" customHeight="1" x14ac:dyDescent="0.2">
      <c r="A492" s="4" t="s">
        <v>61</v>
      </c>
      <c r="B492" s="4" t="s">
        <v>714</v>
      </c>
      <c r="C492" s="4" t="s">
        <v>597</v>
      </c>
      <c r="D492" s="4" t="s">
        <v>598</v>
      </c>
      <c r="E492" s="4" t="s">
        <v>34</v>
      </c>
      <c r="F492" s="4" t="s">
        <v>35</v>
      </c>
      <c r="G492" s="4" t="s">
        <v>47</v>
      </c>
      <c r="H492" s="4" t="s">
        <v>667</v>
      </c>
      <c r="I492" s="4" t="s">
        <v>668</v>
      </c>
      <c r="J492" s="4" t="s">
        <v>669</v>
      </c>
      <c r="L492" s="4" t="s">
        <v>40</v>
      </c>
      <c r="M492" s="4">
        <v>1</v>
      </c>
      <c r="N492" s="4">
        <v>119</v>
      </c>
      <c r="O492" s="4">
        <v>119</v>
      </c>
      <c r="P492" s="4" t="s">
        <v>41</v>
      </c>
      <c r="Q492" s="4">
        <v>264.3</v>
      </c>
      <c r="R492" s="4">
        <v>264.3</v>
      </c>
      <c r="S492" s="4">
        <v>1572.59</v>
      </c>
      <c r="T492" s="4">
        <v>31451.7</v>
      </c>
      <c r="U492" s="4">
        <v>5</v>
      </c>
      <c r="V492" s="4" t="s">
        <v>42</v>
      </c>
      <c r="X492" s="7" t="str">
        <f t="shared" si="15"/>
        <v>441857189</v>
      </c>
      <c r="Y492" s="8" t="str">
        <f t="shared" si="16"/>
        <v>DC</v>
      </c>
      <c r="Z492" s="8">
        <f t="shared" si="17"/>
        <v>0</v>
      </c>
      <c r="AA492" s="8">
        <f t="shared" si="18"/>
        <v>0</v>
      </c>
      <c r="AB492" s="8">
        <f t="shared" si="19"/>
        <v>119</v>
      </c>
      <c r="AC492" s="8">
        <f t="shared" si="20"/>
        <v>0</v>
      </c>
      <c r="AD492" s="8">
        <f t="shared" si="21"/>
        <v>0</v>
      </c>
      <c r="AE492" s="9" t="str" cm="1">
        <f t="array" ref="AE492">IFERROR(_xlfn.XLOOKUP(H492,Sheet1!$G:$G,Sheet1!$F:$F),IFERROR(_xlfn.XLOOKUP(1,(--($X$2:$X$1074=X492))*(--ISNUMBER(MATCH($H$2:$H$1074,Sheet1!$G:$G,0))),_xlfn.XLOOKUP($H$2:$H$1074,Sheet1!$G:$G,Sheet1!$F:$F,"")),"NOT FOUND"))</f>
        <v>RETKRTSFUT4322</v>
      </c>
      <c r="AF492" s="10" t="str">
        <f t="shared" si="28"/>
        <v>SKY BLUE</v>
      </c>
      <c r="AG492" s="11" t="str">
        <f t="shared" si="29"/>
        <v>HARIPAL</v>
      </c>
      <c r="AH492" s="9" t="str">
        <f>IF(OR(J492="",AE492="",AE492="NOT FOUND"),"",IF(Y492="RP",IFERROR(LEFT(_xlfn.XLOOKUP(AE492,Sheet1!$F:$F,Sheet1!$W:$W),FIND("-",_xlfn.XLOOKUP(AE492,Sheet1!$F:$F,Sheet1!$W:$W),FIND("-",_xlfn.XLOOKUP(AE492,Sheet1!$F:$F,Sheet1!$W:$W))+1))&amp;AE492,"NOT FOUND"),LEFT(J492,FIND("-",J492,FIND("-",J492)+1))&amp;AE492))</f>
        <v>KRTS-APSU26-RETKRTSFUT4322</v>
      </c>
    </row>
    <row r="493" spans="1:34" ht="15.75" customHeight="1" x14ac:dyDescent="0.2">
      <c r="A493" s="4" t="s">
        <v>61</v>
      </c>
      <c r="B493" s="4" t="s">
        <v>714</v>
      </c>
      <c r="C493" s="4" t="s">
        <v>597</v>
      </c>
      <c r="D493" s="4" t="s">
        <v>598</v>
      </c>
      <c r="E493" s="4" t="s">
        <v>34</v>
      </c>
      <c r="F493" s="4" t="s">
        <v>35</v>
      </c>
      <c r="G493" s="4" t="s">
        <v>51</v>
      </c>
      <c r="H493" s="4" t="s">
        <v>670</v>
      </c>
      <c r="I493" s="4" t="s">
        <v>671</v>
      </c>
      <c r="J493" s="4" t="s">
        <v>672</v>
      </c>
      <c r="L493" s="4" t="s">
        <v>40</v>
      </c>
      <c r="M493" s="4">
        <v>1</v>
      </c>
      <c r="N493" s="4">
        <v>139</v>
      </c>
      <c r="O493" s="4">
        <v>139</v>
      </c>
      <c r="P493" s="4" t="s">
        <v>41</v>
      </c>
      <c r="Q493" s="4">
        <v>264.3</v>
      </c>
      <c r="R493" s="4">
        <v>264.3</v>
      </c>
      <c r="S493" s="4">
        <v>1836.89</v>
      </c>
      <c r="T493" s="4">
        <v>36737.699999999997</v>
      </c>
      <c r="U493" s="4">
        <v>5</v>
      </c>
      <c r="V493" s="4" t="s">
        <v>42</v>
      </c>
      <c r="X493" s="7" t="str">
        <f t="shared" si="15"/>
        <v>441857189</v>
      </c>
      <c r="Y493" s="8" t="str">
        <f t="shared" si="16"/>
        <v>DC</v>
      </c>
      <c r="Z493" s="8">
        <f t="shared" si="17"/>
        <v>0</v>
      </c>
      <c r="AA493" s="8">
        <f t="shared" si="18"/>
        <v>0</v>
      </c>
      <c r="AB493" s="8">
        <f t="shared" si="19"/>
        <v>0</v>
      </c>
      <c r="AC493" s="8">
        <f t="shared" si="20"/>
        <v>139</v>
      </c>
      <c r="AD493" s="8">
        <f t="shared" si="21"/>
        <v>0</v>
      </c>
      <c r="AE493" s="9" t="str" cm="1">
        <f t="array" ref="AE493">IFERROR(_xlfn.XLOOKUP(H493,Sheet1!$G:$G,Sheet1!$F:$F),IFERROR(_xlfn.XLOOKUP(1,(--($X$2:$X$1074=X493))*(--ISNUMBER(MATCH($H$2:$H$1074,Sheet1!$G:$G,0))),_xlfn.XLOOKUP($H$2:$H$1074,Sheet1!$G:$G,Sheet1!$F:$F,"")),"NOT FOUND"))</f>
        <v>RETKRTSFUT4322</v>
      </c>
      <c r="AF493" s="10" t="str">
        <f t="shared" si="28"/>
        <v>SKY BLUE</v>
      </c>
      <c r="AG493" s="11" t="str">
        <f t="shared" si="29"/>
        <v>HARIPAL</v>
      </c>
      <c r="AH493" s="9" t="str">
        <f>IF(OR(J493="",AE493="",AE493="NOT FOUND"),"",IF(Y493="RP",IFERROR(LEFT(_xlfn.XLOOKUP(AE493,Sheet1!$F:$F,Sheet1!$W:$W),FIND("-",_xlfn.XLOOKUP(AE493,Sheet1!$F:$F,Sheet1!$W:$W),FIND("-",_xlfn.XLOOKUP(AE493,Sheet1!$F:$F,Sheet1!$W:$W))+1))&amp;AE493,"NOT FOUND"),LEFT(J493,FIND("-",J493,FIND("-",J493)+1))&amp;AE493))</f>
        <v>KRTS-APSU26-RETKRTSFUT4322</v>
      </c>
    </row>
    <row r="494" spans="1:34" ht="15.75" customHeight="1" x14ac:dyDescent="0.2">
      <c r="A494" s="4" t="s">
        <v>61</v>
      </c>
      <c r="B494" s="4" t="s">
        <v>714</v>
      </c>
      <c r="C494" s="4" t="s">
        <v>597</v>
      </c>
      <c r="D494" s="4" t="s">
        <v>598</v>
      </c>
      <c r="E494" s="4" t="s">
        <v>34</v>
      </c>
      <c r="F494" s="4" t="s">
        <v>35</v>
      </c>
      <c r="G494" s="4" t="s">
        <v>55</v>
      </c>
      <c r="H494" s="4" t="s">
        <v>673</v>
      </c>
      <c r="I494" s="4" t="s">
        <v>674</v>
      </c>
      <c r="J494" s="4" t="s">
        <v>675</v>
      </c>
      <c r="L494" s="4" t="s">
        <v>40</v>
      </c>
      <c r="M494" s="4">
        <v>1</v>
      </c>
      <c r="N494" s="4">
        <v>30</v>
      </c>
      <c r="O494" s="4">
        <v>30</v>
      </c>
      <c r="P494" s="4" t="s">
        <v>41</v>
      </c>
      <c r="Q494" s="4">
        <v>264.3</v>
      </c>
      <c r="R494" s="4">
        <v>264.3</v>
      </c>
      <c r="S494" s="4">
        <v>396.45</v>
      </c>
      <c r="T494" s="4">
        <v>7929</v>
      </c>
      <c r="U494" s="4">
        <v>5</v>
      </c>
      <c r="V494" s="4" t="s">
        <v>42</v>
      </c>
      <c r="X494" s="7" t="str">
        <f t="shared" si="15"/>
        <v>441857189</v>
      </c>
      <c r="Y494" s="8" t="str">
        <f t="shared" si="16"/>
        <v>DC</v>
      </c>
      <c r="Z494" s="8">
        <f t="shared" si="17"/>
        <v>0</v>
      </c>
      <c r="AA494" s="8">
        <f t="shared" si="18"/>
        <v>0</v>
      </c>
      <c r="AB494" s="8">
        <f t="shared" si="19"/>
        <v>0</v>
      </c>
      <c r="AC494" s="8">
        <f t="shared" si="20"/>
        <v>0</v>
      </c>
      <c r="AD494" s="8">
        <f t="shared" si="21"/>
        <v>30</v>
      </c>
      <c r="AE494" s="9" t="str" cm="1">
        <f t="array" ref="AE494">IFERROR(_xlfn.XLOOKUP(H494,Sheet1!$G:$G,Sheet1!$F:$F),IFERROR(_xlfn.XLOOKUP(1,(--($X$2:$X$1074=X494))*(--ISNUMBER(MATCH($H$2:$H$1074,Sheet1!$G:$G,0))),_xlfn.XLOOKUP($H$2:$H$1074,Sheet1!$G:$G,Sheet1!$F:$F,"")),"NOT FOUND"))</f>
        <v>RETKRTSFUT4322</v>
      </c>
      <c r="AF494" s="10" t="str">
        <f t="shared" si="28"/>
        <v>SKY BLUE</v>
      </c>
      <c r="AG494" s="11" t="str">
        <f t="shared" si="29"/>
        <v>HARIPAL</v>
      </c>
      <c r="AH494" s="9" t="str">
        <f>IF(OR(J494="",AE494="",AE494="NOT FOUND"),"",IF(Y494="RP",IFERROR(LEFT(_xlfn.XLOOKUP(AE494,Sheet1!$F:$F,Sheet1!$W:$W),FIND("-",_xlfn.XLOOKUP(AE494,Sheet1!$F:$F,Sheet1!$W:$W),FIND("-",_xlfn.XLOOKUP(AE494,Sheet1!$F:$F,Sheet1!$W:$W))+1))&amp;AE494,"NOT FOUND"),LEFT(J494,FIND("-",J494,FIND("-",J494)+1))&amp;AE494))</f>
        <v>KRTS-APSU26-RETKRTSFUT4322</v>
      </c>
    </row>
    <row r="495" spans="1:34" ht="15.75" customHeight="1" x14ac:dyDescent="0.2">
      <c r="A495" s="4" t="s">
        <v>61</v>
      </c>
      <c r="B495" s="4" t="s">
        <v>715</v>
      </c>
      <c r="C495" s="4" t="s">
        <v>597</v>
      </c>
      <c r="D495" s="4" t="s">
        <v>598</v>
      </c>
      <c r="E495" s="4" t="s">
        <v>34</v>
      </c>
      <c r="F495" s="4" t="s">
        <v>35</v>
      </c>
      <c r="G495" s="4" t="s">
        <v>36</v>
      </c>
      <c r="H495" s="4" t="s">
        <v>677</v>
      </c>
      <c r="I495" s="4" t="s">
        <v>678</v>
      </c>
      <c r="J495" s="4" t="s">
        <v>679</v>
      </c>
      <c r="L495" s="4" t="s">
        <v>40</v>
      </c>
      <c r="M495" s="4">
        <v>1</v>
      </c>
      <c r="N495" s="4">
        <v>30</v>
      </c>
      <c r="O495" s="4">
        <v>30</v>
      </c>
      <c r="P495" s="4" t="s">
        <v>41</v>
      </c>
      <c r="Q495" s="4">
        <v>269.3</v>
      </c>
      <c r="R495" s="4">
        <v>269.3</v>
      </c>
      <c r="S495" s="4">
        <v>403.95</v>
      </c>
      <c r="T495" s="4">
        <v>8079</v>
      </c>
      <c r="U495" s="4">
        <v>5</v>
      </c>
      <c r="V495" s="4" t="s">
        <v>42</v>
      </c>
      <c r="X495" s="7" t="str">
        <f t="shared" si="15"/>
        <v>441857188</v>
      </c>
      <c r="Y495" s="8" t="str">
        <f t="shared" si="16"/>
        <v>DC</v>
      </c>
      <c r="Z495" s="8">
        <f t="shared" si="17"/>
        <v>30</v>
      </c>
      <c r="AA495" s="8">
        <f t="shared" si="18"/>
        <v>0</v>
      </c>
      <c r="AB495" s="8">
        <f t="shared" si="19"/>
        <v>0</v>
      </c>
      <c r="AC495" s="8">
        <f t="shared" si="20"/>
        <v>0</v>
      </c>
      <c r="AD495" s="8">
        <f t="shared" si="21"/>
        <v>0</v>
      </c>
      <c r="AE495" s="9" t="str" cm="1">
        <f t="array" ref="AE495">IFERROR(_xlfn.XLOOKUP(H495,Sheet1!$G:$G,Sheet1!$F:$F),IFERROR(_xlfn.XLOOKUP(1,(--($X$2:$X$1074=X495))*(--ISNUMBER(MATCH($H$2:$H$1074,Sheet1!$G:$G,0))),_xlfn.XLOOKUP($H$2:$H$1074,Sheet1!$G:$G,Sheet1!$F:$F,"")),"NOT FOUND"))</f>
        <v>RETKRTSFUT4321</v>
      </c>
      <c r="AF495" s="10" t="str">
        <f t="shared" si="28"/>
        <v>LIME GREEN</v>
      </c>
      <c r="AG495" s="11" t="str">
        <f t="shared" si="29"/>
        <v>HARIPAL</v>
      </c>
      <c r="AH495" s="9" t="str">
        <f>IF(OR(J495="",AE495="",AE495="NOT FOUND"),"",IF(Y495="RP",IFERROR(LEFT(_xlfn.XLOOKUP(AE495,Sheet1!$F:$F,Sheet1!$W:$W),FIND("-",_xlfn.XLOOKUP(AE495,Sheet1!$F:$F,Sheet1!$W:$W),FIND("-",_xlfn.XLOOKUP(AE495,Sheet1!$F:$F,Sheet1!$W:$W))+1))&amp;AE495,"NOT FOUND"),LEFT(J495,FIND("-",J495,FIND("-",J495)+1))&amp;AE495))</f>
        <v>KRTS-APSU26-RETKRTSFUT4321</v>
      </c>
    </row>
    <row r="496" spans="1:34" ht="15.75" customHeight="1" x14ac:dyDescent="0.2">
      <c r="A496" s="4" t="s">
        <v>61</v>
      </c>
      <c r="B496" s="4" t="s">
        <v>715</v>
      </c>
      <c r="C496" s="4" t="s">
        <v>597</v>
      </c>
      <c r="D496" s="4" t="s">
        <v>598</v>
      </c>
      <c r="E496" s="4" t="s">
        <v>34</v>
      </c>
      <c r="F496" s="4" t="s">
        <v>35</v>
      </c>
      <c r="G496" s="4" t="s">
        <v>43</v>
      </c>
      <c r="H496" s="4" t="s">
        <v>680</v>
      </c>
      <c r="I496" s="4" t="s">
        <v>681</v>
      </c>
      <c r="J496" s="4" t="s">
        <v>682</v>
      </c>
      <c r="L496" s="4" t="s">
        <v>40</v>
      </c>
      <c r="M496" s="4">
        <v>1</v>
      </c>
      <c r="N496" s="4">
        <v>106</v>
      </c>
      <c r="O496" s="4">
        <v>106</v>
      </c>
      <c r="P496" s="4" t="s">
        <v>41</v>
      </c>
      <c r="Q496" s="4">
        <v>269.3</v>
      </c>
      <c r="R496" s="4">
        <v>269.3</v>
      </c>
      <c r="S496" s="4">
        <v>1427.29</v>
      </c>
      <c r="T496" s="4">
        <v>28545.8</v>
      </c>
      <c r="U496" s="4">
        <v>5</v>
      </c>
      <c r="V496" s="4" t="s">
        <v>42</v>
      </c>
      <c r="X496" s="7" t="str">
        <f t="shared" si="15"/>
        <v>441857188</v>
      </c>
      <c r="Y496" s="8" t="str">
        <f t="shared" si="16"/>
        <v>DC</v>
      </c>
      <c r="Z496" s="8">
        <f t="shared" si="17"/>
        <v>0</v>
      </c>
      <c r="AA496" s="8">
        <f t="shared" si="18"/>
        <v>106</v>
      </c>
      <c r="AB496" s="8">
        <f t="shared" si="19"/>
        <v>0</v>
      </c>
      <c r="AC496" s="8">
        <f t="shared" si="20"/>
        <v>0</v>
      </c>
      <c r="AD496" s="8">
        <f t="shared" si="21"/>
        <v>0</v>
      </c>
      <c r="AE496" s="9" t="str" cm="1">
        <f t="array" ref="AE496">IFERROR(_xlfn.XLOOKUP(H496,Sheet1!$G:$G,Sheet1!$F:$F),IFERROR(_xlfn.XLOOKUP(1,(--($X$2:$X$1074=X496))*(--ISNUMBER(MATCH($H$2:$H$1074,Sheet1!$G:$G,0))),_xlfn.XLOOKUP($H$2:$H$1074,Sheet1!$G:$G,Sheet1!$F:$F,"")),"NOT FOUND"))</f>
        <v>RETKRTSFUT4321</v>
      </c>
      <c r="AF496" s="10" t="str">
        <f t="shared" si="28"/>
        <v>LIME GREEN</v>
      </c>
      <c r="AG496" s="11" t="str">
        <f t="shared" si="29"/>
        <v>HARIPAL</v>
      </c>
      <c r="AH496" s="9" t="str">
        <f>IF(OR(J496="",AE496="",AE496="NOT FOUND"),"",IF(Y496="RP",IFERROR(LEFT(_xlfn.XLOOKUP(AE496,Sheet1!$F:$F,Sheet1!$W:$W),FIND("-",_xlfn.XLOOKUP(AE496,Sheet1!$F:$F,Sheet1!$W:$W),FIND("-",_xlfn.XLOOKUP(AE496,Sheet1!$F:$F,Sheet1!$W:$W))+1))&amp;AE496,"NOT FOUND"),LEFT(J496,FIND("-",J496,FIND("-",J496)+1))&amp;AE496))</f>
        <v>KRTS-APSU26-RETKRTSFUT4321</v>
      </c>
    </row>
    <row r="497" spans="1:34" ht="15.75" customHeight="1" x14ac:dyDescent="0.2">
      <c r="A497" s="4" t="s">
        <v>61</v>
      </c>
      <c r="B497" s="4" t="s">
        <v>715</v>
      </c>
      <c r="C497" s="4" t="s">
        <v>597</v>
      </c>
      <c r="D497" s="4" t="s">
        <v>598</v>
      </c>
      <c r="E497" s="4" t="s">
        <v>34</v>
      </c>
      <c r="F497" s="4" t="s">
        <v>35</v>
      </c>
      <c r="G497" s="4" t="s">
        <v>47</v>
      </c>
      <c r="H497" s="4" t="s">
        <v>683</v>
      </c>
      <c r="I497" s="4" t="s">
        <v>684</v>
      </c>
      <c r="J497" s="4" t="s">
        <v>685</v>
      </c>
      <c r="L497" s="4" t="s">
        <v>40</v>
      </c>
      <c r="M497" s="4">
        <v>1</v>
      </c>
      <c r="N497" s="4">
        <v>119</v>
      </c>
      <c r="O497" s="4">
        <v>119</v>
      </c>
      <c r="P497" s="4" t="s">
        <v>41</v>
      </c>
      <c r="Q497" s="4">
        <v>269.3</v>
      </c>
      <c r="R497" s="4">
        <v>269.3</v>
      </c>
      <c r="S497" s="4">
        <v>1602.34</v>
      </c>
      <c r="T497" s="4">
        <v>32046.7</v>
      </c>
      <c r="U497" s="4">
        <v>5</v>
      </c>
      <c r="V497" s="4" t="s">
        <v>42</v>
      </c>
      <c r="X497" s="7" t="str">
        <f t="shared" si="15"/>
        <v>441857188</v>
      </c>
      <c r="Y497" s="8" t="str">
        <f t="shared" si="16"/>
        <v>DC</v>
      </c>
      <c r="Z497" s="8">
        <f t="shared" si="17"/>
        <v>0</v>
      </c>
      <c r="AA497" s="8">
        <f t="shared" si="18"/>
        <v>0</v>
      </c>
      <c r="AB497" s="8">
        <f t="shared" si="19"/>
        <v>119</v>
      </c>
      <c r="AC497" s="8">
        <f t="shared" si="20"/>
        <v>0</v>
      </c>
      <c r="AD497" s="8">
        <f t="shared" si="21"/>
        <v>0</v>
      </c>
      <c r="AE497" s="9" t="str" cm="1">
        <f t="array" ref="AE497">IFERROR(_xlfn.XLOOKUP(H497,Sheet1!$G:$G,Sheet1!$F:$F),IFERROR(_xlfn.XLOOKUP(1,(--($X$2:$X$1074=X497))*(--ISNUMBER(MATCH($H$2:$H$1074,Sheet1!$G:$G,0))),_xlfn.XLOOKUP($H$2:$H$1074,Sheet1!$G:$G,Sheet1!$F:$F,"")),"NOT FOUND"))</f>
        <v>RETKRTSFUT4321</v>
      </c>
      <c r="AF497" s="10" t="str">
        <f t="shared" si="28"/>
        <v>LIME GREEN</v>
      </c>
      <c r="AG497" s="11" t="str">
        <f t="shared" si="29"/>
        <v>HARIPAL</v>
      </c>
      <c r="AH497" s="9" t="str">
        <f>IF(OR(J497="",AE497="",AE497="NOT FOUND"),"",IF(Y497="RP",IFERROR(LEFT(_xlfn.XLOOKUP(AE497,Sheet1!$F:$F,Sheet1!$W:$W),FIND("-",_xlfn.XLOOKUP(AE497,Sheet1!$F:$F,Sheet1!$W:$W),FIND("-",_xlfn.XLOOKUP(AE497,Sheet1!$F:$F,Sheet1!$W:$W))+1))&amp;AE497,"NOT FOUND"),LEFT(J497,FIND("-",J497,FIND("-",J497)+1))&amp;AE497))</f>
        <v>KRTS-APSU26-RETKRTSFUT4321</v>
      </c>
    </row>
    <row r="498" spans="1:34" ht="15.75" customHeight="1" x14ac:dyDescent="0.2">
      <c r="A498" s="4" t="s">
        <v>61</v>
      </c>
      <c r="B498" s="4" t="s">
        <v>715</v>
      </c>
      <c r="C498" s="4" t="s">
        <v>597</v>
      </c>
      <c r="D498" s="4" t="s">
        <v>598</v>
      </c>
      <c r="E498" s="4" t="s">
        <v>34</v>
      </c>
      <c r="F498" s="4" t="s">
        <v>35</v>
      </c>
      <c r="G498" s="4" t="s">
        <v>51</v>
      </c>
      <c r="H498" s="4" t="s">
        <v>686</v>
      </c>
      <c r="I498" s="4" t="s">
        <v>687</v>
      </c>
      <c r="J498" s="4" t="s">
        <v>610</v>
      </c>
      <c r="L498" s="4" t="s">
        <v>40</v>
      </c>
      <c r="M498" s="4">
        <v>1</v>
      </c>
      <c r="N498" s="4">
        <v>139</v>
      </c>
      <c r="O498" s="4">
        <v>139</v>
      </c>
      <c r="P498" s="4" t="s">
        <v>41</v>
      </c>
      <c r="Q498" s="4">
        <v>269.3</v>
      </c>
      <c r="R498" s="4">
        <v>269.3</v>
      </c>
      <c r="S498" s="4">
        <v>1871.64</v>
      </c>
      <c r="T498" s="4">
        <v>37432.699999999997</v>
      </c>
      <c r="U498" s="4">
        <v>5</v>
      </c>
      <c r="V498" s="4" t="s">
        <v>42</v>
      </c>
      <c r="X498" s="7" t="str">
        <f t="shared" si="15"/>
        <v>441857188</v>
      </c>
      <c r="Y498" s="8" t="str">
        <f t="shared" si="16"/>
        <v>DC</v>
      </c>
      <c r="Z498" s="8">
        <f t="shared" si="17"/>
        <v>0</v>
      </c>
      <c r="AA498" s="8">
        <f t="shared" si="18"/>
        <v>0</v>
      </c>
      <c r="AB498" s="8">
        <f t="shared" si="19"/>
        <v>0</v>
      </c>
      <c r="AC498" s="8">
        <f t="shared" si="20"/>
        <v>139</v>
      </c>
      <c r="AD498" s="8">
        <f t="shared" si="21"/>
        <v>0</v>
      </c>
      <c r="AE498" s="9" t="str" cm="1">
        <f t="array" ref="AE498">IFERROR(_xlfn.XLOOKUP(H498,Sheet1!$G:$G,Sheet1!$F:$F),IFERROR(_xlfn.XLOOKUP(1,(--($X$2:$X$1074=X498))*(--ISNUMBER(MATCH($H$2:$H$1074,Sheet1!$G:$G,0))),_xlfn.XLOOKUP($H$2:$H$1074,Sheet1!$G:$G,Sheet1!$F:$F,"")),"NOT FOUND"))</f>
        <v>RETKRTSFUT4321</v>
      </c>
      <c r="AF498" s="10" t="str">
        <f t="shared" si="28"/>
        <v>LIME GREEN</v>
      </c>
      <c r="AG498" s="11" t="str">
        <f t="shared" si="29"/>
        <v>HARIPAL</v>
      </c>
      <c r="AH498" s="9" t="str">
        <f>IF(OR(J498="",AE498="",AE498="NOT FOUND"),"",IF(Y498="RP",IFERROR(LEFT(_xlfn.XLOOKUP(AE498,Sheet1!$F:$F,Sheet1!$W:$W),FIND("-",_xlfn.XLOOKUP(AE498,Sheet1!$F:$F,Sheet1!$W:$W),FIND("-",_xlfn.XLOOKUP(AE498,Sheet1!$F:$F,Sheet1!$W:$W))+1))&amp;AE498,"NOT FOUND"),LEFT(J498,FIND("-",J498,FIND("-",J498)+1))&amp;AE498))</f>
        <v>KRTS-APSU26-RETKRTSFUT4321</v>
      </c>
    </row>
    <row r="499" spans="1:34" ht="15.75" customHeight="1" x14ac:dyDescent="0.2">
      <c r="A499" s="4" t="s">
        <v>61</v>
      </c>
      <c r="B499" s="4" t="s">
        <v>715</v>
      </c>
      <c r="C499" s="4" t="s">
        <v>597</v>
      </c>
      <c r="D499" s="4" t="s">
        <v>598</v>
      </c>
      <c r="E499" s="4" t="s">
        <v>34</v>
      </c>
      <c r="F499" s="4" t="s">
        <v>35</v>
      </c>
      <c r="G499" s="4" t="s">
        <v>55</v>
      </c>
      <c r="H499" s="4" t="s">
        <v>688</v>
      </c>
      <c r="I499" s="4" t="s">
        <v>689</v>
      </c>
      <c r="J499" s="4" t="s">
        <v>613</v>
      </c>
      <c r="L499" s="4" t="s">
        <v>40</v>
      </c>
      <c r="M499" s="4">
        <v>1</v>
      </c>
      <c r="N499" s="4">
        <v>30</v>
      </c>
      <c r="O499" s="4">
        <v>30</v>
      </c>
      <c r="P499" s="4" t="s">
        <v>41</v>
      </c>
      <c r="Q499" s="4">
        <v>269.3</v>
      </c>
      <c r="R499" s="4">
        <v>269.3</v>
      </c>
      <c r="S499" s="4">
        <v>403.95</v>
      </c>
      <c r="T499" s="4">
        <v>8079</v>
      </c>
      <c r="U499" s="4">
        <v>5</v>
      </c>
      <c r="V499" s="4" t="s">
        <v>42</v>
      </c>
      <c r="X499" s="7" t="str">
        <f t="shared" si="15"/>
        <v>441857188</v>
      </c>
      <c r="Y499" s="8" t="str">
        <f t="shared" si="16"/>
        <v>DC</v>
      </c>
      <c r="Z499" s="8">
        <f t="shared" si="17"/>
        <v>0</v>
      </c>
      <c r="AA499" s="8">
        <f t="shared" si="18"/>
        <v>0</v>
      </c>
      <c r="AB499" s="8">
        <f t="shared" si="19"/>
        <v>0</v>
      </c>
      <c r="AC499" s="8">
        <f t="shared" si="20"/>
        <v>0</v>
      </c>
      <c r="AD499" s="8">
        <f t="shared" si="21"/>
        <v>30</v>
      </c>
      <c r="AE499" s="9" t="str" cm="1">
        <f t="array" ref="AE499">IFERROR(_xlfn.XLOOKUP(H499,Sheet1!$G:$G,Sheet1!$F:$F),IFERROR(_xlfn.XLOOKUP(1,(--($X$2:$X$1074=X499))*(--ISNUMBER(MATCH($H$2:$H$1074,Sheet1!$G:$G,0))),_xlfn.XLOOKUP($H$2:$H$1074,Sheet1!$G:$G,Sheet1!$F:$F,"")),"NOT FOUND"))</f>
        <v>RETKRTSFUT4321</v>
      </c>
      <c r="AF499" s="10" t="str">
        <f t="shared" si="28"/>
        <v>LIME GREEN</v>
      </c>
      <c r="AG499" s="11" t="str">
        <f t="shared" si="29"/>
        <v>HARIPAL</v>
      </c>
      <c r="AH499" s="9" t="str">
        <f>IF(OR(J499="",AE499="",AE499="NOT FOUND"),"",IF(Y499="RP",IFERROR(LEFT(_xlfn.XLOOKUP(AE499,Sheet1!$F:$F,Sheet1!$W:$W),FIND("-",_xlfn.XLOOKUP(AE499,Sheet1!$F:$F,Sheet1!$W:$W),FIND("-",_xlfn.XLOOKUP(AE499,Sheet1!$F:$F,Sheet1!$W:$W))+1))&amp;AE499,"NOT FOUND"),LEFT(J499,FIND("-",J499,FIND("-",J499)+1))&amp;AE499))</f>
        <v>KRTS-APSU26-RETKRTSFUT4321</v>
      </c>
    </row>
    <row r="500" spans="1:34" ht="15.75" customHeight="1" x14ac:dyDescent="0.2">
      <c r="A500" s="4" t="s">
        <v>61</v>
      </c>
      <c r="B500" s="4" t="s">
        <v>716</v>
      </c>
      <c r="C500" s="4" t="s">
        <v>597</v>
      </c>
      <c r="D500" s="4" t="s">
        <v>598</v>
      </c>
      <c r="E500" s="4" t="s">
        <v>34</v>
      </c>
      <c r="F500" s="4" t="s">
        <v>35</v>
      </c>
      <c r="G500" s="4" t="s">
        <v>36</v>
      </c>
      <c r="H500" s="4" t="s">
        <v>692</v>
      </c>
      <c r="I500" s="4" t="s">
        <v>693</v>
      </c>
      <c r="J500" s="4" t="s">
        <v>694</v>
      </c>
      <c r="L500" s="4" t="s">
        <v>40</v>
      </c>
      <c r="M500" s="4">
        <v>1</v>
      </c>
      <c r="N500" s="4">
        <v>30</v>
      </c>
      <c r="O500" s="4">
        <v>30</v>
      </c>
      <c r="P500" s="4" t="s">
        <v>41</v>
      </c>
      <c r="Q500" s="4">
        <v>264.3</v>
      </c>
      <c r="R500" s="4">
        <v>264.3</v>
      </c>
      <c r="S500" s="4">
        <v>396.45</v>
      </c>
      <c r="T500" s="4">
        <v>7929</v>
      </c>
      <c r="U500" s="4">
        <v>5</v>
      </c>
      <c r="V500" s="4" t="s">
        <v>42</v>
      </c>
      <c r="X500" s="7" t="str">
        <f t="shared" si="15"/>
        <v>441857187</v>
      </c>
      <c r="Y500" s="8" t="str">
        <f t="shared" si="16"/>
        <v>DC</v>
      </c>
      <c r="Z500" s="8">
        <f t="shared" si="17"/>
        <v>30</v>
      </c>
      <c r="AA500" s="8">
        <f t="shared" si="18"/>
        <v>0</v>
      </c>
      <c r="AB500" s="8">
        <f t="shared" si="19"/>
        <v>0</v>
      </c>
      <c r="AC500" s="8">
        <f t="shared" si="20"/>
        <v>0</v>
      </c>
      <c r="AD500" s="8">
        <f t="shared" si="21"/>
        <v>0</v>
      </c>
      <c r="AE500" s="9" t="str" cm="1">
        <f t="array" ref="AE500">IFERROR(_xlfn.XLOOKUP(H500,Sheet1!$G:$G,Sheet1!$F:$F),IFERROR(_xlfn.XLOOKUP(1,(--($X$2:$X$1074=X500))*(--ISNUMBER(MATCH($H$2:$H$1074,Sheet1!$G:$G,0))),_xlfn.XLOOKUP($H$2:$H$1074,Sheet1!$G:$G,Sheet1!$F:$F,"")),"NOT FOUND"))</f>
        <v>RETKRTSFUT4316</v>
      </c>
      <c r="AF500" s="10" t="str">
        <f t="shared" si="28"/>
        <v>FUCHSIA</v>
      </c>
      <c r="AG500" s="11" t="str">
        <f t="shared" si="29"/>
        <v>HARIPAL</v>
      </c>
      <c r="AH500" s="9" t="str">
        <f>IF(OR(J500="",AE500="",AE500="NOT FOUND"),"",IF(Y500="RP",IFERROR(LEFT(_xlfn.XLOOKUP(AE500,Sheet1!$F:$F,Sheet1!$W:$W),FIND("-",_xlfn.XLOOKUP(AE500,Sheet1!$F:$F,Sheet1!$W:$W),FIND("-",_xlfn.XLOOKUP(AE500,Sheet1!$F:$F,Sheet1!$W:$W))+1))&amp;AE500,"NOT FOUND"),LEFT(J500,FIND("-",J500,FIND("-",J500)+1))&amp;AE500))</f>
        <v>KRTS-APSU26-RETKRTSFUT4316</v>
      </c>
    </row>
    <row r="501" spans="1:34" ht="15.75" customHeight="1" x14ac:dyDescent="0.2">
      <c r="A501" s="4" t="s">
        <v>61</v>
      </c>
      <c r="B501" s="4" t="s">
        <v>716</v>
      </c>
      <c r="C501" s="4" t="s">
        <v>597</v>
      </c>
      <c r="D501" s="4" t="s">
        <v>598</v>
      </c>
      <c r="E501" s="4" t="s">
        <v>34</v>
      </c>
      <c r="F501" s="4" t="s">
        <v>35</v>
      </c>
      <c r="G501" s="4" t="s">
        <v>43</v>
      </c>
      <c r="H501" s="4" t="s">
        <v>695</v>
      </c>
      <c r="I501" s="4" t="s">
        <v>696</v>
      </c>
      <c r="J501" s="4" t="s">
        <v>697</v>
      </c>
      <c r="L501" s="4" t="s">
        <v>40</v>
      </c>
      <c r="M501" s="4">
        <v>1</v>
      </c>
      <c r="N501" s="4">
        <v>106</v>
      </c>
      <c r="O501" s="4">
        <v>106</v>
      </c>
      <c r="P501" s="4" t="s">
        <v>41</v>
      </c>
      <c r="Q501" s="4">
        <v>264.3</v>
      </c>
      <c r="R501" s="4">
        <v>264.3</v>
      </c>
      <c r="S501" s="4">
        <v>1400.79</v>
      </c>
      <c r="T501" s="4">
        <v>28015.8</v>
      </c>
      <c r="U501" s="4">
        <v>5</v>
      </c>
      <c r="V501" s="4" t="s">
        <v>42</v>
      </c>
      <c r="X501" s="7" t="str">
        <f t="shared" si="15"/>
        <v>441857187</v>
      </c>
      <c r="Y501" s="8" t="str">
        <f t="shared" si="16"/>
        <v>DC</v>
      </c>
      <c r="Z501" s="8">
        <f t="shared" si="17"/>
        <v>0</v>
      </c>
      <c r="AA501" s="8">
        <f t="shared" si="18"/>
        <v>106</v>
      </c>
      <c r="AB501" s="8">
        <f t="shared" si="19"/>
        <v>0</v>
      </c>
      <c r="AC501" s="8">
        <f t="shared" si="20"/>
        <v>0</v>
      </c>
      <c r="AD501" s="8">
        <f t="shared" si="21"/>
        <v>0</v>
      </c>
      <c r="AE501" s="9" t="str" cm="1">
        <f t="array" ref="AE501">IFERROR(_xlfn.XLOOKUP(H501,Sheet1!$G:$G,Sheet1!$F:$F),IFERROR(_xlfn.XLOOKUP(1,(--($X$2:$X$1074=X501))*(--ISNUMBER(MATCH($H$2:$H$1074,Sheet1!$G:$G,0))),_xlfn.XLOOKUP($H$2:$H$1074,Sheet1!$G:$G,Sheet1!$F:$F,"")),"NOT FOUND"))</f>
        <v>RETKRTSFUT4316</v>
      </c>
      <c r="AF501" s="10" t="str">
        <f t="shared" si="28"/>
        <v>FUCHSIA</v>
      </c>
      <c r="AG501" s="11" t="str">
        <f t="shared" si="29"/>
        <v>HARIPAL</v>
      </c>
      <c r="AH501" s="9" t="str">
        <f>IF(OR(J501="",AE501="",AE501="NOT FOUND"),"",IF(Y501="RP",IFERROR(LEFT(_xlfn.XLOOKUP(AE501,Sheet1!$F:$F,Sheet1!$W:$W),FIND("-",_xlfn.XLOOKUP(AE501,Sheet1!$F:$F,Sheet1!$W:$W),FIND("-",_xlfn.XLOOKUP(AE501,Sheet1!$F:$F,Sheet1!$W:$W))+1))&amp;AE501,"NOT FOUND"),LEFT(J501,FIND("-",J501,FIND("-",J501)+1))&amp;AE501))</f>
        <v>KRTS-APSU26-RETKRTSFUT4316</v>
      </c>
    </row>
    <row r="502" spans="1:34" ht="15.75" customHeight="1" x14ac:dyDescent="0.2">
      <c r="A502" s="4" t="s">
        <v>61</v>
      </c>
      <c r="B502" s="4" t="s">
        <v>716</v>
      </c>
      <c r="C502" s="4" t="s">
        <v>597</v>
      </c>
      <c r="D502" s="4" t="s">
        <v>598</v>
      </c>
      <c r="E502" s="4" t="s">
        <v>34</v>
      </c>
      <c r="F502" s="4" t="s">
        <v>35</v>
      </c>
      <c r="G502" s="4" t="s">
        <v>47</v>
      </c>
      <c r="H502" s="4" t="s">
        <v>698</v>
      </c>
      <c r="I502" s="4" t="s">
        <v>699</v>
      </c>
      <c r="J502" s="4" t="s">
        <v>700</v>
      </c>
      <c r="L502" s="4" t="s">
        <v>40</v>
      </c>
      <c r="M502" s="4">
        <v>1</v>
      </c>
      <c r="N502" s="4">
        <v>119</v>
      </c>
      <c r="O502" s="4">
        <v>119</v>
      </c>
      <c r="P502" s="4" t="s">
        <v>41</v>
      </c>
      <c r="Q502" s="4">
        <v>264.3</v>
      </c>
      <c r="R502" s="4">
        <v>264.3</v>
      </c>
      <c r="S502" s="4">
        <v>1572.59</v>
      </c>
      <c r="T502" s="4">
        <v>31451.7</v>
      </c>
      <c r="U502" s="4">
        <v>5</v>
      </c>
      <c r="V502" s="4" t="s">
        <v>42</v>
      </c>
      <c r="X502" s="7" t="str">
        <f t="shared" si="15"/>
        <v>441857187</v>
      </c>
      <c r="Y502" s="8" t="str">
        <f t="shared" si="16"/>
        <v>DC</v>
      </c>
      <c r="Z502" s="8">
        <f t="shared" si="17"/>
        <v>0</v>
      </c>
      <c r="AA502" s="8">
        <f t="shared" si="18"/>
        <v>0</v>
      </c>
      <c r="AB502" s="8">
        <f t="shared" si="19"/>
        <v>119</v>
      </c>
      <c r="AC502" s="8">
        <f t="shared" si="20"/>
        <v>0</v>
      </c>
      <c r="AD502" s="8">
        <f t="shared" si="21"/>
        <v>0</v>
      </c>
      <c r="AE502" s="9" t="str" cm="1">
        <f t="array" ref="AE502">IFERROR(_xlfn.XLOOKUP(H502,Sheet1!$G:$G,Sheet1!$F:$F),IFERROR(_xlfn.XLOOKUP(1,(--($X$2:$X$1074=X502))*(--ISNUMBER(MATCH($H$2:$H$1074,Sheet1!$G:$G,0))),_xlfn.XLOOKUP($H$2:$H$1074,Sheet1!$G:$G,Sheet1!$F:$F,"")),"NOT FOUND"))</f>
        <v>RETKRTSFUT4316</v>
      </c>
      <c r="AF502" s="10" t="str">
        <f t="shared" si="28"/>
        <v>FUCHSIA</v>
      </c>
      <c r="AG502" s="11" t="str">
        <f t="shared" si="29"/>
        <v>HARIPAL</v>
      </c>
      <c r="AH502" s="9" t="str">
        <f>IF(OR(J502="",AE502="",AE502="NOT FOUND"),"",IF(Y502="RP",IFERROR(LEFT(_xlfn.XLOOKUP(AE502,Sheet1!$F:$F,Sheet1!$W:$W),FIND("-",_xlfn.XLOOKUP(AE502,Sheet1!$F:$F,Sheet1!$W:$W),FIND("-",_xlfn.XLOOKUP(AE502,Sheet1!$F:$F,Sheet1!$W:$W))+1))&amp;AE502,"NOT FOUND"),LEFT(J502,FIND("-",J502,FIND("-",J502)+1))&amp;AE502))</f>
        <v>KRTS-APSU26-RETKRTSFUT4316</v>
      </c>
    </row>
    <row r="503" spans="1:34" ht="15.75" customHeight="1" x14ac:dyDescent="0.2">
      <c r="A503" s="4" t="s">
        <v>61</v>
      </c>
      <c r="B503" s="4" t="s">
        <v>716</v>
      </c>
      <c r="C503" s="4" t="s">
        <v>597</v>
      </c>
      <c r="D503" s="4" t="s">
        <v>598</v>
      </c>
      <c r="E503" s="4" t="s">
        <v>34</v>
      </c>
      <c r="F503" s="4" t="s">
        <v>35</v>
      </c>
      <c r="G503" s="4" t="s">
        <v>51</v>
      </c>
      <c r="H503" s="4" t="s">
        <v>701</v>
      </c>
      <c r="I503" s="4" t="s">
        <v>702</v>
      </c>
      <c r="J503" s="4" t="s">
        <v>703</v>
      </c>
      <c r="L503" s="4" t="s">
        <v>40</v>
      </c>
      <c r="M503" s="4">
        <v>1</v>
      </c>
      <c r="N503" s="4">
        <v>139</v>
      </c>
      <c r="O503" s="4">
        <v>139</v>
      </c>
      <c r="P503" s="4" t="s">
        <v>41</v>
      </c>
      <c r="Q503" s="4">
        <v>264.3</v>
      </c>
      <c r="R503" s="4">
        <v>264.3</v>
      </c>
      <c r="S503" s="4">
        <v>1836.89</v>
      </c>
      <c r="T503" s="4">
        <v>36737.699999999997</v>
      </c>
      <c r="U503" s="4">
        <v>5</v>
      </c>
      <c r="V503" s="4" t="s">
        <v>42</v>
      </c>
      <c r="X503" s="7" t="str">
        <f t="shared" si="15"/>
        <v>441857187</v>
      </c>
      <c r="Y503" s="8" t="str">
        <f t="shared" si="16"/>
        <v>DC</v>
      </c>
      <c r="Z503" s="8">
        <f t="shared" si="17"/>
        <v>0</v>
      </c>
      <c r="AA503" s="8">
        <f t="shared" si="18"/>
        <v>0</v>
      </c>
      <c r="AB503" s="8">
        <f t="shared" si="19"/>
        <v>0</v>
      </c>
      <c r="AC503" s="8">
        <f t="shared" si="20"/>
        <v>139</v>
      </c>
      <c r="AD503" s="8">
        <f t="shared" si="21"/>
        <v>0</v>
      </c>
      <c r="AE503" s="9" t="str" cm="1">
        <f t="array" ref="AE503">IFERROR(_xlfn.XLOOKUP(H503,Sheet1!$G:$G,Sheet1!$F:$F),IFERROR(_xlfn.XLOOKUP(1,(--($X$2:$X$1074=X503))*(--ISNUMBER(MATCH($H$2:$H$1074,Sheet1!$G:$G,0))),_xlfn.XLOOKUP($H$2:$H$1074,Sheet1!$G:$G,Sheet1!$F:$F,"")),"NOT FOUND"))</f>
        <v>RETKRTSFUT4316</v>
      </c>
      <c r="AF503" s="10" t="str">
        <f t="shared" si="28"/>
        <v>FUCHSIA</v>
      </c>
      <c r="AG503" s="11" t="str">
        <f t="shared" si="29"/>
        <v>HARIPAL</v>
      </c>
      <c r="AH503" s="9" t="str">
        <f>IF(OR(J503="",AE503="",AE503="NOT FOUND"),"",IF(Y503="RP",IFERROR(LEFT(_xlfn.XLOOKUP(AE503,Sheet1!$F:$F,Sheet1!$W:$W),FIND("-",_xlfn.XLOOKUP(AE503,Sheet1!$F:$F,Sheet1!$W:$W),FIND("-",_xlfn.XLOOKUP(AE503,Sheet1!$F:$F,Sheet1!$W:$W))+1))&amp;AE503,"NOT FOUND"),LEFT(J503,FIND("-",J503,FIND("-",J503)+1))&amp;AE503))</f>
        <v>KRTS-APSU26-RETKRTSFUT4316</v>
      </c>
    </row>
    <row r="504" spans="1:34" ht="15.75" customHeight="1" x14ac:dyDescent="0.2">
      <c r="A504" s="4" t="s">
        <v>61</v>
      </c>
      <c r="B504" s="4" t="s">
        <v>716</v>
      </c>
      <c r="C504" s="4" t="s">
        <v>597</v>
      </c>
      <c r="D504" s="4" t="s">
        <v>598</v>
      </c>
      <c r="E504" s="4" t="s">
        <v>34</v>
      </c>
      <c r="F504" s="4" t="s">
        <v>35</v>
      </c>
      <c r="G504" s="4" t="s">
        <v>55</v>
      </c>
      <c r="H504" s="4" t="s">
        <v>704</v>
      </c>
      <c r="I504" s="4" t="s">
        <v>705</v>
      </c>
      <c r="J504" s="4" t="s">
        <v>706</v>
      </c>
      <c r="L504" s="4" t="s">
        <v>40</v>
      </c>
      <c r="M504" s="4">
        <v>1</v>
      </c>
      <c r="N504" s="4">
        <v>30</v>
      </c>
      <c r="O504" s="4">
        <v>30</v>
      </c>
      <c r="P504" s="4" t="s">
        <v>41</v>
      </c>
      <c r="Q504" s="4">
        <v>264.3</v>
      </c>
      <c r="R504" s="4">
        <v>264.3</v>
      </c>
      <c r="S504" s="4">
        <v>396.45</v>
      </c>
      <c r="T504" s="4">
        <v>7929</v>
      </c>
      <c r="U504" s="4">
        <v>5</v>
      </c>
      <c r="V504" s="4" t="s">
        <v>42</v>
      </c>
      <c r="X504" s="7" t="str">
        <f t="shared" si="15"/>
        <v>441857187</v>
      </c>
      <c r="Y504" s="8" t="str">
        <f t="shared" si="16"/>
        <v>DC</v>
      </c>
      <c r="Z504" s="8">
        <f t="shared" si="17"/>
        <v>0</v>
      </c>
      <c r="AA504" s="8">
        <f t="shared" si="18"/>
        <v>0</v>
      </c>
      <c r="AB504" s="8">
        <f t="shared" si="19"/>
        <v>0</v>
      </c>
      <c r="AC504" s="8">
        <f t="shared" si="20"/>
        <v>0</v>
      </c>
      <c r="AD504" s="8">
        <f t="shared" si="21"/>
        <v>30</v>
      </c>
      <c r="AE504" s="9" t="str" cm="1">
        <f t="array" ref="AE504">IFERROR(_xlfn.XLOOKUP(H504,Sheet1!$G:$G,Sheet1!$F:$F),IFERROR(_xlfn.XLOOKUP(1,(--($X$2:$X$1074=X504))*(--ISNUMBER(MATCH($H$2:$H$1074,Sheet1!$G:$G,0))),_xlfn.XLOOKUP($H$2:$H$1074,Sheet1!$G:$G,Sheet1!$F:$F,"")),"NOT FOUND"))</f>
        <v>RETKRTSFUT4316</v>
      </c>
      <c r="AF504" s="10" t="str">
        <f t="shared" si="28"/>
        <v>FUCHSIA</v>
      </c>
      <c r="AG504" s="11" t="str">
        <f t="shared" si="29"/>
        <v>HARIPAL</v>
      </c>
      <c r="AH504" s="9" t="str">
        <f>IF(OR(J504="",AE504="",AE504="NOT FOUND"),"",IF(Y504="RP",IFERROR(LEFT(_xlfn.XLOOKUP(AE504,Sheet1!$F:$F,Sheet1!$W:$W),FIND("-",_xlfn.XLOOKUP(AE504,Sheet1!$F:$F,Sheet1!$W:$W),FIND("-",_xlfn.XLOOKUP(AE504,Sheet1!$F:$F,Sheet1!$W:$W))+1))&amp;AE504,"NOT FOUND"),LEFT(J504,FIND("-",J504,FIND("-",J504)+1))&amp;AE504))</f>
        <v>KRTS-APSU26-RETKRTSFUT4316</v>
      </c>
    </row>
    <row r="505" spans="1:34" ht="15.75" customHeight="1" x14ac:dyDescent="0.2">
      <c r="A505" s="4" t="s">
        <v>30</v>
      </c>
      <c r="B505" s="4" t="s">
        <v>717</v>
      </c>
      <c r="C505" s="4" t="s">
        <v>597</v>
      </c>
      <c r="D505" s="4" t="s">
        <v>598</v>
      </c>
      <c r="E505" s="4" t="s">
        <v>34</v>
      </c>
      <c r="F505" s="4" t="s">
        <v>35</v>
      </c>
      <c r="G505" s="4" t="s">
        <v>36</v>
      </c>
      <c r="H505" s="4" t="s">
        <v>718</v>
      </c>
      <c r="I505" s="4" t="s">
        <v>719</v>
      </c>
      <c r="J505" s="4" t="s">
        <v>720</v>
      </c>
      <c r="L505" s="4" t="s">
        <v>40</v>
      </c>
      <c r="M505" s="4">
        <v>1</v>
      </c>
      <c r="N505" s="4">
        <v>30</v>
      </c>
      <c r="O505" s="4">
        <v>30</v>
      </c>
      <c r="P505" s="4" t="s">
        <v>41</v>
      </c>
      <c r="Q505" s="4">
        <v>264.3</v>
      </c>
      <c r="R505" s="4">
        <v>264.3</v>
      </c>
      <c r="S505" s="4">
        <v>396.45</v>
      </c>
      <c r="T505" s="4">
        <v>7929</v>
      </c>
      <c r="U505" s="4">
        <v>5</v>
      </c>
      <c r="V505" s="4" t="s">
        <v>42</v>
      </c>
      <c r="X505" s="7" t="str">
        <f t="shared" si="15"/>
        <v>441857186</v>
      </c>
      <c r="Y505" s="8" t="str">
        <f t="shared" si="16"/>
        <v>DC</v>
      </c>
      <c r="Z505" s="8">
        <f t="shared" si="17"/>
        <v>30</v>
      </c>
      <c r="AA505" s="8">
        <f t="shared" si="18"/>
        <v>0</v>
      </c>
      <c r="AB505" s="8">
        <f t="shared" si="19"/>
        <v>0</v>
      </c>
      <c r="AC505" s="8">
        <f t="shared" si="20"/>
        <v>0</v>
      </c>
      <c r="AD505" s="8">
        <f t="shared" si="21"/>
        <v>0</v>
      </c>
      <c r="AE505" s="9" t="str" cm="1">
        <f t="array" ref="AE505">IFERROR(_xlfn.XLOOKUP(H505,Sheet1!$G:$G,Sheet1!$F:$F),IFERROR(_xlfn.XLOOKUP(1,(--($X$2:$X$1074=X505))*(--ISNUMBER(MATCH($H$2:$H$1074,Sheet1!$G:$G,0))),_xlfn.XLOOKUP($H$2:$H$1074,Sheet1!$G:$G,Sheet1!$F:$F,"")),"NOT FOUND"))</f>
        <v>RETKRTSFUT4315</v>
      </c>
      <c r="AF505" s="10" t="str">
        <f t="shared" si="28"/>
        <v>CREAM</v>
      </c>
      <c r="AG505" s="11" t="str">
        <f t="shared" si="29"/>
        <v>Bangalore</v>
      </c>
      <c r="AH505" s="9" t="str">
        <f>IF(OR(J505="",AE505="",AE505="NOT FOUND"),"",IF(Y505="RP",IFERROR(LEFT(_xlfn.XLOOKUP(AE505,Sheet1!$F:$F,Sheet1!$W:$W),FIND("-",_xlfn.XLOOKUP(AE505,Sheet1!$F:$F,Sheet1!$W:$W),FIND("-",_xlfn.XLOOKUP(AE505,Sheet1!$F:$F,Sheet1!$W:$W))+1))&amp;AE505,"NOT FOUND"),LEFT(J505,FIND("-",J505,FIND("-",J505)+1))&amp;AE505))</f>
        <v>KRTS-APSU26-RETKRTSFUT4315</v>
      </c>
    </row>
    <row r="506" spans="1:34" ht="15.75" customHeight="1" x14ac:dyDescent="0.2">
      <c r="A506" s="4" t="s">
        <v>30</v>
      </c>
      <c r="B506" s="4" t="s">
        <v>717</v>
      </c>
      <c r="C506" s="4" t="s">
        <v>597</v>
      </c>
      <c r="D506" s="4" t="s">
        <v>598</v>
      </c>
      <c r="E506" s="4" t="s">
        <v>34</v>
      </c>
      <c r="F506" s="4" t="s">
        <v>35</v>
      </c>
      <c r="G506" s="4" t="s">
        <v>43</v>
      </c>
      <c r="H506" s="4" t="s">
        <v>721</v>
      </c>
      <c r="I506" s="4" t="s">
        <v>722</v>
      </c>
      <c r="J506" s="4" t="s">
        <v>723</v>
      </c>
      <c r="L506" s="4" t="s">
        <v>40</v>
      </c>
      <c r="M506" s="4">
        <v>1</v>
      </c>
      <c r="N506" s="4">
        <v>222</v>
      </c>
      <c r="O506" s="4">
        <v>222</v>
      </c>
      <c r="P506" s="4" t="s">
        <v>41</v>
      </c>
      <c r="Q506" s="4">
        <v>264.3</v>
      </c>
      <c r="R506" s="4">
        <v>264.3</v>
      </c>
      <c r="S506" s="4">
        <v>2933.73</v>
      </c>
      <c r="T506" s="4">
        <v>58674.6</v>
      </c>
      <c r="U506" s="4">
        <v>5</v>
      </c>
      <c r="V506" s="4" t="s">
        <v>42</v>
      </c>
      <c r="X506" s="7" t="str">
        <f t="shared" si="15"/>
        <v>441857186</v>
      </c>
      <c r="Y506" s="8" t="str">
        <f t="shared" si="16"/>
        <v>DC</v>
      </c>
      <c r="Z506" s="8">
        <f t="shared" si="17"/>
        <v>0</v>
      </c>
      <c r="AA506" s="8">
        <f t="shared" si="18"/>
        <v>222</v>
      </c>
      <c r="AB506" s="8">
        <f t="shared" si="19"/>
        <v>0</v>
      </c>
      <c r="AC506" s="8">
        <f t="shared" si="20"/>
        <v>0</v>
      </c>
      <c r="AD506" s="8">
        <f t="shared" si="21"/>
        <v>0</v>
      </c>
      <c r="AE506" s="9" t="str" cm="1">
        <f t="array" ref="AE506">IFERROR(_xlfn.XLOOKUP(H506,Sheet1!$G:$G,Sheet1!$F:$F),IFERROR(_xlfn.XLOOKUP(1,(--($X$2:$X$1074=X506))*(--ISNUMBER(MATCH($H$2:$H$1074,Sheet1!$G:$G,0))),_xlfn.XLOOKUP($H$2:$H$1074,Sheet1!$G:$G,Sheet1!$F:$F,"")),"NOT FOUND"))</f>
        <v>RETKRTSFUT4315</v>
      </c>
      <c r="AF506" s="10" t="str">
        <f t="shared" si="28"/>
        <v>CREAM</v>
      </c>
      <c r="AG506" s="11" t="str">
        <f t="shared" si="29"/>
        <v>Bangalore</v>
      </c>
      <c r="AH506" s="9" t="str">
        <f>IF(OR(J506="",AE506="",AE506="NOT FOUND"),"",IF(Y506="RP",IFERROR(LEFT(_xlfn.XLOOKUP(AE506,Sheet1!$F:$F,Sheet1!$W:$W),FIND("-",_xlfn.XLOOKUP(AE506,Sheet1!$F:$F,Sheet1!$W:$W),FIND("-",_xlfn.XLOOKUP(AE506,Sheet1!$F:$F,Sheet1!$W:$W))+1))&amp;AE506,"NOT FOUND"),LEFT(J506,FIND("-",J506,FIND("-",J506)+1))&amp;AE506))</f>
        <v>KRTS-APSU26-RETKRTSFUT4315</v>
      </c>
    </row>
    <row r="507" spans="1:34" ht="15.75" customHeight="1" x14ac:dyDescent="0.2">
      <c r="A507" s="4" t="s">
        <v>30</v>
      </c>
      <c r="B507" s="4" t="s">
        <v>717</v>
      </c>
      <c r="C507" s="4" t="s">
        <v>597</v>
      </c>
      <c r="D507" s="4" t="s">
        <v>598</v>
      </c>
      <c r="E507" s="4" t="s">
        <v>34</v>
      </c>
      <c r="F507" s="4" t="s">
        <v>35</v>
      </c>
      <c r="G507" s="4" t="s">
        <v>47</v>
      </c>
      <c r="H507" s="4" t="s">
        <v>724</v>
      </c>
      <c r="I507" s="4" t="s">
        <v>725</v>
      </c>
      <c r="J507" s="4" t="s">
        <v>726</v>
      </c>
      <c r="L507" s="4" t="s">
        <v>40</v>
      </c>
      <c r="M507" s="4">
        <v>1</v>
      </c>
      <c r="N507" s="4">
        <v>250</v>
      </c>
      <c r="O507" s="4">
        <v>250</v>
      </c>
      <c r="P507" s="4" t="s">
        <v>41</v>
      </c>
      <c r="Q507" s="4">
        <v>264.3</v>
      </c>
      <c r="R507" s="4">
        <v>264.3</v>
      </c>
      <c r="S507" s="4">
        <v>3303.75</v>
      </c>
      <c r="T507" s="4">
        <v>66075</v>
      </c>
      <c r="U507" s="4">
        <v>5</v>
      </c>
      <c r="V507" s="4" t="s">
        <v>42</v>
      </c>
      <c r="X507" s="7" t="str">
        <f t="shared" si="15"/>
        <v>441857186</v>
      </c>
      <c r="Y507" s="8" t="str">
        <f t="shared" si="16"/>
        <v>DC</v>
      </c>
      <c r="Z507" s="8">
        <f t="shared" si="17"/>
        <v>0</v>
      </c>
      <c r="AA507" s="8">
        <f t="shared" si="18"/>
        <v>0</v>
      </c>
      <c r="AB507" s="8">
        <f t="shared" si="19"/>
        <v>250</v>
      </c>
      <c r="AC507" s="8">
        <f t="shared" si="20"/>
        <v>0</v>
      </c>
      <c r="AD507" s="8">
        <f t="shared" si="21"/>
        <v>0</v>
      </c>
      <c r="AE507" s="9" t="str" cm="1">
        <f t="array" ref="AE507">IFERROR(_xlfn.XLOOKUP(H507,Sheet1!$G:$G,Sheet1!$F:$F),IFERROR(_xlfn.XLOOKUP(1,(--($X$2:$X$1074=X507))*(--ISNUMBER(MATCH($H$2:$H$1074,Sheet1!$G:$G,0))),_xlfn.XLOOKUP($H$2:$H$1074,Sheet1!$G:$G,Sheet1!$F:$F,"")),"NOT FOUND"))</f>
        <v>RETKRTSFUT4315</v>
      </c>
      <c r="AF507" s="10" t="str">
        <f t="shared" si="28"/>
        <v>CREAM</v>
      </c>
      <c r="AG507" s="11" t="str">
        <f t="shared" si="29"/>
        <v>Bangalore</v>
      </c>
      <c r="AH507" s="9" t="str">
        <f>IF(OR(J507="",AE507="",AE507="NOT FOUND"),"",IF(Y507="RP",IFERROR(LEFT(_xlfn.XLOOKUP(AE507,Sheet1!$F:$F,Sheet1!$W:$W),FIND("-",_xlfn.XLOOKUP(AE507,Sheet1!$F:$F,Sheet1!$W:$W),FIND("-",_xlfn.XLOOKUP(AE507,Sheet1!$F:$F,Sheet1!$W:$W))+1))&amp;AE507,"NOT FOUND"),LEFT(J507,FIND("-",J507,FIND("-",J507)+1))&amp;AE507))</f>
        <v>KRTS-APSU26-RETKRTSFUT4315</v>
      </c>
    </row>
    <row r="508" spans="1:34" ht="15.75" customHeight="1" x14ac:dyDescent="0.2">
      <c r="A508" s="4" t="s">
        <v>30</v>
      </c>
      <c r="B508" s="4" t="s">
        <v>717</v>
      </c>
      <c r="C508" s="4" t="s">
        <v>597</v>
      </c>
      <c r="D508" s="4" t="s">
        <v>598</v>
      </c>
      <c r="E508" s="4" t="s">
        <v>34</v>
      </c>
      <c r="F508" s="4" t="s">
        <v>35</v>
      </c>
      <c r="G508" s="4" t="s">
        <v>51</v>
      </c>
      <c r="H508" s="4" t="s">
        <v>727</v>
      </c>
      <c r="I508" s="4" t="s">
        <v>728</v>
      </c>
      <c r="J508" s="4" t="s">
        <v>729</v>
      </c>
      <c r="L508" s="4" t="s">
        <v>40</v>
      </c>
      <c r="M508" s="4">
        <v>1</v>
      </c>
      <c r="N508" s="4">
        <v>292</v>
      </c>
      <c r="O508" s="4">
        <v>292</v>
      </c>
      <c r="P508" s="4" t="s">
        <v>41</v>
      </c>
      <c r="Q508" s="4">
        <v>264.3</v>
      </c>
      <c r="R508" s="4">
        <v>264.3</v>
      </c>
      <c r="S508" s="4">
        <v>3858.78</v>
      </c>
      <c r="T508" s="4">
        <v>77175.600000000006</v>
      </c>
      <c r="U508" s="4">
        <v>5</v>
      </c>
      <c r="V508" s="4" t="s">
        <v>42</v>
      </c>
      <c r="X508" s="7" t="str">
        <f t="shared" si="15"/>
        <v>441857186</v>
      </c>
      <c r="Y508" s="8" t="str">
        <f t="shared" si="16"/>
        <v>DC</v>
      </c>
      <c r="Z508" s="8">
        <f t="shared" si="17"/>
        <v>0</v>
      </c>
      <c r="AA508" s="8">
        <f t="shared" si="18"/>
        <v>0</v>
      </c>
      <c r="AB508" s="8">
        <f t="shared" si="19"/>
        <v>0</v>
      </c>
      <c r="AC508" s="8">
        <f t="shared" si="20"/>
        <v>292</v>
      </c>
      <c r="AD508" s="8">
        <f t="shared" si="21"/>
        <v>0</v>
      </c>
      <c r="AE508" s="9" t="str" cm="1">
        <f t="array" ref="AE508">IFERROR(_xlfn.XLOOKUP(H508,Sheet1!$G:$G,Sheet1!$F:$F),IFERROR(_xlfn.XLOOKUP(1,(--($X$2:$X$1074=X508))*(--ISNUMBER(MATCH($H$2:$H$1074,Sheet1!$G:$G,0))),_xlfn.XLOOKUP($H$2:$H$1074,Sheet1!$G:$G,Sheet1!$F:$F,"")),"NOT FOUND"))</f>
        <v>RETKRTSFUT4315</v>
      </c>
      <c r="AF508" s="10" t="str">
        <f t="shared" si="28"/>
        <v>CREAM</v>
      </c>
      <c r="AG508" s="11" t="str">
        <f t="shared" si="29"/>
        <v>Bangalore</v>
      </c>
      <c r="AH508" s="9" t="str">
        <f>IF(OR(J508="",AE508="",AE508="NOT FOUND"),"",IF(Y508="RP",IFERROR(LEFT(_xlfn.XLOOKUP(AE508,Sheet1!$F:$F,Sheet1!$W:$W),FIND("-",_xlfn.XLOOKUP(AE508,Sheet1!$F:$F,Sheet1!$W:$W),FIND("-",_xlfn.XLOOKUP(AE508,Sheet1!$F:$F,Sheet1!$W:$W))+1))&amp;AE508,"NOT FOUND"),LEFT(J508,FIND("-",J508,FIND("-",J508)+1))&amp;AE508))</f>
        <v>KRTS-APSU26-RETKRTSFUT4315</v>
      </c>
    </row>
    <row r="509" spans="1:34" ht="15.75" customHeight="1" x14ac:dyDescent="0.2">
      <c r="A509" s="4" t="s">
        <v>30</v>
      </c>
      <c r="B509" s="4" t="s">
        <v>717</v>
      </c>
      <c r="C509" s="4" t="s">
        <v>597</v>
      </c>
      <c r="D509" s="4" t="s">
        <v>598</v>
      </c>
      <c r="E509" s="4" t="s">
        <v>34</v>
      </c>
      <c r="F509" s="4" t="s">
        <v>35</v>
      </c>
      <c r="G509" s="4" t="s">
        <v>55</v>
      </c>
      <c r="H509" s="4" t="s">
        <v>730</v>
      </c>
      <c r="I509" s="4" t="s">
        <v>731</v>
      </c>
      <c r="J509" s="4" t="s">
        <v>732</v>
      </c>
      <c r="L509" s="4" t="s">
        <v>40</v>
      </c>
      <c r="M509" s="4">
        <v>1</v>
      </c>
      <c r="N509" s="4">
        <v>56</v>
      </c>
      <c r="O509" s="4">
        <v>56</v>
      </c>
      <c r="P509" s="4" t="s">
        <v>41</v>
      </c>
      <c r="Q509" s="4">
        <v>264.3</v>
      </c>
      <c r="R509" s="4">
        <v>264.3</v>
      </c>
      <c r="S509" s="4">
        <v>740.04</v>
      </c>
      <c r="T509" s="4">
        <v>14800.8</v>
      </c>
      <c r="U509" s="4">
        <v>5</v>
      </c>
      <c r="V509" s="4" t="s">
        <v>42</v>
      </c>
      <c r="X509" s="7" t="str">
        <f t="shared" si="15"/>
        <v>441857186</v>
      </c>
      <c r="Y509" s="8" t="str">
        <f t="shared" si="16"/>
        <v>DC</v>
      </c>
      <c r="Z509" s="8">
        <f t="shared" si="17"/>
        <v>0</v>
      </c>
      <c r="AA509" s="8">
        <f t="shared" si="18"/>
        <v>0</v>
      </c>
      <c r="AB509" s="8">
        <f t="shared" si="19"/>
        <v>0</v>
      </c>
      <c r="AC509" s="8">
        <f t="shared" si="20"/>
        <v>0</v>
      </c>
      <c r="AD509" s="8">
        <f t="shared" si="21"/>
        <v>56</v>
      </c>
      <c r="AE509" s="9" t="str" cm="1">
        <f t="array" ref="AE509">IFERROR(_xlfn.XLOOKUP(H509,Sheet1!$G:$G,Sheet1!$F:$F),IFERROR(_xlfn.XLOOKUP(1,(--($X$2:$X$1074=X509))*(--ISNUMBER(MATCH($H$2:$H$1074,Sheet1!$G:$G,0))),_xlfn.XLOOKUP($H$2:$H$1074,Sheet1!$G:$G,Sheet1!$F:$F,"")),"NOT FOUND"))</f>
        <v>RETKRTSFUT4315</v>
      </c>
      <c r="AF509" s="10" t="str">
        <f t="shared" si="28"/>
        <v>CREAM</v>
      </c>
      <c r="AG509" s="11" t="str">
        <f t="shared" si="29"/>
        <v>Bangalore</v>
      </c>
      <c r="AH509" s="9" t="str">
        <f>IF(OR(J509="",AE509="",AE509="NOT FOUND"),"",IF(Y509="RP",IFERROR(LEFT(_xlfn.XLOOKUP(AE509,Sheet1!$F:$F,Sheet1!$W:$W),FIND("-",_xlfn.XLOOKUP(AE509,Sheet1!$F:$F,Sheet1!$W:$W),FIND("-",_xlfn.XLOOKUP(AE509,Sheet1!$F:$F,Sheet1!$W:$W))+1))&amp;AE509,"NOT FOUND"),LEFT(J509,FIND("-",J509,FIND("-",J509)+1))&amp;AE509))</f>
        <v>KRTS-APSU26-RETKRTSFUT4315</v>
      </c>
    </row>
    <row r="510" spans="1:34" ht="15.75" customHeight="1" x14ac:dyDescent="0.2">
      <c r="A510" s="4" t="s">
        <v>30</v>
      </c>
      <c r="B510" s="4" t="s">
        <v>733</v>
      </c>
      <c r="C510" s="4" t="s">
        <v>597</v>
      </c>
      <c r="D510" s="4" t="s">
        <v>598</v>
      </c>
      <c r="E510" s="4" t="s">
        <v>34</v>
      </c>
      <c r="F510" s="4" t="s">
        <v>35</v>
      </c>
      <c r="G510" s="4" t="s">
        <v>36</v>
      </c>
      <c r="H510" s="4" t="s">
        <v>734</v>
      </c>
      <c r="I510" s="4" t="s">
        <v>735</v>
      </c>
      <c r="J510" s="4" t="s">
        <v>736</v>
      </c>
      <c r="L510" s="4" t="s">
        <v>40</v>
      </c>
      <c r="M510" s="4">
        <v>1</v>
      </c>
      <c r="N510" s="4">
        <v>30</v>
      </c>
      <c r="O510" s="4">
        <v>30</v>
      </c>
      <c r="P510" s="4" t="s">
        <v>41</v>
      </c>
      <c r="Q510" s="4">
        <v>264.3</v>
      </c>
      <c r="R510" s="4">
        <v>264.3</v>
      </c>
      <c r="S510" s="4">
        <v>396.45</v>
      </c>
      <c r="T510" s="4">
        <v>7929</v>
      </c>
      <c r="U510" s="4">
        <v>5</v>
      </c>
      <c r="V510" s="4" t="s">
        <v>42</v>
      </c>
      <c r="X510" s="7" t="str">
        <f t="shared" si="15"/>
        <v>441857185</v>
      </c>
      <c r="Y510" s="8" t="str">
        <f t="shared" si="16"/>
        <v>DC</v>
      </c>
      <c r="Z510" s="8">
        <f t="shared" si="17"/>
        <v>30</v>
      </c>
      <c r="AA510" s="8">
        <f t="shared" si="18"/>
        <v>0</v>
      </c>
      <c r="AB510" s="8">
        <f t="shared" si="19"/>
        <v>0</v>
      </c>
      <c r="AC510" s="8">
        <f t="shared" si="20"/>
        <v>0</v>
      </c>
      <c r="AD510" s="8">
        <f t="shared" si="21"/>
        <v>0</v>
      </c>
      <c r="AE510" s="9" t="str" cm="1">
        <f t="array" ref="AE510">IFERROR(_xlfn.XLOOKUP(H510,Sheet1!$G:$G,Sheet1!$F:$F),IFERROR(_xlfn.XLOOKUP(1,(--($X$2:$X$1074=X510))*(--ISNUMBER(MATCH($H$2:$H$1074,Sheet1!$G:$G,0))),_xlfn.XLOOKUP($H$2:$H$1074,Sheet1!$G:$G,Sheet1!$F:$F,"")),"NOT FOUND"))</f>
        <v>RETKRTSFUT4314</v>
      </c>
      <c r="AF510" s="10" t="str">
        <f t="shared" si="28"/>
        <v>BLUE</v>
      </c>
      <c r="AG510" s="11" t="str">
        <f t="shared" si="29"/>
        <v>Bangalore</v>
      </c>
      <c r="AH510" s="9" t="str">
        <f>IF(OR(J510="",AE510="",AE510="NOT FOUND"),"",IF(Y510="RP",IFERROR(LEFT(_xlfn.XLOOKUP(AE510,Sheet1!$F:$F,Sheet1!$W:$W),FIND("-",_xlfn.XLOOKUP(AE510,Sheet1!$F:$F,Sheet1!$W:$W),FIND("-",_xlfn.XLOOKUP(AE510,Sheet1!$F:$F,Sheet1!$W:$W))+1))&amp;AE510,"NOT FOUND"),LEFT(J510,FIND("-",J510,FIND("-",J510)+1))&amp;AE510))</f>
        <v>KRTS-APSU26-RETKRTSFUT4314</v>
      </c>
    </row>
    <row r="511" spans="1:34" ht="15.75" customHeight="1" x14ac:dyDescent="0.2">
      <c r="A511" s="4" t="s">
        <v>30</v>
      </c>
      <c r="B511" s="4" t="s">
        <v>733</v>
      </c>
      <c r="C511" s="4" t="s">
        <v>597</v>
      </c>
      <c r="D511" s="4" t="s">
        <v>598</v>
      </c>
      <c r="E511" s="4" t="s">
        <v>34</v>
      </c>
      <c r="F511" s="4" t="s">
        <v>35</v>
      </c>
      <c r="G511" s="4" t="s">
        <v>43</v>
      </c>
      <c r="H511" s="4" t="s">
        <v>737</v>
      </c>
      <c r="I511" s="4" t="s">
        <v>738</v>
      </c>
      <c r="J511" s="4" t="s">
        <v>739</v>
      </c>
      <c r="L511" s="4" t="s">
        <v>40</v>
      </c>
      <c r="M511" s="4">
        <v>1</v>
      </c>
      <c r="N511" s="4">
        <v>222</v>
      </c>
      <c r="O511" s="4">
        <v>222</v>
      </c>
      <c r="P511" s="4" t="s">
        <v>41</v>
      </c>
      <c r="Q511" s="4">
        <v>264.3</v>
      </c>
      <c r="R511" s="4">
        <v>264.3</v>
      </c>
      <c r="S511" s="4">
        <v>2933.73</v>
      </c>
      <c r="T511" s="4">
        <v>58674.6</v>
      </c>
      <c r="U511" s="4">
        <v>5</v>
      </c>
      <c r="V511" s="4" t="s">
        <v>42</v>
      </c>
      <c r="X511" s="7" t="str">
        <f t="shared" si="15"/>
        <v>441857185</v>
      </c>
      <c r="Y511" s="8" t="str">
        <f t="shared" si="16"/>
        <v>DC</v>
      </c>
      <c r="Z511" s="8">
        <f t="shared" si="17"/>
        <v>0</v>
      </c>
      <c r="AA511" s="8">
        <f t="shared" si="18"/>
        <v>222</v>
      </c>
      <c r="AB511" s="8">
        <f t="shared" si="19"/>
        <v>0</v>
      </c>
      <c r="AC511" s="8">
        <f t="shared" si="20"/>
        <v>0</v>
      </c>
      <c r="AD511" s="8">
        <f t="shared" si="21"/>
        <v>0</v>
      </c>
      <c r="AE511" s="9" t="str" cm="1">
        <f t="array" ref="AE511">IFERROR(_xlfn.XLOOKUP(H511,Sheet1!$G:$G,Sheet1!$F:$F),IFERROR(_xlfn.XLOOKUP(1,(--($X$2:$X$1074=X511))*(--ISNUMBER(MATCH($H$2:$H$1074,Sheet1!$G:$G,0))),_xlfn.XLOOKUP($H$2:$H$1074,Sheet1!$G:$G,Sheet1!$F:$F,"")),"NOT FOUND"))</f>
        <v>RETKRTSFUT4314</v>
      </c>
      <c r="AF511" s="10" t="str">
        <f t="shared" si="28"/>
        <v>BLUE</v>
      </c>
      <c r="AG511" s="11" t="str">
        <f t="shared" si="29"/>
        <v>Bangalore</v>
      </c>
      <c r="AH511" s="9" t="str">
        <f>IF(OR(J511="",AE511="",AE511="NOT FOUND"),"",IF(Y511="RP",IFERROR(LEFT(_xlfn.XLOOKUP(AE511,Sheet1!$F:$F,Sheet1!$W:$W),FIND("-",_xlfn.XLOOKUP(AE511,Sheet1!$F:$F,Sheet1!$W:$W),FIND("-",_xlfn.XLOOKUP(AE511,Sheet1!$F:$F,Sheet1!$W:$W))+1))&amp;AE511,"NOT FOUND"),LEFT(J511,FIND("-",J511,FIND("-",J511)+1))&amp;AE511))</f>
        <v>KRTS-APSU26-RETKRTSFUT4314</v>
      </c>
    </row>
    <row r="512" spans="1:34" ht="15.75" customHeight="1" x14ac:dyDescent="0.2">
      <c r="A512" s="4" t="s">
        <v>30</v>
      </c>
      <c r="B512" s="4" t="s">
        <v>733</v>
      </c>
      <c r="C512" s="4" t="s">
        <v>597</v>
      </c>
      <c r="D512" s="4" t="s">
        <v>598</v>
      </c>
      <c r="E512" s="4" t="s">
        <v>34</v>
      </c>
      <c r="F512" s="4" t="s">
        <v>35</v>
      </c>
      <c r="G512" s="4" t="s">
        <v>47</v>
      </c>
      <c r="H512" s="4" t="s">
        <v>740</v>
      </c>
      <c r="I512" s="4" t="s">
        <v>741</v>
      </c>
      <c r="J512" s="4" t="s">
        <v>742</v>
      </c>
      <c r="L512" s="4" t="s">
        <v>40</v>
      </c>
      <c r="M512" s="4">
        <v>1</v>
      </c>
      <c r="N512" s="4">
        <v>250</v>
      </c>
      <c r="O512" s="4">
        <v>250</v>
      </c>
      <c r="P512" s="4" t="s">
        <v>41</v>
      </c>
      <c r="Q512" s="4">
        <v>264.3</v>
      </c>
      <c r="R512" s="4">
        <v>264.3</v>
      </c>
      <c r="S512" s="4">
        <v>3303.75</v>
      </c>
      <c r="T512" s="4">
        <v>66075</v>
      </c>
      <c r="U512" s="4">
        <v>5</v>
      </c>
      <c r="V512" s="4" t="s">
        <v>42</v>
      </c>
      <c r="X512" s="7" t="str">
        <f t="shared" ref="X512:X766" si="30">IF(ISNUMBER(VALUE(LEFT(J512,1))),LEFT(J512,MIN(IFERROR(FIND("A",UPPER(J512)),LEN(J512)+1),IFERROR(FIND("B",UPPER(J512)),LEN(J512)+1),IFERROR(FIND("C",UPPER(J512)),LEN(J512)+1),IFERROR(FIND("D",UPPER(J512)),LEN(J512)+1),IFERROR(FIND("E",UPPER(J512)),LEN(J512)+1),IFERROR(FIND("F",UPPER(J512)),LEN(J512)+1),IFERROR(FIND("G",UPPER(J512)),LEN(J512)+1),IFERROR(FIND("H",UPPER(J512)),LEN(J512)+1),IFERROR(FIND("I",UPPER(J512)),LEN(J512)+1),IFERROR(FIND("J",UPPER(J512)),LEN(J512)+1),IFERROR(FIND("K",UPPER(J512)),LEN(J512)+1),IFERROR(FIND("L",UPPER(J512)),LEN(J512)+1),IFERROR(FIND("M",UPPER(J512)),LEN(J512)+1),IFERROR(FIND("N",UPPER(J512)),LEN(J512)+1),IFERROR(FIND("O",UPPER(J512)),LEN(J512)+1),IFERROR(FIND("P",UPPER(J512)),LEN(J512)+1),IFERROR(FIND("Q",UPPER(J512)),LEN(J512)+1),IFERROR(FIND("R",UPPER(J512)),LEN(J512)+1),IFERROR(FIND("S",UPPER(J512)),LEN(J512)+1),IFERROR(FIND("T",UPPER(J512)),LEN(J512)+1),IFERROR(FIND("U",UPPER(J512)),LEN(J512)+1),IFERROR(FIND("V",UPPER(J512)),LEN(J512)+1),IFERROR(FIND("W",UPPER(J512)),LEN(J512)+1),IFERROR(FIND("X",UPPER(J512)),LEN(J512)+1),IFERROR(FIND("Y",UPPER(J512)),LEN(J512)+1),IFERROR(FIND("Z",UPPER(J512)),LEN(J512)+1))-1),LEFT(TEXT(I512,"0"),LEN(TEXT(I512,"0"))-3))</f>
        <v>441857185</v>
      </c>
      <c r="Y512" s="8" t="str">
        <f t="shared" ref="Y512:Y766" si="31">IF(ISNUMBER(SEARCH("(RP)",J512)),"RP","DC")</f>
        <v>DC</v>
      </c>
      <c r="Z512" s="8">
        <f t="shared" ref="Z512:Z766" si="32">IF(ISNUMBER(SEARCH("(RP)",J512)),O512,IF(RIGHT(TRIM(J512),3)=", S",O512,0))</f>
        <v>0</v>
      </c>
      <c r="AA512" s="8">
        <f t="shared" ref="AA512:AA766" si="33">IF(ISNUMBER(SEARCH("(RP)",J512)),O512,IF(RIGHT(TRIM(J512),3)=", M",O512,0))</f>
        <v>0</v>
      </c>
      <c r="AB512" s="8">
        <f t="shared" ref="AB512:AB766" si="34">IF(ISNUMBER(SEARCH("(RP)",J512)),O512,IF(RIGHT(TRIM(J512),3)=", L",O512,0))</f>
        <v>250</v>
      </c>
      <c r="AC512" s="8">
        <f t="shared" ref="AC512:AC766" si="35">IF(ISNUMBER(SEARCH("(RP)",J512)),O512,IF(RIGHT(TRIM(J512),4)=", XL",O512,0))</f>
        <v>0</v>
      </c>
      <c r="AD512" s="8">
        <f t="shared" ref="AD512:AD766" si="36">IF(ISNUMBER(SEARCH("(RP)",J512)),O512,IF(OR(RIGHT(TRIM(J512),5)=", XXL",RIGHT(TRIM(J512),5)=", 2XL"),O512,0))</f>
        <v>0</v>
      </c>
      <c r="AE512" s="9" t="str" cm="1">
        <f t="array" ref="AE512">IFERROR(_xlfn.XLOOKUP(H512,Sheet1!$G:$G,Sheet1!$F:$F),IFERROR(_xlfn.XLOOKUP(1,(--($X$2:$X$1074=X512))*(--ISNUMBER(MATCH($H$2:$H$1074,Sheet1!$G:$G,0))),_xlfn.XLOOKUP($H$2:$H$1074,Sheet1!$G:$G,Sheet1!$F:$F,"")),"NOT FOUND"))</f>
        <v>RETKRTSFUT4314</v>
      </c>
      <c r="AF512" s="10" t="str">
        <f t="shared" si="28"/>
        <v>BLUE</v>
      </c>
      <c r="AG512" s="11" t="str">
        <f t="shared" si="29"/>
        <v>Bangalore</v>
      </c>
      <c r="AH512" s="9" t="str">
        <f>IF(OR(J512="",AE512="",AE512="NOT FOUND"),"",IF(Y512="RP",IFERROR(LEFT(_xlfn.XLOOKUP(AE512,Sheet1!$F:$F,Sheet1!$W:$W),FIND("-",_xlfn.XLOOKUP(AE512,Sheet1!$F:$F,Sheet1!$W:$W),FIND("-",_xlfn.XLOOKUP(AE512,Sheet1!$F:$F,Sheet1!$W:$W))+1))&amp;AE512,"NOT FOUND"),LEFT(J512,FIND("-",J512,FIND("-",J512)+1))&amp;AE512))</f>
        <v>KRTS-APSU26-RETKRTSFUT4314</v>
      </c>
    </row>
    <row r="513" spans="1:34" ht="15.75" customHeight="1" x14ac:dyDescent="0.2">
      <c r="A513" s="4" t="s">
        <v>30</v>
      </c>
      <c r="B513" s="4" t="s">
        <v>733</v>
      </c>
      <c r="C513" s="4" t="s">
        <v>597</v>
      </c>
      <c r="D513" s="4" t="s">
        <v>598</v>
      </c>
      <c r="E513" s="4" t="s">
        <v>34</v>
      </c>
      <c r="F513" s="4" t="s">
        <v>35</v>
      </c>
      <c r="G513" s="4" t="s">
        <v>51</v>
      </c>
      <c r="H513" s="4" t="s">
        <v>743</v>
      </c>
      <c r="I513" s="4" t="s">
        <v>744</v>
      </c>
      <c r="J513" s="4" t="s">
        <v>745</v>
      </c>
      <c r="L513" s="4" t="s">
        <v>40</v>
      </c>
      <c r="M513" s="4">
        <v>1</v>
      </c>
      <c r="N513" s="4">
        <v>292</v>
      </c>
      <c r="O513" s="4">
        <v>292</v>
      </c>
      <c r="P513" s="4" t="s">
        <v>41</v>
      </c>
      <c r="Q513" s="4">
        <v>264.3</v>
      </c>
      <c r="R513" s="4">
        <v>264.3</v>
      </c>
      <c r="S513" s="4">
        <v>3858.78</v>
      </c>
      <c r="T513" s="4">
        <v>77175.600000000006</v>
      </c>
      <c r="U513" s="4">
        <v>5</v>
      </c>
      <c r="V513" s="4" t="s">
        <v>42</v>
      </c>
      <c r="X513" s="7" t="str">
        <f t="shared" si="30"/>
        <v>441857185</v>
      </c>
      <c r="Y513" s="8" t="str">
        <f t="shared" si="31"/>
        <v>DC</v>
      </c>
      <c r="Z513" s="8">
        <f t="shared" si="32"/>
        <v>0</v>
      </c>
      <c r="AA513" s="8">
        <f t="shared" si="33"/>
        <v>0</v>
      </c>
      <c r="AB513" s="8">
        <f t="shared" si="34"/>
        <v>0</v>
      </c>
      <c r="AC513" s="8">
        <f t="shared" si="35"/>
        <v>292</v>
      </c>
      <c r="AD513" s="8">
        <f t="shared" si="36"/>
        <v>0</v>
      </c>
      <c r="AE513" s="9" t="str" cm="1">
        <f t="array" ref="AE513">IFERROR(_xlfn.XLOOKUP(H513,Sheet1!$G:$G,Sheet1!$F:$F),IFERROR(_xlfn.XLOOKUP(1,(--($X$2:$X$1074=X513))*(--ISNUMBER(MATCH($H$2:$H$1074,Sheet1!$G:$G,0))),_xlfn.XLOOKUP($H$2:$H$1074,Sheet1!$G:$G,Sheet1!$F:$F,"")),"NOT FOUND"))</f>
        <v>RETKRTSFUT4314</v>
      </c>
      <c r="AF513" s="10" t="str">
        <f t="shared" si="28"/>
        <v>BLUE</v>
      </c>
      <c r="AG513" s="11" t="str">
        <f t="shared" si="29"/>
        <v>Bangalore</v>
      </c>
      <c r="AH513" s="9" t="str">
        <f>IF(OR(J513="",AE513="",AE513="NOT FOUND"),"",IF(Y513="RP",IFERROR(LEFT(_xlfn.XLOOKUP(AE513,Sheet1!$F:$F,Sheet1!$W:$W),FIND("-",_xlfn.XLOOKUP(AE513,Sheet1!$F:$F,Sheet1!$W:$W),FIND("-",_xlfn.XLOOKUP(AE513,Sheet1!$F:$F,Sheet1!$W:$W))+1))&amp;AE513,"NOT FOUND"),LEFT(J513,FIND("-",J513,FIND("-",J513)+1))&amp;AE513))</f>
        <v>KRTS-APSU26-RETKRTSFUT4314</v>
      </c>
    </row>
    <row r="514" spans="1:34" ht="15.75" customHeight="1" x14ac:dyDescent="0.2">
      <c r="A514" s="4" t="s">
        <v>30</v>
      </c>
      <c r="B514" s="4" t="s">
        <v>733</v>
      </c>
      <c r="C514" s="4" t="s">
        <v>597</v>
      </c>
      <c r="D514" s="4" t="s">
        <v>598</v>
      </c>
      <c r="E514" s="4" t="s">
        <v>34</v>
      </c>
      <c r="F514" s="4" t="s">
        <v>35</v>
      </c>
      <c r="G514" s="4" t="s">
        <v>55</v>
      </c>
      <c r="H514" s="4" t="s">
        <v>746</v>
      </c>
      <c r="I514" s="4" t="s">
        <v>747</v>
      </c>
      <c r="J514" s="4" t="s">
        <v>748</v>
      </c>
      <c r="L514" s="4" t="s">
        <v>40</v>
      </c>
      <c r="M514" s="4">
        <v>1</v>
      </c>
      <c r="N514" s="4">
        <v>56</v>
      </c>
      <c r="O514" s="4">
        <v>56</v>
      </c>
      <c r="P514" s="4" t="s">
        <v>41</v>
      </c>
      <c r="Q514" s="4">
        <v>264.3</v>
      </c>
      <c r="R514" s="4">
        <v>264.3</v>
      </c>
      <c r="S514" s="4">
        <v>740.04</v>
      </c>
      <c r="T514" s="4">
        <v>14800.8</v>
      </c>
      <c r="U514" s="4">
        <v>5</v>
      </c>
      <c r="V514" s="4" t="s">
        <v>42</v>
      </c>
      <c r="X514" s="7" t="str">
        <f t="shared" si="30"/>
        <v>441857185</v>
      </c>
      <c r="Y514" s="8" t="str">
        <f t="shared" si="31"/>
        <v>DC</v>
      </c>
      <c r="Z514" s="8">
        <f t="shared" si="32"/>
        <v>0</v>
      </c>
      <c r="AA514" s="8">
        <f t="shared" si="33"/>
        <v>0</v>
      </c>
      <c r="AB514" s="8">
        <f t="shared" si="34"/>
        <v>0</v>
      </c>
      <c r="AC514" s="8">
        <f t="shared" si="35"/>
        <v>0</v>
      </c>
      <c r="AD514" s="8">
        <f t="shared" si="36"/>
        <v>56</v>
      </c>
      <c r="AE514" s="9" t="str" cm="1">
        <f t="array" ref="AE514">IFERROR(_xlfn.XLOOKUP(H514,Sheet1!$G:$G,Sheet1!$F:$F),IFERROR(_xlfn.XLOOKUP(1,(--($X$2:$X$1074=X514))*(--ISNUMBER(MATCH($H$2:$H$1074,Sheet1!$G:$G,0))),_xlfn.XLOOKUP($H$2:$H$1074,Sheet1!$G:$G,Sheet1!$F:$F,"")),"NOT FOUND"))</f>
        <v>RETKRTSFUT4314</v>
      </c>
      <c r="AF514" s="10" t="str">
        <f t="shared" si="28"/>
        <v>BLUE</v>
      </c>
      <c r="AG514" s="11" t="str">
        <f t="shared" si="29"/>
        <v>Bangalore</v>
      </c>
      <c r="AH514" s="9" t="str">
        <f>IF(OR(J514="",AE514="",AE514="NOT FOUND"),"",IF(Y514="RP",IFERROR(LEFT(_xlfn.XLOOKUP(AE514,Sheet1!$F:$F,Sheet1!$W:$W),FIND("-",_xlfn.XLOOKUP(AE514,Sheet1!$F:$F,Sheet1!$W:$W),FIND("-",_xlfn.XLOOKUP(AE514,Sheet1!$F:$F,Sheet1!$W:$W))+1))&amp;AE514,"NOT FOUND"),LEFT(J514,FIND("-",J514,FIND("-",J514)+1))&amp;AE514))</f>
        <v>KRTS-APSU26-RETKRTSFUT4314</v>
      </c>
    </row>
    <row r="515" spans="1:34" ht="15.75" customHeight="1" x14ac:dyDescent="0.2">
      <c r="A515" s="4" t="s">
        <v>30</v>
      </c>
      <c r="B515" s="4" t="s">
        <v>749</v>
      </c>
      <c r="C515" s="4" t="s">
        <v>597</v>
      </c>
      <c r="D515" s="4" t="s">
        <v>598</v>
      </c>
      <c r="E515" s="4" t="s">
        <v>34</v>
      </c>
      <c r="F515" s="4" t="s">
        <v>35</v>
      </c>
      <c r="G515" s="4" t="s">
        <v>36</v>
      </c>
      <c r="H515" s="4" t="s">
        <v>750</v>
      </c>
      <c r="I515" s="4" t="s">
        <v>751</v>
      </c>
      <c r="J515" s="4" t="s">
        <v>752</v>
      </c>
      <c r="L515" s="4" t="s">
        <v>40</v>
      </c>
      <c r="M515" s="4">
        <v>1</v>
      </c>
      <c r="N515" s="4">
        <v>30</v>
      </c>
      <c r="O515" s="4">
        <v>30</v>
      </c>
      <c r="P515" s="4" t="s">
        <v>41</v>
      </c>
      <c r="Q515" s="4">
        <v>274.3</v>
      </c>
      <c r="R515" s="4">
        <v>274.3</v>
      </c>
      <c r="S515" s="4">
        <v>411.45</v>
      </c>
      <c r="T515" s="4">
        <v>8229</v>
      </c>
      <c r="U515" s="4">
        <v>5</v>
      </c>
      <c r="V515" s="4" t="s">
        <v>42</v>
      </c>
      <c r="X515" s="7" t="str">
        <f t="shared" si="30"/>
        <v>441857184</v>
      </c>
      <c r="Y515" s="8" t="str">
        <f t="shared" si="31"/>
        <v>DC</v>
      </c>
      <c r="Z515" s="8">
        <f t="shared" si="32"/>
        <v>30</v>
      </c>
      <c r="AA515" s="8">
        <f t="shared" si="33"/>
        <v>0</v>
      </c>
      <c r="AB515" s="8">
        <f t="shared" si="34"/>
        <v>0</v>
      </c>
      <c r="AC515" s="8">
        <f t="shared" si="35"/>
        <v>0</v>
      </c>
      <c r="AD515" s="8">
        <f t="shared" si="36"/>
        <v>0</v>
      </c>
      <c r="AE515" s="9" t="str" cm="1">
        <f t="array" ref="AE515">IFERROR(_xlfn.XLOOKUP(H515,Sheet1!$G:$G,Sheet1!$F:$F),IFERROR(_xlfn.XLOOKUP(1,(--($X$2:$X$1074=X515))*(--ISNUMBER(MATCH($H$2:$H$1074,Sheet1!$G:$G,0))),_xlfn.XLOOKUP($H$2:$H$1074,Sheet1!$G:$G,Sheet1!$F:$F,"")),"NOT FOUND"))</f>
        <v>RETKRTSF04311</v>
      </c>
      <c r="AF515" s="10" t="str">
        <f t="shared" ref="AF515:AF578" si="37">IFERROR(IF(ISNUMBER(SEARCH("(RP)",J515)),TRIM(SUBSTITUTE(MID(J515,10,LEN(J515)),"(RP)","")),TRIM(MID(J515,FIND(",",J515)+1,FIND(",",J515,FIND(",",J515)+1)-FIND(",",J515)-1))),"")</f>
        <v>CORAL</v>
      </c>
      <c r="AG515" s="11" t="str">
        <f t="shared" ref="AG515:AG578" si="38">IF(A515="SZAF","Bangalore",IF(A515="SAEX","JHAJJAR",IF(A515="S0EU","HARIPAL","")))</f>
        <v>Bangalore</v>
      </c>
      <c r="AH515" s="9" t="str">
        <f>IF(OR(J515="",AE515="",AE515="NOT FOUND"),"",IF(Y515="RP",IFERROR(LEFT(_xlfn.XLOOKUP(AE515,Sheet1!$F:$F,Sheet1!$W:$W),FIND("-",_xlfn.XLOOKUP(AE515,Sheet1!$F:$F,Sheet1!$W:$W),FIND("-",_xlfn.XLOOKUP(AE515,Sheet1!$F:$F,Sheet1!$W:$W))+1))&amp;AE515,"NOT FOUND"),LEFT(J515,FIND("-",J515,FIND("-",J515)+1))&amp;AE515))</f>
        <v>KRTS-APSU26-RETKRTSF04311</v>
      </c>
    </row>
    <row r="516" spans="1:34" ht="15.75" customHeight="1" x14ac:dyDescent="0.2">
      <c r="A516" s="4" t="s">
        <v>30</v>
      </c>
      <c r="B516" s="4" t="s">
        <v>749</v>
      </c>
      <c r="C516" s="4" t="s">
        <v>597</v>
      </c>
      <c r="D516" s="4" t="s">
        <v>598</v>
      </c>
      <c r="E516" s="4" t="s">
        <v>34</v>
      </c>
      <c r="F516" s="4" t="s">
        <v>35</v>
      </c>
      <c r="G516" s="4" t="s">
        <v>43</v>
      </c>
      <c r="H516" s="4" t="s">
        <v>753</v>
      </c>
      <c r="I516" s="4" t="s">
        <v>754</v>
      </c>
      <c r="J516" s="4" t="s">
        <v>755</v>
      </c>
      <c r="L516" s="4" t="s">
        <v>40</v>
      </c>
      <c r="M516" s="4">
        <v>1</v>
      </c>
      <c r="N516" s="4">
        <v>222</v>
      </c>
      <c r="O516" s="4">
        <v>222</v>
      </c>
      <c r="P516" s="4" t="s">
        <v>41</v>
      </c>
      <c r="Q516" s="4">
        <v>274.3</v>
      </c>
      <c r="R516" s="4">
        <v>274.3</v>
      </c>
      <c r="S516" s="4">
        <v>3044.73</v>
      </c>
      <c r="T516" s="4">
        <v>60894.6</v>
      </c>
      <c r="U516" s="4">
        <v>5</v>
      </c>
      <c r="V516" s="4" t="s">
        <v>42</v>
      </c>
      <c r="X516" s="7" t="str">
        <f t="shared" si="30"/>
        <v>441857184</v>
      </c>
      <c r="Y516" s="8" t="str">
        <f t="shared" si="31"/>
        <v>DC</v>
      </c>
      <c r="Z516" s="8">
        <f t="shared" si="32"/>
        <v>0</v>
      </c>
      <c r="AA516" s="8">
        <f t="shared" si="33"/>
        <v>222</v>
      </c>
      <c r="AB516" s="8">
        <f t="shared" si="34"/>
        <v>0</v>
      </c>
      <c r="AC516" s="8">
        <f t="shared" si="35"/>
        <v>0</v>
      </c>
      <c r="AD516" s="8">
        <f t="shared" si="36"/>
        <v>0</v>
      </c>
      <c r="AE516" s="9" t="str" cm="1">
        <f t="array" ref="AE516">IFERROR(_xlfn.XLOOKUP(H516,Sheet1!$G:$G,Sheet1!$F:$F),IFERROR(_xlfn.XLOOKUP(1,(--($X$2:$X$1074=X516))*(--ISNUMBER(MATCH($H$2:$H$1074,Sheet1!$G:$G,0))),_xlfn.XLOOKUP($H$2:$H$1074,Sheet1!$G:$G,Sheet1!$F:$F,"")),"NOT FOUND"))</f>
        <v>RETKRTSF04311</v>
      </c>
      <c r="AF516" s="10" t="str">
        <f t="shared" si="37"/>
        <v>CORAL</v>
      </c>
      <c r="AG516" s="11" t="str">
        <f t="shared" si="38"/>
        <v>Bangalore</v>
      </c>
      <c r="AH516" s="9" t="str">
        <f>IF(OR(J516="",AE516="",AE516="NOT FOUND"),"",IF(Y516="RP",IFERROR(LEFT(_xlfn.XLOOKUP(AE516,Sheet1!$F:$F,Sheet1!$W:$W),FIND("-",_xlfn.XLOOKUP(AE516,Sheet1!$F:$F,Sheet1!$W:$W),FIND("-",_xlfn.XLOOKUP(AE516,Sheet1!$F:$F,Sheet1!$W:$W))+1))&amp;AE516,"NOT FOUND"),LEFT(J516,FIND("-",J516,FIND("-",J516)+1))&amp;AE516))</f>
        <v>KRTS-APSU26-RETKRTSF04311</v>
      </c>
    </row>
    <row r="517" spans="1:34" ht="15.75" customHeight="1" x14ac:dyDescent="0.2">
      <c r="A517" s="4" t="s">
        <v>30</v>
      </c>
      <c r="B517" s="4" t="s">
        <v>749</v>
      </c>
      <c r="C517" s="4" t="s">
        <v>597</v>
      </c>
      <c r="D517" s="4" t="s">
        <v>598</v>
      </c>
      <c r="E517" s="4" t="s">
        <v>34</v>
      </c>
      <c r="F517" s="4" t="s">
        <v>35</v>
      </c>
      <c r="G517" s="4" t="s">
        <v>47</v>
      </c>
      <c r="H517" s="4" t="s">
        <v>756</v>
      </c>
      <c r="I517" s="4" t="s">
        <v>757</v>
      </c>
      <c r="J517" s="4" t="s">
        <v>758</v>
      </c>
      <c r="L517" s="4" t="s">
        <v>40</v>
      </c>
      <c r="M517" s="4">
        <v>1</v>
      </c>
      <c r="N517" s="4">
        <v>250</v>
      </c>
      <c r="O517" s="4">
        <v>250</v>
      </c>
      <c r="P517" s="4" t="s">
        <v>41</v>
      </c>
      <c r="Q517" s="4">
        <v>274.3</v>
      </c>
      <c r="R517" s="4">
        <v>274.3</v>
      </c>
      <c r="S517" s="4">
        <v>3428.75</v>
      </c>
      <c r="T517" s="4">
        <v>68575</v>
      </c>
      <c r="U517" s="4">
        <v>5</v>
      </c>
      <c r="V517" s="4" t="s">
        <v>42</v>
      </c>
      <c r="X517" s="7" t="str">
        <f t="shared" si="30"/>
        <v>441857184</v>
      </c>
      <c r="Y517" s="8" t="str">
        <f t="shared" si="31"/>
        <v>DC</v>
      </c>
      <c r="Z517" s="8">
        <f t="shared" si="32"/>
        <v>0</v>
      </c>
      <c r="AA517" s="8">
        <f t="shared" si="33"/>
        <v>0</v>
      </c>
      <c r="AB517" s="8">
        <f t="shared" si="34"/>
        <v>250</v>
      </c>
      <c r="AC517" s="8">
        <f t="shared" si="35"/>
        <v>0</v>
      </c>
      <c r="AD517" s="8">
        <f t="shared" si="36"/>
        <v>0</v>
      </c>
      <c r="AE517" s="9" t="str" cm="1">
        <f t="array" ref="AE517">IFERROR(_xlfn.XLOOKUP(H517,Sheet1!$G:$G,Sheet1!$F:$F),IFERROR(_xlfn.XLOOKUP(1,(--($X$2:$X$1074=X517))*(--ISNUMBER(MATCH($H$2:$H$1074,Sheet1!$G:$G,0))),_xlfn.XLOOKUP($H$2:$H$1074,Sheet1!$G:$G,Sheet1!$F:$F,"")),"NOT FOUND"))</f>
        <v>RETKRTSF04311</v>
      </c>
      <c r="AF517" s="10" t="str">
        <f t="shared" si="37"/>
        <v>CORAL</v>
      </c>
      <c r="AG517" s="11" t="str">
        <f t="shared" si="38"/>
        <v>Bangalore</v>
      </c>
      <c r="AH517" s="9" t="str">
        <f>IF(OR(J517="",AE517="",AE517="NOT FOUND"),"",IF(Y517="RP",IFERROR(LEFT(_xlfn.XLOOKUP(AE517,Sheet1!$F:$F,Sheet1!$W:$W),FIND("-",_xlfn.XLOOKUP(AE517,Sheet1!$F:$F,Sheet1!$W:$W),FIND("-",_xlfn.XLOOKUP(AE517,Sheet1!$F:$F,Sheet1!$W:$W))+1))&amp;AE517,"NOT FOUND"),LEFT(J517,FIND("-",J517,FIND("-",J517)+1))&amp;AE517))</f>
        <v>KRTS-APSU26-RETKRTSF04311</v>
      </c>
    </row>
    <row r="518" spans="1:34" ht="15.75" customHeight="1" x14ac:dyDescent="0.2">
      <c r="A518" s="4" t="s">
        <v>30</v>
      </c>
      <c r="B518" s="4" t="s">
        <v>749</v>
      </c>
      <c r="C518" s="4" t="s">
        <v>597</v>
      </c>
      <c r="D518" s="4" t="s">
        <v>598</v>
      </c>
      <c r="E518" s="4" t="s">
        <v>34</v>
      </c>
      <c r="F518" s="4" t="s">
        <v>35</v>
      </c>
      <c r="G518" s="4" t="s">
        <v>51</v>
      </c>
      <c r="H518" s="4" t="s">
        <v>759</v>
      </c>
      <c r="I518" s="4" t="s">
        <v>760</v>
      </c>
      <c r="J518" s="4" t="s">
        <v>761</v>
      </c>
      <c r="L518" s="4" t="s">
        <v>40</v>
      </c>
      <c r="M518" s="4">
        <v>1</v>
      </c>
      <c r="N518" s="4">
        <v>292</v>
      </c>
      <c r="O518" s="4">
        <v>292</v>
      </c>
      <c r="P518" s="4" t="s">
        <v>41</v>
      </c>
      <c r="Q518" s="4">
        <v>274.3</v>
      </c>
      <c r="R518" s="4">
        <v>274.3</v>
      </c>
      <c r="S518" s="4">
        <v>4004.78</v>
      </c>
      <c r="T518" s="4">
        <v>80095.600000000006</v>
      </c>
      <c r="U518" s="4">
        <v>5</v>
      </c>
      <c r="V518" s="4" t="s">
        <v>42</v>
      </c>
      <c r="X518" s="7" t="str">
        <f t="shared" si="30"/>
        <v>441857184</v>
      </c>
      <c r="Y518" s="8" t="str">
        <f t="shared" si="31"/>
        <v>DC</v>
      </c>
      <c r="Z518" s="8">
        <f t="shared" si="32"/>
        <v>0</v>
      </c>
      <c r="AA518" s="8">
        <f t="shared" si="33"/>
        <v>0</v>
      </c>
      <c r="AB518" s="8">
        <f t="shared" si="34"/>
        <v>0</v>
      </c>
      <c r="AC518" s="8">
        <f t="shared" si="35"/>
        <v>292</v>
      </c>
      <c r="AD518" s="8">
        <f t="shared" si="36"/>
        <v>0</v>
      </c>
      <c r="AE518" s="9" t="str" cm="1">
        <f t="array" ref="AE518">IFERROR(_xlfn.XLOOKUP(H518,Sheet1!$G:$G,Sheet1!$F:$F),IFERROR(_xlfn.XLOOKUP(1,(--($X$2:$X$1074=X518))*(--ISNUMBER(MATCH($H$2:$H$1074,Sheet1!$G:$G,0))),_xlfn.XLOOKUP($H$2:$H$1074,Sheet1!$G:$G,Sheet1!$F:$F,"")),"NOT FOUND"))</f>
        <v>RETKRTSF04311</v>
      </c>
      <c r="AF518" s="10" t="str">
        <f t="shared" si="37"/>
        <v>CORAL</v>
      </c>
      <c r="AG518" s="11" t="str">
        <f t="shared" si="38"/>
        <v>Bangalore</v>
      </c>
      <c r="AH518" s="9" t="str">
        <f>IF(OR(J518="",AE518="",AE518="NOT FOUND"),"",IF(Y518="RP",IFERROR(LEFT(_xlfn.XLOOKUP(AE518,Sheet1!$F:$F,Sheet1!$W:$W),FIND("-",_xlfn.XLOOKUP(AE518,Sheet1!$F:$F,Sheet1!$W:$W),FIND("-",_xlfn.XLOOKUP(AE518,Sheet1!$F:$F,Sheet1!$W:$W))+1))&amp;AE518,"NOT FOUND"),LEFT(J518,FIND("-",J518,FIND("-",J518)+1))&amp;AE518))</f>
        <v>KRTS-APSU26-RETKRTSF04311</v>
      </c>
    </row>
    <row r="519" spans="1:34" ht="15.75" customHeight="1" x14ac:dyDescent="0.2">
      <c r="A519" s="4" t="s">
        <v>30</v>
      </c>
      <c r="B519" s="4" t="s">
        <v>749</v>
      </c>
      <c r="C519" s="4" t="s">
        <v>597</v>
      </c>
      <c r="D519" s="4" t="s">
        <v>598</v>
      </c>
      <c r="E519" s="4" t="s">
        <v>34</v>
      </c>
      <c r="F519" s="4" t="s">
        <v>35</v>
      </c>
      <c r="G519" s="4" t="s">
        <v>55</v>
      </c>
      <c r="H519" s="4" t="s">
        <v>762</v>
      </c>
      <c r="I519" s="4" t="s">
        <v>763</v>
      </c>
      <c r="J519" s="4" t="s">
        <v>764</v>
      </c>
      <c r="L519" s="4" t="s">
        <v>40</v>
      </c>
      <c r="M519" s="4">
        <v>1</v>
      </c>
      <c r="N519" s="4">
        <v>56</v>
      </c>
      <c r="O519" s="4">
        <v>56</v>
      </c>
      <c r="P519" s="4" t="s">
        <v>41</v>
      </c>
      <c r="Q519" s="4">
        <v>274.3</v>
      </c>
      <c r="R519" s="4">
        <v>274.3</v>
      </c>
      <c r="S519" s="4">
        <v>768.04</v>
      </c>
      <c r="T519" s="4">
        <v>15360.8</v>
      </c>
      <c r="U519" s="4">
        <v>5</v>
      </c>
      <c r="V519" s="4" t="s">
        <v>42</v>
      </c>
      <c r="X519" s="7" t="str">
        <f t="shared" si="30"/>
        <v>441857184</v>
      </c>
      <c r="Y519" s="8" t="str">
        <f t="shared" si="31"/>
        <v>DC</v>
      </c>
      <c r="Z519" s="8">
        <f t="shared" si="32"/>
        <v>0</v>
      </c>
      <c r="AA519" s="8">
        <f t="shared" si="33"/>
        <v>0</v>
      </c>
      <c r="AB519" s="8">
        <f t="shared" si="34"/>
        <v>0</v>
      </c>
      <c r="AC519" s="8">
        <f t="shared" si="35"/>
        <v>0</v>
      </c>
      <c r="AD519" s="8">
        <f t="shared" si="36"/>
        <v>56</v>
      </c>
      <c r="AE519" s="9" t="str" cm="1">
        <f t="array" ref="AE519">IFERROR(_xlfn.XLOOKUP(H519,Sheet1!$G:$G,Sheet1!$F:$F),IFERROR(_xlfn.XLOOKUP(1,(--($X$2:$X$1074=X519))*(--ISNUMBER(MATCH($H$2:$H$1074,Sheet1!$G:$G,0))),_xlfn.XLOOKUP($H$2:$H$1074,Sheet1!$G:$G,Sheet1!$F:$F,"")),"NOT FOUND"))</f>
        <v>RETKRTSF04311</v>
      </c>
      <c r="AF519" s="10" t="str">
        <f t="shared" si="37"/>
        <v>CORAL</v>
      </c>
      <c r="AG519" s="11" t="str">
        <f t="shared" si="38"/>
        <v>Bangalore</v>
      </c>
      <c r="AH519" s="9" t="str">
        <f>IF(OR(J519="",AE519="",AE519="NOT FOUND"),"",IF(Y519="RP",IFERROR(LEFT(_xlfn.XLOOKUP(AE519,Sheet1!$F:$F,Sheet1!$W:$W),FIND("-",_xlfn.XLOOKUP(AE519,Sheet1!$F:$F,Sheet1!$W:$W),FIND("-",_xlfn.XLOOKUP(AE519,Sheet1!$F:$F,Sheet1!$W:$W))+1))&amp;AE519,"NOT FOUND"),LEFT(J519,FIND("-",J519,FIND("-",J519)+1))&amp;AE519))</f>
        <v>KRTS-APSU26-RETKRTSF04311</v>
      </c>
    </row>
    <row r="520" spans="1:34" ht="15.75" customHeight="1" x14ac:dyDescent="0.2">
      <c r="A520" s="4" t="s">
        <v>30</v>
      </c>
      <c r="B520" s="4" t="s">
        <v>765</v>
      </c>
      <c r="C520" s="4" t="s">
        <v>597</v>
      </c>
      <c r="D520" s="4" t="s">
        <v>598</v>
      </c>
      <c r="E520" s="4" t="s">
        <v>34</v>
      </c>
      <c r="F520" s="4" t="s">
        <v>35</v>
      </c>
      <c r="G520" s="4" t="s">
        <v>36</v>
      </c>
      <c r="H520" s="4" t="s">
        <v>766</v>
      </c>
      <c r="I520" s="4" t="s">
        <v>767</v>
      </c>
      <c r="J520" s="4" t="s">
        <v>768</v>
      </c>
      <c r="L520" s="4" t="s">
        <v>40</v>
      </c>
      <c r="M520" s="4">
        <v>1</v>
      </c>
      <c r="N520" s="4">
        <v>30</v>
      </c>
      <c r="O520" s="4">
        <v>30</v>
      </c>
      <c r="P520" s="4" t="s">
        <v>41</v>
      </c>
      <c r="Q520" s="4">
        <v>274.3</v>
      </c>
      <c r="R520" s="4">
        <v>274.3</v>
      </c>
      <c r="S520" s="4">
        <v>411.45</v>
      </c>
      <c r="T520" s="4">
        <v>8229</v>
      </c>
      <c r="U520" s="4">
        <v>5</v>
      </c>
      <c r="V520" s="4" t="s">
        <v>42</v>
      </c>
      <c r="X520" s="7" t="str">
        <f t="shared" si="30"/>
        <v>441857183</v>
      </c>
      <c r="Y520" s="8" t="str">
        <f t="shared" si="31"/>
        <v>DC</v>
      </c>
      <c r="Z520" s="8">
        <f t="shared" si="32"/>
        <v>30</v>
      </c>
      <c r="AA520" s="8">
        <f t="shared" si="33"/>
        <v>0</v>
      </c>
      <c r="AB520" s="8">
        <f t="shared" si="34"/>
        <v>0</v>
      </c>
      <c r="AC520" s="8">
        <f t="shared" si="35"/>
        <v>0</v>
      </c>
      <c r="AD520" s="8">
        <f t="shared" si="36"/>
        <v>0</v>
      </c>
      <c r="AE520" s="9" t="str" cm="1">
        <f t="array" ref="AE520">IFERROR(_xlfn.XLOOKUP(H520,Sheet1!$G:$G,Sheet1!$F:$F),IFERROR(_xlfn.XLOOKUP(1,(--($X$2:$X$1074=X520))*(--ISNUMBER(MATCH($H$2:$H$1074,Sheet1!$G:$G,0))),_xlfn.XLOOKUP($H$2:$H$1074,Sheet1!$G:$G,Sheet1!$F:$F,"")),"NOT FOUND"))</f>
        <v>RETKRTSF04310</v>
      </c>
      <c r="AF520" s="10" t="str">
        <f t="shared" si="37"/>
        <v>LT. PINK</v>
      </c>
      <c r="AG520" s="11" t="str">
        <f t="shared" si="38"/>
        <v>Bangalore</v>
      </c>
      <c r="AH520" s="9" t="str">
        <f>IF(OR(J520="",AE520="",AE520="NOT FOUND"),"",IF(Y520="RP",IFERROR(LEFT(_xlfn.XLOOKUP(AE520,Sheet1!$F:$F,Sheet1!$W:$W),FIND("-",_xlfn.XLOOKUP(AE520,Sheet1!$F:$F,Sheet1!$W:$W),FIND("-",_xlfn.XLOOKUP(AE520,Sheet1!$F:$F,Sheet1!$W:$W))+1))&amp;AE520,"NOT FOUND"),LEFT(J520,FIND("-",J520,FIND("-",J520)+1))&amp;AE520))</f>
        <v>KRTS-APSU26-RETKRTSF04310</v>
      </c>
    </row>
    <row r="521" spans="1:34" ht="15.75" customHeight="1" x14ac:dyDescent="0.2">
      <c r="A521" s="4" t="s">
        <v>30</v>
      </c>
      <c r="B521" s="4" t="s">
        <v>765</v>
      </c>
      <c r="C521" s="4" t="s">
        <v>597</v>
      </c>
      <c r="D521" s="4" t="s">
        <v>598</v>
      </c>
      <c r="E521" s="4" t="s">
        <v>34</v>
      </c>
      <c r="F521" s="4" t="s">
        <v>35</v>
      </c>
      <c r="G521" s="4" t="s">
        <v>43</v>
      </c>
      <c r="H521" s="4" t="s">
        <v>769</v>
      </c>
      <c r="I521" s="4" t="s">
        <v>770</v>
      </c>
      <c r="J521" s="4" t="s">
        <v>771</v>
      </c>
      <c r="L521" s="4" t="s">
        <v>40</v>
      </c>
      <c r="M521" s="4">
        <v>1</v>
      </c>
      <c r="N521" s="4">
        <v>222</v>
      </c>
      <c r="O521" s="4">
        <v>222</v>
      </c>
      <c r="P521" s="4" t="s">
        <v>41</v>
      </c>
      <c r="Q521" s="4">
        <v>274.3</v>
      </c>
      <c r="R521" s="4">
        <v>274.3</v>
      </c>
      <c r="S521" s="4">
        <v>3044.73</v>
      </c>
      <c r="T521" s="4">
        <v>60894.6</v>
      </c>
      <c r="U521" s="4">
        <v>5</v>
      </c>
      <c r="V521" s="4" t="s">
        <v>42</v>
      </c>
      <c r="X521" s="7" t="str">
        <f t="shared" si="30"/>
        <v>441857183</v>
      </c>
      <c r="Y521" s="8" t="str">
        <f t="shared" si="31"/>
        <v>DC</v>
      </c>
      <c r="Z521" s="8">
        <f t="shared" si="32"/>
        <v>0</v>
      </c>
      <c r="AA521" s="8">
        <f t="shared" si="33"/>
        <v>222</v>
      </c>
      <c r="AB521" s="8">
        <f t="shared" si="34"/>
        <v>0</v>
      </c>
      <c r="AC521" s="8">
        <f t="shared" si="35"/>
        <v>0</v>
      </c>
      <c r="AD521" s="8">
        <f t="shared" si="36"/>
        <v>0</v>
      </c>
      <c r="AE521" s="9" t="str" cm="1">
        <f t="array" ref="AE521">IFERROR(_xlfn.XLOOKUP(H521,Sheet1!$G:$G,Sheet1!$F:$F),IFERROR(_xlfn.XLOOKUP(1,(--($X$2:$X$1074=X521))*(--ISNUMBER(MATCH($H$2:$H$1074,Sheet1!$G:$G,0))),_xlfn.XLOOKUP($H$2:$H$1074,Sheet1!$G:$G,Sheet1!$F:$F,"")),"NOT FOUND"))</f>
        <v>RETKRTSF04310</v>
      </c>
      <c r="AF521" s="10" t="str">
        <f t="shared" si="37"/>
        <v>LT. PINK</v>
      </c>
      <c r="AG521" s="11" t="str">
        <f t="shared" si="38"/>
        <v>Bangalore</v>
      </c>
      <c r="AH521" s="9" t="str">
        <f>IF(OR(J521="",AE521="",AE521="NOT FOUND"),"",IF(Y521="RP",IFERROR(LEFT(_xlfn.XLOOKUP(AE521,Sheet1!$F:$F,Sheet1!$W:$W),FIND("-",_xlfn.XLOOKUP(AE521,Sheet1!$F:$F,Sheet1!$W:$W),FIND("-",_xlfn.XLOOKUP(AE521,Sheet1!$F:$F,Sheet1!$W:$W))+1))&amp;AE521,"NOT FOUND"),LEFT(J521,FIND("-",J521,FIND("-",J521)+1))&amp;AE521))</f>
        <v>KRTS-APSU26-RETKRTSF04310</v>
      </c>
    </row>
    <row r="522" spans="1:34" ht="15.75" customHeight="1" x14ac:dyDescent="0.2">
      <c r="A522" s="4" t="s">
        <v>30</v>
      </c>
      <c r="B522" s="4" t="s">
        <v>765</v>
      </c>
      <c r="C522" s="4" t="s">
        <v>597</v>
      </c>
      <c r="D522" s="4" t="s">
        <v>598</v>
      </c>
      <c r="E522" s="4" t="s">
        <v>34</v>
      </c>
      <c r="F522" s="4" t="s">
        <v>35</v>
      </c>
      <c r="G522" s="4" t="s">
        <v>47</v>
      </c>
      <c r="H522" s="4" t="s">
        <v>772</v>
      </c>
      <c r="I522" s="4" t="s">
        <v>773</v>
      </c>
      <c r="J522" s="4" t="s">
        <v>774</v>
      </c>
      <c r="L522" s="4" t="s">
        <v>40</v>
      </c>
      <c r="M522" s="4">
        <v>1</v>
      </c>
      <c r="N522" s="4">
        <v>250</v>
      </c>
      <c r="O522" s="4">
        <v>250</v>
      </c>
      <c r="P522" s="4" t="s">
        <v>41</v>
      </c>
      <c r="Q522" s="4">
        <v>274.3</v>
      </c>
      <c r="R522" s="4">
        <v>274.3</v>
      </c>
      <c r="S522" s="4">
        <v>3428.75</v>
      </c>
      <c r="T522" s="4">
        <v>68575</v>
      </c>
      <c r="U522" s="4">
        <v>5</v>
      </c>
      <c r="V522" s="4" t="s">
        <v>42</v>
      </c>
      <c r="X522" s="7" t="str">
        <f t="shared" si="30"/>
        <v>441857183</v>
      </c>
      <c r="Y522" s="8" t="str">
        <f t="shared" si="31"/>
        <v>DC</v>
      </c>
      <c r="Z522" s="8">
        <f t="shared" si="32"/>
        <v>0</v>
      </c>
      <c r="AA522" s="8">
        <f t="shared" si="33"/>
        <v>0</v>
      </c>
      <c r="AB522" s="8">
        <f t="shared" si="34"/>
        <v>250</v>
      </c>
      <c r="AC522" s="8">
        <f t="shared" si="35"/>
        <v>0</v>
      </c>
      <c r="AD522" s="8">
        <f t="shared" si="36"/>
        <v>0</v>
      </c>
      <c r="AE522" s="9" t="str" cm="1">
        <f t="array" ref="AE522">IFERROR(_xlfn.XLOOKUP(H522,Sheet1!$G:$G,Sheet1!$F:$F),IFERROR(_xlfn.XLOOKUP(1,(--($X$2:$X$1074=X522))*(--ISNUMBER(MATCH($H$2:$H$1074,Sheet1!$G:$G,0))),_xlfn.XLOOKUP($H$2:$H$1074,Sheet1!$G:$G,Sheet1!$F:$F,"")),"NOT FOUND"))</f>
        <v>RETKRTSF04310</v>
      </c>
      <c r="AF522" s="10" t="str">
        <f t="shared" si="37"/>
        <v>LT. PINK</v>
      </c>
      <c r="AG522" s="11" t="str">
        <f t="shared" si="38"/>
        <v>Bangalore</v>
      </c>
      <c r="AH522" s="9" t="str">
        <f>IF(OR(J522="",AE522="",AE522="NOT FOUND"),"",IF(Y522="RP",IFERROR(LEFT(_xlfn.XLOOKUP(AE522,Sheet1!$F:$F,Sheet1!$W:$W),FIND("-",_xlfn.XLOOKUP(AE522,Sheet1!$F:$F,Sheet1!$W:$W),FIND("-",_xlfn.XLOOKUP(AE522,Sheet1!$F:$F,Sheet1!$W:$W))+1))&amp;AE522,"NOT FOUND"),LEFT(J522,FIND("-",J522,FIND("-",J522)+1))&amp;AE522))</f>
        <v>KRTS-APSU26-RETKRTSF04310</v>
      </c>
    </row>
    <row r="523" spans="1:34" ht="15.75" customHeight="1" x14ac:dyDescent="0.2">
      <c r="A523" s="4" t="s">
        <v>30</v>
      </c>
      <c r="B523" s="4" t="s">
        <v>765</v>
      </c>
      <c r="C523" s="4" t="s">
        <v>597</v>
      </c>
      <c r="D523" s="4" t="s">
        <v>598</v>
      </c>
      <c r="E523" s="4" t="s">
        <v>34</v>
      </c>
      <c r="F523" s="4" t="s">
        <v>35</v>
      </c>
      <c r="G523" s="4" t="s">
        <v>51</v>
      </c>
      <c r="H523" s="4" t="s">
        <v>775</v>
      </c>
      <c r="I523" s="4" t="s">
        <v>776</v>
      </c>
      <c r="J523" s="4" t="s">
        <v>777</v>
      </c>
      <c r="L523" s="4" t="s">
        <v>40</v>
      </c>
      <c r="M523" s="4">
        <v>1</v>
      </c>
      <c r="N523" s="4">
        <v>292</v>
      </c>
      <c r="O523" s="4">
        <v>292</v>
      </c>
      <c r="P523" s="4" t="s">
        <v>41</v>
      </c>
      <c r="Q523" s="4">
        <v>274.3</v>
      </c>
      <c r="R523" s="4">
        <v>274.3</v>
      </c>
      <c r="S523" s="4">
        <v>4004.78</v>
      </c>
      <c r="T523" s="4">
        <v>80095.600000000006</v>
      </c>
      <c r="U523" s="4">
        <v>5</v>
      </c>
      <c r="V523" s="4" t="s">
        <v>42</v>
      </c>
      <c r="X523" s="7" t="str">
        <f t="shared" si="30"/>
        <v>441857183</v>
      </c>
      <c r="Y523" s="8" t="str">
        <f t="shared" si="31"/>
        <v>DC</v>
      </c>
      <c r="Z523" s="8">
        <f t="shared" si="32"/>
        <v>0</v>
      </c>
      <c r="AA523" s="8">
        <f t="shared" si="33"/>
        <v>0</v>
      </c>
      <c r="AB523" s="8">
        <f t="shared" si="34"/>
        <v>0</v>
      </c>
      <c r="AC523" s="8">
        <f t="shared" si="35"/>
        <v>292</v>
      </c>
      <c r="AD523" s="8">
        <f t="shared" si="36"/>
        <v>0</v>
      </c>
      <c r="AE523" s="9" t="str" cm="1">
        <f t="array" ref="AE523">IFERROR(_xlfn.XLOOKUP(H523,Sheet1!$G:$G,Sheet1!$F:$F),IFERROR(_xlfn.XLOOKUP(1,(--($X$2:$X$1074=X523))*(--ISNUMBER(MATCH($H$2:$H$1074,Sheet1!$G:$G,0))),_xlfn.XLOOKUP($H$2:$H$1074,Sheet1!$G:$G,Sheet1!$F:$F,"")),"NOT FOUND"))</f>
        <v>RETKRTSF04310</v>
      </c>
      <c r="AF523" s="10" t="str">
        <f t="shared" si="37"/>
        <v>LT. PINK</v>
      </c>
      <c r="AG523" s="11" t="str">
        <f t="shared" si="38"/>
        <v>Bangalore</v>
      </c>
      <c r="AH523" s="9" t="str">
        <f>IF(OR(J523="",AE523="",AE523="NOT FOUND"),"",IF(Y523="RP",IFERROR(LEFT(_xlfn.XLOOKUP(AE523,Sheet1!$F:$F,Sheet1!$W:$W),FIND("-",_xlfn.XLOOKUP(AE523,Sheet1!$F:$F,Sheet1!$W:$W),FIND("-",_xlfn.XLOOKUP(AE523,Sheet1!$F:$F,Sheet1!$W:$W))+1))&amp;AE523,"NOT FOUND"),LEFT(J523,FIND("-",J523,FIND("-",J523)+1))&amp;AE523))</f>
        <v>KRTS-APSU26-RETKRTSF04310</v>
      </c>
    </row>
    <row r="524" spans="1:34" ht="15.75" customHeight="1" x14ac:dyDescent="0.2">
      <c r="A524" s="4" t="s">
        <v>30</v>
      </c>
      <c r="B524" s="4" t="s">
        <v>765</v>
      </c>
      <c r="C524" s="4" t="s">
        <v>597</v>
      </c>
      <c r="D524" s="4" t="s">
        <v>598</v>
      </c>
      <c r="E524" s="4" t="s">
        <v>34</v>
      </c>
      <c r="F524" s="4" t="s">
        <v>35</v>
      </c>
      <c r="G524" s="4" t="s">
        <v>55</v>
      </c>
      <c r="H524" s="4" t="s">
        <v>778</v>
      </c>
      <c r="I524" s="4" t="s">
        <v>779</v>
      </c>
      <c r="J524" s="4" t="s">
        <v>780</v>
      </c>
      <c r="L524" s="4" t="s">
        <v>40</v>
      </c>
      <c r="M524" s="4">
        <v>1</v>
      </c>
      <c r="N524" s="4">
        <v>56</v>
      </c>
      <c r="O524" s="4">
        <v>56</v>
      </c>
      <c r="P524" s="4" t="s">
        <v>41</v>
      </c>
      <c r="Q524" s="4">
        <v>274.3</v>
      </c>
      <c r="R524" s="4">
        <v>274.3</v>
      </c>
      <c r="S524" s="4">
        <v>768.04</v>
      </c>
      <c r="T524" s="4">
        <v>15360.8</v>
      </c>
      <c r="U524" s="4">
        <v>5</v>
      </c>
      <c r="V524" s="4" t="s">
        <v>42</v>
      </c>
      <c r="X524" s="7" t="str">
        <f t="shared" si="30"/>
        <v>441857183</v>
      </c>
      <c r="Y524" s="8" t="str">
        <f t="shared" si="31"/>
        <v>DC</v>
      </c>
      <c r="Z524" s="8">
        <f t="shared" si="32"/>
        <v>0</v>
      </c>
      <c r="AA524" s="8">
        <f t="shared" si="33"/>
        <v>0</v>
      </c>
      <c r="AB524" s="8">
        <f t="shared" si="34"/>
        <v>0</v>
      </c>
      <c r="AC524" s="8">
        <f t="shared" si="35"/>
        <v>0</v>
      </c>
      <c r="AD524" s="8">
        <f t="shared" si="36"/>
        <v>56</v>
      </c>
      <c r="AE524" s="9" t="str" cm="1">
        <f t="array" ref="AE524">IFERROR(_xlfn.XLOOKUP(H524,Sheet1!$G:$G,Sheet1!$F:$F),IFERROR(_xlfn.XLOOKUP(1,(--($X$2:$X$1074=X524))*(--ISNUMBER(MATCH($H$2:$H$1074,Sheet1!$G:$G,0))),_xlfn.XLOOKUP($H$2:$H$1074,Sheet1!$G:$G,Sheet1!$F:$F,"")),"NOT FOUND"))</f>
        <v>RETKRTSF04310</v>
      </c>
      <c r="AF524" s="10" t="str">
        <f t="shared" si="37"/>
        <v>LT. PINK</v>
      </c>
      <c r="AG524" s="11" t="str">
        <f t="shared" si="38"/>
        <v>Bangalore</v>
      </c>
      <c r="AH524" s="9" t="str">
        <f>IF(OR(J524="",AE524="",AE524="NOT FOUND"),"",IF(Y524="RP",IFERROR(LEFT(_xlfn.XLOOKUP(AE524,Sheet1!$F:$F,Sheet1!$W:$W),FIND("-",_xlfn.XLOOKUP(AE524,Sheet1!$F:$F,Sheet1!$W:$W),FIND("-",_xlfn.XLOOKUP(AE524,Sheet1!$F:$F,Sheet1!$W:$W))+1))&amp;AE524,"NOT FOUND"),LEFT(J524,FIND("-",J524,FIND("-",J524)+1))&amp;AE524))</f>
        <v>KRTS-APSU26-RETKRTSF04310</v>
      </c>
    </row>
    <row r="525" spans="1:34" ht="15.75" customHeight="1" x14ac:dyDescent="0.2">
      <c r="A525" s="4" t="s">
        <v>59</v>
      </c>
      <c r="B525" s="4" t="s">
        <v>781</v>
      </c>
      <c r="C525" s="4" t="s">
        <v>597</v>
      </c>
      <c r="D525" s="4" t="s">
        <v>598</v>
      </c>
      <c r="E525" s="4" t="s">
        <v>34</v>
      </c>
      <c r="F525" s="4" t="s">
        <v>35</v>
      </c>
      <c r="G525" s="4" t="s">
        <v>36</v>
      </c>
      <c r="H525" s="4" t="s">
        <v>718</v>
      </c>
      <c r="I525" s="4" t="s">
        <v>719</v>
      </c>
      <c r="J525" s="4" t="s">
        <v>720</v>
      </c>
      <c r="L525" s="4" t="s">
        <v>40</v>
      </c>
      <c r="M525" s="4">
        <v>1</v>
      </c>
      <c r="N525" s="4">
        <v>30</v>
      </c>
      <c r="O525" s="4">
        <v>30</v>
      </c>
      <c r="P525" s="4" t="s">
        <v>41</v>
      </c>
      <c r="Q525" s="4">
        <v>264.3</v>
      </c>
      <c r="R525" s="4">
        <v>264.3</v>
      </c>
      <c r="S525" s="4">
        <v>396.45</v>
      </c>
      <c r="T525" s="4">
        <v>7929</v>
      </c>
      <c r="U525" s="4">
        <v>5</v>
      </c>
      <c r="V525" s="4" t="s">
        <v>42</v>
      </c>
      <c r="X525" s="7" t="str">
        <f t="shared" si="30"/>
        <v>441857186</v>
      </c>
      <c r="Y525" s="8" t="str">
        <f t="shared" si="31"/>
        <v>DC</v>
      </c>
      <c r="Z525" s="8">
        <f t="shared" si="32"/>
        <v>30</v>
      </c>
      <c r="AA525" s="8">
        <f t="shared" si="33"/>
        <v>0</v>
      </c>
      <c r="AB525" s="8">
        <f t="shared" si="34"/>
        <v>0</v>
      </c>
      <c r="AC525" s="8">
        <f t="shared" si="35"/>
        <v>0</v>
      </c>
      <c r="AD525" s="8">
        <f t="shared" si="36"/>
        <v>0</v>
      </c>
      <c r="AE525" s="9" t="str" cm="1">
        <f t="array" ref="AE525">IFERROR(_xlfn.XLOOKUP(H525,Sheet1!$G:$G,Sheet1!$F:$F),IFERROR(_xlfn.XLOOKUP(1,(--($X$2:$X$1074=X525))*(--ISNUMBER(MATCH($H$2:$H$1074,Sheet1!$G:$G,0))),_xlfn.XLOOKUP($H$2:$H$1074,Sheet1!$G:$G,Sheet1!$F:$F,"")),"NOT FOUND"))</f>
        <v>RETKRTSFUT4315</v>
      </c>
      <c r="AF525" s="10" t="str">
        <f t="shared" si="37"/>
        <v>CREAM</v>
      </c>
      <c r="AG525" s="11" t="str">
        <f t="shared" si="38"/>
        <v>JHAJJAR</v>
      </c>
      <c r="AH525" s="9" t="str">
        <f>IF(OR(J525="",AE525="",AE525="NOT FOUND"),"",IF(Y525="RP",IFERROR(LEFT(_xlfn.XLOOKUP(AE525,Sheet1!$F:$F,Sheet1!$W:$W),FIND("-",_xlfn.XLOOKUP(AE525,Sheet1!$F:$F,Sheet1!$W:$W),FIND("-",_xlfn.XLOOKUP(AE525,Sheet1!$F:$F,Sheet1!$W:$W))+1))&amp;AE525,"NOT FOUND"),LEFT(J525,FIND("-",J525,FIND("-",J525)+1))&amp;AE525))</f>
        <v>KRTS-APSU26-RETKRTSFUT4315</v>
      </c>
    </row>
    <row r="526" spans="1:34" ht="15.75" customHeight="1" x14ac:dyDescent="0.2">
      <c r="A526" s="4" t="s">
        <v>59</v>
      </c>
      <c r="B526" s="4" t="s">
        <v>781</v>
      </c>
      <c r="C526" s="4" t="s">
        <v>597</v>
      </c>
      <c r="D526" s="4" t="s">
        <v>598</v>
      </c>
      <c r="E526" s="4" t="s">
        <v>34</v>
      </c>
      <c r="F526" s="4" t="s">
        <v>35</v>
      </c>
      <c r="G526" s="4" t="s">
        <v>43</v>
      </c>
      <c r="H526" s="4" t="s">
        <v>721</v>
      </c>
      <c r="I526" s="4" t="s">
        <v>722</v>
      </c>
      <c r="J526" s="4" t="s">
        <v>723</v>
      </c>
      <c r="L526" s="4" t="s">
        <v>40</v>
      </c>
      <c r="M526" s="4">
        <v>1</v>
      </c>
      <c r="N526" s="4">
        <v>112</v>
      </c>
      <c r="O526" s="4">
        <v>112</v>
      </c>
      <c r="P526" s="4" t="s">
        <v>41</v>
      </c>
      <c r="Q526" s="4">
        <v>264.3</v>
      </c>
      <c r="R526" s="4">
        <v>264.3</v>
      </c>
      <c r="S526" s="4">
        <v>1480.08</v>
      </c>
      <c r="T526" s="4">
        <v>29601.599999999999</v>
      </c>
      <c r="U526" s="4">
        <v>5</v>
      </c>
      <c r="V526" s="4" t="s">
        <v>42</v>
      </c>
      <c r="X526" s="7" t="str">
        <f t="shared" si="30"/>
        <v>441857186</v>
      </c>
      <c r="Y526" s="8" t="str">
        <f t="shared" si="31"/>
        <v>DC</v>
      </c>
      <c r="Z526" s="8">
        <f t="shared" si="32"/>
        <v>0</v>
      </c>
      <c r="AA526" s="8">
        <f t="shared" si="33"/>
        <v>112</v>
      </c>
      <c r="AB526" s="8">
        <f t="shared" si="34"/>
        <v>0</v>
      </c>
      <c r="AC526" s="8">
        <f t="shared" si="35"/>
        <v>0</v>
      </c>
      <c r="AD526" s="8">
        <f t="shared" si="36"/>
        <v>0</v>
      </c>
      <c r="AE526" s="9" t="str" cm="1">
        <f t="array" ref="AE526">IFERROR(_xlfn.XLOOKUP(H526,Sheet1!$G:$G,Sheet1!$F:$F),IFERROR(_xlfn.XLOOKUP(1,(--($X$2:$X$1074=X526))*(--ISNUMBER(MATCH($H$2:$H$1074,Sheet1!$G:$G,0))),_xlfn.XLOOKUP($H$2:$H$1074,Sheet1!$G:$G,Sheet1!$F:$F,"")),"NOT FOUND"))</f>
        <v>RETKRTSFUT4315</v>
      </c>
      <c r="AF526" s="10" t="str">
        <f t="shared" si="37"/>
        <v>CREAM</v>
      </c>
      <c r="AG526" s="11" t="str">
        <f t="shared" si="38"/>
        <v>JHAJJAR</v>
      </c>
      <c r="AH526" s="9" t="str">
        <f>IF(OR(J526="",AE526="",AE526="NOT FOUND"),"",IF(Y526="RP",IFERROR(LEFT(_xlfn.XLOOKUP(AE526,Sheet1!$F:$F,Sheet1!$W:$W),FIND("-",_xlfn.XLOOKUP(AE526,Sheet1!$F:$F,Sheet1!$W:$W),FIND("-",_xlfn.XLOOKUP(AE526,Sheet1!$F:$F,Sheet1!$W:$W))+1))&amp;AE526,"NOT FOUND"),LEFT(J526,FIND("-",J526,FIND("-",J526)+1))&amp;AE526))</f>
        <v>KRTS-APSU26-RETKRTSFUT4315</v>
      </c>
    </row>
    <row r="527" spans="1:34" ht="15.75" customHeight="1" x14ac:dyDescent="0.2">
      <c r="A527" s="4" t="s">
        <v>59</v>
      </c>
      <c r="B527" s="4" t="s">
        <v>781</v>
      </c>
      <c r="C527" s="4" t="s">
        <v>597</v>
      </c>
      <c r="D527" s="4" t="s">
        <v>598</v>
      </c>
      <c r="E527" s="4" t="s">
        <v>34</v>
      </c>
      <c r="F527" s="4" t="s">
        <v>35</v>
      </c>
      <c r="G527" s="4" t="s">
        <v>47</v>
      </c>
      <c r="H527" s="4" t="s">
        <v>724</v>
      </c>
      <c r="I527" s="4" t="s">
        <v>725</v>
      </c>
      <c r="J527" s="4" t="s">
        <v>726</v>
      </c>
      <c r="L527" s="4" t="s">
        <v>40</v>
      </c>
      <c r="M527" s="4">
        <v>1</v>
      </c>
      <c r="N527" s="4">
        <v>126</v>
      </c>
      <c r="O527" s="4">
        <v>126</v>
      </c>
      <c r="P527" s="4" t="s">
        <v>41</v>
      </c>
      <c r="Q527" s="4">
        <v>264.3</v>
      </c>
      <c r="R527" s="4">
        <v>264.3</v>
      </c>
      <c r="S527" s="4">
        <v>1665.09</v>
      </c>
      <c r="T527" s="4">
        <v>33301.800000000003</v>
      </c>
      <c r="U527" s="4">
        <v>5</v>
      </c>
      <c r="V527" s="4" t="s">
        <v>42</v>
      </c>
      <c r="X527" s="7" t="str">
        <f t="shared" si="30"/>
        <v>441857186</v>
      </c>
      <c r="Y527" s="8" t="str">
        <f t="shared" si="31"/>
        <v>DC</v>
      </c>
      <c r="Z527" s="8">
        <f t="shared" si="32"/>
        <v>0</v>
      </c>
      <c r="AA527" s="8">
        <f t="shared" si="33"/>
        <v>0</v>
      </c>
      <c r="AB527" s="8">
        <f t="shared" si="34"/>
        <v>126</v>
      </c>
      <c r="AC527" s="8">
        <f t="shared" si="35"/>
        <v>0</v>
      </c>
      <c r="AD527" s="8">
        <f t="shared" si="36"/>
        <v>0</v>
      </c>
      <c r="AE527" s="9" t="str" cm="1">
        <f t="array" ref="AE527">IFERROR(_xlfn.XLOOKUP(H527,Sheet1!$G:$G,Sheet1!$F:$F),IFERROR(_xlfn.XLOOKUP(1,(--($X$2:$X$1074=X527))*(--ISNUMBER(MATCH($H$2:$H$1074,Sheet1!$G:$G,0))),_xlfn.XLOOKUP($H$2:$H$1074,Sheet1!$G:$G,Sheet1!$F:$F,"")),"NOT FOUND"))</f>
        <v>RETKRTSFUT4315</v>
      </c>
      <c r="AF527" s="10" t="str">
        <f t="shared" si="37"/>
        <v>CREAM</v>
      </c>
      <c r="AG527" s="11" t="str">
        <f t="shared" si="38"/>
        <v>JHAJJAR</v>
      </c>
      <c r="AH527" s="9" t="str">
        <f>IF(OR(J527="",AE527="",AE527="NOT FOUND"),"",IF(Y527="RP",IFERROR(LEFT(_xlfn.XLOOKUP(AE527,Sheet1!$F:$F,Sheet1!$W:$W),FIND("-",_xlfn.XLOOKUP(AE527,Sheet1!$F:$F,Sheet1!$W:$W),FIND("-",_xlfn.XLOOKUP(AE527,Sheet1!$F:$F,Sheet1!$W:$W))+1))&amp;AE527,"NOT FOUND"),LEFT(J527,FIND("-",J527,FIND("-",J527)+1))&amp;AE527))</f>
        <v>KRTS-APSU26-RETKRTSFUT4315</v>
      </c>
    </row>
    <row r="528" spans="1:34" ht="15.75" customHeight="1" x14ac:dyDescent="0.2">
      <c r="A528" s="4" t="s">
        <v>59</v>
      </c>
      <c r="B528" s="4" t="s">
        <v>781</v>
      </c>
      <c r="C528" s="4" t="s">
        <v>597</v>
      </c>
      <c r="D528" s="4" t="s">
        <v>598</v>
      </c>
      <c r="E528" s="4" t="s">
        <v>34</v>
      </c>
      <c r="F528" s="4" t="s">
        <v>35</v>
      </c>
      <c r="G528" s="4" t="s">
        <v>51</v>
      </c>
      <c r="H528" s="4" t="s">
        <v>727</v>
      </c>
      <c r="I528" s="4" t="s">
        <v>728</v>
      </c>
      <c r="J528" s="4" t="s">
        <v>729</v>
      </c>
      <c r="L528" s="4" t="s">
        <v>40</v>
      </c>
      <c r="M528" s="4">
        <v>1</v>
      </c>
      <c r="N528" s="4">
        <v>147</v>
      </c>
      <c r="O528" s="4">
        <v>147</v>
      </c>
      <c r="P528" s="4" t="s">
        <v>41</v>
      </c>
      <c r="Q528" s="4">
        <v>264.3</v>
      </c>
      <c r="R528" s="4">
        <v>264.3</v>
      </c>
      <c r="S528" s="4">
        <v>1942.61</v>
      </c>
      <c r="T528" s="4">
        <v>38852.1</v>
      </c>
      <c r="U528" s="4">
        <v>5</v>
      </c>
      <c r="V528" s="4" t="s">
        <v>42</v>
      </c>
      <c r="X528" s="7" t="str">
        <f t="shared" si="30"/>
        <v>441857186</v>
      </c>
      <c r="Y528" s="8" t="str">
        <f t="shared" si="31"/>
        <v>DC</v>
      </c>
      <c r="Z528" s="8">
        <f t="shared" si="32"/>
        <v>0</v>
      </c>
      <c r="AA528" s="8">
        <f t="shared" si="33"/>
        <v>0</v>
      </c>
      <c r="AB528" s="8">
        <f t="shared" si="34"/>
        <v>0</v>
      </c>
      <c r="AC528" s="8">
        <f t="shared" si="35"/>
        <v>147</v>
      </c>
      <c r="AD528" s="8">
        <f t="shared" si="36"/>
        <v>0</v>
      </c>
      <c r="AE528" s="9" t="str" cm="1">
        <f t="array" ref="AE528">IFERROR(_xlfn.XLOOKUP(H528,Sheet1!$G:$G,Sheet1!$F:$F),IFERROR(_xlfn.XLOOKUP(1,(--($X$2:$X$1074=X528))*(--ISNUMBER(MATCH($H$2:$H$1074,Sheet1!$G:$G,0))),_xlfn.XLOOKUP($H$2:$H$1074,Sheet1!$G:$G,Sheet1!$F:$F,"")),"NOT FOUND"))</f>
        <v>RETKRTSFUT4315</v>
      </c>
      <c r="AF528" s="10" t="str">
        <f t="shared" si="37"/>
        <v>CREAM</v>
      </c>
      <c r="AG528" s="11" t="str">
        <f t="shared" si="38"/>
        <v>JHAJJAR</v>
      </c>
      <c r="AH528" s="9" t="str">
        <f>IF(OR(J528="",AE528="",AE528="NOT FOUND"),"",IF(Y528="RP",IFERROR(LEFT(_xlfn.XLOOKUP(AE528,Sheet1!$F:$F,Sheet1!$W:$W),FIND("-",_xlfn.XLOOKUP(AE528,Sheet1!$F:$F,Sheet1!$W:$W),FIND("-",_xlfn.XLOOKUP(AE528,Sheet1!$F:$F,Sheet1!$W:$W))+1))&amp;AE528,"NOT FOUND"),LEFT(J528,FIND("-",J528,FIND("-",J528)+1))&amp;AE528))</f>
        <v>KRTS-APSU26-RETKRTSFUT4315</v>
      </c>
    </row>
    <row r="529" spans="1:34" ht="15.75" customHeight="1" x14ac:dyDescent="0.2">
      <c r="A529" s="4" t="s">
        <v>59</v>
      </c>
      <c r="B529" s="4" t="s">
        <v>781</v>
      </c>
      <c r="C529" s="4" t="s">
        <v>597</v>
      </c>
      <c r="D529" s="4" t="s">
        <v>598</v>
      </c>
      <c r="E529" s="4" t="s">
        <v>34</v>
      </c>
      <c r="F529" s="4" t="s">
        <v>35</v>
      </c>
      <c r="G529" s="4" t="s">
        <v>55</v>
      </c>
      <c r="H529" s="4" t="s">
        <v>730</v>
      </c>
      <c r="I529" s="4" t="s">
        <v>731</v>
      </c>
      <c r="J529" s="4" t="s">
        <v>732</v>
      </c>
      <c r="L529" s="4" t="s">
        <v>40</v>
      </c>
      <c r="M529" s="4">
        <v>1</v>
      </c>
      <c r="N529" s="4">
        <v>30</v>
      </c>
      <c r="O529" s="4">
        <v>30</v>
      </c>
      <c r="P529" s="4" t="s">
        <v>41</v>
      </c>
      <c r="Q529" s="4">
        <v>264.3</v>
      </c>
      <c r="R529" s="4">
        <v>264.3</v>
      </c>
      <c r="S529" s="4">
        <v>396.45</v>
      </c>
      <c r="T529" s="4">
        <v>7929</v>
      </c>
      <c r="U529" s="4">
        <v>5</v>
      </c>
      <c r="V529" s="4" t="s">
        <v>42</v>
      </c>
      <c r="X529" s="7" t="str">
        <f t="shared" si="30"/>
        <v>441857186</v>
      </c>
      <c r="Y529" s="8" t="str">
        <f t="shared" si="31"/>
        <v>DC</v>
      </c>
      <c r="Z529" s="8">
        <f t="shared" si="32"/>
        <v>0</v>
      </c>
      <c r="AA529" s="8">
        <f t="shared" si="33"/>
        <v>0</v>
      </c>
      <c r="AB529" s="8">
        <f t="shared" si="34"/>
        <v>0</v>
      </c>
      <c r="AC529" s="8">
        <f t="shared" si="35"/>
        <v>0</v>
      </c>
      <c r="AD529" s="8">
        <f t="shared" si="36"/>
        <v>30</v>
      </c>
      <c r="AE529" s="9" t="str" cm="1">
        <f t="array" ref="AE529">IFERROR(_xlfn.XLOOKUP(H529,Sheet1!$G:$G,Sheet1!$F:$F),IFERROR(_xlfn.XLOOKUP(1,(--($X$2:$X$1074=X529))*(--ISNUMBER(MATCH($H$2:$H$1074,Sheet1!$G:$G,0))),_xlfn.XLOOKUP($H$2:$H$1074,Sheet1!$G:$G,Sheet1!$F:$F,"")),"NOT FOUND"))</f>
        <v>RETKRTSFUT4315</v>
      </c>
      <c r="AF529" s="10" t="str">
        <f t="shared" si="37"/>
        <v>CREAM</v>
      </c>
      <c r="AG529" s="11" t="str">
        <f t="shared" si="38"/>
        <v>JHAJJAR</v>
      </c>
      <c r="AH529" s="9" t="str">
        <f>IF(OR(J529="",AE529="",AE529="NOT FOUND"),"",IF(Y529="RP",IFERROR(LEFT(_xlfn.XLOOKUP(AE529,Sheet1!$F:$F,Sheet1!$W:$W),FIND("-",_xlfn.XLOOKUP(AE529,Sheet1!$F:$F,Sheet1!$W:$W),FIND("-",_xlfn.XLOOKUP(AE529,Sheet1!$F:$F,Sheet1!$W:$W))+1))&amp;AE529,"NOT FOUND"),LEFT(J529,FIND("-",J529,FIND("-",J529)+1))&amp;AE529))</f>
        <v>KRTS-APSU26-RETKRTSFUT4315</v>
      </c>
    </row>
    <row r="530" spans="1:34" ht="15.75" customHeight="1" x14ac:dyDescent="0.2">
      <c r="A530" s="4" t="s">
        <v>59</v>
      </c>
      <c r="B530" s="4" t="s">
        <v>782</v>
      </c>
      <c r="C530" s="4" t="s">
        <v>597</v>
      </c>
      <c r="D530" s="4" t="s">
        <v>598</v>
      </c>
      <c r="E530" s="4" t="s">
        <v>34</v>
      </c>
      <c r="F530" s="4" t="s">
        <v>35</v>
      </c>
      <c r="G530" s="4" t="s">
        <v>36</v>
      </c>
      <c r="H530" s="4" t="s">
        <v>734</v>
      </c>
      <c r="I530" s="4" t="s">
        <v>735</v>
      </c>
      <c r="J530" s="4" t="s">
        <v>736</v>
      </c>
      <c r="L530" s="4" t="s">
        <v>40</v>
      </c>
      <c r="M530" s="4">
        <v>1</v>
      </c>
      <c r="N530" s="4">
        <v>30</v>
      </c>
      <c r="O530" s="4">
        <v>30</v>
      </c>
      <c r="P530" s="4" t="s">
        <v>41</v>
      </c>
      <c r="Q530" s="4">
        <v>264.3</v>
      </c>
      <c r="R530" s="4">
        <v>264.3</v>
      </c>
      <c r="S530" s="4">
        <v>396.45</v>
      </c>
      <c r="T530" s="4">
        <v>7929</v>
      </c>
      <c r="U530" s="4">
        <v>5</v>
      </c>
      <c r="V530" s="4" t="s">
        <v>42</v>
      </c>
      <c r="X530" s="7" t="str">
        <f t="shared" si="30"/>
        <v>441857185</v>
      </c>
      <c r="Y530" s="8" t="str">
        <f t="shared" si="31"/>
        <v>DC</v>
      </c>
      <c r="Z530" s="8">
        <f t="shared" si="32"/>
        <v>30</v>
      </c>
      <c r="AA530" s="8">
        <f t="shared" si="33"/>
        <v>0</v>
      </c>
      <c r="AB530" s="8">
        <f t="shared" si="34"/>
        <v>0</v>
      </c>
      <c r="AC530" s="8">
        <f t="shared" si="35"/>
        <v>0</v>
      </c>
      <c r="AD530" s="8">
        <f t="shared" si="36"/>
        <v>0</v>
      </c>
      <c r="AE530" s="9" t="str" cm="1">
        <f t="array" ref="AE530">IFERROR(_xlfn.XLOOKUP(H530,Sheet1!$G:$G,Sheet1!$F:$F),IFERROR(_xlfn.XLOOKUP(1,(--($X$2:$X$1074=X530))*(--ISNUMBER(MATCH($H$2:$H$1074,Sheet1!$G:$G,0))),_xlfn.XLOOKUP($H$2:$H$1074,Sheet1!$G:$G,Sheet1!$F:$F,"")),"NOT FOUND"))</f>
        <v>RETKRTSFUT4314</v>
      </c>
      <c r="AF530" s="10" t="str">
        <f t="shared" si="37"/>
        <v>BLUE</v>
      </c>
      <c r="AG530" s="11" t="str">
        <f t="shared" si="38"/>
        <v>JHAJJAR</v>
      </c>
      <c r="AH530" s="9" t="str">
        <f>IF(OR(J530="",AE530="",AE530="NOT FOUND"),"",IF(Y530="RP",IFERROR(LEFT(_xlfn.XLOOKUP(AE530,Sheet1!$F:$F,Sheet1!$W:$W),FIND("-",_xlfn.XLOOKUP(AE530,Sheet1!$F:$F,Sheet1!$W:$W),FIND("-",_xlfn.XLOOKUP(AE530,Sheet1!$F:$F,Sheet1!$W:$W))+1))&amp;AE530,"NOT FOUND"),LEFT(J530,FIND("-",J530,FIND("-",J530)+1))&amp;AE530))</f>
        <v>KRTS-APSU26-RETKRTSFUT4314</v>
      </c>
    </row>
    <row r="531" spans="1:34" ht="15.75" customHeight="1" x14ac:dyDescent="0.2">
      <c r="A531" s="4" t="s">
        <v>59</v>
      </c>
      <c r="B531" s="4" t="s">
        <v>782</v>
      </c>
      <c r="C531" s="4" t="s">
        <v>597</v>
      </c>
      <c r="D531" s="4" t="s">
        <v>598</v>
      </c>
      <c r="E531" s="4" t="s">
        <v>34</v>
      </c>
      <c r="F531" s="4" t="s">
        <v>35</v>
      </c>
      <c r="G531" s="4" t="s">
        <v>43</v>
      </c>
      <c r="H531" s="4" t="s">
        <v>737</v>
      </c>
      <c r="I531" s="4" t="s">
        <v>738</v>
      </c>
      <c r="J531" s="4" t="s">
        <v>739</v>
      </c>
      <c r="L531" s="4" t="s">
        <v>40</v>
      </c>
      <c r="M531" s="4">
        <v>1</v>
      </c>
      <c r="N531" s="4">
        <v>112</v>
      </c>
      <c r="O531" s="4">
        <v>112</v>
      </c>
      <c r="P531" s="4" t="s">
        <v>41</v>
      </c>
      <c r="Q531" s="4">
        <v>264.3</v>
      </c>
      <c r="R531" s="4">
        <v>264.3</v>
      </c>
      <c r="S531" s="4">
        <v>1480.08</v>
      </c>
      <c r="T531" s="4">
        <v>29601.599999999999</v>
      </c>
      <c r="U531" s="4">
        <v>5</v>
      </c>
      <c r="V531" s="4" t="s">
        <v>42</v>
      </c>
      <c r="X531" s="7" t="str">
        <f t="shared" si="30"/>
        <v>441857185</v>
      </c>
      <c r="Y531" s="8" t="str">
        <f t="shared" si="31"/>
        <v>DC</v>
      </c>
      <c r="Z531" s="8">
        <f t="shared" si="32"/>
        <v>0</v>
      </c>
      <c r="AA531" s="8">
        <f t="shared" si="33"/>
        <v>112</v>
      </c>
      <c r="AB531" s="8">
        <f t="shared" si="34"/>
        <v>0</v>
      </c>
      <c r="AC531" s="8">
        <f t="shared" si="35"/>
        <v>0</v>
      </c>
      <c r="AD531" s="8">
        <f t="shared" si="36"/>
        <v>0</v>
      </c>
      <c r="AE531" s="9" t="str" cm="1">
        <f t="array" ref="AE531">IFERROR(_xlfn.XLOOKUP(H531,Sheet1!$G:$G,Sheet1!$F:$F),IFERROR(_xlfn.XLOOKUP(1,(--($X$2:$X$1074=X531))*(--ISNUMBER(MATCH($H$2:$H$1074,Sheet1!$G:$G,0))),_xlfn.XLOOKUP($H$2:$H$1074,Sheet1!$G:$G,Sheet1!$F:$F,"")),"NOT FOUND"))</f>
        <v>RETKRTSFUT4314</v>
      </c>
      <c r="AF531" s="10" t="str">
        <f t="shared" si="37"/>
        <v>BLUE</v>
      </c>
      <c r="AG531" s="11" t="str">
        <f t="shared" si="38"/>
        <v>JHAJJAR</v>
      </c>
      <c r="AH531" s="9" t="str">
        <f>IF(OR(J531="",AE531="",AE531="NOT FOUND"),"",IF(Y531="RP",IFERROR(LEFT(_xlfn.XLOOKUP(AE531,Sheet1!$F:$F,Sheet1!$W:$W),FIND("-",_xlfn.XLOOKUP(AE531,Sheet1!$F:$F,Sheet1!$W:$W),FIND("-",_xlfn.XLOOKUP(AE531,Sheet1!$F:$F,Sheet1!$W:$W))+1))&amp;AE531,"NOT FOUND"),LEFT(J531,FIND("-",J531,FIND("-",J531)+1))&amp;AE531))</f>
        <v>KRTS-APSU26-RETKRTSFUT4314</v>
      </c>
    </row>
    <row r="532" spans="1:34" ht="15.75" customHeight="1" x14ac:dyDescent="0.2">
      <c r="A532" s="4" t="s">
        <v>59</v>
      </c>
      <c r="B532" s="4" t="s">
        <v>782</v>
      </c>
      <c r="C532" s="4" t="s">
        <v>597</v>
      </c>
      <c r="D532" s="4" t="s">
        <v>598</v>
      </c>
      <c r="E532" s="4" t="s">
        <v>34</v>
      </c>
      <c r="F532" s="4" t="s">
        <v>35</v>
      </c>
      <c r="G532" s="4" t="s">
        <v>47</v>
      </c>
      <c r="H532" s="4" t="s">
        <v>740</v>
      </c>
      <c r="I532" s="4" t="s">
        <v>741</v>
      </c>
      <c r="J532" s="4" t="s">
        <v>742</v>
      </c>
      <c r="L532" s="4" t="s">
        <v>40</v>
      </c>
      <c r="M532" s="4">
        <v>1</v>
      </c>
      <c r="N532" s="4">
        <v>126</v>
      </c>
      <c r="O532" s="4">
        <v>126</v>
      </c>
      <c r="P532" s="4" t="s">
        <v>41</v>
      </c>
      <c r="Q532" s="4">
        <v>264.3</v>
      </c>
      <c r="R532" s="4">
        <v>264.3</v>
      </c>
      <c r="S532" s="4">
        <v>1665.09</v>
      </c>
      <c r="T532" s="4">
        <v>33301.800000000003</v>
      </c>
      <c r="U532" s="4">
        <v>5</v>
      </c>
      <c r="V532" s="4" t="s">
        <v>42</v>
      </c>
      <c r="X532" s="7" t="str">
        <f t="shared" si="30"/>
        <v>441857185</v>
      </c>
      <c r="Y532" s="8" t="str">
        <f t="shared" si="31"/>
        <v>DC</v>
      </c>
      <c r="Z532" s="8">
        <f t="shared" si="32"/>
        <v>0</v>
      </c>
      <c r="AA532" s="8">
        <f t="shared" si="33"/>
        <v>0</v>
      </c>
      <c r="AB532" s="8">
        <f t="shared" si="34"/>
        <v>126</v>
      </c>
      <c r="AC532" s="8">
        <f t="shared" si="35"/>
        <v>0</v>
      </c>
      <c r="AD532" s="8">
        <f t="shared" si="36"/>
        <v>0</v>
      </c>
      <c r="AE532" s="9" t="str" cm="1">
        <f t="array" ref="AE532">IFERROR(_xlfn.XLOOKUP(H532,Sheet1!$G:$G,Sheet1!$F:$F),IFERROR(_xlfn.XLOOKUP(1,(--($X$2:$X$1074=X532))*(--ISNUMBER(MATCH($H$2:$H$1074,Sheet1!$G:$G,0))),_xlfn.XLOOKUP($H$2:$H$1074,Sheet1!$G:$G,Sheet1!$F:$F,"")),"NOT FOUND"))</f>
        <v>RETKRTSFUT4314</v>
      </c>
      <c r="AF532" s="10" t="str">
        <f t="shared" si="37"/>
        <v>BLUE</v>
      </c>
      <c r="AG532" s="11" t="str">
        <f t="shared" si="38"/>
        <v>JHAJJAR</v>
      </c>
      <c r="AH532" s="9" t="str">
        <f>IF(OR(J532="",AE532="",AE532="NOT FOUND"),"",IF(Y532="RP",IFERROR(LEFT(_xlfn.XLOOKUP(AE532,Sheet1!$F:$F,Sheet1!$W:$W),FIND("-",_xlfn.XLOOKUP(AE532,Sheet1!$F:$F,Sheet1!$W:$W),FIND("-",_xlfn.XLOOKUP(AE532,Sheet1!$F:$F,Sheet1!$W:$W))+1))&amp;AE532,"NOT FOUND"),LEFT(J532,FIND("-",J532,FIND("-",J532)+1))&amp;AE532))</f>
        <v>KRTS-APSU26-RETKRTSFUT4314</v>
      </c>
    </row>
    <row r="533" spans="1:34" ht="15.75" customHeight="1" x14ac:dyDescent="0.2">
      <c r="A533" s="4" t="s">
        <v>59</v>
      </c>
      <c r="B533" s="4" t="s">
        <v>782</v>
      </c>
      <c r="C533" s="4" t="s">
        <v>597</v>
      </c>
      <c r="D533" s="4" t="s">
        <v>598</v>
      </c>
      <c r="E533" s="4" t="s">
        <v>34</v>
      </c>
      <c r="F533" s="4" t="s">
        <v>35</v>
      </c>
      <c r="G533" s="4" t="s">
        <v>51</v>
      </c>
      <c r="H533" s="4" t="s">
        <v>743</v>
      </c>
      <c r="I533" s="4" t="s">
        <v>744</v>
      </c>
      <c r="J533" s="4" t="s">
        <v>745</v>
      </c>
      <c r="L533" s="4" t="s">
        <v>40</v>
      </c>
      <c r="M533" s="4">
        <v>1</v>
      </c>
      <c r="N533" s="4">
        <v>147</v>
      </c>
      <c r="O533" s="4">
        <v>147</v>
      </c>
      <c r="P533" s="4" t="s">
        <v>41</v>
      </c>
      <c r="Q533" s="4">
        <v>264.3</v>
      </c>
      <c r="R533" s="4">
        <v>264.3</v>
      </c>
      <c r="S533" s="4">
        <v>1942.61</v>
      </c>
      <c r="T533" s="4">
        <v>38852.1</v>
      </c>
      <c r="U533" s="4">
        <v>5</v>
      </c>
      <c r="V533" s="4" t="s">
        <v>42</v>
      </c>
      <c r="X533" s="7" t="str">
        <f t="shared" si="30"/>
        <v>441857185</v>
      </c>
      <c r="Y533" s="8" t="str">
        <f t="shared" si="31"/>
        <v>DC</v>
      </c>
      <c r="Z533" s="8">
        <f t="shared" si="32"/>
        <v>0</v>
      </c>
      <c r="AA533" s="8">
        <f t="shared" si="33"/>
        <v>0</v>
      </c>
      <c r="AB533" s="8">
        <f t="shared" si="34"/>
        <v>0</v>
      </c>
      <c r="AC533" s="8">
        <f t="shared" si="35"/>
        <v>147</v>
      </c>
      <c r="AD533" s="8">
        <f t="shared" si="36"/>
        <v>0</v>
      </c>
      <c r="AE533" s="9" t="str" cm="1">
        <f t="array" ref="AE533">IFERROR(_xlfn.XLOOKUP(H533,Sheet1!$G:$G,Sheet1!$F:$F),IFERROR(_xlfn.XLOOKUP(1,(--($X$2:$X$1074=X533))*(--ISNUMBER(MATCH($H$2:$H$1074,Sheet1!$G:$G,0))),_xlfn.XLOOKUP($H$2:$H$1074,Sheet1!$G:$G,Sheet1!$F:$F,"")),"NOT FOUND"))</f>
        <v>RETKRTSFUT4314</v>
      </c>
      <c r="AF533" s="10" t="str">
        <f t="shared" si="37"/>
        <v>BLUE</v>
      </c>
      <c r="AG533" s="11" t="str">
        <f t="shared" si="38"/>
        <v>JHAJJAR</v>
      </c>
      <c r="AH533" s="9" t="str">
        <f>IF(OR(J533="",AE533="",AE533="NOT FOUND"),"",IF(Y533="RP",IFERROR(LEFT(_xlfn.XLOOKUP(AE533,Sheet1!$F:$F,Sheet1!$W:$W),FIND("-",_xlfn.XLOOKUP(AE533,Sheet1!$F:$F,Sheet1!$W:$W),FIND("-",_xlfn.XLOOKUP(AE533,Sheet1!$F:$F,Sheet1!$W:$W))+1))&amp;AE533,"NOT FOUND"),LEFT(J533,FIND("-",J533,FIND("-",J533)+1))&amp;AE533))</f>
        <v>KRTS-APSU26-RETKRTSFUT4314</v>
      </c>
    </row>
    <row r="534" spans="1:34" ht="15.75" customHeight="1" x14ac:dyDescent="0.2">
      <c r="A534" s="4" t="s">
        <v>59</v>
      </c>
      <c r="B534" s="4" t="s">
        <v>782</v>
      </c>
      <c r="C534" s="4" t="s">
        <v>597</v>
      </c>
      <c r="D534" s="4" t="s">
        <v>598</v>
      </c>
      <c r="E534" s="4" t="s">
        <v>34</v>
      </c>
      <c r="F534" s="4" t="s">
        <v>35</v>
      </c>
      <c r="G534" s="4" t="s">
        <v>55</v>
      </c>
      <c r="H534" s="4" t="s">
        <v>746</v>
      </c>
      <c r="I534" s="4" t="s">
        <v>747</v>
      </c>
      <c r="J534" s="4" t="s">
        <v>748</v>
      </c>
      <c r="L534" s="4" t="s">
        <v>40</v>
      </c>
      <c r="M534" s="4">
        <v>1</v>
      </c>
      <c r="N534" s="4">
        <v>30</v>
      </c>
      <c r="O534" s="4">
        <v>30</v>
      </c>
      <c r="P534" s="4" t="s">
        <v>41</v>
      </c>
      <c r="Q534" s="4">
        <v>264.3</v>
      </c>
      <c r="R534" s="4">
        <v>264.3</v>
      </c>
      <c r="S534" s="4">
        <v>396.45</v>
      </c>
      <c r="T534" s="4">
        <v>7929</v>
      </c>
      <c r="U534" s="4">
        <v>5</v>
      </c>
      <c r="V534" s="4" t="s">
        <v>42</v>
      </c>
      <c r="X534" s="7" t="str">
        <f t="shared" si="30"/>
        <v>441857185</v>
      </c>
      <c r="Y534" s="8" t="str">
        <f t="shared" si="31"/>
        <v>DC</v>
      </c>
      <c r="Z534" s="8">
        <f t="shared" si="32"/>
        <v>0</v>
      </c>
      <c r="AA534" s="8">
        <f t="shared" si="33"/>
        <v>0</v>
      </c>
      <c r="AB534" s="8">
        <f t="shared" si="34"/>
        <v>0</v>
      </c>
      <c r="AC534" s="8">
        <f t="shared" si="35"/>
        <v>0</v>
      </c>
      <c r="AD534" s="8">
        <f t="shared" si="36"/>
        <v>30</v>
      </c>
      <c r="AE534" s="9" t="str" cm="1">
        <f t="array" ref="AE534">IFERROR(_xlfn.XLOOKUP(H534,Sheet1!$G:$G,Sheet1!$F:$F),IFERROR(_xlfn.XLOOKUP(1,(--($X$2:$X$1074=X534))*(--ISNUMBER(MATCH($H$2:$H$1074,Sheet1!$G:$G,0))),_xlfn.XLOOKUP($H$2:$H$1074,Sheet1!$G:$G,Sheet1!$F:$F,"")),"NOT FOUND"))</f>
        <v>RETKRTSFUT4314</v>
      </c>
      <c r="AF534" s="10" t="str">
        <f t="shared" si="37"/>
        <v>BLUE</v>
      </c>
      <c r="AG534" s="11" t="str">
        <f t="shared" si="38"/>
        <v>JHAJJAR</v>
      </c>
      <c r="AH534" s="9" t="str">
        <f>IF(OR(J534="",AE534="",AE534="NOT FOUND"),"",IF(Y534="RP",IFERROR(LEFT(_xlfn.XLOOKUP(AE534,Sheet1!$F:$F,Sheet1!$W:$W),FIND("-",_xlfn.XLOOKUP(AE534,Sheet1!$F:$F,Sheet1!$W:$W),FIND("-",_xlfn.XLOOKUP(AE534,Sheet1!$F:$F,Sheet1!$W:$W))+1))&amp;AE534,"NOT FOUND"),LEFT(J534,FIND("-",J534,FIND("-",J534)+1))&amp;AE534))</f>
        <v>KRTS-APSU26-RETKRTSFUT4314</v>
      </c>
    </row>
    <row r="535" spans="1:34" ht="15.75" customHeight="1" x14ac:dyDescent="0.2">
      <c r="A535" s="4" t="s">
        <v>59</v>
      </c>
      <c r="B535" s="4" t="s">
        <v>783</v>
      </c>
      <c r="C535" s="4" t="s">
        <v>597</v>
      </c>
      <c r="D535" s="4" t="s">
        <v>598</v>
      </c>
      <c r="E535" s="4" t="s">
        <v>34</v>
      </c>
      <c r="F535" s="4" t="s">
        <v>35</v>
      </c>
      <c r="G535" s="4" t="s">
        <v>36</v>
      </c>
      <c r="H535" s="4" t="s">
        <v>750</v>
      </c>
      <c r="I535" s="4" t="s">
        <v>751</v>
      </c>
      <c r="J535" s="4" t="s">
        <v>752</v>
      </c>
      <c r="L535" s="4" t="s">
        <v>40</v>
      </c>
      <c r="M535" s="4">
        <v>1</v>
      </c>
      <c r="N535" s="4">
        <v>30</v>
      </c>
      <c r="O535" s="4">
        <v>30</v>
      </c>
      <c r="P535" s="4" t="s">
        <v>41</v>
      </c>
      <c r="Q535" s="4">
        <v>274.3</v>
      </c>
      <c r="R535" s="4">
        <v>274.3</v>
      </c>
      <c r="S535" s="4">
        <v>411.45</v>
      </c>
      <c r="T535" s="4">
        <v>8229</v>
      </c>
      <c r="U535" s="4">
        <v>5</v>
      </c>
      <c r="V535" s="4" t="s">
        <v>42</v>
      </c>
      <c r="X535" s="7" t="str">
        <f t="shared" si="30"/>
        <v>441857184</v>
      </c>
      <c r="Y535" s="8" t="str">
        <f t="shared" si="31"/>
        <v>DC</v>
      </c>
      <c r="Z535" s="8">
        <f t="shared" si="32"/>
        <v>30</v>
      </c>
      <c r="AA535" s="8">
        <f t="shared" si="33"/>
        <v>0</v>
      </c>
      <c r="AB535" s="8">
        <f t="shared" si="34"/>
        <v>0</v>
      </c>
      <c r="AC535" s="8">
        <f t="shared" si="35"/>
        <v>0</v>
      </c>
      <c r="AD535" s="8">
        <f t="shared" si="36"/>
        <v>0</v>
      </c>
      <c r="AE535" s="9" t="str" cm="1">
        <f t="array" ref="AE535">IFERROR(_xlfn.XLOOKUP(H535,Sheet1!$G:$G,Sheet1!$F:$F),IFERROR(_xlfn.XLOOKUP(1,(--($X$2:$X$1074=X535))*(--ISNUMBER(MATCH($H$2:$H$1074,Sheet1!$G:$G,0))),_xlfn.XLOOKUP($H$2:$H$1074,Sheet1!$G:$G,Sheet1!$F:$F,"")),"NOT FOUND"))</f>
        <v>RETKRTSF04311</v>
      </c>
      <c r="AF535" s="10" t="str">
        <f t="shared" si="37"/>
        <v>CORAL</v>
      </c>
      <c r="AG535" s="11" t="str">
        <f t="shared" si="38"/>
        <v>JHAJJAR</v>
      </c>
      <c r="AH535" s="9" t="str">
        <f>IF(OR(J535="",AE535="",AE535="NOT FOUND"),"",IF(Y535="RP",IFERROR(LEFT(_xlfn.XLOOKUP(AE535,Sheet1!$F:$F,Sheet1!$W:$W),FIND("-",_xlfn.XLOOKUP(AE535,Sheet1!$F:$F,Sheet1!$W:$W),FIND("-",_xlfn.XLOOKUP(AE535,Sheet1!$F:$F,Sheet1!$W:$W))+1))&amp;AE535,"NOT FOUND"),LEFT(J535,FIND("-",J535,FIND("-",J535)+1))&amp;AE535))</f>
        <v>KRTS-APSU26-RETKRTSF04311</v>
      </c>
    </row>
    <row r="536" spans="1:34" ht="15.75" customHeight="1" x14ac:dyDescent="0.2">
      <c r="A536" s="4" t="s">
        <v>59</v>
      </c>
      <c r="B536" s="4" t="s">
        <v>783</v>
      </c>
      <c r="C536" s="4" t="s">
        <v>597</v>
      </c>
      <c r="D536" s="4" t="s">
        <v>598</v>
      </c>
      <c r="E536" s="4" t="s">
        <v>34</v>
      </c>
      <c r="F536" s="4" t="s">
        <v>35</v>
      </c>
      <c r="G536" s="4" t="s">
        <v>43</v>
      </c>
      <c r="H536" s="4" t="s">
        <v>753</v>
      </c>
      <c r="I536" s="4" t="s">
        <v>754</v>
      </c>
      <c r="J536" s="4" t="s">
        <v>755</v>
      </c>
      <c r="L536" s="4" t="s">
        <v>40</v>
      </c>
      <c r="M536" s="4">
        <v>1</v>
      </c>
      <c r="N536" s="4">
        <v>112</v>
      </c>
      <c r="O536" s="4">
        <v>112</v>
      </c>
      <c r="P536" s="4" t="s">
        <v>41</v>
      </c>
      <c r="Q536" s="4">
        <v>274.3</v>
      </c>
      <c r="R536" s="4">
        <v>274.3</v>
      </c>
      <c r="S536" s="4">
        <v>1536.08</v>
      </c>
      <c r="T536" s="4">
        <v>30721.599999999999</v>
      </c>
      <c r="U536" s="4">
        <v>5</v>
      </c>
      <c r="V536" s="4" t="s">
        <v>42</v>
      </c>
      <c r="X536" s="7" t="str">
        <f t="shared" si="30"/>
        <v>441857184</v>
      </c>
      <c r="Y536" s="8" t="str">
        <f t="shared" si="31"/>
        <v>DC</v>
      </c>
      <c r="Z536" s="8">
        <f t="shared" si="32"/>
        <v>0</v>
      </c>
      <c r="AA536" s="8">
        <f t="shared" si="33"/>
        <v>112</v>
      </c>
      <c r="AB536" s="8">
        <f t="shared" si="34"/>
        <v>0</v>
      </c>
      <c r="AC536" s="8">
        <f t="shared" si="35"/>
        <v>0</v>
      </c>
      <c r="AD536" s="8">
        <f t="shared" si="36"/>
        <v>0</v>
      </c>
      <c r="AE536" s="9" t="str" cm="1">
        <f t="array" ref="AE536">IFERROR(_xlfn.XLOOKUP(H536,Sheet1!$G:$G,Sheet1!$F:$F),IFERROR(_xlfn.XLOOKUP(1,(--($X$2:$X$1074=X536))*(--ISNUMBER(MATCH($H$2:$H$1074,Sheet1!$G:$G,0))),_xlfn.XLOOKUP($H$2:$H$1074,Sheet1!$G:$G,Sheet1!$F:$F,"")),"NOT FOUND"))</f>
        <v>RETKRTSF04311</v>
      </c>
      <c r="AF536" s="10" t="str">
        <f t="shared" si="37"/>
        <v>CORAL</v>
      </c>
      <c r="AG536" s="11" t="str">
        <f t="shared" si="38"/>
        <v>JHAJJAR</v>
      </c>
      <c r="AH536" s="9" t="str">
        <f>IF(OR(J536="",AE536="",AE536="NOT FOUND"),"",IF(Y536="RP",IFERROR(LEFT(_xlfn.XLOOKUP(AE536,Sheet1!$F:$F,Sheet1!$W:$W),FIND("-",_xlfn.XLOOKUP(AE536,Sheet1!$F:$F,Sheet1!$W:$W),FIND("-",_xlfn.XLOOKUP(AE536,Sheet1!$F:$F,Sheet1!$W:$W))+1))&amp;AE536,"NOT FOUND"),LEFT(J536,FIND("-",J536,FIND("-",J536)+1))&amp;AE536))</f>
        <v>KRTS-APSU26-RETKRTSF04311</v>
      </c>
    </row>
    <row r="537" spans="1:34" ht="15.75" customHeight="1" x14ac:dyDescent="0.2">
      <c r="A537" s="4" t="s">
        <v>59</v>
      </c>
      <c r="B537" s="4" t="s">
        <v>783</v>
      </c>
      <c r="C537" s="4" t="s">
        <v>597</v>
      </c>
      <c r="D537" s="4" t="s">
        <v>598</v>
      </c>
      <c r="E537" s="4" t="s">
        <v>34</v>
      </c>
      <c r="F537" s="4" t="s">
        <v>35</v>
      </c>
      <c r="G537" s="4" t="s">
        <v>47</v>
      </c>
      <c r="H537" s="4" t="s">
        <v>756</v>
      </c>
      <c r="I537" s="4" t="s">
        <v>757</v>
      </c>
      <c r="J537" s="4" t="s">
        <v>758</v>
      </c>
      <c r="L537" s="4" t="s">
        <v>40</v>
      </c>
      <c r="M537" s="4">
        <v>1</v>
      </c>
      <c r="N537" s="4">
        <v>126</v>
      </c>
      <c r="O537" s="4">
        <v>126</v>
      </c>
      <c r="P537" s="4" t="s">
        <v>41</v>
      </c>
      <c r="Q537" s="4">
        <v>274.3</v>
      </c>
      <c r="R537" s="4">
        <v>274.3</v>
      </c>
      <c r="S537" s="4">
        <v>1728.09</v>
      </c>
      <c r="T537" s="4">
        <v>34561.800000000003</v>
      </c>
      <c r="U537" s="4">
        <v>5</v>
      </c>
      <c r="V537" s="4" t="s">
        <v>42</v>
      </c>
      <c r="X537" s="7" t="str">
        <f t="shared" si="30"/>
        <v>441857184</v>
      </c>
      <c r="Y537" s="8" t="str">
        <f t="shared" si="31"/>
        <v>DC</v>
      </c>
      <c r="Z537" s="8">
        <f t="shared" si="32"/>
        <v>0</v>
      </c>
      <c r="AA537" s="8">
        <f t="shared" si="33"/>
        <v>0</v>
      </c>
      <c r="AB537" s="8">
        <f t="shared" si="34"/>
        <v>126</v>
      </c>
      <c r="AC537" s="8">
        <f t="shared" si="35"/>
        <v>0</v>
      </c>
      <c r="AD537" s="8">
        <f t="shared" si="36"/>
        <v>0</v>
      </c>
      <c r="AE537" s="9" t="str" cm="1">
        <f t="array" ref="AE537">IFERROR(_xlfn.XLOOKUP(H537,Sheet1!$G:$G,Sheet1!$F:$F),IFERROR(_xlfn.XLOOKUP(1,(--($X$2:$X$1074=X537))*(--ISNUMBER(MATCH($H$2:$H$1074,Sheet1!$G:$G,0))),_xlfn.XLOOKUP($H$2:$H$1074,Sheet1!$G:$G,Sheet1!$F:$F,"")),"NOT FOUND"))</f>
        <v>RETKRTSF04311</v>
      </c>
      <c r="AF537" s="10" t="str">
        <f t="shared" si="37"/>
        <v>CORAL</v>
      </c>
      <c r="AG537" s="11" t="str">
        <f t="shared" si="38"/>
        <v>JHAJJAR</v>
      </c>
      <c r="AH537" s="9" t="str">
        <f>IF(OR(J537="",AE537="",AE537="NOT FOUND"),"",IF(Y537="RP",IFERROR(LEFT(_xlfn.XLOOKUP(AE537,Sheet1!$F:$F,Sheet1!$W:$W),FIND("-",_xlfn.XLOOKUP(AE537,Sheet1!$F:$F,Sheet1!$W:$W),FIND("-",_xlfn.XLOOKUP(AE537,Sheet1!$F:$F,Sheet1!$W:$W))+1))&amp;AE537,"NOT FOUND"),LEFT(J537,FIND("-",J537,FIND("-",J537)+1))&amp;AE537))</f>
        <v>KRTS-APSU26-RETKRTSF04311</v>
      </c>
    </row>
    <row r="538" spans="1:34" ht="15.75" customHeight="1" x14ac:dyDescent="0.2">
      <c r="A538" s="4" t="s">
        <v>59</v>
      </c>
      <c r="B538" s="4" t="s">
        <v>783</v>
      </c>
      <c r="C538" s="4" t="s">
        <v>597</v>
      </c>
      <c r="D538" s="4" t="s">
        <v>598</v>
      </c>
      <c r="E538" s="4" t="s">
        <v>34</v>
      </c>
      <c r="F538" s="4" t="s">
        <v>35</v>
      </c>
      <c r="G538" s="4" t="s">
        <v>51</v>
      </c>
      <c r="H538" s="4" t="s">
        <v>759</v>
      </c>
      <c r="I538" s="4" t="s">
        <v>760</v>
      </c>
      <c r="J538" s="4" t="s">
        <v>761</v>
      </c>
      <c r="L538" s="4" t="s">
        <v>40</v>
      </c>
      <c r="M538" s="4">
        <v>1</v>
      </c>
      <c r="N538" s="4">
        <v>147</v>
      </c>
      <c r="O538" s="4">
        <v>147</v>
      </c>
      <c r="P538" s="4" t="s">
        <v>41</v>
      </c>
      <c r="Q538" s="4">
        <v>274.3</v>
      </c>
      <c r="R538" s="4">
        <v>274.3</v>
      </c>
      <c r="S538" s="4">
        <v>2016.11</v>
      </c>
      <c r="T538" s="4">
        <v>40322.1</v>
      </c>
      <c r="U538" s="4">
        <v>5</v>
      </c>
      <c r="V538" s="4" t="s">
        <v>42</v>
      </c>
      <c r="X538" s="7" t="str">
        <f t="shared" si="30"/>
        <v>441857184</v>
      </c>
      <c r="Y538" s="8" t="str">
        <f t="shared" si="31"/>
        <v>DC</v>
      </c>
      <c r="Z538" s="8">
        <f t="shared" si="32"/>
        <v>0</v>
      </c>
      <c r="AA538" s="8">
        <f t="shared" si="33"/>
        <v>0</v>
      </c>
      <c r="AB538" s="8">
        <f t="shared" si="34"/>
        <v>0</v>
      </c>
      <c r="AC538" s="8">
        <f t="shared" si="35"/>
        <v>147</v>
      </c>
      <c r="AD538" s="8">
        <f t="shared" si="36"/>
        <v>0</v>
      </c>
      <c r="AE538" s="9" t="str" cm="1">
        <f t="array" ref="AE538">IFERROR(_xlfn.XLOOKUP(H538,Sheet1!$G:$G,Sheet1!$F:$F),IFERROR(_xlfn.XLOOKUP(1,(--($X$2:$X$1074=X538))*(--ISNUMBER(MATCH($H$2:$H$1074,Sheet1!$G:$G,0))),_xlfn.XLOOKUP($H$2:$H$1074,Sheet1!$G:$G,Sheet1!$F:$F,"")),"NOT FOUND"))</f>
        <v>RETKRTSF04311</v>
      </c>
      <c r="AF538" s="10" t="str">
        <f t="shared" si="37"/>
        <v>CORAL</v>
      </c>
      <c r="AG538" s="11" t="str">
        <f t="shared" si="38"/>
        <v>JHAJJAR</v>
      </c>
      <c r="AH538" s="9" t="str">
        <f>IF(OR(J538="",AE538="",AE538="NOT FOUND"),"",IF(Y538="RP",IFERROR(LEFT(_xlfn.XLOOKUP(AE538,Sheet1!$F:$F,Sheet1!$W:$W),FIND("-",_xlfn.XLOOKUP(AE538,Sheet1!$F:$F,Sheet1!$W:$W),FIND("-",_xlfn.XLOOKUP(AE538,Sheet1!$F:$F,Sheet1!$W:$W))+1))&amp;AE538,"NOT FOUND"),LEFT(J538,FIND("-",J538,FIND("-",J538)+1))&amp;AE538))</f>
        <v>KRTS-APSU26-RETKRTSF04311</v>
      </c>
    </row>
    <row r="539" spans="1:34" ht="15.75" customHeight="1" x14ac:dyDescent="0.2">
      <c r="A539" s="4" t="s">
        <v>59</v>
      </c>
      <c r="B539" s="4" t="s">
        <v>783</v>
      </c>
      <c r="C539" s="4" t="s">
        <v>597</v>
      </c>
      <c r="D539" s="4" t="s">
        <v>598</v>
      </c>
      <c r="E539" s="4" t="s">
        <v>34</v>
      </c>
      <c r="F539" s="4" t="s">
        <v>35</v>
      </c>
      <c r="G539" s="4" t="s">
        <v>55</v>
      </c>
      <c r="H539" s="4" t="s">
        <v>762</v>
      </c>
      <c r="I539" s="4" t="s">
        <v>763</v>
      </c>
      <c r="J539" s="4" t="s">
        <v>764</v>
      </c>
      <c r="L539" s="4" t="s">
        <v>40</v>
      </c>
      <c r="M539" s="4">
        <v>1</v>
      </c>
      <c r="N539" s="4">
        <v>30</v>
      </c>
      <c r="O539" s="4">
        <v>30</v>
      </c>
      <c r="P539" s="4" t="s">
        <v>41</v>
      </c>
      <c r="Q539" s="4">
        <v>274.3</v>
      </c>
      <c r="R539" s="4">
        <v>274.3</v>
      </c>
      <c r="S539" s="4">
        <v>411.45</v>
      </c>
      <c r="T539" s="4">
        <v>8229</v>
      </c>
      <c r="U539" s="4">
        <v>5</v>
      </c>
      <c r="V539" s="4" t="s">
        <v>42</v>
      </c>
      <c r="X539" s="7" t="str">
        <f t="shared" si="30"/>
        <v>441857184</v>
      </c>
      <c r="Y539" s="8" t="str">
        <f t="shared" si="31"/>
        <v>DC</v>
      </c>
      <c r="Z539" s="8">
        <f t="shared" si="32"/>
        <v>0</v>
      </c>
      <c r="AA539" s="8">
        <f t="shared" si="33"/>
        <v>0</v>
      </c>
      <c r="AB539" s="8">
        <f t="shared" si="34"/>
        <v>0</v>
      </c>
      <c r="AC539" s="8">
        <f t="shared" si="35"/>
        <v>0</v>
      </c>
      <c r="AD539" s="8">
        <f t="shared" si="36"/>
        <v>30</v>
      </c>
      <c r="AE539" s="9" t="str" cm="1">
        <f t="array" ref="AE539">IFERROR(_xlfn.XLOOKUP(H539,Sheet1!$G:$G,Sheet1!$F:$F),IFERROR(_xlfn.XLOOKUP(1,(--($X$2:$X$1074=X539))*(--ISNUMBER(MATCH($H$2:$H$1074,Sheet1!$G:$G,0))),_xlfn.XLOOKUP($H$2:$H$1074,Sheet1!$G:$G,Sheet1!$F:$F,"")),"NOT FOUND"))</f>
        <v>RETKRTSF04311</v>
      </c>
      <c r="AF539" s="10" t="str">
        <f t="shared" si="37"/>
        <v>CORAL</v>
      </c>
      <c r="AG539" s="11" t="str">
        <f t="shared" si="38"/>
        <v>JHAJJAR</v>
      </c>
      <c r="AH539" s="9" t="str">
        <f>IF(OR(J539="",AE539="",AE539="NOT FOUND"),"",IF(Y539="RP",IFERROR(LEFT(_xlfn.XLOOKUP(AE539,Sheet1!$F:$F,Sheet1!$W:$W),FIND("-",_xlfn.XLOOKUP(AE539,Sheet1!$F:$F,Sheet1!$W:$W),FIND("-",_xlfn.XLOOKUP(AE539,Sheet1!$F:$F,Sheet1!$W:$W))+1))&amp;AE539,"NOT FOUND"),LEFT(J539,FIND("-",J539,FIND("-",J539)+1))&amp;AE539))</f>
        <v>KRTS-APSU26-RETKRTSF04311</v>
      </c>
    </row>
    <row r="540" spans="1:34" ht="15.75" customHeight="1" x14ac:dyDescent="0.2">
      <c r="A540" s="4" t="s">
        <v>59</v>
      </c>
      <c r="B540" s="4" t="s">
        <v>784</v>
      </c>
      <c r="C540" s="4" t="s">
        <v>597</v>
      </c>
      <c r="D540" s="4" t="s">
        <v>598</v>
      </c>
      <c r="E540" s="4" t="s">
        <v>34</v>
      </c>
      <c r="F540" s="4" t="s">
        <v>35</v>
      </c>
      <c r="G540" s="4" t="s">
        <v>36</v>
      </c>
      <c r="H540" s="4" t="s">
        <v>766</v>
      </c>
      <c r="I540" s="4" t="s">
        <v>767</v>
      </c>
      <c r="J540" s="4" t="s">
        <v>768</v>
      </c>
      <c r="L540" s="4" t="s">
        <v>40</v>
      </c>
      <c r="M540" s="4">
        <v>1</v>
      </c>
      <c r="N540" s="4">
        <v>30</v>
      </c>
      <c r="O540" s="4">
        <v>30</v>
      </c>
      <c r="P540" s="4" t="s">
        <v>41</v>
      </c>
      <c r="Q540" s="4">
        <v>274.3</v>
      </c>
      <c r="R540" s="4">
        <v>274.3</v>
      </c>
      <c r="S540" s="4">
        <v>411.45</v>
      </c>
      <c r="T540" s="4">
        <v>8229</v>
      </c>
      <c r="U540" s="4">
        <v>5</v>
      </c>
      <c r="V540" s="4" t="s">
        <v>42</v>
      </c>
      <c r="X540" s="7" t="str">
        <f t="shared" si="30"/>
        <v>441857183</v>
      </c>
      <c r="Y540" s="8" t="str">
        <f t="shared" si="31"/>
        <v>DC</v>
      </c>
      <c r="Z540" s="8">
        <f t="shared" si="32"/>
        <v>30</v>
      </c>
      <c r="AA540" s="8">
        <f t="shared" si="33"/>
        <v>0</v>
      </c>
      <c r="AB540" s="8">
        <f t="shared" si="34"/>
        <v>0</v>
      </c>
      <c r="AC540" s="8">
        <f t="shared" si="35"/>
        <v>0</v>
      </c>
      <c r="AD540" s="8">
        <f t="shared" si="36"/>
        <v>0</v>
      </c>
      <c r="AE540" s="9" t="str" cm="1">
        <f t="array" ref="AE540">IFERROR(_xlfn.XLOOKUP(H540,Sheet1!$G:$G,Sheet1!$F:$F),IFERROR(_xlfn.XLOOKUP(1,(--($X$2:$X$1074=X540))*(--ISNUMBER(MATCH($H$2:$H$1074,Sheet1!$G:$G,0))),_xlfn.XLOOKUP($H$2:$H$1074,Sheet1!$G:$G,Sheet1!$F:$F,"")),"NOT FOUND"))</f>
        <v>RETKRTSF04310</v>
      </c>
      <c r="AF540" s="10" t="str">
        <f t="shared" si="37"/>
        <v>LT. PINK</v>
      </c>
      <c r="AG540" s="11" t="str">
        <f t="shared" si="38"/>
        <v>JHAJJAR</v>
      </c>
      <c r="AH540" s="9" t="str">
        <f>IF(OR(J540="",AE540="",AE540="NOT FOUND"),"",IF(Y540="RP",IFERROR(LEFT(_xlfn.XLOOKUP(AE540,Sheet1!$F:$F,Sheet1!$W:$W),FIND("-",_xlfn.XLOOKUP(AE540,Sheet1!$F:$F,Sheet1!$W:$W),FIND("-",_xlfn.XLOOKUP(AE540,Sheet1!$F:$F,Sheet1!$W:$W))+1))&amp;AE540,"NOT FOUND"),LEFT(J540,FIND("-",J540,FIND("-",J540)+1))&amp;AE540))</f>
        <v>KRTS-APSU26-RETKRTSF04310</v>
      </c>
    </row>
    <row r="541" spans="1:34" ht="15.75" customHeight="1" x14ac:dyDescent="0.2">
      <c r="A541" s="4" t="s">
        <v>59</v>
      </c>
      <c r="B541" s="4" t="s">
        <v>784</v>
      </c>
      <c r="C541" s="4" t="s">
        <v>597</v>
      </c>
      <c r="D541" s="4" t="s">
        <v>598</v>
      </c>
      <c r="E541" s="4" t="s">
        <v>34</v>
      </c>
      <c r="F541" s="4" t="s">
        <v>35</v>
      </c>
      <c r="G541" s="4" t="s">
        <v>43</v>
      </c>
      <c r="H541" s="4" t="s">
        <v>769</v>
      </c>
      <c r="I541" s="4" t="s">
        <v>770</v>
      </c>
      <c r="J541" s="4" t="s">
        <v>771</v>
      </c>
      <c r="L541" s="4" t="s">
        <v>40</v>
      </c>
      <c r="M541" s="4">
        <v>1</v>
      </c>
      <c r="N541" s="4">
        <v>112</v>
      </c>
      <c r="O541" s="4">
        <v>112</v>
      </c>
      <c r="P541" s="4" t="s">
        <v>41</v>
      </c>
      <c r="Q541" s="4">
        <v>274.3</v>
      </c>
      <c r="R541" s="4">
        <v>274.3</v>
      </c>
      <c r="S541" s="4">
        <v>1536.08</v>
      </c>
      <c r="T541" s="4">
        <v>30721.599999999999</v>
      </c>
      <c r="U541" s="4">
        <v>5</v>
      </c>
      <c r="V541" s="4" t="s">
        <v>42</v>
      </c>
      <c r="X541" s="7" t="str">
        <f t="shared" si="30"/>
        <v>441857183</v>
      </c>
      <c r="Y541" s="8" t="str">
        <f t="shared" si="31"/>
        <v>DC</v>
      </c>
      <c r="Z541" s="8">
        <f t="shared" si="32"/>
        <v>0</v>
      </c>
      <c r="AA541" s="8">
        <f t="shared" si="33"/>
        <v>112</v>
      </c>
      <c r="AB541" s="8">
        <f t="shared" si="34"/>
        <v>0</v>
      </c>
      <c r="AC541" s="8">
        <f t="shared" si="35"/>
        <v>0</v>
      </c>
      <c r="AD541" s="8">
        <f t="shared" si="36"/>
        <v>0</v>
      </c>
      <c r="AE541" s="9" t="str" cm="1">
        <f t="array" ref="AE541">IFERROR(_xlfn.XLOOKUP(H541,Sheet1!$G:$G,Sheet1!$F:$F),IFERROR(_xlfn.XLOOKUP(1,(--($X$2:$X$1074=X541))*(--ISNUMBER(MATCH($H$2:$H$1074,Sheet1!$G:$G,0))),_xlfn.XLOOKUP($H$2:$H$1074,Sheet1!$G:$G,Sheet1!$F:$F,"")),"NOT FOUND"))</f>
        <v>RETKRTSF04310</v>
      </c>
      <c r="AF541" s="10" t="str">
        <f t="shared" si="37"/>
        <v>LT. PINK</v>
      </c>
      <c r="AG541" s="11" t="str">
        <f t="shared" si="38"/>
        <v>JHAJJAR</v>
      </c>
      <c r="AH541" s="9" t="str">
        <f>IF(OR(J541="",AE541="",AE541="NOT FOUND"),"",IF(Y541="RP",IFERROR(LEFT(_xlfn.XLOOKUP(AE541,Sheet1!$F:$F,Sheet1!$W:$W),FIND("-",_xlfn.XLOOKUP(AE541,Sheet1!$F:$F,Sheet1!$W:$W),FIND("-",_xlfn.XLOOKUP(AE541,Sheet1!$F:$F,Sheet1!$W:$W))+1))&amp;AE541,"NOT FOUND"),LEFT(J541,FIND("-",J541,FIND("-",J541)+1))&amp;AE541))</f>
        <v>KRTS-APSU26-RETKRTSF04310</v>
      </c>
    </row>
    <row r="542" spans="1:34" ht="15.75" customHeight="1" x14ac:dyDescent="0.2">
      <c r="A542" s="4" t="s">
        <v>59</v>
      </c>
      <c r="B542" s="4" t="s">
        <v>784</v>
      </c>
      <c r="C542" s="4" t="s">
        <v>597</v>
      </c>
      <c r="D542" s="4" t="s">
        <v>598</v>
      </c>
      <c r="E542" s="4" t="s">
        <v>34</v>
      </c>
      <c r="F542" s="4" t="s">
        <v>35</v>
      </c>
      <c r="G542" s="4" t="s">
        <v>47</v>
      </c>
      <c r="H542" s="4" t="s">
        <v>772</v>
      </c>
      <c r="I542" s="4" t="s">
        <v>773</v>
      </c>
      <c r="J542" s="4" t="s">
        <v>774</v>
      </c>
      <c r="L542" s="4" t="s">
        <v>40</v>
      </c>
      <c r="M542" s="4">
        <v>1</v>
      </c>
      <c r="N542" s="4">
        <v>126</v>
      </c>
      <c r="O542" s="4">
        <v>126</v>
      </c>
      <c r="P542" s="4" t="s">
        <v>41</v>
      </c>
      <c r="Q542" s="4">
        <v>274.3</v>
      </c>
      <c r="R542" s="4">
        <v>274.3</v>
      </c>
      <c r="S542" s="4">
        <v>1728.09</v>
      </c>
      <c r="T542" s="4">
        <v>34561.800000000003</v>
      </c>
      <c r="U542" s="4">
        <v>5</v>
      </c>
      <c r="V542" s="4" t="s">
        <v>42</v>
      </c>
      <c r="X542" s="7" t="str">
        <f t="shared" si="30"/>
        <v>441857183</v>
      </c>
      <c r="Y542" s="8" t="str">
        <f t="shared" si="31"/>
        <v>DC</v>
      </c>
      <c r="Z542" s="8">
        <f t="shared" si="32"/>
        <v>0</v>
      </c>
      <c r="AA542" s="8">
        <f t="shared" si="33"/>
        <v>0</v>
      </c>
      <c r="AB542" s="8">
        <f t="shared" si="34"/>
        <v>126</v>
      </c>
      <c r="AC542" s="8">
        <f t="shared" si="35"/>
        <v>0</v>
      </c>
      <c r="AD542" s="8">
        <f t="shared" si="36"/>
        <v>0</v>
      </c>
      <c r="AE542" s="9" t="str" cm="1">
        <f t="array" ref="AE542">IFERROR(_xlfn.XLOOKUP(H542,Sheet1!$G:$G,Sheet1!$F:$F),IFERROR(_xlfn.XLOOKUP(1,(--($X$2:$X$1074=X542))*(--ISNUMBER(MATCH($H$2:$H$1074,Sheet1!$G:$G,0))),_xlfn.XLOOKUP($H$2:$H$1074,Sheet1!$G:$G,Sheet1!$F:$F,"")),"NOT FOUND"))</f>
        <v>RETKRTSF04310</v>
      </c>
      <c r="AF542" s="10" t="str">
        <f t="shared" si="37"/>
        <v>LT. PINK</v>
      </c>
      <c r="AG542" s="11" t="str">
        <f t="shared" si="38"/>
        <v>JHAJJAR</v>
      </c>
      <c r="AH542" s="9" t="str">
        <f>IF(OR(J542="",AE542="",AE542="NOT FOUND"),"",IF(Y542="RP",IFERROR(LEFT(_xlfn.XLOOKUP(AE542,Sheet1!$F:$F,Sheet1!$W:$W),FIND("-",_xlfn.XLOOKUP(AE542,Sheet1!$F:$F,Sheet1!$W:$W),FIND("-",_xlfn.XLOOKUP(AE542,Sheet1!$F:$F,Sheet1!$W:$W))+1))&amp;AE542,"NOT FOUND"),LEFT(J542,FIND("-",J542,FIND("-",J542)+1))&amp;AE542))</f>
        <v>KRTS-APSU26-RETKRTSF04310</v>
      </c>
    </row>
    <row r="543" spans="1:34" ht="15.75" customHeight="1" x14ac:dyDescent="0.2">
      <c r="A543" s="4" t="s">
        <v>59</v>
      </c>
      <c r="B543" s="4" t="s">
        <v>784</v>
      </c>
      <c r="C543" s="4" t="s">
        <v>597</v>
      </c>
      <c r="D543" s="4" t="s">
        <v>598</v>
      </c>
      <c r="E543" s="4" t="s">
        <v>34</v>
      </c>
      <c r="F543" s="4" t="s">
        <v>35</v>
      </c>
      <c r="G543" s="4" t="s">
        <v>51</v>
      </c>
      <c r="H543" s="4" t="s">
        <v>775</v>
      </c>
      <c r="I543" s="4" t="s">
        <v>776</v>
      </c>
      <c r="J543" s="4" t="s">
        <v>777</v>
      </c>
      <c r="L543" s="4" t="s">
        <v>40</v>
      </c>
      <c r="M543" s="4">
        <v>1</v>
      </c>
      <c r="N543" s="4">
        <v>147</v>
      </c>
      <c r="O543" s="4">
        <v>147</v>
      </c>
      <c r="P543" s="4" t="s">
        <v>41</v>
      </c>
      <c r="Q543" s="4">
        <v>274.3</v>
      </c>
      <c r="R543" s="4">
        <v>274.3</v>
      </c>
      <c r="S543" s="4">
        <v>2016.11</v>
      </c>
      <c r="T543" s="4">
        <v>40322.1</v>
      </c>
      <c r="U543" s="4">
        <v>5</v>
      </c>
      <c r="V543" s="4" t="s">
        <v>42</v>
      </c>
      <c r="X543" s="7" t="str">
        <f t="shared" si="30"/>
        <v>441857183</v>
      </c>
      <c r="Y543" s="8" t="str">
        <f t="shared" si="31"/>
        <v>DC</v>
      </c>
      <c r="Z543" s="8">
        <f t="shared" si="32"/>
        <v>0</v>
      </c>
      <c r="AA543" s="8">
        <f t="shared" si="33"/>
        <v>0</v>
      </c>
      <c r="AB543" s="8">
        <f t="shared" si="34"/>
        <v>0</v>
      </c>
      <c r="AC543" s="8">
        <f t="shared" si="35"/>
        <v>147</v>
      </c>
      <c r="AD543" s="8">
        <f t="shared" si="36"/>
        <v>0</v>
      </c>
      <c r="AE543" s="9" t="str" cm="1">
        <f t="array" ref="AE543">IFERROR(_xlfn.XLOOKUP(H543,Sheet1!$G:$G,Sheet1!$F:$F),IFERROR(_xlfn.XLOOKUP(1,(--($X$2:$X$1074=X543))*(--ISNUMBER(MATCH($H$2:$H$1074,Sheet1!$G:$G,0))),_xlfn.XLOOKUP($H$2:$H$1074,Sheet1!$G:$G,Sheet1!$F:$F,"")),"NOT FOUND"))</f>
        <v>RETKRTSF04310</v>
      </c>
      <c r="AF543" s="10" t="str">
        <f t="shared" si="37"/>
        <v>LT. PINK</v>
      </c>
      <c r="AG543" s="11" t="str">
        <f t="shared" si="38"/>
        <v>JHAJJAR</v>
      </c>
      <c r="AH543" s="9" t="str">
        <f>IF(OR(J543="",AE543="",AE543="NOT FOUND"),"",IF(Y543="RP",IFERROR(LEFT(_xlfn.XLOOKUP(AE543,Sheet1!$F:$F,Sheet1!$W:$W),FIND("-",_xlfn.XLOOKUP(AE543,Sheet1!$F:$F,Sheet1!$W:$W),FIND("-",_xlfn.XLOOKUP(AE543,Sheet1!$F:$F,Sheet1!$W:$W))+1))&amp;AE543,"NOT FOUND"),LEFT(J543,FIND("-",J543,FIND("-",J543)+1))&amp;AE543))</f>
        <v>KRTS-APSU26-RETKRTSF04310</v>
      </c>
    </row>
    <row r="544" spans="1:34" ht="15.75" customHeight="1" x14ac:dyDescent="0.2">
      <c r="A544" s="4" t="s">
        <v>59</v>
      </c>
      <c r="B544" s="4" t="s">
        <v>784</v>
      </c>
      <c r="C544" s="4" t="s">
        <v>597</v>
      </c>
      <c r="D544" s="4" t="s">
        <v>598</v>
      </c>
      <c r="E544" s="4" t="s">
        <v>34</v>
      </c>
      <c r="F544" s="4" t="s">
        <v>35</v>
      </c>
      <c r="G544" s="4" t="s">
        <v>55</v>
      </c>
      <c r="H544" s="4" t="s">
        <v>778</v>
      </c>
      <c r="I544" s="4" t="s">
        <v>779</v>
      </c>
      <c r="J544" s="4" t="s">
        <v>780</v>
      </c>
      <c r="L544" s="4" t="s">
        <v>40</v>
      </c>
      <c r="M544" s="4">
        <v>1</v>
      </c>
      <c r="N544" s="4">
        <v>30</v>
      </c>
      <c r="O544" s="4">
        <v>30</v>
      </c>
      <c r="P544" s="4" t="s">
        <v>41</v>
      </c>
      <c r="Q544" s="4">
        <v>274.3</v>
      </c>
      <c r="R544" s="4">
        <v>274.3</v>
      </c>
      <c r="S544" s="4">
        <v>411.45</v>
      </c>
      <c r="T544" s="4">
        <v>8229</v>
      </c>
      <c r="U544" s="4">
        <v>5</v>
      </c>
      <c r="V544" s="4" t="s">
        <v>42</v>
      </c>
      <c r="X544" s="7" t="str">
        <f t="shared" si="30"/>
        <v>441857183</v>
      </c>
      <c r="Y544" s="8" t="str">
        <f t="shared" si="31"/>
        <v>DC</v>
      </c>
      <c r="Z544" s="8">
        <f t="shared" si="32"/>
        <v>0</v>
      </c>
      <c r="AA544" s="8">
        <f t="shared" si="33"/>
        <v>0</v>
      </c>
      <c r="AB544" s="8">
        <f t="shared" si="34"/>
        <v>0</v>
      </c>
      <c r="AC544" s="8">
        <f t="shared" si="35"/>
        <v>0</v>
      </c>
      <c r="AD544" s="8">
        <f t="shared" si="36"/>
        <v>30</v>
      </c>
      <c r="AE544" s="9" t="str" cm="1">
        <f t="array" ref="AE544">IFERROR(_xlfn.XLOOKUP(H544,Sheet1!$G:$G,Sheet1!$F:$F),IFERROR(_xlfn.XLOOKUP(1,(--($X$2:$X$1074=X544))*(--ISNUMBER(MATCH($H$2:$H$1074,Sheet1!$G:$G,0))),_xlfn.XLOOKUP($H$2:$H$1074,Sheet1!$G:$G,Sheet1!$F:$F,"")),"NOT FOUND"))</f>
        <v>RETKRTSF04310</v>
      </c>
      <c r="AF544" s="10" t="str">
        <f t="shared" si="37"/>
        <v>LT. PINK</v>
      </c>
      <c r="AG544" s="11" t="str">
        <f t="shared" si="38"/>
        <v>JHAJJAR</v>
      </c>
      <c r="AH544" s="9" t="str">
        <f>IF(OR(J544="",AE544="",AE544="NOT FOUND"),"",IF(Y544="RP",IFERROR(LEFT(_xlfn.XLOOKUP(AE544,Sheet1!$F:$F,Sheet1!$W:$W),FIND("-",_xlfn.XLOOKUP(AE544,Sheet1!$F:$F,Sheet1!$W:$W),FIND("-",_xlfn.XLOOKUP(AE544,Sheet1!$F:$F,Sheet1!$W:$W))+1))&amp;AE544,"NOT FOUND"),LEFT(J544,FIND("-",J544,FIND("-",J544)+1))&amp;AE544))</f>
        <v>KRTS-APSU26-RETKRTSF04310</v>
      </c>
    </row>
    <row r="545" spans="1:34" ht="15.75" customHeight="1" x14ac:dyDescent="0.2">
      <c r="A545" s="4" t="s">
        <v>61</v>
      </c>
      <c r="B545" s="4" t="s">
        <v>785</v>
      </c>
      <c r="C545" s="4" t="s">
        <v>597</v>
      </c>
      <c r="D545" s="4" t="s">
        <v>598</v>
      </c>
      <c r="E545" s="4" t="s">
        <v>34</v>
      </c>
      <c r="F545" s="4" t="s">
        <v>35</v>
      </c>
      <c r="G545" s="4" t="s">
        <v>36</v>
      </c>
      <c r="H545" s="4" t="s">
        <v>718</v>
      </c>
      <c r="I545" s="4" t="s">
        <v>719</v>
      </c>
      <c r="J545" s="4" t="s">
        <v>720</v>
      </c>
      <c r="L545" s="4" t="s">
        <v>40</v>
      </c>
      <c r="M545" s="4">
        <v>1</v>
      </c>
      <c r="N545" s="4">
        <v>30</v>
      </c>
      <c r="O545" s="4">
        <v>30</v>
      </c>
      <c r="P545" s="4" t="s">
        <v>41</v>
      </c>
      <c r="Q545" s="4">
        <v>264.3</v>
      </c>
      <c r="R545" s="4">
        <v>264.3</v>
      </c>
      <c r="S545" s="4">
        <v>396.45</v>
      </c>
      <c r="T545" s="4">
        <v>7929</v>
      </c>
      <c r="U545" s="4">
        <v>5</v>
      </c>
      <c r="V545" s="4" t="s">
        <v>42</v>
      </c>
      <c r="X545" s="7" t="str">
        <f t="shared" si="30"/>
        <v>441857186</v>
      </c>
      <c r="Y545" s="8" t="str">
        <f t="shared" si="31"/>
        <v>DC</v>
      </c>
      <c r="Z545" s="8">
        <f t="shared" si="32"/>
        <v>30</v>
      </c>
      <c r="AA545" s="8">
        <f t="shared" si="33"/>
        <v>0</v>
      </c>
      <c r="AB545" s="8">
        <f t="shared" si="34"/>
        <v>0</v>
      </c>
      <c r="AC545" s="8">
        <f t="shared" si="35"/>
        <v>0</v>
      </c>
      <c r="AD545" s="8">
        <f t="shared" si="36"/>
        <v>0</v>
      </c>
      <c r="AE545" s="9" t="str" cm="1">
        <f t="array" ref="AE545">IFERROR(_xlfn.XLOOKUP(H545,Sheet1!$G:$G,Sheet1!$F:$F),IFERROR(_xlfn.XLOOKUP(1,(--($X$2:$X$1074=X545))*(--ISNUMBER(MATCH($H$2:$H$1074,Sheet1!$G:$G,0))),_xlfn.XLOOKUP($H$2:$H$1074,Sheet1!$G:$G,Sheet1!$F:$F,"")),"NOT FOUND"))</f>
        <v>RETKRTSFUT4315</v>
      </c>
      <c r="AF545" s="10" t="str">
        <f t="shared" si="37"/>
        <v>CREAM</v>
      </c>
      <c r="AG545" s="11" t="str">
        <f t="shared" si="38"/>
        <v>HARIPAL</v>
      </c>
      <c r="AH545" s="9" t="str">
        <f>IF(OR(J545="",AE545="",AE545="NOT FOUND"),"",IF(Y545="RP",IFERROR(LEFT(_xlfn.XLOOKUP(AE545,Sheet1!$F:$F,Sheet1!$W:$W),FIND("-",_xlfn.XLOOKUP(AE545,Sheet1!$F:$F,Sheet1!$W:$W),FIND("-",_xlfn.XLOOKUP(AE545,Sheet1!$F:$F,Sheet1!$W:$W))+1))&amp;AE545,"NOT FOUND"),LEFT(J545,FIND("-",J545,FIND("-",J545)+1))&amp;AE545))</f>
        <v>KRTS-APSU26-RETKRTSFUT4315</v>
      </c>
    </row>
    <row r="546" spans="1:34" ht="15.75" customHeight="1" x14ac:dyDescent="0.2">
      <c r="A546" s="4" t="s">
        <v>61</v>
      </c>
      <c r="B546" s="4" t="s">
        <v>785</v>
      </c>
      <c r="C546" s="4" t="s">
        <v>597</v>
      </c>
      <c r="D546" s="4" t="s">
        <v>598</v>
      </c>
      <c r="E546" s="4" t="s">
        <v>34</v>
      </c>
      <c r="F546" s="4" t="s">
        <v>35</v>
      </c>
      <c r="G546" s="4" t="s">
        <v>43</v>
      </c>
      <c r="H546" s="4" t="s">
        <v>721</v>
      </c>
      <c r="I546" s="4" t="s">
        <v>722</v>
      </c>
      <c r="J546" s="4" t="s">
        <v>723</v>
      </c>
      <c r="L546" s="4" t="s">
        <v>40</v>
      </c>
      <c r="M546" s="4">
        <v>1</v>
      </c>
      <c r="N546" s="4">
        <v>106</v>
      </c>
      <c r="O546" s="4">
        <v>106</v>
      </c>
      <c r="P546" s="4" t="s">
        <v>41</v>
      </c>
      <c r="Q546" s="4">
        <v>264.3</v>
      </c>
      <c r="R546" s="4">
        <v>264.3</v>
      </c>
      <c r="S546" s="4">
        <v>1400.79</v>
      </c>
      <c r="T546" s="4">
        <v>28015.8</v>
      </c>
      <c r="U546" s="4">
        <v>5</v>
      </c>
      <c r="V546" s="4" t="s">
        <v>42</v>
      </c>
      <c r="X546" s="7" t="str">
        <f t="shared" si="30"/>
        <v>441857186</v>
      </c>
      <c r="Y546" s="8" t="str">
        <f t="shared" si="31"/>
        <v>DC</v>
      </c>
      <c r="Z546" s="8">
        <f t="shared" si="32"/>
        <v>0</v>
      </c>
      <c r="AA546" s="8">
        <f t="shared" si="33"/>
        <v>106</v>
      </c>
      <c r="AB546" s="8">
        <f t="shared" si="34"/>
        <v>0</v>
      </c>
      <c r="AC546" s="8">
        <f t="shared" si="35"/>
        <v>0</v>
      </c>
      <c r="AD546" s="8">
        <f t="shared" si="36"/>
        <v>0</v>
      </c>
      <c r="AE546" s="9" t="str" cm="1">
        <f t="array" ref="AE546">IFERROR(_xlfn.XLOOKUP(H546,Sheet1!$G:$G,Sheet1!$F:$F),IFERROR(_xlfn.XLOOKUP(1,(--($X$2:$X$1074=X546))*(--ISNUMBER(MATCH($H$2:$H$1074,Sheet1!$G:$G,0))),_xlfn.XLOOKUP($H$2:$H$1074,Sheet1!$G:$G,Sheet1!$F:$F,"")),"NOT FOUND"))</f>
        <v>RETKRTSFUT4315</v>
      </c>
      <c r="AF546" s="10" t="str">
        <f t="shared" si="37"/>
        <v>CREAM</v>
      </c>
      <c r="AG546" s="11" t="str">
        <f t="shared" si="38"/>
        <v>HARIPAL</v>
      </c>
      <c r="AH546" s="9" t="str">
        <f>IF(OR(J546="",AE546="",AE546="NOT FOUND"),"",IF(Y546="RP",IFERROR(LEFT(_xlfn.XLOOKUP(AE546,Sheet1!$F:$F,Sheet1!$W:$W),FIND("-",_xlfn.XLOOKUP(AE546,Sheet1!$F:$F,Sheet1!$W:$W),FIND("-",_xlfn.XLOOKUP(AE546,Sheet1!$F:$F,Sheet1!$W:$W))+1))&amp;AE546,"NOT FOUND"),LEFT(J546,FIND("-",J546,FIND("-",J546)+1))&amp;AE546))</f>
        <v>KRTS-APSU26-RETKRTSFUT4315</v>
      </c>
    </row>
    <row r="547" spans="1:34" ht="15.75" customHeight="1" x14ac:dyDescent="0.2">
      <c r="A547" s="4" t="s">
        <v>61</v>
      </c>
      <c r="B547" s="4" t="s">
        <v>785</v>
      </c>
      <c r="C547" s="4" t="s">
        <v>597</v>
      </c>
      <c r="D547" s="4" t="s">
        <v>598</v>
      </c>
      <c r="E547" s="4" t="s">
        <v>34</v>
      </c>
      <c r="F547" s="4" t="s">
        <v>35</v>
      </c>
      <c r="G547" s="4" t="s">
        <v>47</v>
      </c>
      <c r="H547" s="4" t="s">
        <v>724</v>
      </c>
      <c r="I547" s="4" t="s">
        <v>725</v>
      </c>
      <c r="J547" s="4" t="s">
        <v>726</v>
      </c>
      <c r="L547" s="4" t="s">
        <v>40</v>
      </c>
      <c r="M547" s="4">
        <v>1</v>
      </c>
      <c r="N547" s="4">
        <v>119</v>
      </c>
      <c r="O547" s="4">
        <v>119</v>
      </c>
      <c r="P547" s="4" t="s">
        <v>41</v>
      </c>
      <c r="Q547" s="4">
        <v>264.3</v>
      </c>
      <c r="R547" s="4">
        <v>264.3</v>
      </c>
      <c r="S547" s="4">
        <v>1572.59</v>
      </c>
      <c r="T547" s="4">
        <v>31451.7</v>
      </c>
      <c r="U547" s="4">
        <v>5</v>
      </c>
      <c r="V547" s="4" t="s">
        <v>42</v>
      </c>
      <c r="X547" s="7" t="str">
        <f t="shared" si="30"/>
        <v>441857186</v>
      </c>
      <c r="Y547" s="8" t="str">
        <f t="shared" si="31"/>
        <v>DC</v>
      </c>
      <c r="Z547" s="8">
        <f t="shared" si="32"/>
        <v>0</v>
      </c>
      <c r="AA547" s="8">
        <f t="shared" si="33"/>
        <v>0</v>
      </c>
      <c r="AB547" s="8">
        <f t="shared" si="34"/>
        <v>119</v>
      </c>
      <c r="AC547" s="8">
        <f t="shared" si="35"/>
        <v>0</v>
      </c>
      <c r="AD547" s="8">
        <f t="shared" si="36"/>
        <v>0</v>
      </c>
      <c r="AE547" s="9" t="str" cm="1">
        <f t="array" ref="AE547">IFERROR(_xlfn.XLOOKUP(H547,Sheet1!$G:$G,Sheet1!$F:$F),IFERROR(_xlfn.XLOOKUP(1,(--($X$2:$X$1074=X547))*(--ISNUMBER(MATCH($H$2:$H$1074,Sheet1!$G:$G,0))),_xlfn.XLOOKUP($H$2:$H$1074,Sheet1!$G:$G,Sheet1!$F:$F,"")),"NOT FOUND"))</f>
        <v>RETKRTSFUT4315</v>
      </c>
      <c r="AF547" s="10" t="str">
        <f t="shared" si="37"/>
        <v>CREAM</v>
      </c>
      <c r="AG547" s="11" t="str">
        <f t="shared" si="38"/>
        <v>HARIPAL</v>
      </c>
      <c r="AH547" s="9" t="str">
        <f>IF(OR(J547="",AE547="",AE547="NOT FOUND"),"",IF(Y547="RP",IFERROR(LEFT(_xlfn.XLOOKUP(AE547,Sheet1!$F:$F,Sheet1!$W:$W),FIND("-",_xlfn.XLOOKUP(AE547,Sheet1!$F:$F,Sheet1!$W:$W),FIND("-",_xlfn.XLOOKUP(AE547,Sheet1!$F:$F,Sheet1!$W:$W))+1))&amp;AE547,"NOT FOUND"),LEFT(J547,FIND("-",J547,FIND("-",J547)+1))&amp;AE547))</f>
        <v>KRTS-APSU26-RETKRTSFUT4315</v>
      </c>
    </row>
    <row r="548" spans="1:34" ht="15.75" customHeight="1" x14ac:dyDescent="0.2">
      <c r="A548" s="4" t="s">
        <v>61</v>
      </c>
      <c r="B548" s="4" t="s">
        <v>785</v>
      </c>
      <c r="C548" s="4" t="s">
        <v>597</v>
      </c>
      <c r="D548" s="4" t="s">
        <v>598</v>
      </c>
      <c r="E548" s="4" t="s">
        <v>34</v>
      </c>
      <c r="F548" s="4" t="s">
        <v>35</v>
      </c>
      <c r="G548" s="4" t="s">
        <v>51</v>
      </c>
      <c r="H548" s="4" t="s">
        <v>727</v>
      </c>
      <c r="I548" s="4" t="s">
        <v>728</v>
      </c>
      <c r="J548" s="4" t="s">
        <v>729</v>
      </c>
      <c r="L548" s="4" t="s">
        <v>40</v>
      </c>
      <c r="M548" s="4">
        <v>1</v>
      </c>
      <c r="N548" s="4">
        <v>139</v>
      </c>
      <c r="O548" s="4">
        <v>139</v>
      </c>
      <c r="P548" s="4" t="s">
        <v>41</v>
      </c>
      <c r="Q548" s="4">
        <v>264.3</v>
      </c>
      <c r="R548" s="4">
        <v>264.3</v>
      </c>
      <c r="S548" s="4">
        <v>1836.89</v>
      </c>
      <c r="T548" s="4">
        <v>36737.699999999997</v>
      </c>
      <c r="U548" s="4">
        <v>5</v>
      </c>
      <c r="V548" s="4" t="s">
        <v>42</v>
      </c>
      <c r="X548" s="7" t="str">
        <f t="shared" si="30"/>
        <v>441857186</v>
      </c>
      <c r="Y548" s="8" t="str">
        <f t="shared" si="31"/>
        <v>DC</v>
      </c>
      <c r="Z548" s="8">
        <f t="shared" si="32"/>
        <v>0</v>
      </c>
      <c r="AA548" s="8">
        <f t="shared" si="33"/>
        <v>0</v>
      </c>
      <c r="AB548" s="8">
        <f t="shared" si="34"/>
        <v>0</v>
      </c>
      <c r="AC548" s="8">
        <f t="shared" si="35"/>
        <v>139</v>
      </c>
      <c r="AD548" s="8">
        <f t="shared" si="36"/>
        <v>0</v>
      </c>
      <c r="AE548" s="9" t="str" cm="1">
        <f t="array" ref="AE548">IFERROR(_xlfn.XLOOKUP(H548,Sheet1!$G:$G,Sheet1!$F:$F),IFERROR(_xlfn.XLOOKUP(1,(--($X$2:$X$1074=X548))*(--ISNUMBER(MATCH($H$2:$H$1074,Sheet1!$G:$G,0))),_xlfn.XLOOKUP($H$2:$H$1074,Sheet1!$G:$G,Sheet1!$F:$F,"")),"NOT FOUND"))</f>
        <v>RETKRTSFUT4315</v>
      </c>
      <c r="AF548" s="10" t="str">
        <f t="shared" si="37"/>
        <v>CREAM</v>
      </c>
      <c r="AG548" s="11" t="str">
        <f t="shared" si="38"/>
        <v>HARIPAL</v>
      </c>
      <c r="AH548" s="9" t="str">
        <f>IF(OR(J548="",AE548="",AE548="NOT FOUND"),"",IF(Y548="RP",IFERROR(LEFT(_xlfn.XLOOKUP(AE548,Sheet1!$F:$F,Sheet1!$W:$W),FIND("-",_xlfn.XLOOKUP(AE548,Sheet1!$F:$F,Sheet1!$W:$W),FIND("-",_xlfn.XLOOKUP(AE548,Sheet1!$F:$F,Sheet1!$W:$W))+1))&amp;AE548,"NOT FOUND"),LEFT(J548,FIND("-",J548,FIND("-",J548)+1))&amp;AE548))</f>
        <v>KRTS-APSU26-RETKRTSFUT4315</v>
      </c>
    </row>
    <row r="549" spans="1:34" ht="15.75" customHeight="1" x14ac:dyDescent="0.2">
      <c r="A549" s="4" t="s">
        <v>61</v>
      </c>
      <c r="B549" s="4" t="s">
        <v>785</v>
      </c>
      <c r="C549" s="4" t="s">
        <v>597</v>
      </c>
      <c r="D549" s="4" t="s">
        <v>598</v>
      </c>
      <c r="E549" s="4" t="s">
        <v>34</v>
      </c>
      <c r="F549" s="4" t="s">
        <v>35</v>
      </c>
      <c r="G549" s="4" t="s">
        <v>55</v>
      </c>
      <c r="H549" s="4" t="s">
        <v>730</v>
      </c>
      <c r="I549" s="4" t="s">
        <v>731</v>
      </c>
      <c r="J549" s="4" t="s">
        <v>732</v>
      </c>
      <c r="L549" s="4" t="s">
        <v>40</v>
      </c>
      <c r="M549" s="4">
        <v>1</v>
      </c>
      <c r="N549" s="4">
        <v>30</v>
      </c>
      <c r="O549" s="4">
        <v>30</v>
      </c>
      <c r="P549" s="4" t="s">
        <v>41</v>
      </c>
      <c r="Q549" s="4">
        <v>264.3</v>
      </c>
      <c r="R549" s="4">
        <v>264.3</v>
      </c>
      <c r="S549" s="4">
        <v>396.45</v>
      </c>
      <c r="T549" s="4">
        <v>7929</v>
      </c>
      <c r="U549" s="4">
        <v>5</v>
      </c>
      <c r="V549" s="4" t="s">
        <v>42</v>
      </c>
      <c r="X549" s="7" t="str">
        <f t="shared" si="30"/>
        <v>441857186</v>
      </c>
      <c r="Y549" s="8" t="str">
        <f t="shared" si="31"/>
        <v>DC</v>
      </c>
      <c r="Z549" s="8">
        <f t="shared" si="32"/>
        <v>0</v>
      </c>
      <c r="AA549" s="8">
        <f t="shared" si="33"/>
        <v>0</v>
      </c>
      <c r="AB549" s="8">
        <f t="shared" si="34"/>
        <v>0</v>
      </c>
      <c r="AC549" s="8">
        <f t="shared" si="35"/>
        <v>0</v>
      </c>
      <c r="AD549" s="8">
        <f t="shared" si="36"/>
        <v>30</v>
      </c>
      <c r="AE549" s="9" t="str" cm="1">
        <f t="array" ref="AE549">IFERROR(_xlfn.XLOOKUP(H549,Sheet1!$G:$G,Sheet1!$F:$F),IFERROR(_xlfn.XLOOKUP(1,(--($X$2:$X$1074=X549))*(--ISNUMBER(MATCH($H$2:$H$1074,Sheet1!$G:$G,0))),_xlfn.XLOOKUP($H$2:$H$1074,Sheet1!$G:$G,Sheet1!$F:$F,"")),"NOT FOUND"))</f>
        <v>RETKRTSFUT4315</v>
      </c>
      <c r="AF549" s="10" t="str">
        <f t="shared" si="37"/>
        <v>CREAM</v>
      </c>
      <c r="AG549" s="11" t="str">
        <f t="shared" si="38"/>
        <v>HARIPAL</v>
      </c>
      <c r="AH549" s="9" t="str">
        <f>IF(OR(J549="",AE549="",AE549="NOT FOUND"),"",IF(Y549="RP",IFERROR(LEFT(_xlfn.XLOOKUP(AE549,Sheet1!$F:$F,Sheet1!$W:$W),FIND("-",_xlfn.XLOOKUP(AE549,Sheet1!$F:$F,Sheet1!$W:$W),FIND("-",_xlfn.XLOOKUP(AE549,Sheet1!$F:$F,Sheet1!$W:$W))+1))&amp;AE549,"NOT FOUND"),LEFT(J549,FIND("-",J549,FIND("-",J549)+1))&amp;AE549))</f>
        <v>KRTS-APSU26-RETKRTSFUT4315</v>
      </c>
    </row>
    <row r="550" spans="1:34" ht="15.75" customHeight="1" x14ac:dyDescent="0.2">
      <c r="A550" s="4" t="s">
        <v>61</v>
      </c>
      <c r="B550" s="4" t="s">
        <v>786</v>
      </c>
      <c r="C550" s="4" t="s">
        <v>597</v>
      </c>
      <c r="D550" s="4" t="s">
        <v>598</v>
      </c>
      <c r="E550" s="4" t="s">
        <v>34</v>
      </c>
      <c r="F550" s="4" t="s">
        <v>35</v>
      </c>
      <c r="G550" s="4" t="s">
        <v>36</v>
      </c>
      <c r="H550" s="4" t="s">
        <v>734</v>
      </c>
      <c r="I550" s="4" t="s">
        <v>735</v>
      </c>
      <c r="J550" s="4" t="s">
        <v>736</v>
      </c>
      <c r="L550" s="4" t="s">
        <v>40</v>
      </c>
      <c r="M550" s="4">
        <v>1</v>
      </c>
      <c r="N550" s="4">
        <v>30</v>
      </c>
      <c r="O550" s="4">
        <v>30</v>
      </c>
      <c r="P550" s="4" t="s">
        <v>41</v>
      </c>
      <c r="Q550" s="4">
        <v>264.3</v>
      </c>
      <c r="R550" s="4">
        <v>264.3</v>
      </c>
      <c r="S550" s="4">
        <v>396.45</v>
      </c>
      <c r="T550" s="4">
        <v>7929</v>
      </c>
      <c r="U550" s="4">
        <v>5</v>
      </c>
      <c r="V550" s="4" t="s">
        <v>42</v>
      </c>
      <c r="X550" s="7" t="str">
        <f t="shared" si="30"/>
        <v>441857185</v>
      </c>
      <c r="Y550" s="8" t="str">
        <f t="shared" si="31"/>
        <v>DC</v>
      </c>
      <c r="Z550" s="8">
        <f t="shared" si="32"/>
        <v>30</v>
      </c>
      <c r="AA550" s="8">
        <f t="shared" si="33"/>
        <v>0</v>
      </c>
      <c r="AB550" s="8">
        <f t="shared" si="34"/>
        <v>0</v>
      </c>
      <c r="AC550" s="8">
        <f t="shared" si="35"/>
        <v>0</v>
      </c>
      <c r="AD550" s="8">
        <f t="shared" si="36"/>
        <v>0</v>
      </c>
      <c r="AE550" s="9" t="str" cm="1">
        <f t="array" ref="AE550">IFERROR(_xlfn.XLOOKUP(H550,Sheet1!$G:$G,Sheet1!$F:$F),IFERROR(_xlfn.XLOOKUP(1,(--($X$2:$X$1074=X550))*(--ISNUMBER(MATCH($H$2:$H$1074,Sheet1!$G:$G,0))),_xlfn.XLOOKUP($H$2:$H$1074,Sheet1!$G:$G,Sheet1!$F:$F,"")),"NOT FOUND"))</f>
        <v>RETKRTSFUT4314</v>
      </c>
      <c r="AF550" s="10" t="str">
        <f t="shared" si="37"/>
        <v>BLUE</v>
      </c>
      <c r="AG550" s="11" t="str">
        <f t="shared" si="38"/>
        <v>HARIPAL</v>
      </c>
      <c r="AH550" s="9" t="str">
        <f>IF(OR(J550="",AE550="",AE550="NOT FOUND"),"",IF(Y550="RP",IFERROR(LEFT(_xlfn.XLOOKUP(AE550,Sheet1!$F:$F,Sheet1!$W:$W),FIND("-",_xlfn.XLOOKUP(AE550,Sheet1!$F:$F,Sheet1!$W:$W),FIND("-",_xlfn.XLOOKUP(AE550,Sheet1!$F:$F,Sheet1!$W:$W))+1))&amp;AE550,"NOT FOUND"),LEFT(J550,FIND("-",J550,FIND("-",J550)+1))&amp;AE550))</f>
        <v>KRTS-APSU26-RETKRTSFUT4314</v>
      </c>
    </row>
    <row r="551" spans="1:34" ht="15.75" customHeight="1" x14ac:dyDescent="0.2">
      <c r="A551" s="4" t="s">
        <v>61</v>
      </c>
      <c r="B551" s="4" t="s">
        <v>786</v>
      </c>
      <c r="C551" s="4" t="s">
        <v>597</v>
      </c>
      <c r="D551" s="4" t="s">
        <v>598</v>
      </c>
      <c r="E551" s="4" t="s">
        <v>34</v>
      </c>
      <c r="F551" s="4" t="s">
        <v>35</v>
      </c>
      <c r="G551" s="4" t="s">
        <v>43</v>
      </c>
      <c r="H551" s="4" t="s">
        <v>737</v>
      </c>
      <c r="I551" s="4" t="s">
        <v>738</v>
      </c>
      <c r="J551" s="4" t="s">
        <v>739</v>
      </c>
      <c r="L551" s="4" t="s">
        <v>40</v>
      </c>
      <c r="M551" s="4">
        <v>1</v>
      </c>
      <c r="N551" s="4">
        <v>106</v>
      </c>
      <c r="O551" s="4">
        <v>106</v>
      </c>
      <c r="P551" s="4" t="s">
        <v>41</v>
      </c>
      <c r="Q551" s="4">
        <v>264.3</v>
      </c>
      <c r="R551" s="4">
        <v>264.3</v>
      </c>
      <c r="S551" s="4">
        <v>1400.79</v>
      </c>
      <c r="T551" s="4">
        <v>28015.8</v>
      </c>
      <c r="U551" s="4">
        <v>5</v>
      </c>
      <c r="V551" s="4" t="s">
        <v>42</v>
      </c>
      <c r="X551" s="7" t="str">
        <f t="shared" si="30"/>
        <v>441857185</v>
      </c>
      <c r="Y551" s="8" t="str">
        <f t="shared" si="31"/>
        <v>DC</v>
      </c>
      <c r="Z551" s="8">
        <f t="shared" si="32"/>
        <v>0</v>
      </c>
      <c r="AA551" s="8">
        <f t="shared" si="33"/>
        <v>106</v>
      </c>
      <c r="AB551" s="8">
        <f t="shared" si="34"/>
        <v>0</v>
      </c>
      <c r="AC551" s="8">
        <f t="shared" si="35"/>
        <v>0</v>
      </c>
      <c r="AD551" s="8">
        <f t="shared" si="36"/>
        <v>0</v>
      </c>
      <c r="AE551" s="9" t="str" cm="1">
        <f t="array" ref="AE551">IFERROR(_xlfn.XLOOKUP(H551,Sheet1!$G:$G,Sheet1!$F:$F),IFERROR(_xlfn.XLOOKUP(1,(--($X$2:$X$1074=X551))*(--ISNUMBER(MATCH($H$2:$H$1074,Sheet1!$G:$G,0))),_xlfn.XLOOKUP($H$2:$H$1074,Sheet1!$G:$G,Sheet1!$F:$F,"")),"NOT FOUND"))</f>
        <v>RETKRTSFUT4314</v>
      </c>
      <c r="AF551" s="10" t="str">
        <f t="shared" si="37"/>
        <v>BLUE</v>
      </c>
      <c r="AG551" s="11" t="str">
        <f t="shared" si="38"/>
        <v>HARIPAL</v>
      </c>
      <c r="AH551" s="9" t="str">
        <f>IF(OR(J551="",AE551="",AE551="NOT FOUND"),"",IF(Y551="RP",IFERROR(LEFT(_xlfn.XLOOKUP(AE551,Sheet1!$F:$F,Sheet1!$W:$W),FIND("-",_xlfn.XLOOKUP(AE551,Sheet1!$F:$F,Sheet1!$W:$W),FIND("-",_xlfn.XLOOKUP(AE551,Sheet1!$F:$F,Sheet1!$W:$W))+1))&amp;AE551,"NOT FOUND"),LEFT(J551,FIND("-",J551,FIND("-",J551)+1))&amp;AE551))</f>
        <v>KRTS-APSU26-RETKRTSFUT4314</v>
      </c>
    </row>
    <row r="552" spans="1:34" ht="15.75" customHeight="1" x14ac:dyDescent="0.2">
      <c r="A552" s="4" t="s">
        <v>61</v>
      </c>
      <c r="B552" s="4" t="s">
        <v>786</v>
      </c>
      <c r="C552" s="4" t="s">
        <v>597</v>
      </c>
      <c r="D552" s="4" t="s">
        <v>598</v>
      </c>
      <c r="E552" s="4" t="s">
        <v>34</v>
      </c>
      <c r="F552" s="4" t="s">
        <v>35</v>
      </c>
      <c r="G552" s="4" t="s">
        <v>47</v>
      </c>
      <c r="H552" s="4" t="s">
        <v>740</v>
      </c>
      <c r="I552" s="4" t="s">
        <v>741</v>
      </c>
      <c r="J552" s="4" t="s">
        <v>742</v>
      </c>
      <c r="L552" s="4" t="s">
        <v>40</v>
      </c>
      <c r="M552" s="4">
        <v>1</v>
      </c>
      <c r="N552" s="4">
        <v>119</v>
      </c>
      <c r="O552" s="4">
        <v>119</v>
      </c>
      <c r="P552" s="4" t="s">
        <v>41</v>
      </c>
      <c r="Q552" s="4">
        <v>264.3</v>
      </c>
      <c r="R552" s="4">
        <v>264.3</v>
      </c>
      <c r="S552" s="4">
        <v>1572.59</v>
      </c>
      <c r="T552" s="4">
        <v>31451.7</v>
      </c>
      <c r="U552" s="4">
        <v>5</v>
      </c>
      <c r="V552" s="4" t="s">
        <v>42</v>
      </c>
      <c r="X552" s="7" t="str">
        <f t="shared" si="30"/>
        <v>441857185</v>
      </c>
      <c r="Y552" s="8" t="str">
        <f t="shared" si="31"/>
        <v>DC</v>
      </c>
      <c r="Z552" s="8">
        <f t="shared" si="32"/>
        <v>0</v>
      </c>
      <c r="AA552" s="8">
        <f t="shared" si="33"/>
        <v>0</v>
      </c>
      <c r="AB552" s="8">
        <f t="shared" si="34"/>
        <v>119</v>
      </c>
      <c r="AC552" s="8">
        <f t="shared" si="35"/>
        <v>0</v>
      </c>
      <c r="AD552" s="8">
        <f t="shared" si="36"/>
        <v>0</v>
      </c>
      <c r="AE552" s="9" t="str" cm="1">
        <f t="array" ref="AE552">IFERROR(_xlfn.XLOOKUP(H552,Sheet1!$G:$G,Sheet1!$F:$F),IFERROR(_xlfn.XLOOKUP(1,(--($X$2:$X$1074=X552))*(--ISNUMBER(MATCH($H$2:$H$1074,Sheet1!$G:$G,0))),_xlfn.XLOOKUP($H$2:$H$1074,Sheet1!$G:$G,Sheet1!$F:$F,"")),"NOT FOUND"))</f>
        <v>RETKRTSFUT4314</v>
      </c>
      <c r="AF552" s="10" t="str">
        <f t="shared" si="37"/>
        <v>BLUE</v>
      </c>
      <c r="AG552" s="11" t="str">
        <f t="shared" si="38"/>
        <v>HARIPAL</v>
      </c>
      <c r="AH552" s="9" t="str">
        <f>IF(OR(J552="",AE552="",AE552="NOT FOUND"),"",IF(Y552="RP",IFERROR(LEFT(_xlfn.XLOOKUP(AE552,Sheet1!$F:$F,Sheet1!$W:$W),FIND("-",_xlfn.XLOOKUP(AE552,Sheet1!$F:$F,Sheet1!$W:$W),FIND("-",_xlfn.XLOOKUP(AE552,Sheet1!$F:$F,Sheet1!$W:$W))+1))&amp;AE552,"NOT FOUND"),LEFT(J552,FIND("-",J552,FIND("-",J552)+1))&amp;AE552))</f>
        <v>KRTS-APSU26-RETKRTSFUT4314</v>
      </c>
    </row>
    <row r="553" spans="1:34" ht="15.75" customHeight="1" x14ac:dyDescent="0.2">
      <c r="A553" s="4" t="s">
        <v>61</v>
      </c>
      <c r="B553" s="4" t="s">
        <v>786</v>
      </c>
      <c r="C553" s="4" t="s">
        <v>597</v>
      </c>
      <c r="D553" s="4" t="s">
        <v>598</v>
      </c>
      <c r="E553" s="4" t="s">
        <v>34</v>
      </c>
      <c r="F553" s="4" t="s">
        <v>35</v>
      </c>
      <c r="G553" s="4" t="s">
        <v>51</v>
      </c>
      <c r="H553" s="4" t="s">
        <v>743</v>
      </c>
      <c r="I553" s="4" t="s">
        <v>744</v>
      </c>
      <c r="J553" s="4" t="s">
        <v>745</v>
      </c>
      <c r="L553" s="4" t="s">
        <v>40</v>
      </c>
      <c r="M553" s="4">
        <v>1</v>
      </c>
      <c r="N553" s="4">
        <v>139</v>
      </c>
      <c r="O553" s="4">
        <v>139</v>
      </c>
      <c r="P553" s="4" t="s">
        <v>41</v>
      </c>
      <c r="Q553" s="4">
        <v>264.3</v>
      </c>
      <c r="R553" s="4">
        <v>264.3</v>
      </c>
      <c r="S553" s="4">
        <v>1836.89</v>
      </c>
      <c r="T553" s="4">
        <v>36737.699999999997</v>
      </c>
      <c r="U553" s="4">
        <v>5</v>
      </c>
      <c r="V553" s="4" t="s">
        <v>42</v>
      </c>
      <c r="X553" s="7" t="str">
        <f t="shared" si="30"/>
        <v>441857185</v>
      </c>
      <c r="Y553" s="8" t="str">
        <f t="shared" si="31"/>
        <v>DC</v>
      </c>
      <c r="Z553" s="8">
        <f t="shared" si="32"/>
        <v>0</v>
      </c>
      <c r="AA553" s="8">
        <f t="shared" si="33"/>
        <v>0</v>
      </c>
      <c r="AB553" s="8">
        <f t="shared" si="34"/>
        <v>0</v>
      </c>
      <c r="AC553" s="8">
        <f t="shared" si="35"/>
        <v>139</v>
      </c>
      <c r="AD553" s="8">
        <f t="shared" si="36"/>
        <v>0</v>
      </c>
      <c r="AE553" s="9" t="str" cm="1">
        <f t="array" ref="AE553">IFERROR(_xlfn.XLOOKUP(H553,Sheet1!$G:$G,Sheet1!$F:$F),IFERROR(_xlfn.XLOOKUP(1,(--($X$2:$X$1074=X553))*(--ISNUMBER(MATCH($H$2:$H$1074,Sheet1!$G:$G,0))),_xlfn.XLOOKUP($H$2:$H$1074,Sheet1!$G:$G,Sheet1!$F:$F,"")),"NOT FOUND"))</f>
        <v>RETKRTSFUT4314</v>
      </c>
      <c r="AF553" s="10" t="str">
        <f t="shared" si="37"/>
        <v>BLUE</v>
      </c>
      <c r="AG553" s="11" t="str">
        <f t="shared" si="38"/>
        <v>HARIPAL</v>
      </c>
      <c r="AH553" s="9" t="str">
        <f>IF(OR(J553="",AE553="",AE553="NOT FOUND"),"",IF(Y553="RP",IFERROR(LEFT(_xlfn.XLOOKUP(AE553,Sheet1!$F:$F,Sheet1!$W:$W),FIND("-",_xlfn.XLOOKUP(AE553,Sheet1!$F:$F,Sheet1!$W:$W),FIND("-",_xlfn.XLOOKUP(AE553,Sheet1!$F:$F,Sheet1!$W:$W))+1))&amp;AE553,"NOT FOUND"),LEFT(J553,FIND("-",J553,FIND("-",J553)+1))&amp;AE553))</f>
        <v>KRTS-APSU26-RETKRTSFUT4314</v>
      </c>
    </row>
    <row r="554" spans="1:34" ht="15.75" customHeight="1" x14ac:dyDescent="0.2">
      <c r="A554" s="4" t="s">
        <v>61</v>
      </c>
      <c r="B554" s="4" t="s">
        <v>786</v>
      </c>
      <c r="C554" s="4" t="s">
        <v>597</v>
      </c>
      <c r="D554" s="4" t="s">
        <v>598</v>
      </c>
      <c r="E554" s="4" t="s">
        <v>34</v>
      </c>
      <c r="F554" s="4" t="s">
        <v>35</v>
      </c>
      <c r="G554" s="4" t="s">
        <v>55</v>
      </c>
      <c r="H554" s="4" t="s">
        <v>746</v>
      </c>
      <c r="I554" s="4" t="s">
        <v>747</v>
      </c>
      <c r="J554" s="4" t="s">
        <v>748</v>
      </c>
      <c r="L554" s="4" t="s">
        <v>40</v>
      </c>
      <c r="M554" s="4">
        <v>1</v>
      </c>
      <c r="N554" s="4">
        <v>30</v>
      </c>
      <c r="O554" s="4">
        <v>30</v>
      </c>
      <c r="P554" s="4" t="s">
        <v>41</v>
      </c>
      <c r="Q554" s="4">
        <v>264.3</v>
      </c>
      <c r="R554" s="4">
        <v>264.3</v>
      </c>
      <c r="S554" s="4">
        <v>396.45</v>
      </c>
      <c r="T554" s="4">
        <v>7929</v>
      </c>
      <c r="U554" s="4">
        <v>5</v>
      </c>
      <c r="V554" s="4" t="s">
        <v>42</v>
      </c>
      <c r="X554" s="7" t="str">
        <f t="shared" si="30"/>
        <v>441857185</v>
      </c>
      <c r="Y554" s="8" t="str">
        <f t="shared" si="31"/>
        <v>DC</v>
      </c>
      <c r="Z554" s="8">
        <f t="shared" si="32"/>
        <v>0</v>
      </c>
      <c r="AA554" s="8">
        <f t="shared" si="33"/>
        <v>0</v>
      </c>
      <c r="AB554" s="8">
        <f t="shared" si="34"/>
        <v>0</v>
      </c>
      <c r="AC554" s="8">
        <f t="shared" si="35"/>
        <v>0</v>
      </c>
      <c r="AD554" s="8">
        <f t="shared" si="36"/>
        <v>30</v>
      </c>
      <c r="AE554" s="9" t="str" cm="1">
        <f t="array" ref="AE554">IFERROR(_xlfn.XLOOKUP(H554,Sheet1!$G:$G,Sheet1!$F:$F),IFERROR(_xlfn.XLOOKUP(1,(--($X$2:$X$1074=X554))*(--ISNUMBER(MATCH($H$2:$H$1074,Sheet1!$G:$G,0))),_xlfn.XLOOKUP($H$2:$H$1074,Sheet1!$G:$G,Sheet1!$F:$F,"")),"NOT FOUND"))</f>
        <v>RETKRTSFUT4314</v>
      </c>
      <c r="AF554" s="10" t="str">
        <f t="shared" si="37"/>
        <v>BLUE</v>
      </c>
      <c r="AG554" s="11" t="str">
        <f t="shared" si="38"/>
        <v>HARIPAL</v>
      </c>
      <c r="AH554" s="9" t="str">
        <f>IF(OR(J554="",AE554="",AE554="NOT FOUND"),"",IF(Y554="RP",IFERROR(LEFT(_xlfn.XLOOKUP(AE554,Sheet1!$F:$F,Sheet1!$W:$W),FIND("-",_xlfn.XLOOKUP(AE554,Sheet1!$F:$F,Sheet1!$W:$W),FIND("-",_xlfn.XLOOKUP(AE554,Sheet1!$F:$F,Sheet1!$W:$W))+1))&amp;AE554,"NOT FOUND"),LEFT(J554,FIND("-",J554,FIND("-",J554)+1))&amp;AE554))</f>
        <v>KRTS-APSU26-RETKRTSFUT4314</v>
      </c>
    </row>
    <row r="555" spans="1:34" ht="15.75" customHeight="1" x14ac:dyDescent="0.2">
      <c r="A555" s="4" t="s">
        <v>61</v>
      </c>
      <c r="B555" s="4" t="s">
        <v>787</v>
      </c>
      <c r="C555" s="4" t="s">
        <v>597</v>
      </c>
      <c r="D555" s="4" t="s">
        <v>598</v>
      </c>
      <c r="E555" s="4" t="s">
        <v>34</v>
      </c>
      <c r="F555" s="4" t="s">
        <v>35</v>
      </c>
      <c r="G555" s="4" t="s">
        <v>36</v>
      </c>
      <c r="H555" s="4" t="s">
        <v>750</v>
      </c>
      <c r="I555" s="4" t="s">
        <v>751</v>
      </c>
      <c r="J555" s="4" t="s">
        <v>752</v>
      </c>
      <c r="L555" s="4" t="s">
        <v>40</v>
      </c>
      <c r="M555" s="4">
        <v>1</v>
      </c>
      <c r="N555" s="4">
        <v>30</v>
      </c>
      <c r="O555" s="4">
        <v>30</v>
      </c>
      <c r="P555" s="4" t="s">
        <v>41</v>
      </c>
      <c r="Q555" s="4">
        <v>274.3</v>
      </c>
      <c r="R555" s="4">
        <v>274.3</v>
      </c>
      <c r="S555" s="4">
        <v>411.45</v>
      </c>
      <c r="T555" s="4">
        <v>8229</v>
      </c>
      <c r="U555" s="4">
        <v>5</v>
      </c>
      <c r="V555" s="4" t="s">
        <v>42</v>
      </c>
      <c r="X555" s="7" t="str">
        <f t="shared" si="30"/>
        <v>441857184</v>
      </c>
      <c r="Y555" s="8" t="str">
        <f t="shared" si="31"/>
        <v>DC</v>
      </c>
      <c r="Z555" s="8">
        <f t="shared" si="32"/>
        <v>30</v>
      </c>
      <c r="AA555" s="8">
        <f t="shared" si="33"/>
        <v>0</v>
      </c>
      <c r="AB555" s="8">
        <f t="shared" si="34"/>
        <v>0</v>
      </c>
      <c r="AC555" s="8">
        <f t="shared" si="35"/>
        <v>0</v>
      </c>
      <c r="AD555" s="8">
        <f t="shared" si="36"/>
        <v>0</v>
      </c>
      <c r="AE555" s="9" t="str" cm="1">
        <f t="array" ref="AE555">IFERROR(_xlfn.XLOOKUP(H555,Sheet1!$G:$G,Sheet1!$F:$F),IFERROR(_xlfn.XLOOKUP(1,(--($X$2:$X$1074=X555))*(--ISNUMBER(MATCH($H$2:$H$1074,Sheet1!$G:$G,0))),_xlfn.XLOOKUP($H$2:$H$1074,Sheet1!$G:$G,Sheet1!$F:$F,"")),"NOT FOUND"))</f>
        <v>RETKRTSF04311</v>
      </c>
      <c r="AF555" s="10" t="str">
        <f t="shared" si="37"/>
        <v>CORAL</v>
      </c>
      <c r="AG555" s="11" t="str">
        <f t="shared" si="38"/>
        <v>HARIPAL</v>
      </c>
      <c r="AH555" s="9" t="str">
        <f>IF(OR(J555="",AE555="",AE555="NOT FOUND"),"",IF(Y555="RP",IFERROR(LEFT(_xlfn.XLOOKUP(AE555,Sheet1!$F:$F,Sheet1!$W:$W),FIND("-",_xlfn.XLOOKUP(AE555,Sheet1!$F:$F,Sheet1!$W:$W),FIND("-",_xlfn.XLOOKUP(AE555,Sheet1!$F:$F,Sheet1!$W:$W))+1))&amp;AE555,"NOT FOUND"),LEFT(J555,FIND("-",J555,FIND("-",J555)+1))&amp;AE555))</f>
        <v>KRTS-APSU26-RETKRTSF04311</v>
      </c>
    </row>
    <row r="556" spans="1:34" ht="15.75" customHeight="1" x14ac:dyDescent="0.2">
      <c r="A556" s="4" t="s">
        <v>61</v>
      </c>
      <c r="B556" s="4" t="s">
        <v>787</v>
      </c>
      <c r="C556" s="4" t="s">
        <v>597</v>
      </c>
      <c r="D556" s="4" t="s">
        <v>598</v>
      </c>
      <c r="E556" s="4" t="s">
        <v>34</v>
      </c>
      <c r="F556" s="4" t="s">
        <v>35</v>
      </c>
      <c r="G556" s="4" t="s">
        <v>43</v>
      </c>
      <c r="H556" s="4" t="s">
        <v>753</v>
      </c>
      <c r="I556" s="4" t="s">
        <v>754</v>
      </c>
      <c r="J556" s="4" t="s">
        <v>755</v>
      </c>
      <c r="L556" s="4" t="s">
        <v>40</v>
      </c>
      <c r="M556" s="4">
        <v>1</v>
      </c>
      <c r="N556" s="4">
        <v>106</v>
      </c>
      <c r="O556" s="4">
        <v>106</v>
      </c>
      <c r="P556" s="4" t="s">
        <v>41</v>
      </c>
      <c r="Q556" s="4">
        <v>274.3</v>
      </c>
      <c r="R556" s="4">
        <v>274.3</v>
      </c>
      <c r="S556" s="4">
        <v>1453.79</v>
      </c>
      <c r="T556" s="4">
        <v>29075.8</v>
      </c>
      <c r="U556" s="4">
        <v>5</v>
      </c>
      <c r="V556" s="4" t="s">
        <v>42</v>
      </c>
      <c r="X556" s="7" t="str">
        <f t="shared" si="30"/>
        <v>441857184</v>
      </c>
      <c r="Y556" s="8" t="str">
        <f t="shared" si="31"/>
        <v>DC</v>
      </c>
      <c r="Z556" s="8">
        <f t="shared" si="32"/>
        <v>0</v>
      </c>
      <c r="AA556" s="8">
        <f t="shared" si="33"/>
        <v>106</v>
      </c>
      <c r="AB556" s="8">
        <f t="shared" si="34"/>
        <v>0</v>
      </c>
      <c r="AC556" s="8">
        <f t="shared" si="35"/>
        <v>0</v>
      </c>
      <c r="AD556" s="8">
        <f t="shared" si="36"/>
        <v>0</v>
      </c>
      <c r="AE556" s="9" t="str" cm="1">
        <f t="array" ref="AE556">IFERROR(_xlfn.XLOOKUP(H556,Sheet1!$G:$G,Sheet1!$F:$F),IFERROR(_xlfn.XLOOKUP(1,(--($X$2:$X$1074=X556))*(--ISNUMBER(MATCH($H$2:$H$1074,Sheet1!$G:$G,0))),_xlfn.XLOOKUP($H$2:$H$1074,Sheet1!$G:$G,Sheet1!$F:$F,"")),"NOT FOUND"))</f>
        <v>RETKRTSF04311</v>
      </c>
      <c r="AF556" s="10" t="str">
        <f t="shared" si="37"/>
        <v>CORAL</v>
      </c>
      <c r="AG556" s="11" t="str">
        <f t="shared" si="38"/>
        <v>HARIPAL</v>
      </c>
      <c r="AH556" s="9" t="str">
        <f>IF(OR(J556="",AE556="",AE556="NOT FOUND"),"",IF(Y556="RP",IFERROR(LEFT(_xlfn.XLOOKUP(AE556,Sheet1!$F:$F,Sheet1!$W:$W),FIND("-",_xlfn.XLOOKUP(AE556,Sheet1!$F:$F,Sheet1!$W:$W),FIND("-",_xlfn.XLOOKUP(AE556,Sheet1!$F:$F,Sheet1!$W:$W))+1))&amp;AE556,"NOT FOUND"),LEFT(J556,FIND("-",J556,FIND("-",J556)+1))&amp;AE556))</f>
        <v>KRTS-APSU26-RETKRTSF04311</v>
      </c>
    </row>
    <row r="557" spans="1:34" ht="15.75" customHeight="1" x14ac:dyDescent="0.2">
      <c r="A557" s="4" t="s">
        <v>61</v>
      </c>
      <c r="B557" s="4" t="s">
        <v>787</v>
      </c>
      <c r="C557" s="4" t="s">
        <v>597</v>
      </c>
      <c r="D557" s="4" t="s">
        <v>598</v>
      </c>
      <c r="E557" s="4" t="s">
        <v>34</v>
      </c>
      <c r="F557" s="4" t="s">
        <v>35</v>
      </c>
      <c r="G557" s="4" t="s">
        <v>47</v>
      </c>
      <c r="H557" s="4" t="s">
        <v>756</v>
      </c>
      <c r="I557" s="4" t="s">
        <v>757</v>
      </c>
      <c r="J557" s="4" t="s">
        <v>758</v>
      </c>
      <c r="L557" s="4" t="s">
        <v>40</v>
      </c>
      <c r="M557" s="4">
        <v>1</v>
      </c>
      <c r="N557" s="4">
        <v>119</v>
      </c>
      <c r="O557" s="4">
        <v>119</v>
      </c>
      <c r="P557" s="4" t="s">
        <v>41</v>
      </c>
      <c r="Q557" s="4">
        <v>274.3</v>
      </c>
      <c r="R557" s="4">
        <v>274.3</v>
      </c>
      <c r="S557" s="4">
        <v>1632.09</v>
      </c>
      <c r="T557" s="4">
        <v>32641.7</v>
      </c>
      <c r="U557" s="4">
        <v>5</v>
      </c>
      <c r="V557" s="4" t="s">
        <v>42</v>
      </c>
      <c r="X557" s="7" t="str">
        <f t="shared" si="30"/>
        <v>441857184</v>
      </c>
      <c r="Y557" s="8" t="str">
        <f t="shared" si="31"/>
        <v>DC</v>
      </c>
      <c r="Z557" s="8">
        <f t="shared" si="32"/>
        <v>0</v>
      </c>
      <c r="AA557" s="8">
        <f t="shared" si="33"/>
        <v>0</v>
      </c>
      <c r="AB557" s="8">
        <f t="shared" si="34"/>
        <v>119</v>
      </c>
      <c r="AC557" s="8">
        <f t="shared" si="35"/>
        <v>0</v>
      </c>
      <c r="AD557" s="8">
        <f t="shared" si="36"/>
        <v>0</v>
      </c>
      <c r="AE557" s="9" t="str" cm="1">
        <f t="array" ref="AE557">IFERROR(_xlfn.XLOOKUP(H557,Sheet1!$G:$G,Sheet1!$F:$F),IFERROR(_xlfn.XLOOKUP(1,(--($X$2:$X$1074=X557))*(--ISNUMBER(MATCH($H$2:$H$1074,Sheet1!$G:$G,0))),_xlfn.XLOOKUP($H$2:$H$1074,Sheet1!$G:$G,Sheet1!$F:$F,"")),"NOT FOUND"))</f>
        <v>RETKRTSF04311</v>
      </c>
      <c r="AF557" s="10" t="str">
        <f t="shared" si="37"/>
        <v>CORAL</v>
      </c>
      <c r="AG557" s="11" t="str">
        <f t="shared" si="38"/>
        <v>HARIPAL</v>
      </c>
      <c r="AH557" s="9" t="str">
        <f>IF(OR(J557="",AE557="",AE557="NOT FOUND"),"",IF(Y557="RP",IFERROR(LEFT(_xlfn.XLOOKUP(AE557,Sheet1!$F:$F,Sheet1!$W:$W),FIND("-",_xlfn.XLOOKUP(AE557,Sheet1!$F:$F,Sheet1!$W:$W),FIND("-",_xlfn.XLOOKUP(AE557,Sheet1!$F:$F,Sheet1!$W:$W))+1))&amp;AE557,"NOT FOUND"),LEFT(J557,FIND("-",J557,FIND("-",J557)+1))&amp;AE557))</f>
        <v>KRTS-APSU26-RETKRTSF04311</v>
      </c>
    </row>
    <row r="558" spans="1:34" ht="15.75" customHeight="1" x14ac:dyDescent="0.2">
      <c r="A558" s="4" t="s">
        <v>61</v>
      </c>
      <c r="B558" s="4" t="s">
        <v>787</v>
      </c>
      <c r="C558" s="4" t="s">
        <v>597</v>
      </c>
      <c r="D558" s="4" t="s">
        <v>598</v>
      </c>
      <c r="E558" s="4" t="s">
        <v>34</v>
      </c>
      <c r="F558" s="4" t="s">
        <v>35</v>
      </c>
      <c r="G558" s="4" t="s">
        <v>51</v>
      </c>
      <c r="H558" s="4" t="s">
        <v>759</v>
      </c>
      <c r="I558" s="4" t="s">
        <v>760</v>
      </c>
      <c r="J558" s="4" t="s">
        <v>761</v>
      </c>
      <c r="L558" s="4" t="s">
        <v>40</v>
      </c>
      <c r="M558" s="4">
        <v>1</v>
      </c>
      <c r="N558" s="4">
        <v>139</v>
      </c>
      <c r="O558" s="4">
        <v>139</v>
      </c>
      <c r="P558" s="4" t="s">
        <v>41</v>
      </c>
      <c r="Q558" s="4">
        <v>274.3</v>
      </c>
      <c r="R558" s="4">
        <v>274.3</v>
      </c>
      <c r="S558" s="4">
        <v>1906.39</v>
      </c>
      <c r="T558" s="4">
        <v>38127.699999999997</v>
      </c>
      <c r="U558" s="4">
        <v>5</v>
      </c>
      <c r="V558" s="4" t="s">
        <v>42</v>
      </c>
      <c r="X558" s="7" t="str">
        <f t="shared" si="30"/>
        <v>441857184</v>
      </c>
      <c r="Y558" s="8" t="str">
        <f t="shared" si="31"/>
        <v>DC</v>
      </c>
      <c r="Z558" s="8">
        <f t="shared" si="32"/>
        <v>0</v>
      </c>
      <c r="AA558" s="8">
        <f t="shared" si="33"/>
        <v>0</v>
      </c>
      <c r="AB558" s="8">
        <f t="shared" si="34"/>
        <v>0</v>
      </c>
      <c r="AC558" s="8">
        <f t="shared" si="35"/>
        <v>139</v>
      </c>
      <c r="AD558" s="8">
        <f t="shared" si="36"/>
        <v>0</v>
      </c>
      <c r="AE558" s="9" t="str" cm="1">
        <f t="array" ref="AE558">IFERROR(_xlfn.XLOOKUP(H558,Sheet1!$G:$G,Sheet1!$F:$F),IFERROR(_xlfn.XLOOKUP(1,(--($X$2:$X$1074=X558))*(--ISNUMBER(MATCH($H$2:$H$1074,Sheet1!$G:$G,0))),_xlfn.XLOOKUP($H$2:$H$1074,Sheet1!$G:$G,Sheet1!$F:$F,"")),"NOT FOUND"))</f>
        <v>RETKRTSF04311</v>
      </c>
      <c r="AF558" s="10" t="str">
        <f t="shared" si="37"/>
        <v>CORAL</v>
      </c>
      <c r="AG558" s="11" t="str">
        <f t="shared" si="38"/>
        <v>HARIPAL</v>
      </c>
      <c r="AH558" s="9" t="str">
        <f>IF(OR(J558="",AE558="",AE558="NOT FOUND"),"",IF(Y558="RP",IFERROR(LEFT(_xlfn.XLOOKUP(AE558,Sheet1!$F:$F,Sheet1!$W:$W),FIND("-",_xlfn.XLOOKUP(AE558,Sheet1!$F:$F,Sheet1!$W:$W),FIND("-",_xlfn.XLOOKUP(AE558,Sheet1!$F:$F,Sheet1!$W:$W))+1))&amp;AE558,"NOT FOUND"),LEFT(J558,FIND("-",J558,FIND("-",J558)+1))&amp;AE558))</f>
        <v>KRTS-APSU26-RETKRTSF04311</v>
      </c>
    </row>
    <row r="559" spans="1:34" ht="15.75" customHeight="1" x14ac:dyDescent="0.2">
      <c r="A559" s="4" t="s">
        <v>61</v>
      </c>
      <c r="B559" s="4" t="s">
        <v>787</v>
      </c>
      <c r="C559" s="4" t="s">
        <v>597</v>
      </c>
      <c r="D559" s="4" t="s">
        <v>598</v>
      </c>
      <c r="E559" s="4" t="s">
        <v>34</v>
      </c>
      <c r="F559" s="4" t="s">
        <v>35</v>
      </c>
      <c r="G559" s="4" t="s">
        <v>55</v>
      </c>
      <c r="H559" s="4" t="s">
        <v>762</v>
      </c>
      <c r="I559" s="4" t="s">
        <v>763</v>
      </c>
      <c r="J559" s="4" t="s">
        <v>764</v>
      </c>
      <c r="L559" s="4" t="s">
        <v>40</v>
      </c>
      <c r="M559" s="4">
        <v>1</v>
      </c>
      <c r="N559" s="4">
        <v>30</v>
      </c>
      <c r="O559" s="4">
        <v>30</v>
      </c>
      <c r="P559" s="4" t="s">
        <v>41</v>
      </c>
      <c r="Q559" s="4">
        <v>274.3</v>
      </c>
      <c r="R559" s="4">
        <v>274.3</v>
      </c>
      <c r="S559" s="4">
        <v>411.45</v>
      </c>
      <c r="T559" s="4">
        <v>8229</v>
      </c>
      <c r="U559" s="4">
        <v>5</v>
      </c>
      <c r="V559" s="4" t="s">
        <v>42</v>
      </c>
      <c r="X559" s="7" t="str">
        <f t="shared" si="30"/>
        <v>441857184</v>
      </c>
      <c r="Y559" s="8" t="str">
        <f t="shared" si="31"/>
        <v>DC</v>
      </c>
      <c r="Z559" s="8">
        <f t="shared" si="32"/>
        <v>0</v>
      </c>
      <c r="AA559" s="8">
        <f t="shared" si="33"/>
        <v>0</v>
      </c>
      <c r="AB559" s="8">
        <f t="shared" si="34"/>
        <v>0</v>
      </c>
      <c r="AC559" s="8">
        <f t="shared" si="35"/>
        <v>0</v>
      </c>
      <c r="AD559" s="8">
        <f t="shared" si="36"/>
        <v>30</v>
      </c>
      <c r="AE559" s="9" t="str" cm="1">
        <f t="array" ref="AE559">IFERROR(_xlfn.XLOOKUP(H559,Sheet1!$G:$G,Sheet1!$F:$F),IFERROR(_xlfn.XLOOKUP(1,(--($X$2:$X$1074=X559))*(--ISNUMBER(MATCH($H$2:$H$1074,Sheet1!$G:$G,0))),_xlfn.XLOOKUP($H$2:$H$1074,Sheet1!$G:$G,Sheet1!$F:$F,"")),"NOT FOUND"))</f>
        <v>RETKRTSF04311</v>
      </c>
      <c r="AF559" s="10" t="str">
        <f t="shared" si="37"/>
        <v>CORAL</v>
      </c>
      <c r="AG559" s="11" t="str">
        <f t="shared" si="38"/>
        <v>HARIPAL</v>
      </c>
      <c r="AH559" s="9" t="str">
        <f>IF(OR(J559="",AE559="",AE559="NOT FOUND"),"",IF(Y559="RP",IFERROR(LEFT(_xlfn.XLOOKUP(AE559,Sheet1!$F:$F,Sheet1!$W:$W),FIND("-",_xlfn.XLOOKUP(AE559,Sheet1!$F:$F,Sheet1!$W:$W),FIND("-",_xlfn.XLOOKUP(AE559,Sheet1!$F:$F,Sheet1!$W:$W))+1))&amp;AE559,"NOT FOUND"),LEFT(J559,FIND("-",J559,FIND("-",J559)+1))&amp;AE559))</f>
        <v>KRTS-APSU26-RETKRTSF04311</v>
      </c>
    </row>
    <row r="560" spans="1:34" ht="15.75" customHeight="1" x14ac:dyDescent="0.2">
      <c r="A560" s="4" t="s">
        <v>61</v>
      </c>
      <c r="B560" s="4" t="s">
        <v>788</v>
      </c>
      <c r="C560" s="4" t="s">
        <v>597</v>
      </c>
      <c r="D560" s="4" t="s">
        <v>598</v>
      </c>
      <c r="E560" s="4" t="s">
        <v>34</v>
      </c>
      <c r="F560" s="4" t="s">
        <v>35</v>
      </c>
      <c r="G560" s="4" t="s">
        <v>36</v>
      </c>
      <c r="H560" s="4" t="s">
        <v>766</v>
      </c>
      <c r="I560" s="4" t="s">
        <v>767</v>
      </c>
      <c r="J560" s="4" t="s">
        <v>768</v>
      </c>
      <c r="L560" s="4" t="s">
        <v>40</v>
      </c>
      <c r="M560" s="4">
        <v>1</v>
      </c>
      <c r="N560" s="4">
        <v>30</v>
      </c>
      <c r="O560" s="4">
        <v>30</v>
      </c>
      <c r="P560" s="4" t="s">
        <v>41</v>
      </c>
      <c r="Q560" s="4">
        <v>274.3</v>
      </c>
      <c r="R560" s="4">
        <v>274.3</v>
      </c>
      <c r="S560" s="4">
        <v>411.45</v>
      </c>
      <c r="T560" s="4">
        <v>8229</v>
      </c>
      <c r="U560" s="4">
        <v>5</v>
      </c>
      <c r="V560" s="4" t="s">
        <v>42</v>
      </c>
      <c r="X560" s="7" t="str">
        <f t="shared" si="30"/>
        <v>441857183</v>
      </c>
      <c r="Y560" s="8" t="str">
        <f t="shared" si="31"/>
        <v>DC</v>
      </c>
      <c r="Z560" s="8">
        <f t="shared" si="32"/>
        <v>30</v>
      </c>
      <c r="AA560" s="8">
        <f t="shared" si="33"/>
        <v>0</v>
      </c>
      <c r="AB560" s="8">
        <f t="shared" si="34"/>
        <v>0</v>
      </c>
      <c r="AC560" s="8">
        <f t="shared" si="35"/>
        <v>0</v>
      </c>
      <c r="AD560" s="8">
        <f t="shared" si="36"/>
        <v>0</v>
      </c>
      <c r="AE560" s="9" t="str" cm="1">
        <f t="array" ref="AE560">IFERROR(_xlfn.XLOOKUP(H560,Sheet1!$G:$G,Sheet1!$F:$F),IFERROR(_xlfn.XLOOKUP(1,(--($X$2:$X$1074=X560))*(--ISNUMBER(MATCH($H$2:$H$1074,Sheet1!$G:$G,0))),_xlfn.XLOOKUP($H$2:$H$1074,Sheet1!$G:$G,Sheet1!$F:$F,"")),"NOT FOUND"))</f>
        <v>RETKRTSF04310</v>
      </c>
      <c r="AF560" s="10" t="str">
        <f t="shared" si="37"/>
        <v>LT. PINK</v>
      </c>
      <c r="AG560" s="11" t="str">
        <f t="shared" si="38"/>
        <v>HARIPAL</v>
      </c>
      <c r="AH560" s="9" t="str">
        <f>IF(OR(J560="",AE560="",AE560="NOT FOUND"),"",IF(Y560="RP",IFERROR(LEFT(_xlfn.XLOOKUP(AE560,Sheet1!$F:$F,Sheet1!$W:$W),FIND("-",_xlfn.XLOOKUP(AE560,Sheet1!$F:$F,Sheet1!$W:$W),FIND("-",_xlfn.XLOOKUP(AE560,Sheet1!$F:$F,Sheet1!$W:$W))+1))&amp;AE560,"NOT FOUND"),LEFT(J560,FIND("-",J560,FIND("-",J560)+1))&amp;AE560))</f>
        <v>KRTS-APSU26-RETKRTSF04310</v>
      </c>
    </row>
    <row r="561" spans="1:34" ht="15.75" customHeight="1" x14ac:dyDescent="0.2">
      <c r="A561" s="4" t="s">
        <v>61</v>
      </c>
      <c r="B561" s="4" t="s">
        <v>788</v>
      </c>
      <c r="C561" s="4" t="s">
        <v>597</v>
      </c>
      <c r="D561" s="4" t="s">
        <v>598</v>
      </c>
      <c r="E561" s="4" t="s">
        <v>34</v>
      </c>
      <c r="F561" s="4" t="s">
        <v>35</v>
      </c>
      <c r="G561" s="4" t="s">
        <v>43</v>
      </c>
      <c r="H561" s="4" t="s">
        <v>769</v>
      </c>
      <c r="I561" s="4" t="s">
        <v>770</v>
      </c>
      <c r="J561" s="4" t="s">
        <v>771</v>
      </c>
      <c r="L561" s="4" t="s">
        <v>40</v>
      </c>
      <c r="M561" s="4">
        <v>1</v>
      </c>
      <c r="N561" s="4">
        <v>106</v>
      </c>
      <c r="O561" s="4">
        <v>106</v>
      </c>
      <c r="P561" s="4" t="s">
        <v>41</v>
      </c>
      <c r="Q561" s="4">
        <v>274.3</v>
      </c>
      <c r="R561" s="4">
        <v>274.3</v>
      </c>
      <c r="S561" s="4">
        <v>1453.79</v>
      </c>
      <c r="T561" s="4">
        <v>29075.8</v>
      </c>
      <c r="U561" s="4">
        <v>5</v>
      </c>
      <c r="V561" s="4" t="s">
        <v>42</v>
      </c>
      <c r="X561" s="7" t="str">
        <f t="shared" si="30"/>
        <v>441857183</v>
      </c>
      <c r="Y561" s="8" t="str">
        <f t="shared" si="31"/>
        <v>DC</v>
      </c>
      <c r="Z561" s="8">
        <f t="shared" si="32"/>
        <v>0</v>
      </c>
      <c r="AA561" s="8">
        <f t="shared" si="33"/>
        <v>106</v>
      </c>
      <c r="AB561" s="8">
        <f t="shared" si="34"/>
        <v>0</v>
      </c>
      <c r="AC561" s="8">
        <f t="shared" si="35"/>
        <v>0</v>
      </c>
      <c r="AD561" s="8">
        <f t="shared" si="36"/>
        <v>0</v>
      </c>
      <c r="AE561" s="9" t="str" cm="1">
        <f t="array" ref="AE561">IFERROR(_xlfn.XLOOKUP(H561,Sheet1!$G:$G,Sheet1!$F:$F),IFERROR(_xlfn.XLOOKUP(1,(--($X$2:$X$1074=X561))*(--ISNUMBER(MATCH($H$2:$H$1074,Sheet1!$G:$G,0))),_xlfn.XLOOKUP($H$2:$H$1074,Sheet1!$G:$G,Sheet1!$F:$F,"")),"NOT FOUND"))</f>
        <v>RETKRTSF04310</v>
      </c>
      <c r="AF561" s="10" t="str">
        <f t="shared" si="37"/>
        <v>LT. PINK</v>
      </c>
      <c r="AG561" s="11" t="str">
        <f t="shared" si="38"/>
        <v>HARIPAL</v>
      </c>
      <c r="AH561" s="9" t="str">
        <f>IF(OR(J561="",AE561="",AE561="NOT FOUND"),"",IF(Y561="RP",IFERROR(LEFT(_xlfn.XLOOKUP(AE561,Sheet1!$F:$F,Sheet1!$W:$W),FIND("-",_xlfn.XLOOKUP(AE561,Sheet1!$F:$F,Sheet1!$W:$W),FIND("-",_xlfn.XLOOKUP(AE561,Sheet1!$F:$F,Sheet1!$W:$W))+1))&amp;AE561,"NOT FOUND"),LEFT(J561,FIND("-",J561,FIND("-",J561)+1))&amp;AE561))</f>
        <v>KRTS-APSU26-RETKRTSF04310</v>
      </c>
    </row>
    <row r="562" spans="1:34" ht="15.75" customHeight="1" x14ac:dyDescent="0.2">
      <c r="A562" s="4" t="s">
        <v>61</v>
      </c>
      <c r="B562" s="4" t="s">
        <v>788</v>
      </c>
      <c r="C562" s="4" t="s">
        <v>597</v>
      </c>
      <c r="D562" s="4" t="s">
        <v>598</v>
      </c>
      <c r="E562" s="4" t="s">
        <v>34</v>
      </c>
      <c r="F562" s="4" t="s">
        <v>35</v>
      </c>
      <c r="G562" s="4" t="s">
        <v>47</v>
      </c>
      <c r="H562" s="4" t="s">
        <v>772</v>
      </c>
      <c r="I562" s="4" t="s">
        <v>773</v>
      </c>
      <c r="J562" s="4" t="s">
        <v>774</v>
      </c>
      <c r="L562" s="4" t="s">
        <v>40</v>
      </c>
      <c r="M562" s="4">
        <v>1</v>
      </c>
      <c r="N562" s="4">
        <v>119</v>
      </c>
      <c r="O562" s="4">
        <v>119</v>
      </c>
      <c r="P562" s="4" t="s">
        <v>41</v>
      </c>
      <c r="Q562" s="4">
        <v>274.3</v>
      </c>
      <c r="R562" s="4">
        <v>274.3</v>
      </c>
      <c r="S562" s="4">
        <v>1632.09</v>
      </c>
      <c r="T562" s="4">
        <v>32641.7</v>
      </c>
      <c r="U562" s="4">
        <v>5</v>
      </c>
      <c r="V562" s="4" t="s">
        <v>42</v>
      </c>
      <c r="X562" s="7" t="str">
        <f t="shared" si="30"/>
        <v>441857183</v>
      </c>
      <c r="Y562" s="8" t="str">
        <f t="shared" si="31"/>
        <v>DC</v>
      </c>
      <c r="Z562" s="8">
        <f t="shared" si="32"/>
        <v>0</v>
      </c>
      <c r="AA562" s="8">
        <f t="shared" si="33"/>
        <v>0</v>
      </c>
      <c r="AB562" s="8">
        <f t="shared" si="34"/>
        <v>119</v>
      </c>
      <c r="AC562" s="8">
        <f t="shared" si="35"/>
        <v>0</v>
      </c>
      <c r="AD562" s="8">
        <f t="shared" si="36"/>
        <v>0</v>
      </c>
      <c r="AE562" s="9" t="str" cm="1">
        <f t="array" ref="AE562">IFERROR(_xlfn.XLOOKUP(H562,Sheet1!$G:$G,Sheet1!$F:$F),IFERROR(_xlfn.XLOOKUP(1,(--($X$2:$X$1074=X562))*(--ISNUMBER(MATCH($H$2:$H$1074,Sheet1!$G:$G,0))),_xlfn.XLOOKUP($H$2:$H$1074,Sheet1!$G:$G,Sheet1!$F:$F,"")),"NOT FOUND"))</f>
        <v>RETKRTSF04310</v>
      </c>
      <c r="AF562" s="10" t="str">
        <f t="shared" si="37"/>
        <v>LT. PINK</v>
      </c>
      <c r="AG562" s="11" t="str">
        <f t="shared" si="38"/>
        <v>HARIPAL</v>
      </c>
      <c r="AH562" s="9" t="str">
        <f>IF(OR(J562="",AE562="",AE562="NOT FOUND"),"",IF(Y562="RP",IFERROR(LEFT(_xlfn.XLOOKUP(AE562,Sheet1!$F:$F,Sheet1!$W:$W),FIND("-",_xlfn.XLOOKUP(AE562,Sheet1!$F:$F,Sheet1!$W:$W),FIND("-",_xlfn.XLOOKUP(AE562,Sheet1!$F:$F,Sheet1!$W:$W))+1))&amp;AE562,"NOT FOUND"),LEFT(J562,FIND("-",J562,FIND("-",J562)+1))&amp;AE562))</f>
        <v>KRTS-APSU26-RETKRTSF04310</v>
      </c>
    </row>
    <row r="563" spans="1:34" ht="15.75" customHeight="1" x14ac:dyDescent="0.2">
      <c r="A563" s="4" t="s">
        <v>61</v>
      </c>
      <c r="B563" s="4" t="s">
        <v>788</v>
      </c>
      <c r="C563" s="4" t="s">
        <v>597</v>
      </c>
      <c r="D563" s="4" t="s">
        <v>598</v>
      </c>
      <c r="E563" s="4" t="s">
        <v>34</v>
      </c>
      <c r="F563" s="4" t="s">
        <v>35</v>
      </c>
      <c r="G563" s="4" t="s">
        <v>51</v>
      </c>
      <c r="H563" s="4" t="s">
        <v>775</v>
      </c>
      <c r="I563" s="4" t="s">
        <v>776</v>
      </c>
      <c r="J563" s="4" t="s">
        <v>777</v>
      </c>
      <c r="L563" s="4" t="s">
        <v>40</v>
      </c>
      <c r="M563" s="4">
        <v>1</v>
      </c>
      <c r="N563" s="4">
        <v>139</v>
      </c>
      <c r="O563" s="4">
        <v>139</v>
      </c>
      <c r="P563" s="4" t="s">
        <v>41</v>
      </c>
      <c r="Q563" s="4">
        <v>274.3</v>
      </c>
      <c r="R563" s="4">
        <v>274.3</v>
      </c>
      <c r="S563" s="4">
        <v>1906.39</v>
      </c>
      <c r="T563" s="4">
        <v>38127.699999999997</v>
      </c>
      <c r="U563" s="4">
        <v>5</v>
      </c>
      <c r="V563" s="4" t="s">
        <v>42</v>
      </c>
      <c r="X563" s="7" t="str">
        <f t="shared" si="30"/>
        <v>441857183</v>
      </c>
      <c r="Y563" s="8" t="str">
        <f t="shared" si="31"/>
        <v>DC</v>
      </c>
      <c r="Z563" s="8">
        <f t="shared" si="32"/>
        <v>0</v>
      </c>
      <c r="AA563" s="8">
        <f t="shared" si="33"/>
        <v>0</v>
      </c>
      <c r="AB563" s="8">
        <f t="shared" si="34"/>
        <v>0</v>
      </c>
      <c r="AC563" s="8">
        <f t="shared" si="35"/>
        <v>139</v>
      </c>
      <c r="AD563" s="8">
        <f t="shared" si="36"/>
        <v>0</v>
      </c>
      <c r="AE563" s="9" t="str" cm="1">
        <f t="array" ref="AE563">IFERROR(_xlfn.XLOOKUP(H563,Sheet1!$G:$G,Sheet1!$F:$F),IFERROR(_xlfn.XLOOKUP(1,(--($X$2:$X$1074=X563))*(--ISNUMBER(MATCH($H$2:$H$1074,Sheet1!$G:$G,0))),_xlfn.XLOOKUP($H$2:$H$1074,Sheet1!$G:$G,Sheet1!$F:$F,"")),"NOT FOUND"))</f>
        <v>RETKRTSF04310</v>
      </c>
      <c r="AF563" s="10" t="str">
        <f t="shared" si="37"/>
        <v>LT. PINK</v>
      </c>
      <c r="AG563" s="11" t="str">
        <f t="shared" si="38"/>
        <v>HARIPAL</v>
      </c>
      <c r="AH563" s="9" t="str">
        <f>IF(OR(J563="",AE563="",AE563="NOT FOUND"),"",IF(Y563="RP",IFERROR(LEFT(_xlfn.XLOOKUP(AE563,Sheet1!$F:$F,Sheet1!$W:$W),FIND("-",_xlfn.XLOOKUP(AE563,Sheet1!$F:$F,Sheet1!$W:$W),FIND("-",_xlfn.XLOOKUP(AE563,Sheet1!$F:$F,Sheet1!$W:$W))+1))&amp;AE563,"NOT FOUND"),LEFT(J563,FIND("-",J563,FIND("-",J563)+1))&amp;AE563))</f>
        <v>KRTS-APSU26-RETKRTSF04310</v>
      </c>
    </row>
    <row r="564" spans="1:34" ht="15.75" customHeight="1" x14ac:dyDescent="0.2">
      <c r="A564" s="4" t="s">
        <v>61</v>
      </c>
      <c r="B564" s="4" t="s">
        <v>788</v>
      </c>
      <c r="C564" s="4" t="s">
        <v>597</v>
      </c>
      <c r="D564" s="4" t="s">
        <v>598</v>
      </c>
      <c r="E564" s="4" t="s">
        <v>34</v>
      </c>
      <c r="F564" s="4" t="s">
        <v>35</v>
      </c>
      <c r="G564" s="4" t="s">
        <v>55</v>
      </c>
      <c r="H564" s="4" t="s">
        <v>778</v>
      </c>
      <c r="I564" s="4" t="s">
        <v>779</v>
      </c>
      <c r="J564" s="4" t="s">
        <v>780</v>
      </c>
      <c r="L564" s="4" t="s">
        <v>40</v>
      </c>
      <c r="M564" s="4">
        <v>1</v>
      </c>
      <c r="N564" s="4">
        <v>30</v>
      </c>
      <c r="O564" s="4">
        <v>30</v>
      </c>
      <c r="P564" s="4" t="s">
        <v>41</v>
      </c>
      <c r="Q564" s="4">
        <v>274.3</v>
      </c>
      <c r="R564" s="4">
        <v>274.3</v>
      </c>
      <c r="S564" s="4">
        <v>411.45</v>
      </c>
      <c r="T564" s="4">
        <v>8229</v>
      </c>
      <c r="U564" s="4">
        <v>5</v>
      </c>
      <c r="V564" s="4" t="s">
        <v>42</v>
      </c>
      <c r="X564" s="7" t="str">
        <f t="shared" si="30"/>
        <v>441857183</v>
      </c>
      <c r="Y564" s="8" t="str">
        <f t="shared" si="31"/>
        <v>DC</v>
      </c>
      <c r="Z564" s="8">
        <f t="shared" si="32"/>
        <v>0</v>
      </c>
      <c r="AA564" s="8">
        <f t="shared" si="33"/>
        <v>0</v>
      </c>
      <c r="AB564" s="8">
        <f t="shared" si="34"/>
        <v>0</v>
      </c>
      <c r="AC564" s="8">
        <f t="shared" si="35"/>
        <v>0</v>
      </c>
      <c r="AD564" s="8">
        <f t="shared" si="36"/>
        <v>30</v>
      </c>
      <c r="AE564" s="9" t="str" cm="1">
        <f t="array" ref="AE564">IFERROR(_xlfn.XLOOKUP(H564,Sheet1!$G:$G,Sheet1!$F:$F),IFERROR(_xlfn.XLOOKUP(1,(--($X$2:$X$1074=X564))*(--ISNUMBER(MATCH($H$2:$H$1074,Sheet1!$G:$G,0))),_xlfn.XLOOKUP($H$2:$H$1074,Sheet1!$G:$G,Sheet1!$F:$F,"")),"NOT FOUND"))</f>
        <v>RETKRTSF04310</v>
      </c>
      <c r="AF564" s="10" t="str">
        <f t="shared" si="37"/>
        <v>LT. PINK</v>
      </c>
      <c r="AG564" s="11" t="str">
        <f t="shared" si="38"/>
        <v>HARIPAL</v>
      </c>
      <c r="AH564" s="9" t="str">
        <f>IF(OR(J564="",AE564="",AE564="NOT FOUND"),"",IF(Y564="RP",IFERROR(LEFT(_xlfn.XLOOKUP(AE564,Sheet1!$F:$F,Sheet1!$W:$W),FIND("-",_xlfn.XLOOKUP(AE564,Sheet1!$F:$F,Sheet1!$W:$W),FIND("-",_xlfn.XLOOKUP(AE564,Sheet1!$F:$F,Sheet1!$W:$W))+1))&amp;AE564,"NOT FOUND"),LEFT(J564,FIND("-",J564,FIND("-",J564)+1))&amp;AE564))</f>
        <v>KRTS-APSU26-RETKRTSF04310</v>
      </c>
    </row>
    <row r="565" spans="1:34" ht="15.75" customHeight="1" x14ac:dyDescent="0.2">
      <c r="A565" s="4" t="s">
        <v>30</v>
      </c>
      <c r="B565" s="4" t="s">
        <v>789</v>
      </c>
      <c r="C565" s="4" t="s">
        <v>597</v>
      </c>
      <c r="D565" s="4" t="s">
        <v>579</v>
      </c>
      <c r="E565" s="4" t="s">
        <v>34</v>
      </c>
      <c r="F565" s="4" t="s">
        <v>35</v>
      </c>
      <c r="G565" s="4" t="s">
        <v>47</v>
      </c>
      <c r="H565" s="4" t="s">
        <v>790</v>
      </c>
      <c r="I565" s="4" t="s">
        <v>791</v>
      </c>
      <c r="J565" s="4" t="s">
        <v>792</v>
      </c>
      <c r="L565" s="4" t="s">
        <v>40</v>
      </c>
      <c r="M565" s="4">
        <v>1</v>
      </c>
      <c r="N565" s="4">
        <v>318</v>
      </c>
      <c r="O565" s="4">
        <v>318</v>
      </c>
      <c r="P565" s="4" t="s">
        <v>41</v>
      </c>
      <c r="Q565" s="4">
        <v>244.3</v>
      </c>
      <c r="R565" s="4">
        <v>244.3</v>
      </c>
      <c r="S565" s="4">
        <v>3884.37</v>
      </c>
      <c r="T565" s="4">
        <v>77687.399999999994</v>
      </c>
      <c r="U565" s="4">
        <v>5</v>
      </c>
      <c r="V565" s="4" t="s">
        <v>42</v>
      </c>
      <c r="X565" s="7" t="str">
        <f t="shared" si="30"/>
        <v>441857089</v>
      </c>
      <c r="Y565" s="8" t="str">
        <f t="shared" si="31"/>
        <v>DC</v>
      </c>
      <c r="Z565" s="8">
        <f t="shared" si="32"/>
        <v>0</v>
      </c>
      <c r="AA565" s="8">
        <f t="shared" si="33"/>
        <v>0</v>
      </c>
      <c r="AB565" s="8">
        <f t="shared" si="34"/>
        <v>318</v>
      </c>
      <c r="AC565" s="8">
        <f t="shared" si="35"/>
        <v>0</v>
      </c>
      <c r="AD565" s="8">
        <f t="shared" si="36"/>
        <v>0</v>
      </c>
      <c r="AE565" s="9" t="str" cm="1">
        <f t="array" ref="AE565">IFERROR(_xlfn.XLOOKUP(H565,Sheet1!$G:$G,Sheet1!$F:$F),IFERROR(_xlfn.XLOOKUP(1,(--($X$2:$X$1074=X565))*(--ISNUMBER(MATCH($H$2:$H$1074,Sheet1!$G:$G,0))),_xlfn.XLOOKUP($H$2:$H$1074,Sheet1!$G:$G,Sheet1!$F:$F,"")),"NOT FOUND"))</f>
        <v>YETKRTSCUT5008</v>
      </c>
      <c r="AF565" s="10" t="str">
        <f t="shared" si="37"/>
        <v>SAGE GREEN</v>
      </c>
      <c r="AG565" s="11" t="str">
        <f t="shared" si="38"/>
        <v>Bangalore</v>
      </c>
      <c r="AH565" s="9" t="str">
        <f>IF(OR(J565="",AE565="",AE565="NOT FOUND"),"",IF(Y565="RP",IFERROR(LEFT(_xlfn.XLOOKUP(AE565,Sheet1!$F:$F,Sheet1!$W:$W),FIND("-",_xlfn.XLOOKUP(AE565,Sheet1!$F:$F,Sheet1!$W:$W),FIND("-",_xlfn.XLOOKUP(AE565,Sheet1!$F:$F,Sheet1!$W:$W))+1))&amp;AE565,"NOT FOUND"),LEFT(J565,FIND("-",J565,FIND("-",J565)+1))&amp;AE565))</f>
        <v>KRTS-APSU26-YETKRTSCUT5008</v>
      </c>
    </row>
    <row r="566" spans="1:34" ht="15.75" customHeight="1" x14ac:dyDescent="0.2">
      <c r="A566" s="4" t="s">
        <v>30</v>
      </c>
      <c r="B566" s="4" t="s">
        <v>789</v>
      </c>
      <c r="C566" s="4" t="s">
        <v>597</v>
      </c>
      <c r="D566" s="4" t="s">
        <v>579</v>
      </c>
      <c r="E566" s="4" t="s">
        <v>34</v>
      </c>
      <c r="F566" s="4" t="s">
        <v>35</v>
      </c>
      <c r="G566" s="4" t="s">
        <v>51</v>
      </c>
      <c r="H566" s="4" t="s">
        <v>793</v>
      </c>
      <c r="I566" s="4" t="s">
        <v>794</v>
      </c>
      <c r="J566" s="4" t="s">
        <v>795</v>
      </c>
      <c r="L566" s="4" t="s">
        <v>40</v>
      </c>
      <c r="M566" s="4">
        <v>1</v>
      </c>
      <c r="N566" s="4">
        <v>283</v>
      </c>
      <c r="O566" s="4">
        <v>283</v>
      </c>
      <c r="P566" s="4" t="s">
        <v>41</v>
      </c>
      <c r="Q566" s="4">
        <v>244.3</v>
      </c>
      <c r="R566" s="4">
        <v>244.3</v>
      </c>
      <c r="S566" s="4">
        <v>3456.85</v>
      </c>
      <c r="T566" s="4">
        <v>69136.899999999994</v>
      </c>
      <c r="U566" s="4">
        <v>5</v>
      </c>
      <c r="V566" s="4" t="s">
        <v>42</v>
      </c>
      <c r="X566" s="7" t="str">
        <f t="shared" si="30"/>
        <v>441857089</v>
      </c>
      <c r="Y566" s="8" t="str">
        <f t="shared" si="31"/>
        <v>DC</v>
      </c>
      <c r="Z566" s="8">
        <f t="shared" si="32"/>
        <v>0</v>
      </c>
      <c r="AA566" s="8">
        <f t="shared" si="33"/>
        <v>283</v>
      </c>
      <c r="AB566" s="8">
        <f t="shared" si="34"/>
        <v>0</v>
      </c>
      <c r="AC566" s="8">
        <f t="shared" si="35"/>
        <v>0</v>
      </c>
      <c r="AD566" s="8">
        <f t="shared" si="36"/>
        <v>0</v>
      </c>
      <c r="AE566" s="9" t="str" cm="1">
        <f t="array" ref="AE566">IFERROR(_xlfn.XLOOKUP(H566,Sheet1!$G:$G,Sheet1!$F:$F),IFERROR(_xlfn.XLOOKUP(1,(--($X$2:$X$1074=X566))*(--ISNUMBER(MATCH($H$2:$H$1074,Sheet1!$G:$G,0))),_xlfn.XLOOKUP($H$2:$H$1074,Sheet1!$G:$G,Sheet1!$F:$F,"")),"NOT FOUND"))</f>
        <v>YETKRTSCUT5008</v>
      </c>
      <c r="AF566" s="10" t="str">
        <f t="shared" si="37"/>
        <v>SAGE GREEN</v>
      </c>
      <c r="AG566" s="11" t="str">
        <f t="shared" si="38"/>
        <v>Bangalore</v>
      </c>
      <c r="AH566" s="9" t="str">
        <f>IF(OR(J566="",AE566="",AE566="NOT FOUND"),"",IF(Y566="RP",IFERROR(LEFT(_xlfn.XLOOKUP(AE566,Sheet1!$F:$F,Sheet1!$W:$W),FIND("-",_xlfn.XLOOKUP(AE566,Sheet1!$F:$F,Sheet1!$W:$W),FIND("-",_xlfn.XLOOKUP(AE566,Sheet1!$F:$F,Sheet1!$W:$W))+1))&amp;AE566,"NOT FOUND"),LEFT(J566,FIND("-",J566,FIND("-",J566)+1))&amp;AE566))</f>
        <v>KRTS-APSU26-YETKRTSCUT5008</v>
      </c>
    </row>
    <row r="567" spans="1:34" ht="15.75" customHeight="1" x14ac:dyDescent="0.2">
      <c r="A567" s="4" t="s">
        <v>30</v>
      </c>
      <c r="B567" s="4" t="s">
        <v>796</v>
      </c>
      <c r="C567" s="4" t="s">
        <v>597</v>
      </c>
      <c r="D567" s="4" t="s">
        <v>797</v>
      </c>
      <c r="E567" s="4" t="s">
        <v>34</v>
      </c>
      <c r="F567" s="4" t="s">
        <v>35</v>
      </c>
      <c r="G567" s="4" t="s">
        <v>36</v>
      </c>
      <c r="H567" s="4" t="s">
        <v>798</v>
      </c>
      <c r="I567" s="4" t="s">
        <v>799</v>
      </c>
      <c r="J567" s="4" t="s">
        <v>800</v>
      </c>
      <c r="L567" s="4" t="s">
        <v>40</v>
      </c>
      <c r="M567" s="4">
        <v>1</v>
      </c>
      <c r="N567" s="4">
        <v>81</v>
      </c>
      <c r="O567" s="4">
        <v>81</v>
      </c>
      <c r="P567" s="4" t="s">
        <v>41</v>
      </c>
      <c r="Q567" s="4">
        <v>244.3</v>
      </c>
      <c r="R567" s="4">
        <v>244.3</v>
      </c>
      <c r="S567" s="4">
        <v>989.42</v>
      </c>
      <c r="T567" s="4">
        <v>19788.3</v>
      </c>
      <c r="U567" s="4">
        <v>5</v>
      </c>
      <c r="V567" s="4" t="s">
        <v>42</v>
      </c>
      <c r="X567" s="7" t="str">
        <f t="shared" si="30"/>
        <v>441857089</v>
      </c>
      <c r="Y567" s="8" t="str">
        <f t="shared" si="31"/>
        <v>DC</v>
      </c>
      <c r="Z567" s="8">
        <f t="shared" si="32"/>
        <v>0</v>
      </c>
      <c r="AA567" s="8">
        <f t="shared" si="33"/>
        <v>0</v>
      </c>
      <c r="AB567" s="8">
        <f t="shared" si="34"/>
        <v>0</v>
      </c>
      <c r="AC567" s="8">
        <f t="shared" si="35"/>
        <v>0</v>
      </c>
      <c r="AD567" s="8">
        <f t="shared" si="36"/>
        <v>81</v>
      </c>
      <c r="AE567" s="9" t="str" cm="1">
        <f t="array" ref="AE567">IFERROR(_xlfn.XLOOKUP(H567,Sheet1!$G:$G,Sheet1!$F:$F),IFERROR(_xlfn.XLOOKUP(1,(--($X$2:$X$1074=X567))*(--ISNUMBER(MATCH($H$2:$H$1074,Sheet1!$G:$G,0))),_xlfn.XLOOKUP($H$2:$H$1074,Sheet1!$G:$G,Sheet1!$F:$F,"")),"NOT FOUND"))</f>
        <v>YETKRTSCUT5008</v>
      </c>
      <c r="AF567" s="10" t="str">
        <f t="shared" si="37"/>
        <v>RUST</v>
      </c>
      <c r="AG567" s="11" t="str">
        <f t="shared" si="38"/>
        <v>Bangalore</v>
      </c>
      <c r="AH567" s="9" t="str">
        <f>IF(OR(J567="",AE567="",AE567="NOT FOUND"),"",IF(Y567="RP",IFERROR(LEFT(_xlfn.XLOOKUP(AE567,Sheet1!$F:$F,Sheet1!$W:$W),FIND("-",_xlfn.XLOOKUP(AE567,Sheet1!$F:$F,Sheet1!$W:$W),FIND("-",_xlfn.XLOOKUP(AE567,Sheet1!$F:$F,Sheet1!$W:$W))+1))&amp;AE567,"NOT FOUND"),LEFT(J567,FIND("-",J567,FIND("-",J567)+1))&amp;AE567))</f>
        <v>KRTS-APSU26-YETKRTSCUT5008</v>
      </c>
    </row>
    <row r="568" spans="1:34" ht="15.75" customHeight="1" x14ac:dyDescent="0.2">
      <c r="A568" s="4" t="s">
        <v>30</v>
      </c>
      <c r="B568" s="4" t="s">
        <v>796</v>
      </c>
      <c r="C568" s="4" t="s">
        <v>597</v>
      </c>
      <c r="D568" s="4" t="s">
        <v>797</v>
      </c>
      <c r="E568" s="4" t="s">
        <v>34</v>
      </c>
      <c r="F568" s="4" t="s">
        <v>35</v>
      </c>
      <c r="G568" s="4" t="s">
        <v>43</v>
      </c>
      <c r="H568" s="4" t="s">
        <v>801</v>
      </c>
      <c r="I568" s="4" t="s">
        <v>802</v>
      </c>
      <c r="J568" s="4" t="s">
        <v>803</v>
      </c>
      <c r="L568" s="4" t="s">
        <v>40</v>
      </c>
      <c r="M568" s="4">
        <v>1</v>
      </c>
      <c r="N568" s="4">
        <v>425</v>
      </c>
      <c r="O568" s="4">
        <v>425</v>
      </c>
      <c r="P568" s="4" t="s">
        <v>41</v>
      </c>
      <c r="Q568" s="4">
        <v>244.3</v>
      </c>
      <c r="R568" s="4">
        <v>244.3</v>
      </c>
      <c r="S568" s="4">
        <v>5191.38</v>
      </c>
      <c r="T568" s="4">
        <v>103827.5</v>
      </c>
      <c r="U568" s="4">
        <v>5</v>
      </c>
      <c r="V568" s="4" t="s">
        <v>42</v>
      </c>
      <c r="X568" s="7" t="str">
        <f t="shared" si="30"/>
        <v>441857089</v>
      </c>
      <c r="Y568" s="8" t="str">
        <f t="shared" si="31"/>
        <v>DC</v>
      </c>
      <c r="Z568" s="8">
        <f t="shared" si="32"/>
        <v>0</v>
      </c>
      <c r="AA568" s="8">
        <f t="shared" si="33"/>
        <v>0</v>
      </c>
      <c r="AB568" s="8">
        <f t="shared" si="34"/>
        <v>0</v>
      </c>
      <c r="AC568" s="8">
        <f t="shared" si="35"/>
        <v>425</v>
      </c>
      <c r="AD568" s="8">
        <f t="shared" si="36"/>
        <v>0</v>
      </c>
      <c r="AE568" s="9" t="str" cm="1">
        <f t="array" ref="AE568">IFERROR(_xlfn.XLOOKUP(H568,Sheet1!$G:$G,Sheet1!$F:$F),IFERROR(_xlfn.XLOOKUP(1,(--($X$2:$X$1074=X568))*(--ISNUMBER(MATCH($H$2:$H$1074,Sheet1!$G:$G,0))),_xlfn.XLOOKUP($H$2:$H$1074,Sheet1!$G:$G,Sheet1!$F:$F,"")),"NOT FOUND"))</f>
        <v>YETKRTSCUT5008</v>
      </c>
      <c r="AF568" s="10" t="str">
        <f t="shared" si="37"/>
        <v>RUST</v>
      </c>
      <c r="AG568" s="11" t="str">
        <f t="shared" si="38"/>
        <v>Bangalore</v>
      </c>
      <c r="AH568" s="9" t="str">
        <f>IF(OR(J568="",AE568="",AE568="NOT FOUND"),"",IF(Y568="RP",IFERROR(LEFT(_xlfn.XLOOKUP(AE568,Sheet1!$F:$F,Sheet1!$W:$W),FIND("-",_xlfn.XLOOKUP(AE568,Sheet1!$F:$F,Sheet1!$W:$W),FIND("-",_xlfn.XLOOKUP(AE568,Sheet1!$F:$F,Sheet1!$W:$W))+1))&amp;AE568,"NOT FOUND"),LEFT(J568,FIND("-",J568,FIND("-",J568)+1))&amp;AE568))</f>
        <v>KRTS-APSU26-YETKRTSCUT5008</v>
      </c>
    </row>
    <row r="569" spans="1:34" ht="15.75" customHeight="1" x14ac:dyDescent="0.2">
      <c r="A569" s="4" t="s">
        <v>30</v>
      </c>
      <c r="B569" s="4" t="s">
        <v>796</v>
      </c>
      <c r="C569" s="4" t="s">
        <v>597</v>
      </c>
      <c r="D569" s="4" t="s">
        <v>797</v>
      </c>
      <c r="E569" s="4" t="s">
        <v>34</v>
      </c>
      <c r="F569" s="4" t="s">
        <v>35</v>
      </c>
      <c r="G569" s="4" t="s">
        <v>47</v>
      </c>
      <c r="H569" s="4" t="s">
        <v>804</v>
      </c>
      <c r="I569" s="4" t="s">
        <v>805</v>
      </c>
      <c r="J569" s="4" t="s">
        <v>806</v>
      </c>
      <c r="L569" s="4" t="s">
        <v>40</v>
      </c>
      <c r="M569" s="4">
        <v>1</v>
      </c>
      <c r="N569" s="4">
        <v>364</v>
      </c>
      <c r="O569" s="4">
        <v>364</v>
      </c>
      <c r="P569" s="4" t="s">
        <v>41</v>
      </c>
      <c r="Q569" s="4">
        <v>244.3</v>
      </c>
      <c r="R569" s="4">
        <v>244.3</v>
      </c>
      <c r="S569" s="4">
        <v>4446.26</v>
      </c>
      <c r="T569" s="4">
        <v>88925.2</v>
      </c>
      <c r="U569" s="4">
        <v>5</v>
      </c>
      <c r="V569" s="4" t="s">
        <v>42</v>
      </c>
      <c r="X569" s="7" t="str">
        <f t="shared" si="30"/>
        <v>441857089</v>
      </c>
      <c r="Y569" s="8" t="str">
        <f t="shared" si="31"/>
        <v>DC</v>
      </c>
      <c r="Z569" s="8">
        <f t="shared" si="32"/>
        <v>0</v>
      </c>
      <c r="AA569" s="8">
        <f t="shared" si="33"/>
        <v>0</v>
      </c>
      <c r="AB569" s="8">
        <f t="shared" si="34"/>
        <v>364</v>
      </c>
      <c r="AC569" s="8">
        <f t="shared" si="35"/>
        <v>0</v>
      </c>
      <c r="AD569" s="8">
        <f t="shared" si="36"/>
        <v>0</v>
      </c>
      <c r="AE569" s="9" t="str" cm="1">
        <f t="array" ref="AE569">IFERROR(_xlfn.XLOOKUP(H569,Sheet1!$G:$G,Sheet1!$F:$F),IFERROR(_xlfn.XLOOKUP(1,(--($X$2:$X$1074=X569))*(--ISNUMBER(MATCH($H$2:$H$1074,Sheet1!$G:$G,0))),_xlfn.XLOOKUP($H$2:$H$1074,Sheet1!$G:$G,Sheet1!$F:$F,"")),"NOT FOUND"))</f>
        <v>YETKRTSCUT5008</v>
      </c>
      <c r="AF569" s="10" t="str">
        <f t="shared" si="37"/>
        <v>RUST</v>
      </c>
      <c r="AG569" s="11" t="str">
        <f t="shared" si="38"/>
        <v>Bangalore</v>
      </c>
      <c r="AH569" s="9" t="str">
        <f>IF(OR(J569="",AE569="",AE569="NOT FOUND"),"",IF(Y569="RP",IFERROR(LEFT(_xlfn.XLOOKUP(AE569,Sheet1!$F:$F,Sheet1!$W:$W),FIND("-",_xlfn.XLOOKUP(AE569,Sheet1!$F:$F,Sheet1!$W:$W),FIND("-",_xlfn.XLOOKUP(AE569,Sheet1!$F:$F,Sheet1!$W:$W))+1))&amp;AE569,"NOT FOUND"),LEFT(J569,FIND("-",J569,FIND("-",J569)+1))&amp;AE569))</f>
        <v>KRTS-APSU26-YETKRTSCUT5008</v>
      </c>
    </row>
    <row r="570" spans="1:34" ht="15.75" customHeight="1" x14ac:dyDescent="0.2">
      <c r="A570" s="4" t="s">
        <v>30</v>
      </c>
      <c r="B570" s="4" t="s">
        <v>796</v>
      </c>
      <c r="C570" s="4" t="s">
        <v>597</v>
      </c>
      <c r="D570" s="4" t="s">
        <v>797</v>
      </c>
      <c r="E570" s="4" t="s">
        <v>34</v>
      </c>
      <c r="F570" s="4" t="s">
        <v>35</v>
      </c>
      <c r="G570" s="4" t="s">
        <v>51</v>
      </c>
      <c r="H570" s="4" t="s">
        <v>807</v>
      </c>
      <c r="I570" s="4" t="s">
        <v>808</v>
      </c>
      <c r="J570" s="4" t="s">
        <v>809</v>
      </c>
      <c r="L570" s="4" t="s">
        <v>40</v>
      </c>
      <c r="M570" s="4">
        <v>1</v>
      </c>
      <c r="N570" s="4">
        <v>324</v>
      </c>
      <c r="O570" s="4">
        <v>324</v>
      </c>
      <c r="P570" s="4" t="s">
        <v>41</v>
      </c>
      <c r="Q570" s="4">
        <v>244.3</v>
      </c>
      <c r="R570" s="4">
        <v>244.3</v>
      </c>
      <c r="S570" s="4">
        <v>3957.66</v>
      </c>
      <c r="T570" s="4">
        <v>79153.2</v>
      </c>
      <c r="U570" s="4">
        <v>5</v>
      </c>
      <c r="V570" s="4" t="s">
        <v>42</v>
      </c>
      <c r="X570" s="7" t="str">
        <f t="shared" si="30"/>
        <v>441857089</v>
      </c>
      <c r="Y570" s="8" t="str">
        <f t="shared" si="31"/>
        <v>DC</v>
      </c>
      <c r="Z570" s="8">
        <f t="shared" si="32"/>
        <v>0</v>
      </c>
      <c r="AA570" s="8">
        <f t="shared" si="33"/>
        <v>324</v>
      </c>
      <c r="AB570" s="8">
        <f t="shared" si="34"/>
        <v>0</v>
      </c>
      <c r="AC570" s="8">
        <f t="shared" si="35"/>
        <v>0</v>
      </c>
      <c r="AD570" s="8">
        <f t="shared" si="36"/>
        <v>0</v>
      </c>
      <c r="AE570" s="9" t="str" cm="1">
        <f t="array" ref="AE570">IFERROR(_xlfn.XLOOKUP(H570,Sheet1!$G:$G,Sheet1!$F:$F),IFERROR(_xlfn.XLOOKUP(1,(--($X$2:$X$1074=X570))*(--ISNUMBER(MATCH($H$2:$H$1074,Sheet1!$G:$G,0))),_xlfn.XLOOKUP($H$2:$H$1074,Sheet1!$G:$G,Sheet1!$F:$F,"")),"NOT FOUND"))</f>
        <v>YETKRTSCUT5008</v>
      </c>
      <c r="AF570" s="10" t="str">
        <f t="shared" si="37"/>
        <v>RUST</v>
      </c>
      <c r="AG570" s="11" t="str">
        <f t="shared" si="38"/>
        <v>Bangalore</v>
      </c>
      <c r="AH570" s="9" t="str">
        <f>IF(OR(J570="",AE570="",AE570="NOT FOUND"),"",IF(Y570="RP",IFERROR(LEFT(_xlfn.XLOOKUP(AE570,Sheet1!$F:$F,Sheet1!$W:$W),FIND("-",_xlfn.XLOOKUP(AE570,Sheet1!$F:$F,Sheet1!$W:$W),FIND("-",_xlfn.XLOOKUP(AE570,Sheet1!$F:$F,Sheet1!$W:$W))+1))&amp;AE570,"NOT FOUND"),LEFT(J570,FIND("-",J570,FIND("-",J570)+1))&amp;AE570))</f>
        <v>KRTS-APSU26-YETKRTSCUT5008</v>
      </c>
    </row>
    <row r="571" spans="1:34" ht="15.75" customHeight="1" x14ac:dyDescent="0.2">
      <c r="A571" s="4" t="s">
        <v>30</v>
      </c>
      <c r="B571" s="4" t="s">
        <v>796</v>
      </c>
      <c r="C571" s="4" t="s">
        <v>597</v>
      </c>
      <c r="D571" s="4" t="s">
        <v>797</v>
      </c>
      <c r="E571" s="4" t="s">
        <v>34</v>
      </c>
      <c r="F571" s="4" t="s">
        <v>35</v>
      </c>
      <c r="G571" s="4" t="s">
        <v>55</v>
      </c>
      <c r="H571" s="4" t="s">
        <v>810</v>
      </c>
      <c r="I571" s="4" t="s">
        <v>811</v>
      </c>
      <c r="J571" s="4" t="s">
        <v>812</v>
      </c>
      <c r="L571" s="4" t="s">
        <v>40</v>
      </c>
      <c r="M571" s="4">
        <v>1</v>
      </c>
      <c r="N571" s="4">
        <v>30</v>
      </c>
      <c r="O571" s="4">
        <v>30</v>
      </c>
      <c r="P571" s="4" t="s">
        <v>41</v>
      </c>
      <c r="Q571" s="4">
        <v>244.3</v>
      </c>
      <c r="R571" s="4">
        <v>244.3</v>
      </c>
      <c r="S571" s="4">
        <v>366.45</v>
      </c>
      <c r="T571" s="4">
        <v>7329</v>
      </c>
      <c r="U571" s="4">
        <v>5</v>
      </c>
      <c r="V571" s="4" t="s">
        <v>42</v>
      </c>
      <c r="X571" s="7" t="str">
        <f t="shared" si="30"/>
        <v>441857089</v>
      </c>
      <c r="Y571" s="8" t="str">
        <f t="shared" si="31"/>
        <v>DC</v>
      </c>
      <c r="Z571" s="8">
        <f t="shared" si="32"/>
        <v>30</v>
      </c>
      <c r="AA571" s="8">
        <f t="shared" si="33"/>
        <v>0</v>
      </c>
      <c r="AB571" s="8">
        <f t="shared" si="34"/>
        <v>0</v>
      </c>
      <c r="AC571" s="8">
        <f t="shared" si="35"/>
        <v>0</v>
      </c>
      <c r="AD571" s="8">
        <f t="shared" si="36"/>
        <v>0</v>
      </c>
      <c r="AE571" s="9" t="str" cm="1">
        <f t="array" ref="AE571">IFERROR(_xlfn.XLOOKUP(H571,Sheet1!$G:$G,Sheet1!$F:$F),IFERROR(_xlfn.XLOOKUP(1,(--($X$2:$X$1074=X571))*(--ISNUMBER(MATCH($H$2:$H$1074,Sheet1!$G:$G,0))),_xlfn.XLOOKUP($H$2:$H$1074,Sheet1!$G:$G,Sheet1!$F:$F,"")),"NOT FOUND"))</f>
        <v>YETKRTSCUT5008</v>
      </c>
      <c r="AF571" s="10" t="str">
        <f t="shared" si="37"/>
        <v>RUST</v>
      </c>
      <c r="AG571" s="11" t="str">
        <f t="shared" si="38"/>
        <v>Bangalore</v>
      </c>
      <c r="AH571" s="9" t="str">
        <f>IF(OR(J571="",AE571="",AE571="NOT FOUND"),"",IF(Y571="RP",IFERROR(LEFT(_xlfn.XLOOKUP(AE571,Sheet1!$F:$F,Sheet1!$W:$W),FIND("-",_xlfn.XLOOKUP(AE571,Sheet1!$F:$F,Sheet1!$W:$W),FIND("-",_xlfn.XLOOKUP(AE571,Sheet1!$F:$F,Sheet1!$W:$W))+1))&amp;AE571,"NOT FOUND"),LEFT(J571,FIND("-",J571,FIND("-",J571)+1))&amp;AE571))</f>
        <v>KRTS-APSU26-YETKRTSCUT5008</v>
      </c>
    </row>
    <row r="572" spans="1:34" ht="15.75" customHeight="1" x14ac:dyDescent="0.2">
      <c r="A572" s="4" t="s">
        <v>30</v>
      </c>
      <c r="B572" s="4" t="s">
        <v>813</v>
      </c>
      <c r="C572" s="4" t="s">
        <v>597</v>
      </c>
      <c r="D572" s="4" t="s">
        <v>797</v>
      </c>
      <c r="E572" s="4" t="s">
        <v>34</v>
      </c>
      <c r="F572" s="4" t="s">
        <v>35</v>
      </c>
      <c r="G572" s="4" t="s">
        <v>36</v>
      </c>
      <c r="H572" s="4" t="s">
        <v>814</v>
      </c>
      <c r="I572" s="4" t="s">
        <v>815</v>
      </c>
      <c r="J572" s="4" t="s">
        <v>816</v>
      </c>
      <c r="L572" s="4" t="s">
        <v>40</v>
      </c>
      <c r="M572" s="4">
        <v>1</v>
      </c>
      <c r="N572" s="4">
        <v>81</v>
      </c>
      <c r="O572" s="4">
        <v>81</v>
      </c>
      <c r="P572" s="4" t="s">
        <v>41</v>
      </c>
      <c r="Q572" s="4">
        <v>244.3</v>
      </c>
      <c r="R572" s="4">
        <v>244.3</v>
      </c>
      <c r="S572" s="4">
        <v>989.42</v>
      </c>
      <c r="T572" s="4">
        <v>19788.3</v>
      </c>
      <c r="U572" s="4">
        <v>5</v>
      </c>
      <c r="V572" s="4" t="s">
        <v>42</v>
      </c>
      <c r="X572" s="7" t="str">
        <f t="shared" si="30"/>
        <v>441857089</v>
      </c>
      <c r="Y572" s="8" t="str">
        <f t="shared" si="31"/>
        <v>DC</v>
      </c>
      <c r="Z572" s="8">
        <f t="shared" si="32"/>
        <v>0</v>
      </c>
      <c r="AA572" s="8">
        <f t="shared" si="33"/>
        <v>0</v>
      </c>
      <c r="AB572" s="8">
        <f t="shared" si="34"/>
        <v>0</v>
      </c>
      <c r="AC572" s="8">
        <f t="shared" si="35"/>
        <v>0</v>
      </c>
      <c r="AD572" s="8">
        <f t="shared" si="36"/>
        <v>81</v>
      </c>
      <c r="AE572" s="9" t="str" cm="1">
        <f t="array" ref="AE572">IFERROR(_xlfn.XLOOKUP(H572,Sheet1!$G:$G,Sheet1!$F:$F),IFERROR(_xlfn.XLOOKUP(1,(--($X$2:$X$1074=X572))*(--ISNUMBER(MATCH($H$2:$H$1074,Sheet1!$G:$G,0))),_xlfn.XLOOKUP($H$2:$H$1074,Sheet1!$G:$G,Sheet1!$F:$F,"")),"NOT FOUND"))</f>
        <v>YETKRTSCUT5008</v>
      </c>
      <c r="AF572" s="10" t="str">
        <f t="shared" si="37"/>
        <v>OFF WHITE</v>
      </c>
      <c r="AG572" s="11" t="str">
        <f t="shared" si="38"/>
        <v>Bangalore</v>
      </c>
      <c r="AH572" s="9" t="str">
        <f>IF(OR(J572="",AE572="",AE572="NOT FOUND"),"",IF(Y572="RP",IFERROR(LEFT(_xlfn.XLOOKUP(AE572,Sheet1!$F:$F,Sheet1!$W:$W),FIND("-",_xlfn.XLOOKUP(AE572,Sheet1!$F:$F,Sheet1!$W:$W),FIND("-",_xlfn.XLOOKUP(AE572,Sheet1!$F:$F,Sheet1!$W:$W))+1))&amp;AE572,"NOT FOUND"),LEFT(J572,FIND("-",J572,FIND("-",J572)+1))&amp;AE572))</f>
        <v>KRTS-APSU26-YETKRTSCUT5008</v>
      </c>
    </row>
    <row r="573" spans="1:34" ht="15.75" customHeight="1" x14ac:dyDescent="0.2">
      <c r="A573" s="4" t="s">
        <v>30</v>
      </c>
      <c r="B573" s="4" t="s">
        <v>813</v>
      </c>
      <c r="C573" s="4" t="s">
        <v>597</v>
      </c>
      <c r="D573" s="4" t="s">
        <v>797</v>
      </c>
      <c r="E573" s="4" t="s">
        <v>34</v>
      </c>
      <c r="F573" s="4" t="s">
        <v>35</v>
      </c>
      <c r="G573" s="4" t="s">
        <v>43</v>
      </c>
      <c r="H573" s="4" t="s">
        <v>817</v>
      </c>
      <c r="I573" s="4" t="s">
        <v>818</v>
      </c>
      <c r="J573" s="4" t="s">
        <v>819</v>
      </c>
      <c r="L573" s="4" t="s">
        <v>40</v>
      </c>
      <c r="M573" s="4">
        <v>1</v>
      </c>
      <c r="N573" s="4">
        <v>425</v>
      </c>
      <c r="O573" s="4">
        <v>425</v>
      </c>
      <c r="P573" s="4" t="s">
        <v>41</v>
      </c>
      <c r="Q573" s="4">
        <v>244.3</v>
      </c>
      <c r="R573" s="4">
        <v>244.3</v>
      </c>
      <c r="S573" s="4">
        <v>5191.38</v>
      </c>
      <c r="T573" s="4">
        <v>103827.5</v>
      </c>
      <c r="U573" s="4">
        <v>5</v>
      </c>
      <c r="V573" s="4" t="s">
        <v>42</v>
      </c>
      <c r="X573" s="7" t="str">
        <f t="shared" si="30"/>
        <v>441857089</v>
      </c>
      <c r="Y573" s="8" t="str">
        <f t="shared" si="31"/>
        <v>DC</v>
      </c>
      <c r="Z573" s="8">
        <f t="shared" si="32"/>
        <v>0</v>
      </c>
      <c r="AA573" s="8">
        <f t="shared" si="33"/>
        <v>0</v>
      </c>
      <c r="AB573" s="8">
        <f t="shared" si="34"/>
        <v>0</v>
      </c>
      <c r="AC573" s="8">
        <f t="shared" si="35"/>
        <v>425</v>
      </c>
      <c r="AD573" s="8">
        <f t="shared" si="36"/>
        <v>0</v>
      </c>
      <c r="AE573" s="9" t="str" cm="1">
        <f t="array" ref="AE573">IFERROR(_xlfn.XLOOKUP(H573,Sheet1!$G:$G,Sheet1!$F:$F),IFERROR(_xlfn.XLOOKUP(1,(--($X$2:$X$1074=X573))*(--ISNUMBER(MATCH($H$2:$H$1074,Sheet1!$G:$G,0))),_xlfn.XLOOKUP($H$2:$H$1074,Sheet1!$G:$G,Sheet1!$F:$F,"")),"NOT FOUND"))</f>
        <v>YETKRTSCUT5008</v>
      </c>
      <c r="AF573" s="10" t="str">
        <f t="shared" si="37"/>
        <v>OFF WHITE</v>
      </c>
      <c r="AG573" s="11" t="str">
        <f t="shared" si="38"/>
        <v>Bangalore</v>
      </c>
      <c r="AH573" s="9" t="str">
        <f>IF(OR(J573="",AE573="",AE573="NOT FOUND"),"",IF(Y573="RP",IFERROR(LEFT(_xlfn.XLOOKUP(AE573,Sheet1!$F:$F,Sheet1!$W:$W),FIND("-",_xlfn.XLOOKUP(AE573,Sheet1!$F:$F,Sheet1!$W:$W),FIND("-",_xlfn.XLOOKUP(AE573,Sheet1!$F:$F,Sheet1!$W:$W))+1))&amp;AE573,"NOT FOUND"),LEFT(J573,FIND("-",J573,FIND("-",J573)+1))&amp;AE573))</f>
        <v>KRTS-APSU26-YETKRTSCUT5008</v>
      </c>
    </row>
    <row r="574" spans="1:34" ht="15.75" customHeight="1" x14ac:dyDescent="0.2">
      <c r="A574" s="4" t="s">
        <v>30</v>
      </c>
      <c r="B574" s="4" t="s">
        <v>813</v>
      </c>
      <c r="C574" s="4" t="s">
        <v>597</v>
      </c>
      <c r="D574" s="4" t="s">
        <v>797</v>
      </c>
      <c r="E574" s="4" t="s">
        <v>34</v>
      </c>
      <c r="F574" s="4" t="s">
        <v>35</v>
      </c>
      <c r="G574" s="4" t="s">
        <v>47</v>
      </c>
      <c r="H574" s="4" t="s">
        <v>820</v>
      </c>
      <c r="I574" s="4" t="s">
        <v>821</v>
      </c>
      <c r="J574" s="4" t="s">
        <v>822</v>
      </c>
      <c r="L574" s="4" t="s">
        <v>40</v>
      </c>
      <c r="M574" s="4">
        <v>1</v>
      </c>
      <c r="N574" s="4">
        <v>364</v>
      </c>
      <c r="O574" s="4">
        <v>364</v>
      </c>
      <c r="P574" s="4" t="s">
        <v>41</v>
      </c>
      <c r="Q574" s="4">
        <v>244.3</v>
      </c>
      <c r="R574" s="4">
        <v>244.3</v>
      </c>
      <c r="S574" s="4">
        <v>4446.26</v>
      </c>
      <c r="T574" s="4">
        <v>88925.2</v>
      </c>
      <c r="U574" s="4">
        <v>5</v>
      </c>
      <c r="V574" s="4" t="s">
        <v>42</v>
      </c>
      <c r="X574" s="7" t="str">
        <f t="shared" si="30"/>
        <v>441857089</v>
      </c>
      <c r="Y574" s="8" t="str">
        <f t="shared" si="31"/>
        <v>DC</v>
      </c>
      <c r="Z574" s="8">
        <f t="shared" si="32"/>
        <v>0</v>
      </c>
      <c r="AA574" s="8">
        <f t="shared" si="33"/>
        <v>0</v>
      </c>
      <c r="AB574" s="8">
        <f t="shared" si="34"/>
        <v>364</v>
      </c>
      <c r="AC574" s="8">
        <f t="shared" si="35"/>
        <v>0</v>
      </c>
      <c r="AD574" s="8">
        <f t="shared" si="36"/>
        <v>0</v>
      </c>
      <c r="AE574" s="9" t="str" cm="1">
        <f t="array" ref="AE574">IFERROR(_xlfn.XLOOKUP(H574,Sheet1!$G:$G,Sheet1!$F:$F),IFERROR(_xlfn.XLOOKUP(1,(--($X$2:$X$1074=X574))*(--ISNUMBER(MATCH($H$2:$H$1074,Sheet1!$G:$G,0))),_xlfn.XLOOKUP($H$2:$H$1074,Sheet1!$G:$G,Sheet1!$F:$F,"")),"NOT FOUND"))</f>
        <v>YETKRTSCUT5008</v>
      </c>
      <c r="AF574" s="10" t="str">
        <f t="shared" si="37"/>
        <v>OFF WHITE</v>
      </c>
      <c r="AG574" s="11" t="str">
        <f t="shared" si="38"/>
        <v>Bangalore</v>
      </c>
      <c r="AH574" s="9" t="str">
        <f>IF(OR(J574="",AE574="",AE574="NOT FOUND"),"",IF(Y574="RP",IFERROR(LEFT(_xlfn.XLOOKUP(AE574,Sheet1!$F:$F,Sheet1!$W:$W),FIND("-",_xlfn.XLOOKUP(AE574,Sheet1!$F:$F,Sheet1!$W:$W),FIND("-",_xlfn.XLOOKUP(AE574,Sheet1!$F:$F,Sheet1!$W:$W))+1))&amp;AE574,"NOT FOUND"),LEFT(J574,FIND("-",J574,FIND("-",J574)+1))&amp;AE574))</f>
        <v>KRTS-APSU26-YETKRTSCUT5008</v>
      </c>
    </row>
    <row r="575" spans="1:34" ht="15.75" customHeight="1" x14ac:dyDescent="0.2">
      <c r="A575" s="4" t="s">
        <v>30</v>
      </c>
      <c r="B575" s="4" t="s">
        <v>813</v>
      </c>
      <c r="C575" s="4" t="s">
        <v>597</v>
      </c>
      <c r="D575" s="4" t="s">
        <v>797</v>
      </c>
      <c r="E575" s="4" t="s">
        <v>34</v>
      </c>
      <c r="F575" s="4" t="s">
        <v>35</v>
      </c>
      <c r="G575" s="4" t="s">
        <v>51</v>
      </c>
      <c r="H575" s="4" t="s">
        <v>823</v>
      </c>
      <c r="I575" s="4" t="s">
        <v>824</v>
      </c>
      <c r="J575" s="4" t="s">
        <v>825</v>
      </c>
      <c r="L575" s="4" t="s">
        <v>40</v>
      </c>
      <c r="M575" s="4">
        <v>1</v>
      </c>
      <c r="N575" s="4">
        <v>324</v>
      </c>
      <c r="O575" s="4">
        <v>324</v>
      </c>
      <c r="P575" s="4" t="s">
        <v>41</v>
      </c>
      <c r="Q575" s="4">
        <v>244.3</v>
      </c>
      <c r="R575" s="4">
        <v>244.3</v>
      </c>
      <c r="S575" s="4">
        <v>3957.66</v>
      </c>
      <c r="T575" s="4">
        <v>79153.2</v>
      </c>
      <c r="U575" s="4">
        <v>5</v>
      </c>
      <c r="V575" s="4" t="s">
        <v>42</v>
      </c>
      <c r="X575" s="7" t="str">
        <f t="shared" si="30"/>
        <v>441857089</v>
      </c>
      <c r="Y575" s="8" t="str">
        <f t="shared" si="31"/>
        <v>DC</v>
      </c>
      <c r="Z575" s="8">
        <f t="shared" si="32"/>
        <v>0</v>
      </c>
      <c r="AA575" s="8">
        <f t="shared" si="33"/>
        <v>324</v>
      </c>
      <c r="AB575" s="8">
        <f t="shared" si="34"/>
        <v>0</v>
      </c>
      <c r="AC575" s="8">
        <f t="shared" si="35"/>
        <v>0</v>
      </c>
      <c r="AD575" s="8">
        <f t="shared" si="36"/>
        <v>0</v>
      </c>
      <c r="AE575" s="9" t="str" cm="1">
        <f t="array" ref="AE575">IFERROR(_xlfn.XLOOKUP(H575,Sheet1!$G:$G,Sheet1!$F:$F),IFERROR(_xlfn.XLOOKUP(1,(--($X$2:$X$1074=X575))*(--ISNUMBER(MATCH($H$2:$H$1074,Sheet1!$G:$G,0))),_xlfn.XLOOKUP($H$2:$H$1074,Sheet1!$G:$G,Sheet1!$F:$F,"")),"NOT FOUND"))</f>
        <v>YETKRTSCUT5008</v>
      </c>
      <c r="AF575" s="10" t="str">
        <f t="shared" si="37"/>
        <v>OFF WHITE</v>
      </c>
      <c r="AG575" s="11" t="str">
        <f t="shared" si="38"/>
        <v>Bangalore</v>
      </c>
      <c r="AH575" s="9" t="str">
        <f>IF(OR(J575="",AE575="",AE575="NOT FOUND"),"",IF(Y575="RP",IFERROR(LEFT(_xlfn.XLOOKUP(AE575,Sheet1!$F:$F,Sheet1!$W:$W),FIND("-",_xlfn.XLOOKUP(AE575,Sheet1!$F:$F,Sheet1!$W:$W),FIND("-",_xlfn.XLOOKUP(AE575,Sheet1!$F:$F,Sheet1!$W:$W))+1))&amp;AE575,"NOT FOUND"),LEFT(J575,FIND("-",J575,FIND("-",J575)+1))&amp;AE575))</f>
        <v>KRTS-APSU26-YETKRTSCUT5008</v>
      </c>
    </row>
    <row r="576" spans="1:34" ht="15.75" customHeight="1" x14ac:dyDescent="0.2">
      <c r="A576" s="4" t="s">
        <v>30</v>
      </c>
      <c r="B576" s="4" t="s">
        <v>813</v>
      </c>
      <c r="C576" s="4" t="s">
        <v>597</v>
      </c>
      <c r="D576" s="4" t="s">
        <v>797</v>
      </c>
      <c r="E576" s="4" t="s">
        <v>34</v>
      </c>
      <c r="F576" s="4" t="s">
        <v>35</v>
      </c>
      <c r="G576" s="4" t="s">
        <v>55</v>
      </c>
      <c r="H576" s="4" t="s">
        <v>826</v>
      </c>
      <c r="I576" s="4" t="s">
        <v>827</v>
      </c>
      <c r="J576" s="4" t="s">
        <v>828</v>
      </c>
      <c r="L576" s="4" t="s">
        <v>40</v>
      </c>
      <c r="M576" s="4">
        <v>1</v>
      </c>
      <c r="N576" s="4">
        <v>30</v>
      </c>
      <c r="O576" s="4">
        <v>30</v>
      </c>
      <c r="P576" s="4" t="s">
        <v>41</v>
      </c>
      <c r="Q576" s="4">
        <v>244.3</v>
      </c>
      <c r="R576" s="4">
        <v>244.3</v>
      </c>
      <c r="S576" s="4">
        <v>366.45</v>
      </c>
      <c r="T576" s="4">
        <v>7329</v>
      </c>
      <c r="U576" s="4">
        <v>5</v>
      </c>
      <c r="V576" s="4" t="s">
        <v>42</v>
      </c>
      <c r="X576" s="7" t="str">
        <f t="shared" si="30"/>
        <v>441857089</v>
      </c>
      <c r="Y576" s="8" t="str">
        <f t="shared" si="31"/>
        <v>DC</v>
      </c>
      <c r="Z576" s="8">
        <f t="shared" si="32"/>
        <v>30</v>
      </c>
      <c r="AA576" s="8">
        <f t="shared" si="33"/>
        <v>0</v>
      </c>
      <c r="AB576" s="8">
        <f t="shared" si="34"/>
        <v>0</v>
      </c>
      <c r="AC576" s="8">
        <f t="shared" si="35"/>
        <v>0</v>
      </c>
      <c r="AD576" s="8">
        <f t="shared" si="36"/>
        <v>0</v>
      </c>
      <c r="AE576" s="9" t="str" cm="1">
        <f t="array" ref="AE576">IFERROR(_xlfn.XLOOKUP(H576,Sheet1!$G:$G,Sheet1!$F:$F),IFERROR(_xlfn.XLOOKUP(1,(--($X$2:$X$1074=X576))*(--ISNUMBER(MATCH($H$2:$H$1074,Sheet1!$G:$G,0))),_xlfn.XLOOKUP($H$2:$H$1074,Sheet1!$G:$G,Sheet1!$F:$F,"")),"NOT FOUND"))</f>
        <v>YETKRTSCUT5008</v>
      </c>
      <c r="AF576" s="10" t="str">
        <f t="shared" si="37"/>
        <v>OFF WHITE</v>
      </c>
      <c r="AG576" s="11" t="str">
        <f t="shared" si="38"/>
        <v>Bangalore</v>
      </c>
      <c r="AH576" s="9" t="str">
        <f>IF(OR(J576="",AE576="",AE576="NOT FOUND"),"",IF(Y576="RP",IFERROR(LEFT(_xlfn.XLOOKUP(AE576,Sheet1!$F:$F,Sheet1!$W:$W),FIND("-",_xlfn.XLOOKUP(AE576,Sheet1!$F:$F,Sheet1!$W:$W),FIND("-",_xlfn.XLOOKUP(AE576,Sheet1!$F:$F,Sheet1!$W:$W))+1))&amp;AE576,"NOT FOUND"),LEFT(J576,FIND("-",J576,FIND("-",J576)+1))&amp;AE576))</f>
        <v>KRTS-APSU26-YETKRTSCUT5008</v>
      </c>
    </row>
    <row r="577" spans="1:34" ht="15.75" customHeight="1" x14ac:dyDescent="0.2">
      <c r="A577" s="4" t="s">
        <v>30</v>
      </c>
      <c r="B577" s="4" t="s">
        <v>829</v>
      </c>
      <c r="C577" s="4" t="s">
        <v>597</v>
      </c>
      <c r="D577" s="4" t="s">
        <v>579</v>
      </c>
      <c r="E577" s="4" t="s">
        <v>34</v>
      </c>
      <c r="F577" s="4" t="s">
        <v>35</v>
      </c>
      <c r="G577" s="4" t="s">
        <v>36</v>
      </c>
      <c r="H577" s="4" t="s">
        <v>830</v>
      </c>
      <c r="I577" s="4" t="s">
        <v>831</v>
      </c>
      <c r="J577" s="4" t="s">
        <v>832</v>
      </c>
      <c r="L577" s="4" t="s">
        <v>40</v>
      </c>
      <c r="M577" s="4">
        <v>1</v>
      </c>
      <c r="N577" s="4">
        <v>75</v>
      </c>
      <c r="O577" s="4">
        <v>75</v>
      </c>
      <c r="P577" s="4" t="s">
        <v>41</v>
      </c>
      <c r="Q577" s="4">
        <v>244.3</v>
      </c>
      <c r="R577" s="4">
        <v>244.3</v>
      </c>
      <c r="S577" s="4">
        <v>916.13</v>
      </c>
      <c r="T577" s="4">
        <v>18322.5</v>
      </c>
      <c r="U577" s="4">
        <v>5</v>
      </c>
      <c r="V577" s="4" t="s">
        <v>42</v>
      </c>
      <c r="X577" s="7" t="str">
        <f t="shared" si="30"/>
        <v>441857089</v>
      </c>
      <c r="Y577" s="8" t="str">
        <f t="shared" si="31"/>
        <v>DC</v>
      </c>
      <c r="Z577" s="8">
        <f t="shared" si="32"/>
        <v>0</v>
      </c>
      <c r="AA577" s="8">
        <f t="shared" si="33"/>
        <v>0</v>
      </c>
      <c r="AB577" s="8">
        <f t="shared" si="34"/>
        <v>0</v>
      </c>
      <c r="AC577" s="8">
        <f t="shared" si="35"/>
        <v>0</v>
      </c>
      <c r="AD577" s="8">
        <f t="shared" si="36"/>
        <v>75</v>
      </c>
      <c r="AE577" s="9" t="str" cm="1">
        <f t="array" ref="AE577">IFERROR(_xlfn.XLOOKUP(H577,Sheet1!$G:$G,Sheet1!$F:$F),IFERROR(_xlfn.XLOOKUP(1,(--($X$2:$X$1074=X577))*(--ISNUMBER(MATCH($H$2:$H$1074,Sheet1!$G:$G,0))),_xlfn.XLOOKUP($H$2:$H$1074,Sheet1!$G:$G,Sheet1!$F:$F,"")),"NOT FOUND"))</f>
        <v>YETKRTSCUT5008</v>
      </c>
      <c r="AF577" s="10" t="str">
        <f t="shared" si="37"/>
        <v>MUSTARD</v>
      </c>
      <c r="AG577" s="11" t="str">
        <f t="shared" si="38"/>
        <v>Bangalore</v>
      </c>
      <c r="AH577" s="9" t="str">
        <f>IF(OR(J577="",AE577="",AE577="NOT FOUND"),"",IF(Y577="RP",IFERROR(LEFT(_xlfn.XLOOKUP(AE577,Sheet1!$F:$F,Sheet1!$W:$W),FIND("-",_xlfn.XLOOKUP(AE577,Sheet1!$F:$F,Sheet1!$W:$W),FIND("-",_xlfn.XLOOKUP(AE577,Sheet1!$F:$F,Sheet1!$W:$W))+1))&amp;AE577,"NOT FOUND"),LEFT(J577,FIND("-",J577,FIND("-",J577)+1))&amp;AE577))</f>
        <v>KRTS-APSU26-YETKRTSCUT5008</v>
      </c>
    </row>
    <row r="578" spans="1:34" ht="15.75" customHeight="1" x14ac:dyDescent="0.2">
      <c r="A578" s="4" t="s">
        <v>30</v>
      </c>
      <c r="B578" s="4" t="s">
        <v>829</v>
      </c>
      <c r="C578" s="4" t="s">
        <v>597</v>
      </c>
      <c r="D578" s="4" t="s">
        <v>579</v>
      </c>
      <c r="E578" s="4" t="s">
        <v>34</v>
      </c>
      <c r="F578" s="4" t="s">
        <v>35</v>
      </c>
      <c r="G578" s="4" t="s">
        <v>43</v>
      </c>
      <c r="H578" s="4" t="s">
        <v>833</v>
      </c>
      <c r="I578" s="4" t="s">
        <v>834</v>
      </c>
      <c r="J578" s="4" t="s">
        <v>835</v>
      </c>
      <c r="L578" s="4" t="s">
        <v>40</v>
      </c>
      <c r="M578" s="4">
        <v>1</v>
      </c>
      <c r="N578" s="4">
        <v>398</v>
      </c>
      <c r="O578" s="4">
        <v>398</v>
      </c>
      <c r="P578" s="4" t="s">
        <v>41</v>
      </c>
      <c r="Q578" s="4">
        <v>244.3</v>
      </c>
      <c r="R578" s="4">
        <v>244.3</v>
      </c>
      <c r="S578" s="4">
        <v>4861.57</v>
      </c>
      <c r="T578" s="4">
        <v>97231.4</v>
      </c>
      <c r="U578" s="4">
        <v>5</v>
      </c>
      <c r="V578" s="4" t="s">
        <v>42</v>
      </c>
      <c r="X578" s="7" t="str">
        <f t="shared" si="30"/>
        <v>441857089</v>
      </c>
      <c r="Y578" s="8" t="str">
        <f t="shared" si="31"/>
        <v>DC</v>
      </c>
      <c r="Z578" s="8">
        <f t="shared" si="32"/>
        <v>0</v>
      </c>
      <c r="AA578" s="8">
        <f t="shared" si="33"/>
        <v>0</v>
      </c>
      <c r="AB578" s="8">
        <f t="shared" si="34"/>
        <v>0</v>
      </c>
      <c r="AC578" s="8">
        <f t="shared" si="35"/>
        <v>398</v>
      </c>
      <c r="AD578" s="8">
        <f t="shared" si="36"/>
        <v>0</v>
      </c>
      <c r="AE578" s="9" t="str" cm="1">
        <f t="array" ref="AE578">IFERROR(_xlfn.XLOOKUP(H578,Sheet1!$G:$G,Sheet1!$F:$F),IFERROR(_xlfn.XLOOKUP(1,(--($X$2:$X$1074=X578))*(--ISNUMBER(MATCH($H$2:$H$1074,Sheet1!$G:$G,0))),_xlfn.XLOOKUP($H$2:$H$1074,Sheet1!$G:$G,Sheet1!$F:$F,"")),"NOT FOUND"))</f>
        <v>YETKRTSCUT5008</v>
      </c>
      <c r="AF578" s="10" t="str">
        <f t="shared" si="37"/>
        <v>MUSTARD</v>
      </c>
      <c r="AG578" s="11" t="str">
        <f t="shared" si="38"/>
        <v>Bangalore</v>
      </c>
      <c r="AH578" s="9" t="str">
        <f>IF(OR(J578="",AE578="",AE578="NOT FOUND"),"",IF(Y578="RP",IFERROR(LEFT(_xlfn.XLOOKUP(AE578,Sheet1!$F:$F,Sheet1!$W:$W),FIND("-",_xlfn.XLOOKUP(AE578,Sheet1!$F:$F,Sheet1!$W:$W),FIND("-",_xlfn.XLOOKUP(AE578,Sheet1!$F:$F,Sheet1!$W:$W))+1))&amp;AE578,"NOT FOUND"),LEFT(J578,FIND("-",J578,FIND("-",J578)+1))&amp;AE578))</f>
        <v>KRTS-APSU26-YETKRTSCUT5008</v>
      </c>
    </row>
    <row r="579" spans="1:34" ht="15.75" customHeight="1" x14ac:dyDescent="0.2">
      <c r="A579" s="4" t="s">
        <v>30</v>
      </c>
      <c r="B579" s="4" t="s">
        <v>829</v>
      </c>
      <c r="C579" s="4" t="s">
        <v>597</v>
      </c>
      <c r="D579" s="4" t="s">
        <v>579</v>
      </c>
      <c r="E579" s="4" t="s">
        <v>34</v>
      </c>
      <c r="F579" s="4" t="s">
        <v>35</v>
      </c>
      <c r="G579" s="4" t="s">
        <v>47</v>
      </c>
      <c r="H579" s="4" t="s">
        <v>836</v>
      </c>
      <c r="I579" s="4" t="s">
        <v>837</v>
      </c>
      <c r="J579" s="4" t="s">
        <v>838</v>
      </c>
      <c r="L579" s="4" t="s">
        <v>40</v>
      </c>
      <c r="M579" s="4">
        <v>1</v>
      </c>
      <c r="N579" s="4">
        <v>341</v>
      </c>
      <c r="O579" s="4">
        <v>341</v>
      </c>
      <c r="P579" s="4" t="s">
        <v>41</v>
      </c>
      <c r="Q579" s="4">
        <v>244.3</v>
      </c>
      <c r="R579" s="4">
        <v>244.3</v>
      </c>
      <c r="S579" s="4">
        <v>4165.32</v>
      </c>
      <c r="T579" s="4">
        <v>83306.3</v>
      </c>
      <c r="U579" s="4">
        <v>5</v>
      </c>
      <c r="V579" s="4" t="s">
        <v>42</v>
      </c>
      <c r="X579" s="7" t="str">
        <f t="shared" si="30"/>
        <v>441857089</v>
      </c>
      <c r="Y579" s="8" t="str">
        <f t="shared" si="31"/>
        <v>DC</v>
      </c>
      <c r="Z579" s="8">
        <f t="shared" si="32"/>
        <v>0</v>
      </c>
      <c r="AA579" s="8">
        <f t="shared" si="33"/>
        <v>0</v>
      </c>
      <c r="AB579" s="8">
        <f t="shared" si="34"/>
        <v>341</v>
      </c>
      <c r="AC579" s="8">
        <f t="shared" si="35"/>
        <v>0</v>
      </c>
      <c r="AD579" s="8">
        <f t="shared" si="36"/>
        <v>0</v>
      </c>
      <c r="AE579" s="9" t="str" cm="1">
        <f t="array" ref="AE579">IFERROR(_xlfn.XLOOKUP(H579,Sheet1!$G:$G,Sheet1!$F:$F),IFERROR(_xlfn.XLOOKUP(1,(--($X$2:$X$1074=X579))*(--ISNUMBER(MATCH($H$2:$H$1074,Sheet1!$G:$G,0))),_xlfn.XLOOKUP($H$2:$H$1074,Sheet1!$G:$G,Sheet1!$F:$F,"")),"NOT FOUND"))</f>
        <v>YETKRTSCUT5008</v>
      </c>
      <c r="AF579" s="10" t="str">
        <f t="shared" ref="AF579:AF642" si="39">IFERROR(IF(ISNUMBER(SEARCH("(RP)",J579)),TRIM(SUBSTITUTE(MID(J579,10,LEN(J579)),"(RP)","")),TRIM(MID(J579,FIND(",",J579)+1,FIND(",",J579,FIND(",",J579)+1)-FIND(",",J579)-1))),"")</f>
        <v>MUSTARD</v>
      </c>
      <c r="AG579" s="11" t="str">
        <f t="shared" ref="AG579:AG642" si="40">IF(A579="SZAF","Bangalore",IF(A579="SAEX","JHAJJAR",IF(A579="S0EU","HARIPAL","")))</f>
        <v>Bangalore</v>
      </c>
      <c r="AH579" s="9" t="str">
        <f>IF(OR(J579="",AE579="",AE579="NOT FOUND"),"",IF(Y579="RP",IFERROR(LEFT(_xlfn.XLOOKUP(AE579,Sheet1!$F:$F,Sheet1!$W:$W),FIND("-",_xlfn.XLOOKUP(AE579,Sheet1!$F:$F,Sheet1!$W:$W),FIND("-",_xlfn.XLOOKUP(AE579,Sheet1!$F:$F,Sheet1!$W:$W))+1))&amp;AE579,"NOT FOUND"),LEFT(J579,FIND("-",J579,FIND("-",J579)+1))&amp;AE579))</f>
        <v>KRTS-APSU26-YETKRTSCUT5008</v>
      </c>
    </row>
    <row r="580" spans="1:34" ht="15.75" customHeight="1" x14ac:dyDescent="0.2">
      <c r="A580" s="4" t="s">
        <v>30</v>
      </c>
      <c r="B580" s="4" t="s">
        <v>829</v>
      </c>
      <c r="C580" s="4" t="s">
        <v>597</v>
      </c>
      <c r="D580" s="4" t="s">
        <v>579</v>
      </c>
      <c r="E580" s="4" t="s">
        <v>34</v>
      </c>
      <c r="F580" s="4" t="s">
        <v>35</v>
      </c>
      <c r="G580" s="4" t="s">
        <v>51</v>
      </c>
      <c r="H580" s="4" t="s">
        <v>839</v>
      </c>
      <c r="I580" s="4" t="s">
        <v>840</v>
      </c>
      <c r="J580" s="4" t="s">
        <v>841</v>
      </c>
      <c r="L580" s="4" t="s">
        <v>40</v>
      </c>
      <c r="M580" s="4">
        <v>1</v>
      </c>
      <c r="N580" s="4">
        <v>303</v>
      </c>
      <c r="O580" s="4">
        <v>303</v>
      </c>
      <c r="P580" s="4" t="s">
        <v>41</v>
      </c>
      <c r="Q580" s="4">
        <v>244.3</v>
      </c>
      <c r="R580" s="4">
        <v>244.3</v>
      </c>
      <c r="S580" s="4">
        <v>3701.15</v>
      </c>
      <c r="T580" s="4">
        <v>74022.899999999994</v>
      </c>
      <c r="U580" s="4">
        <v>5</v>
      </c>
      <c r="V580" s="4" t="s">
        <v>42</v>
      </c>
      <c r="X580" s="7" t="str">
        <f t="shared" si="30"/>
        <v>441857089</v>
      </c>
      <c r="Y580" s="8" t="str">
        <f t="shared" si="31"/>
        <v>DC</v>
      </c>
      <c r="Z580" s="8">
        <f t="shared" si="32"/>
        <v>0</v>
      </c>
      <c r="AA580" s="8">
        <f t="shared" si="33"/>
        <v>303</v>
      </c>
      <c r="AB580" s="8">
        <f t="shared" si="34"/>
        <v>0</v>
      </c>
      <c r="AC580" s="8">
        <f t="shared" si="35"/>
        <v>0</v>
      </c>
      <c r="AD580" s="8">
        <f t="shared" si="36"/>
        <v>0</v>
      </c>
      <c r="AE580" s="9" t="str" cm="1">
        <f t="array" ref="AE580">IFERROR(_xlfn.XLOOKUP(H580,Sheet1!$G:$G,Sheet1!$F:$F),IFERROR(_xlfn.XLOOKUP(1,(--($X$2:$X$1074=X580))*(--ISNUMBER(MATCH($H$2:$H$1074,Sheet1!$G:$G,0))),_xlfn.XLOOKUP($H$2:$H$1074,Sheet1!$G:$G,Sheet1!$F:$F,"")),"NOT FOUND"))</f>
        <v>YETKRTSCUT5008</v>
      </c>
      <c r="AF580" s="10" t="str">
        <f t="shared" si="39"/>
        <v>MUSTARD</v>
      </c>
      <c r="AG580" s="11" t="str">
        <f t="shared" si="40"/>
        <v>Bangalore</v>
      </c>
      <c r="AH580" s="9" t="str">
        <f>IF(OR(J580="",AE580="",AE580="NOT FOUND"),"",IF(Y580="RP",IFERROR(LEFT(_xlfn.XLOOKUP(AE580,Sheet1!$F:$F,Sheet1!$W:$W),FIND("-",_xlfn.XLOOKUP(AE580,Sheet1!$F:$F,Sheet1!$W:$W),FIND("-",_xlfn.XLOOKUP(AE580,Sheet1!$F:$F,Sheet1!$W:$W))+1))&amp;AE580,"NOT FOUND"),LEFT(J580,FIND("-",J580,FIND("-",J580)+1))&amp;AE580))</f>
        <v>KRTS-APSU26-YETKRTSCUT5008</v>
      </c>
    </row>
    <row r="581" spans="1:34" ht="15.75" customHeight="1" x14ac:dyDescent="0.2">
      <c r="A581" s="4" t="s">
        <v>30</v>
      </c>
      <c r="B581" s="4" t="s">
        <v>829</v>
      </c>
      <c r="C581" s="4" t="s">
        <v>597</v>
      </c>
      <c r="D581" s="4" t="s">
        <v>579</v>
      </c>
      <c r="E581" s="4" t="s">
        <v>34</v>
      </c>
      <c r="F581" s="4" t="s">
        <v>35</v>
      </c>
      <c r="G581" s="4" t="s">
        <v>55</v>
      </c>
      <c r="H581" s="4" t="s">
        <v>842</v>
      </c>
      <c r="I581" s="4" t="s">
        <v>843</v>
      </c>
      <c r="J581" s="4" t="s">
        <v>844</v>
      </c>
      <c r="L581" s="4" t="s">
        <v>40</v>
      </c>
      <c r="M581" s="4">
        <v>1</v>
      </c>
      <c r="N581" s="4">
        <v>30</v>
      </c>
      <c r="O581" s="4">
        <v>30</v>
      </c>
      <c r="P581" s="4" t="s">
        <v>41</v>
      </c>
      <c r="Q581" s="4">
        <v>244.3</v>
      </c>
      <c r="R581" s="4">
        <v>244.3</v>
      </c>
      <c r="S581" s="4">
        <v>366.45</v>
      </c>
      <c r="T581" s="4">
        <v>7329</v>
      </c>
      <c r="U581" s="4">
        <v>5</v>
      </c>
      <c r="V581" s="4" t="s">
        <v>42</v>
      </c>
      <c r="X581" s="7" t="str">
        <f t="shared" si="30"/>
        <v>441857089</v>
      </c>
      <c r="Y581" s="8" t="str">
        <f t="shared" si="31"/>
        <v>DC</v>
      </c>
      <c r="Z581" s="8">
        <f t="shared" si="32"/>
        <v>30</v>
      </c>
      <c r="AA581" s="8">
        <f t="shared" si="33"/>
        <v>0</v>
      </c>
      <c r="AB581" s="8">
        <f t="shared" si="34"/>
        <v>0</v>
      </c>
      <c r="AC581" s="8">
        <f t="shared" si="35"/>
        <v>0</v>
      </c>
      <c r="AD581" s="8">
        <f t="shared" si="36"/>
        <v>0</v>
      </c>
      <c r="AE581" s="9" t="str" cm="1">
        <f t="array" ref="AE581">IFERROR(_xlfn.XLOOKUP(H581,Sheet1!$G:$G,Sheet1!$F:$F),IFERROR(_xlfn.XLOOKUP(1,(--($X$2:$X$1074=X581))*(--ISNUMBER(MATCH($H$2:$H$1074,Sheet1!$G:$G,0))),_xlfn.XLOOKUP($H$2:$H$1074,Sheet1!$G:$G,Sheet1!$F:$F,"")),"NOT FOUND"))</f>
        <v>YETKRTSCUT5008</v>
      </c>
      <c r="AF581" s="10" t="str">
        <f t="shared" si="39"/>
        <v>MUSTARD</v>
      </c>
      <c r="AG581" s="11" t="str">
        <f t="shared" si="40"/>
        <v>Bangalore</v>
      </c>
      <c r="AH581" s="9" t="str">
        <f>IF(OR(J581="",AE581="",AE581="NOT FOUND"),"",IF(Y581="RP",IFERROR(LEFT(_xlfn.XLOOKUP(AE581,Sheet1!$F:$F,Sheet1!$W:$W),FIND("-",_xlfn.XLOOKUP(AE581,Sheet1!$F:$F,Sheet1!$W:$W),FIND("-",_xlfn.XLOOKUP(AE581,Sheet1!$F:$F,Sheet1!$W:$W))+1))&amp;AE581,"NOT FOUND"),LEFT(J581,FIND("-",J581,FIND("-",J581)+1))&amp;AE581))</f>
        <v>KRTS-APSU26-YETKRTSCUT5008</v>
      </c>
    </row>
    <row r="582" spans="1:34" ht="15.75" customHeight="1" x14ac:dyDescent="0.2">
      <c r="A582" s="4" t="s">
        <v>30</v>
      </c>
      <c r="B582" s="4" t="s">
        <v>845</v>
      </c>
      <c r="C582" s="4" t="s">
        <v>597</v>
      </c>
      <c r="D582" s="4" t="s">
        <v>579</v>
      </c>
      <c r="E582" s="4" t="s">
        <v>34</v>
      </c>
      <c r="F582" s="4" t="s">
        <v>35</v>
      </c>
      <c r="G582" s="4" t="s">
        <v>36</v>
      </c>
      <c r="H582" s="4" t="s">
        <v>846</v>
      </c>
      <c r="I582" s="4" t="s">
        <v>847</v>
      </c>
      <c r="J582" s="4" t="s">
        <v>848</v>
      </c>
      <c r="L582" s="4" t="s">
        <v>40</v>
      </c>
      <c r="M582" s="4">
        <v>1</v>
      </c>
      <c r="N582" s="4">
        <v>71</v>
      </c>
      <c r="O582" s="4">
        <v>71</v>
      </c>
      <c r="P582" s="4" t="s">
        <v>41</v>
      </c>
      <c r="Q582" s="4">
        <v>244.3</v>
      </c>
      <c r="R582" s="4">
        <v>244.3</v>
      </c>
      <c r="S582" s="4">
        <v>867.27</v>
      </c>
      <c r="T582" s="4">
        <v>17345.3</v>
      </c>
      <c r="U582" s="4">
        <v>5</v>
      </c>
      <c r="V582" s="4" t="s">
        <v>42</v>
      </c>
      <c r="X582" s="7" t="str">
        <f t="shared" si="30"/>
        <v>441857089</v>
      </c>
      <c r="Y582" s="8" t="str">
        <f t="shared" si="31"/>
        <v>DC</v>
      </c>
      <c r="Z582" s="8">
        <f t="shared" si="32"/>
        <v>0</v>
      </c>
      <c r="AA582" s="8">
        <f t="shared" si="33"/>
        <v>0</v>
      </c>
      <c r="AB582" s="8">
        <f t="shared" si="34"/>
        <v>0</v>
      </c>
      <c r="AC582" s="8">
        <f t="shared" si="35"/>
        <v>0</v>
      </c>
      <c r="AD582" s="8">
        <f t="shared" si="36"/>
        <v>71</v>
      </c>
      <c r="AE582" s="9" t="str" cm="1">
        <f t="array" ref="AE582">IFERROR(_xlfn.XLOOKUP(H582,Sheet1!$G:$G,Sheet1!$F:$F),IFERROR(_xlfn.XLOOKUP(1,(--($X$2:$X$1074=X582))*(--ISNUMBER(MATCH($H$2:$H$1074,Sheet1!$G:$G,0))),_xlfn.XLOOKUP($H$2:$H$1074,Sheet1!$G:$G,Sheet1!$F:$F,"")),"NOT FOUND"))</f>
        <v>YETKRTSCUT5008</v>
      </c>
      <c r="AF582" s="10" t="str">
        <f t="shared" si="39"/>
        <v>FUCHSIA</v>
      </c>
      <c r="AG582" s="11" t="str">
        <f t="shared" si="40"/>
        <v>Bangalore</v>
      </c>
      <c r="AH582" s="9" t="str">
        <f>IF(OR(J582="",AE582="",AE582="NOT FOUND"),"",IF(Y582="RP",IFERROR(LEFT(_xlfn.XLOOKUP(AE582,Sheet1!$F:$F,Sheet1!$W:$W),FIND("-",_xlfn.XLOOKUP(AE582,Sheet1!$F:$F,Sheet1!$W:$W),FIND("-",_xlfn.XLOOKUP(AE582,Sheet1!$F:$F,Sheet1!$W:$W))+1))&amp;AE582,"NOT FOUND"),LEFT(J582,FIND("-",J582,FIND("-",J582)+1))&amp;AE582))</f>
        <v>KRTS-APSU26-YETKRTSCUT5008</v>
      </c>
    </row>
    <row r="583" spans="1:34" ht="15.75" customHeight="1" x14ac:dyDescent="0.2">
      <c r="A583" s="4" t="s">
        <v>30</v>
      </c>
      <c r="B583" s="4" t="s">
        <v>845</v>
      </c>
      <c r="C583" s="4" t="s">
        <v>597</v>
      </c>
      <c r="D583" s="4" t="s">
        <v>579</v>
      </c>
      <c r="E583" s="4" t="s">
        <v>34</v>
      </c>
      <c r="F583" s="4" t="s">
        <v>35</v>
      </c>
      <c r="G583" s="4" t="s">
        <v>43</v>
      </c>
      <c r="H583" s="4" t="s">
        <v>849</v>
      </c>
      <c r="I583" s="4" t="s">
        <v>850</v>
      </c>
      <c r="J583" s="4" t="s">
        <v>851</v>
      </c>
      <c r="L583" s="4" t="s">
        <v>40</v>
      </c>
      <c r="M583" s="4">
        <v>1</v>
      </c>
      <c r="N583" s="4">
        <v>372</v>
      </c>
      <c r="O583" s="4">
        <v>372</v>
      </c>
      <c r="P583" s="4" t="s">
        <v>41</v>
      </c>
      <c r="Q583" s="4">
        <v>244.3</v>
      </c>
      <c r="R583" s="4">
        <v>244.3</v>
      </c>
      <c r="S583" s="4">
        <v>4543.9799999999996</v>
      </c>
      <c r="T583" s="4">
        <v>90879.6</v>
      </c>
      <c r="U583" s="4">
        <v>5</v>
      </c>
      <c r="V583" s="4" t="s">
        <v>42</v>
      </c>
      <c r="X583" s="7" t="str">
        <f t="shared" si="30"/>
        <v>441857089</v>
      </c>
      <c r="Y583" s="8" t="str">
        <f t="shared" si="31"/>
        <v>DC</v>
      </c>
      <c r="Z583" s="8">
        <f t="shared" si="32"/>
        <v>0</v>
      </c>
      <c r="AA583" s="8">
        <f t="shared" si="33"/>
        <v>0</v>
      </c>
      <c r="AB583" s="8">
        <f t="shared" si="34"/>
        <v>0</v>
      </c>
      <c r="AC583" s="8">
        <f t="shared" si="35"/>
        <v>372</v>
      </c>
      <c r="AD583" s="8">
        <f t="shared" si="36"/>
        <v>0</v>
      </c>
      <c r="AE583" s="9" t="str" cm="1">
        <f t="array" ref="AE583">IFERROR(_xlfn.XLOOKUP(H583,Sheet1!$G:$G,Sheet1!$F:$F),IFERROR(_xlfn.XLOOKUP(1,(--($X$2:$X$1074=X583))*(--ISNUMBER(MATCH($H$2:$H$1074,Sheet1!$G:$G,0))),_xlfn.XLOOKUP($H$2:$H$1074,Sheet1!$G:$G,Sheet1!$F:$F,"")),"NOT FOUND"))</f>
        <v>YETKRTSCUT5008</v>
      </c>
      <c r="AF583" s="10" t="str">
        <f t="shared" si="39"/>
        <v>FUCHSIA</v>
      </c>
      <c r="AG583" s="11" t="str">
        <f t="shared" si="40"/>
        <v>Bangalore</v>
      </c>
      <c r="AH583" s="9" t="str">
        <f>IF(OR(J583="",AE583="",AE583="NOT FOUND"),"",IF(Y583="RP",IFERROR(LEFT(_xlfn.XLOOKUP(AE583,Sheet1!$F:$F,Sheet1!$W:$W),FIND("-",_xlfn.XLOOKUP(AE583,Sheet1!$F:$F,Sheet1!$W:$W),FIND("-",_xlfn.XLOOKUP(AE583,Sheet1!$F:$F,Sheet1!$W:$W))+1))&amp;AE583,"NOT FOUND"),LEFT(J583,FIND("-",J583,FIND("-",J583)+1))&amp;AE583))</f>
        <v>KRTS-APSU26-YETKRTSCUT5008</v>
      </c>
    </row>
    <row r="584" spans="1:34" ht="15.75" customHeight="1" x14ac:dyDescent="0.2">
      <c r="A584" s="4" t="s">
        <v>30</v>
      </c>
      <c r="B584" s="4" t="s">
        <v>845</v>
      </c>
      <c r="C584" s="4" t="s">
        <v>597</v>
      </c>
      <c r="D584" s="4" t="s">
        <v>579</v>
      </c>
      <c r="E584" s="4" t="s">
        <v>34</v>
      </c>
      <c r="F584" s="4" t="s">
        <v>35</v>
      </c>
      <c r="G584" s="4" t="s">
        <v>47</v>
      </c>
      <c r="H584" s="4" t="s">
        <v>852</v>
      </c>
      <c r="I584" s="4" t="s">
        <v>853</v>
      </c>
      <c r="J584" s="4" t="s">
        <v>854</v>
      </c>
      <c r="L584" s="4" t="s">
        <v>40</v>
      </c>
      <c r="M584" s="4">
        <v>1</v>
      </c>
      <c r="N584" s="4">
        <v>318</v>
      </c>
      <c r="O584" s="4">
        <v>318</v>
      </c>
      <c r="P584" s="4" t="s">
        <v>41</v>
      </c>
      <c r="Q584" s="4">
        <v>244.3</v>
      </c>
      <c r="R584" s="4">
        <v>244.3</v>
      </c>
      <c r="S584" s="4">
        <v>3884.37</v>
      </c>
      <c r="T584" s="4">
        <v>77687.399999999994</v>
      </c>
      <c r="U584" s="4">
        <v>5</v>
      </c>
      <c r="V584" s="4" t="s">
        <v>42</v>
      </c>
      <c r="X584" s="7" t="str">
        <f t="shared" si="30"/>
        <v>441857089</v>
      </c>
      <c r="Y584" s="8" t="str">
        <f t="shared" si="31"/>
        <v>DC</v>
      </c>
      <c r="Z584" s="8">
        <f t="shared" si="32"/>
        <v>0</v>
      </c>
      <c r="AA584" s="8">
        <f t="shared" si="33"/>
        <v>0</v>
      </c>
      <c r="AB584" s="8">
        <f t="shared" si="34"/>
        <v>318</v>
      </c>
      <c r="AC584" s="8">
        <f t="shared" si="35"/>
        <v>0</v>
      </c>
      <c r="AD584" s="8">
        <f t="shared" si="36"/>
        <v>0</v>
      </c>
      <c r="AE584" s="9" t="str" cm="1">
        <f t="array" ref="AE584">IFERROR(_xlfn.XLOOKUP(H584,Sheet1!$G:$G,Sheet1!$F:$F),IFERROR(_xlfn.XLOOKUP(1,(--($X$2:$X$1074=X584))*(--ISNUMBER(MATCH($H$2:$H$1074,Sheet1!$G:$G,0))),_xlfn.XLOOKUP($H$2:$H$1074,Sheet1!$G:$G,Sheet1!$F:$F,"")),"NOT FOUND"))</f>
        <v>YETKRTSCUT5008</v>
      </c>
      <c r="AF584" s="10" t="str">
        <f t="shared" si="39"/>
        <v>FUCHSIA</v>
      </c>
      <c r="AG584" s="11" t="str">
        <f t="shared" si="40"/>
        <v>Bangalore</v>
      </c>
      <c r="AH584" s="9" t="str">
        <f>IF(OR(J584="",AE584="",AE584="NOT FOUND"),"",IF(Y584="RP",IFERROR(LEFT(_xlfn.XLOOKUP(AE584,Sheet1!$F:$F,Sheet1!$W:$W),FIND("-",_xlfn.XLOOKUP(AE584,Sheet1!$F:$F,Sheet1!$W:$W),FIND("-",_xlfn.XLOOKUP(AE584,Sheet1!$F:$F,Sheet1!$W:$W))+1))&amp;AE584,"NOT FOUND"),LEFT(J584,FIND("-",J584,FIND("-",J584)+1))&amp;AE584))</f>
        <v>KRTS-APSU26-YETKRTSCUT5008</v>
      </c>
    </row>
    <row r="585" spans="1:34" ht="15.75" customHeight="1" x14ac:dyDescent="0.2">
      <c r="A585" s="4" t="s">
        <v>30</v>
      </c>
      <c r="B585" s="4" t="s">
        <v>845</v>
      </c>
      <c r="C585" s="4" t="s">
        <v>597</v>
      </c>
      <c r="D585" s="4" t="s">
        <v>579</v>
      </c>
      <c r="E585" s="4" t="s">
        <v>34</v>
      </c>
      <c r="F585" s="4" t="s">
        <v>35</v>
      </c>
      <c r="G585" s="4" t="s">
        <v>51</v>
      </c>
      <c r="H585" s="4" t="s">
        <v>855</v>
      </c>
      <c r="I585" s="4" t="s">
        <v>856</v>
      </c>
      <c r="J585" s="4" t="s">
        <v>857</v>
      </c>
      <c r="L585" s="4" t="s">
        <v>40</v>
      </c>
      <c r="M585" s="4">
        <v>1</v>
      </c>
      <c r="N585" s="4">
        <v>283</v>
      </c>
      <c r="O585" s="4">
        <v>283</v>
      </c>
      <c r="P585" s="4" t="s">
        <v>41</v>
      </c>
      <c r="Q585" s="4">
        <v>244.3</v>
      </c>
      <c r="R585" s="4">
        <v>244.3</v>
      </c>
      <c r="S585" s="4">
        <v>3456.85</v>
      </c>
      <c r="T585" s="4">
        <v>69136.899999999994</v>
      </c>
      <c r="U585" s="4">
        <v>5</v>
      </c>
      <c r="V585" s="4" t="s">
        <v>42</v>
      </c>
      <c r="X585" s="7" t="str">
        <f t="shared" si="30"/>
        <v>441857089</v>
      </c>
      <c r="Y585" s="8" t="str">
        <f t="shared" si="31"/>
        <v>DC</v>
      </c>
      <c r="Z585" s="8">
        <f t="shared" si="32"/>
        <v>0</v>
      </c>
      <c r="AA585" s="8">
        <f t="shared" si="33"/>
        <v>283</v>
      </c>
      <c r="AB585" s="8">
        <f t="shared" si="34"/>
        <v>0</v>
      </c>
      <c r="AC585" s="8">
        <f t="shared" si="35"/>
        <v>0</v>
      </c>
      <c r="AD585" s="8">
        <f t="shared" si="36"/>
        <v>0</v>
      </c>
      <c r="AE585" s="9" t="str" cm="1">
        <f t="array" ref="AE585">IFERROR(_xlfn.XLOOKUP(H585,Sheet1!$G:$G,Sheet1!$F:$F),IFERROR(_xlfn.XLOOKUP(1,(--($X$2:$X$1074=X585))*(--ISNUMBER(MATCH($H$2:$H$1074,Sheet1!$G:$G,0))),_xlfn.XLOOKUP($H$2:$H$1074,Sheet1!$G:$G,Sheet1!$F:$F,"")),"NOT FOUND"))</f>
        <v>YETKRTSCUT5008</v>
      </c>
      <c r="AF585" s="10" t="str">
        <f t="shared" si="39"/>
        <v>FUCHSIA</v>
      </c>
      <c r="AG585" s="11" t="str">
        <f t="shared" si="40"/>
        <v>Bangalore</v>
      </c>
      <c r="AH585" s="9" t="str">
        <f>IF(OR(J585="",AE585="",AE585="NOT FOUND"),"",IF(Y585="RP",IFERROR(LEFT(_xlfn.XLOOKUP(AE585,Sheet1!$F:$F,Sheet1!$W:$W),FIND("-",_xlfn.XLOOKUP(AE585,Sheet1!$F:$F,Sheet1!$W:$W),FIND("-",_xlfn.XLOOKUP(AE585,Sheet1!$F:$F,Sheet1!$W:$W))+1))&amp;AE585,"NOT FOUND"),LEFT(J585,FIND("-",J585,FIND("-",J585)+1))&amp;AE585))</f>
        <v>KRTS-APSU26-YETKRTSCUT5008</v>
      </c>
    </row>
    <row r="586" spans="1:34" ht="15.75" customHeight="1" x14ac:dyDescent="0.2">
      <c r="A586" s="4" t="s">
        <v>30</v>
      </c>
      <c r="B586" s="4" t="s">
        <v>845</v>
      </c>
      <c r="C586" s="4" t="s">
        <v>597</v>
      </c>
      <c r="D586" s="4" t="s">
        <v>579</v>
      </c>
      <c r="E586" s="4" t="s">
        <v>34</v>
      </c>
      <c r="F586" s="4" t="s">
        <v>35</v>
      </c>
      <c r="G586" s="4" t="s">
        <v>55</v>
      </c>
      <c r="H586" s="4" t="s">
        <v>858</v>
      </c>
      <c r="I586" s="4" t="s">
        <v>859</v>
      </c>
      <c r="J586" s="4" t="s">
        <v>860</v>
      </c>
      <c r="L586" s="4" t="s">
        <v>40</v>
      </c>
      <c r="M586" s="4">
        <v>1</v>
      </c>
      <c r="N586" s="4">
        <v>30</v>
      </c>
      <c r="O586" s="4">
        <v>30</v>
      </c>
      <c r="P586" s="4" t="s">
        <v>41</v>
      </c>
      <c r="Q586" s="4">
        <v>244.3</v>
      </c>
      <c r="R586" s="4">
        <v>244.3</v>
      </c>
      <c r="S586" s="4">
        <v>366.45</v>
      </c>
      <c r="T586" s="4">
        <v>7329</v>
      </c>
      <c r="U586" s="4">
        <v>5</v>
      </c>
      <c r="V586" s="4" t="s">
        <v>42</v>
      </c>
      <c r="X586" s="7" t="str">
        <f t="shared" si="30"/>
        <v>441857089</v>
      </c>
      <c r="Y586" s="8" t="str">
        <f t="shared" si="31"/>
        <v>DC</v>
      </c>
      <c r="Z586" s="8">
        <f t="shared" si="32"/>
        <v>30</v>
      </c>
      <c r="AA586" s="8">
        <f t="shared" si="33"/>
        <v>0</v>
      </c>
      <c r="AB586" s="8">
        <f t="shared" si="34"/>
        <v>0</v>
      </c>
      <c r="AC586" s="8">
        <f t="shared" si="35"/>
        <v>0</v>
      </c>
      <c r="AD586" s="8">
        <f t="shared" si="36"/>
        <v>0</v>
      </c>
      <c r="AE586" s="9" t="str" cm="1">
        <f t="array" ref="AE586">IFERROR(_xlfn.XLOOKUP(H586,Sheet1!$G:$G,Sheet1!$F:$F),IFERROR(_xlfn.XLOOKUP(1,(--($X$2:$X$1074=X586))*(--ISNUMBER(MATCH($H$2:$H$1074,Sheet1!$G:$G,0))),_xlfn.XLOOKUP($H$2:$H$1074,Sheet1!$G:$G,Sheet1!$F:$F,"")),"NOT FOUND"))</f>
        <v>YETKRTSCUT5008</v>
      </c>
      <c r="AF586" s="10" t="str">
        <f t="shared" si="39"/>
        <v>FUCHSIA</v>
      </c>
      <c r="AG586" s="11" t="str">
        <f t="shared" si="40"/>
        <v>Bangalore</v>
      </c>
      <c r="AH586" s="9" t="str">
        <f>IF(OR(J586="",AE586="",AE586="NOT FOUND"),"",IF(Y586="RP",IFERROR(LEFT(_xlfn.XLOOKUP(AE586,Sheet1!$F:$F,Sheet1!$W:$W),FIND("-",_xlfn.XLOOKUP(AE586,Sheet1!$F:$F,Sheet1!$W:$W),FIND("-",_xlfn.XLOOKUP(AE586,Sheet1!$F:$F,Sheet1!$W:$W))+1))&amp;AE586,"NOT FOUND"),LEFT(J586,FIND("-",J586,FIND("-",J586)+1))&amp;AE586))</f>
        <v>KRTS-APSU26-YETKRTSCUT5008</v>
      </c>
    </row>
    <row r="587" spans="1:34" ht="15.75" customHeight="1" x14ac:dyDescent="0.2">
      <c r="A587" s="4" t="s">
        <v>59</v>
      </c>
      <c r="B587" s="4" t="s">
        <v>861</v>
      </c>
      <c r="C587" s="4" t="s">
        <v>597</v>
      </c>
      <c r="D587" s="4" t="s">
        <v>797</v>
      </c>
      <c r="E587" s="4" t="s">
        <v>34</v>
      </c>
      <c r="F587" s="4" t="s">
        <v>35</v>
      </c>
      <c r="G587" s="4" t="s">
        <v>36</v>
      </c>
      <c r="H587" s="4" t="s">
        <v>798</v>
      </c>
      <c r="I587" s="4" t="s">
        <v>799</v>
      </c>
      <c r="J587" s="4" t="s">
        <v>800</v>
      </c>
      <c r="L587" s="4" t="s">
        <v>40</v>
      </c>
      <c r="M587" s="4">
        <v>1</v>
      </c>
      <c r="N587" s="4">
        <v>41</v>
      </c>
      <c r="O587" s="4">
        <v>41</v>
      </c>
      <c r="P587" s="4" t="s">
        <v>41</v>
      </c>
      <c r="Q587" s="4">
        <v>244.3</v>
      </c>
      <c r="R587" s="4">
        <v>244.3</v>
      </c>
      <c r="S587" s="4">
        <v>500.82</v>
      </c>
      <c r="T587" s="4">
        <v>10016.299999999999</v>
      </c>
      <c r="U587" s="4">
        <v>5</v>
      </c>
      <c r="V587" s="4" t="s">
        <v>42</v>
      </c>
      <c r="X587" s="7" t="str">
        <f t="shared" si="30"/>
        <v>441857089</v>
      </c>
      <c r="Y587" s="8" t="str">
        <f t="shared" si="31"/>
        <v>DC</v>
      </c>
      <c r="Z587" s="8">
        <f t="shared" si="32"/>
        <v>0</v>
      </c>
      <c r="AA587" s="8">
        <f t="shared" si="33"/>
        <v>0</v>
      </c>
      <c r="AB587" s="8">
        <f t="shared" si="34"/>
        <v>0</v>
      </c>
      <c r="AC587" s="8">
        <f t="shared" si="35"/>
        <v>0</v>
      </c>
      <c r="AD587" s="8">
        <f t="shared" si="36"/>
        <v>41</v>
      </c>
      <c r="AE587" s="9" t="str" cm="1">
        <f t="array" ref="AE587">IFERROR(_xlfn.XLOOKUP(H587,Sheet1!$G:$G,Sheet1!$F:$F),IFERROR(_xlfn.XLOOKUP(1,(--($X$2:$X$1074=X587))*(--ISNUMBER(MATCH($H$2:$H$1074,Sheet1!$G:$G,0))),_xlfn.XLOOKUP($H$2:$H$1074,Sheet1!$G:$G,Sheet1!$F:$F,"")),"NOT FOUND"))</f>
        <v>YETKRTSCUT5008</v>
      </c>
      <c r="AF587" s="10" t="str">
        <f t="shared" si="39"/>
        <v>RUST</v>
      </c>
      <c r="AG587" s="11" t="str">
        <f t="shared" si="40"/>
        <v>JHAJJAR</v>
      </c>
      <c r="AH587" s="9" t="str">
        <f>IF(OR(J587="",AE587="",AE587="NOT FOUND"),"",IF(Y587="RP",IFERROR(LEFT(_xlfn.XLOOKUP(AE587,Sheet1!$F:$F,Sheet1!$W:$W),FIND("-",_xlfn.XLOOKUP(AE587,Sheet1!$F:$F,Sheet1!$W:$W),FIND("-",_xlfn.XLOOKUP(AE587,Sheet1!$F:$F,Sheet1!$W:$W))+1))&amp;AE587,"NOT FOUND"),LEFT(J587,FIND("-",J587,FIND("-",J587)+1))&amp;AE587))</f>
        <v>KRTS-APSU26-YETKRTSCUT5008</v>
      </c>
    </row>
    <row r="588" spans="1:34" ht="15.75" customHeight="1" x14ac:dyDescent="0.2">
      <c r="A588" s="4" t="s">
        <v>59</v>
      </c>
      <c r="B588" s="4" t="s">
        <v>861</v>
      </c>
      <c r="C588" s="4" t="s">
        <v>597</v>
      </c>
      <c r="D588" s="4" t="s">
        <v>797</v>
      </c>
      <c r="E588" s="4" t="s">
        <v>34</v>
      </c>
      <c r="F588" s="4" t="s">
        <v>35</v>
      </c>
      <c r="G588" s="4" t="s">
        <v>43</v>
      </c>
      <c r="H588" s="4" t="s">
        <v>801</v>
      </c>
      <c r="I588" s="4" t="s">
        <v>802</v>
      </c>
      <c r="J588" s="4" t="s">
        <v>803</v>
      </c>
      <c r="L588" s="4" t="s">
        <v>40</v>
      </c>
      <c r="M588" s="4">
        <v>1</v>
      </c>
      <c r="N588" s="4">
        <v>214</v>
      </c>
      <c r="O588" s="4">
        <v>214</v>
      </c>
      <c r="P588" s="4" t="s">
        <v>41</v>
      </c>
      <c r="Q588" s="4">
        <v>244.3</v>
      </c>
      <c r="R588" s="4">
        <v>244.3</v>
      </c>
      <c r="S588" s="4">
        <v>2614.0100000000002</v>
      </c>
      <c r="T588" s="4">
        <v>52280.2</v>
      </c>
      <c r="U588" s="4">
        <v>5</v>
      </c>
      <c r="V588" s="4" t="s">
        <v>42</v>
      </c>
      <c r="X588" s="7" t="str">
        <f t="shared" si="30"/>
        <v>441857089</v>
      </c>
      <c r="Y588" s="8" t="str">
        <f t="shared" si="31"/>
        <v>DC</v>
      </c>
      <c r="Z588" s="8">
        <f t="shared" si="32"/>
        <v>0</v>
      </c>
      <c r="AA588" s="8">
        <f t="shared" si="33"/>
        <v>0</v>
      </c>
      <c r="AB588" s="8">
        <f t="shared" si="34"/>
        <v>0</v>
      </c>
      <c r="AC588" s="8">
        <f t="shared" si="35"/>
        <v>214</v>
      </c>
      <c r="AD588" s="8">
        <f t="shared" si="36"/>
        <v>0</v>
      </c>
      <c r="AE588" s="9" t="str" cm="1">
        <f t="array" ref="AE588">IFERROR(_xlfn.XLOOKUP(H588,Sheet1!$G:$G,Sheet1!$F:$F),IFERROR(_xlfn.XLOOKUP(1,(--($X$2:$X$1074=X588))*(--ISNUMBER(MATCH($H$2:$H$1074,Sheet1!$G:$G,0))),_xlfn.XLOOKUP($H$2:$H$1074,Sheet1!$G:$G,Sheet1!$F:$F,"")),"NOT FOUND"))</f>
        <v>YETKRTSCUT5008</v>
      </c>
      <c r="AF588" s="10" t="str">
        <f t="shared" si="39"/>
        <v>RUST</v>
      </c>
      <c r="AG588" s="11" t="str">
        <f t="shared" si="40"/>
        <v>JHAJJAR</v>
      </c>
      <c r="AH588" s="9" t="str">
        <f>IF(OR(J588="",AE588="",AE588="NOT FOUND"),"",IF(Y588="RP",IFERROR(LEFT(_xlfn.XLOOKUP(AE588,Sheet1!$F:$F,Sheet1!$W:$W),FIND("-",_xlfn.XLOOKUP(AE588,Sheet1!$F:$F,Sheet1!$W:$W),FIND("-",_xlfn.XLOOKUP(AE588,Sheet1!$F:$F,Sheet1!$W:$W))+1))&amp;AE588,"NOT FOUND"),LEFT(J588,FIND("-",J588,FIND("-",J588)+1))&amp;AE588))</f>
        <v>KRTS-APSU26-YETKRTSCUT5008</v>
      </c>
    </row>
    <row r="589" spans="1:34" ht="15.75" customHeight="1" x14ac:dyDescent="0.2">
      <c r="A589" s="4" t="s">
        <v>59</v>
      </c>
      <c r="B589" s="4" t="s">
        <v>861</v>
      </c>
      <c r="C589" s="4" t="s">
        <v>597</v>
      </c>
      <c r="D589" s="4" t="s">
        <v>797</v>
      </c>
      <c r="E589" s="4" t="s">
        <v>34</v>
      </c>
      <c r="F589" s="4" t="s">
        <v>35</v>
      </c>
      <c r="G589" s="4" t="s">
        <v>47</v>
      </c>
      <c r="H589" s="4" t="s">
        <v>804</v>
      </c>
      <c r="I589" s="4" t="s">
        <v>805</v>
      </c>
      <c r="J589" s="4" t="s">
        <v>806</v>
      </c>
      <c r="L589" s="4" t="s">
        <v>40</v>
      </c>
      <c r="M589" s="4">
        <v>1</v>
      </c>
      <c r="N589" s="4">
        <v>183</v>
      </c>
      <c r="O589" s="4">
        <v>183</v>
      </c>
      <c r="P589" s="4" t="s">
        <v>41</v>
      </c>
      <c r="Q589" s="4">
        <v>244.3</v>
      </c>
      <c r="R589" s="4">
        <v>244.3</v>
      </c>
      <c r="S589" s="4">
        <v>2235.35</v>
      </c>
      <c r="T589" s="4">
        <v>44706.9</v>
      </c>
      <c r="U589" s="4">
        <v>5</v>
      </c>
      <c r="V589" s="4" t="s">
        <v>42</v>
      </c>
      <c r="X589" s="7" t="str">
        <f t="shared" si="30"/>
        <v>441857089</v>
      </c>
      <c r="Y589" s="8" t="str">
        <f t="shared" si="31"/>
        <v>DC</v>
      </c>
      <c r="Z589" s="8">
        <f t="shared" si="32"/>
        <v>0</v>
      </c>
      <c r="AA589" s="8">
        <f t="shared" si="33"/>
        <v>0</v>
      </c>
      <c r="AB589" s="8">
        <f t="shared" si="34"/>
        <v>183</v>
      </c>
      <c r="AC589" s="8">
        <f t="shared" si="35"/>
        <v>0</v>
      </c>
      <c r="AD589" s="8">
        <f t="shared" si="36"/>
        <v>0</v>
      </c>
      <c r="AE589" s="9" t="str" cm="1">
        <f t="array" ref="AE589">IFERROR(_xlfn.XLOOKUP(H589,Sheet1!$G:$G,Sheet1!$F:$F),IFERROR(_xlfn.XLOOKUP(1,(--($X$2:$X$1074=X589))*(--ISNUMBER(MATCH($H$2:$H$1074,Sheet1!$G:$G,0))),_xlfn.XLOOKUP($H$2:$H$1074,Sheet1!$G:$G,Sheet1!$F:$F,"")),"NOT FOUND"))</f>
        <v>YETKRTSCUT5008</v>
      </c>
      <c r="AF589" s="10" t="str">
        <f t="shared" si="39"/>
        <v>RUST</v>
      </c>
      <c r="AG589" s="11" t="str">
        <f t="shared" si="40"/>
        <v>JHAJJAR</v>
      </c>
      <c r="AH589" s="9" t="str">
        <f>IF(OR(J589="",AE589="",AE589="NOT FOUND"),"",IF(Y589="RP",IFERROR(LEFT(_xlfn.XLOOKUP(AE589,Sheet1!$F:$F,Sheet1!$W:$W),FIND("-",_xlfn.XLOOKUP(AE589,Sheet1!$F:$F,Sheet1!$W:$W),FIND("-",_xlfn.XLOOKUP(AE589,Sheet1!$F:$F,Sheet1!$W:$W))+1))&amp;AE589,"NOT FOUND"),LEFT(J589,FIND("-",J589,FIND("-",J589)+1))&amp;AE589))</f>
        <v>KRTS-APSU26-YETKRTSCUT5008</v>
      </c>
    </row>
    <row r="590" spans="1:34" ht="15.75" customHeight="1" x14ac:dyDescent="0.2">
      <c r="A590" s="4" t="s">
        <v>59</v>
      </c>
      <c r="B590" s="4" t="s">
        <v>861</v>
      </c>
      <c r="C590" s="4" t="s">
        <v>597</v>
      </c>
      <c r="D590" s="4" t="s">
        <v>797</v>
      </c>
      <c r="E590" s="4" t="s">
        <v>34</v>
      </c>
      <c r="F590" s="4" t="s">
        <v>35</v>
      </c>
      <c r="G590" s="4" t="s">
        <v>51</v>
      </c>
      <c r="H590" s="4" t="s">
        <v>807</v>
      </c>
      <c r="I590" s="4" t="s">
        <v>808</v>
      </c>
      <c r="J590" s="4" t="s">
        <v>809</v>
      </c>
      <c r="L590" s="4" t="s">
        <v>40</v>
      </c>
      <c r="M590" s="4">
        <v>1</v>
      </c>
      <c r="N590" s="4">
        <v>163</v>
      </c>
      <c r="O590" s="4">
        <v>163</v>
      </c>
      <c r="P590" s="4" t="s">
        <v>41</v>
      </c>
      <c r="Q590" s="4">
        <v>244.3</v>
      </c>
      <c r="R590" s="4">
        <v>244.3</v>
      </c>
      <c r="S590" s="4">
        <v>1991.05</v>
      </c>
      <c r="T590" s="4">
        <v>39820.9</v>
      </c>
      <c r="U590" s="4">
        <v>5</v>
      </c>
      <c r="V590" s="4" t="s">
        <v>42</v>
      </c>
      <c r="X590" s="7" t="str">
        <f t="shared" si="30"/>
        <v>441857089</v>
      </c>
      <c r="Y590" s="8" t="str">
        <f t="shared" si="31"/>
        <v>DC</v>
      </c>
      <c r="Z590" s="8">
        <f t="shared" si="32"/>
        <v>0</v>
      </c>
      <c r="AA590" s="8">
        <f t="shared" si="33"/>
        <v>163</v>
      </c>
      <c r="AB590" s="8">
        <f t="shared" si="34"/>
        <v>0</v>
      </c>
      <c r="AC590" s="8">
        <f t="shared" si="35"/>
        <v>0</v>
      </c>
      <c r="AD590" s="8">
        <f t="shared" si="36"/>
        <v>0</v>
      </c>
      <c r="AE590" s="9" t="str" cm="1">
        <f t="array" ref="AE590">IFERROR(_xlfn.XLOOKUP(H590,Sheet1!$G:$G,Sheet1!$F:$F),IFERROR(_xlfn.XLOOKUP(1,(--($X$2:$X$1074=X590))*(--ISNUMBER(MATCH($H$2:$H$1074,Sheet1!$G:$G,0))),_xlfn.XLOOKUP($H$2:$H$1074,Sheet1!$G:$G,Sheet1!$F:$F,"")),"NOT FOUND"))</f>
        <v>YETKRTSCUT5008</v>
      </c>
      <c r="AF590" s="10" t="str">
        <f t="shared" si="39"/>
        <v>RUST</v>
      </c>
      <c r="AG590" s="11" t="str">
        <f t="shared" si="40"/>
        <v>JHAJJAR</v>
      </c>
      <c r="AH590" s="9" t="str">
        <f>IF(OR(J590="",AE590="",AE590="NOT FOUND"),"",IF(Y590="RP",IFERROR(LEFT(_xlfn.XLOOKUP(AE590,Sheet1!$F:$F,Sheet1!$W:$W),FIND("-",_xlfn.XLOOKUP(AE590,Sheet1!$F:$F,Sheet1!$W:$W),FIND("-",_xlfn.XLOOKUP(AE590,Sheet1!$F:$F,Sheet1!$W:$W))+1))&amp;AE590,"NOT FOUND"),LEFT(J590,FIND("-",J590,FIND("-",J590)+1))&amp;AE590))</f>
        <v>KRTS-APSU26-YETKRTSCUT5008</v>
      </c>
    </row>
    <row r="591" spans="1:34" ht="15.75" customHeight="1" x14ac:dyDescent="0.2">
      <c r="A591" s="4" t="s">
        <v>59</v>
      </c>
      <c r="B591" s="4" t="s">
        <v>861</v>
      </c>
      <c r="C591" s="4" t="s">
        <v>597</v>
      </c>
      <c r="D591" s="4" t="s">
        <v>797</v>
      </c>
      <c r="E591" s="4" t="s">
        <v>34</v>
      </c>
      <c r="F591" s="4" t="s">
        <v>35</v>
      </c>
      <c r="G591" s="4" t="s">
        <v>55</v>
      </c>
      <c r="H591" s="4" t="s">
        <v>810</v>
      </c>
      <c r="I591" s="4" t="s">
        <v>811</v>
      </c>
      <c r="J591" s="4" t="s">
        <v>812</v>
      </c>
      <c r="L591" s="4" t="s">
        <v>40</v>
      </c>
      <c r="M591" s="4">
        <v>1</v>
      </c>
      <c r="N591" s="4">
        <v>30</v>
      </c>
      <c r="O591" s="4">
        <v>30</v>
      </c>
      <c r="P591" s="4" t="s">
        <v>41</v>
      </c>
      <c r="Q591" s="4">
        <v>244.3</v>
      </c>
      <c r="R591" s="4">
        <v>244.3</v>
      </c>
      <c r="S591" s="4">
        <v>366.45</v>
      </c>
      <c r="T591" s="4">
        <v>7329</v>
      </c>
      <c r="U591" s="4">
        <v>5</v>
      </c>
      <c r="V591" s="4" t="s">
        <v>42</v>
      </c>
      <c r="X591" s="7" t="str">
        <f t="shared" si="30"/>
        <v>441857089</v>
      </c>
      <c r="Y591" s="8" t="str">
        <f t="shared" si="31"/>
        <v>DC</v>
      </c>
      <c r="Z591" s="8">
        <f t="shared" si="32"/>
        <v>30</v>
      </c>
      <c r="AA591" s="8">
        <f t="shared" si="33"/>
        <v>0</v>
      </c>
      <c r="AB591" s="8">
        <f t="shared" si="34"/>
        <v>0</v>
      </c>
      <c r="AC591" s="8">
        <f t="shared" si="35"/>
        <v>0</v>
      </c>
      <c r="AD591" s="8">
        <f t="shared" si="36"/>
        <v>0</v>
      </c>
      <c r="AE591" s="9" t="str" cm="1">
        <f t="array" ref="AE591">IFERROR(_xlfn.XLOOKUP(H591,Sheet1!$G:$G,Sheet1!$F:$F),IFERROR(_xlfn.XLOOKUP(1,(--($X$2:$X$1074=X591))*(--ISNUMBER(MATCH($H$2:$H$1074,Sheet1!$G:$G,0))),_xlfn.XLOOKUP($H$2:$H$1074,Sheet1!$G:$G,Sheet1!$F:$F,"")),"NOT FOUND"))</f>
        <v>YETKRTSCUT5008</v>
      </c>
      <c r="AF591" s="10" t="str">
        <f t="shared" si="39"/>
        <v>RUST</v>
      </c>
      <c r="AG591" s="11" t="str">
        <f t="shared" si="40"/>
        <v>JHAJJAR</v>
      </c>
      <c r="AH591" s="9" t="str">
        <f>IF(OR(J591="",AE591="",AE591="NOT FOUND"),"",IF(Y591="RP",IFERROR(LEFT(_xlfn.XLOOKUP(AE591,Sheet1!$F:$F,Sheet1!$W:$W),FIND("-",_xlfn.XLOOKUP(AE591,Sheet1!$F:$F,Sheet1!$W:$W),FIND("-",_xlfn.XLOOKUP(AE591,Sheet1!$F:$F,Sheet1!$W:$W))+1))&amp;AE591,"NOT FOUND"),LEFT(J591,FIND("-",J591,FIND("-",J591)+1))&amp;AE591))</f>
        <v>KRTS-APSU26-YETKRTSCUT5008</v>
      </c>
    </row>
    <row r="592" spans="1:34" ht="15.75" customHeight="1" x14ac:dyDescent="0.2">
      <c r="A592" s="4" t="s">
        <v>59</v>
      </c>
      <c r="B592" s="4" t="s">
        <v>862</v>
      </c>
      <c r="C592" s="4" t="s">
        <v>597</v>
      </c>
      <c r="D592" s="4" t="s">
        <v>797</v>
      </c>
      <c r="E592" s="4" t="s">
        <v>34</v>
      </c>
      <c r="F592" s="4" t="s">
        <v>35</v>
      </c>
      <c r="G592" s="4" t="s">
        <v>36</v>
      </c>
      <c r="H592" s="4" t="s">
        <v>814</v>
      </c>
      <c r="I592" s="4" t="s">
        <v>815</v>
      </c>
      <c r="J592" s="4" t="s">
        <v>816</v>
      </c>
      <c r="L592" s="4" t="s">
        <v>40</v>
      </c>
      <c r="M592" s="4">
        <v>1</v>
      </c>
      <c r="N592" s="4">
        <v>41</v>
      </c>
      <c r="O592" s="4">
        <v>41</v>
      </c>
      <c r="P592" s="4" t="s">
        <v>41</v>
      </c>
      <c r="Q592" s="4">
        <v>244.3</v>
      </c>
      <c r="R592" s="4">
        <v>244.3</v>
      </c>
      <c r="S592" s="4">
        <v>500.82</v>
      </c>
      <c r="T592" s="4">
        <v>10016.299999999999</v>
      </c>
      <c r="U592" s="4">
        <v>5</v>
      </c>
      <c r="V592" s="4" t="s">
        <v>42</v>
      </c>
      <c r="X592" s="7" t="str">
        <f t="shared" si="30"/>
        <v>441857089</v>
      </c>
      <c r="Y592" s="8" t="str">
        <f t="shared" si="31"/>
        <v>DC</v>
      </c>
      <c r="Z592" s="8">
        <f t="shared" si="32"/>
        <v>0</v>
      </c>
      <c r="AA592" s="8">
        <f t="shared" si="33"/>
        <v>0</v>
      </c>
      <c r="AB592" s="8">
        <f t="shared" si="34"/>
        <v>0</v>
      </c>
      <c r="AC592" s="8">
        <f t="shared" si="35"/>
        <v>0</v>
      </c>
      <c r="AD592" s="8">
        <f t="shared" si="36"/>
        <v>41</v>
      </c>
      <c r="AE592" s="9" t="str" cm="1">
        <f t="array" ref="AE592">IFERROR(_xlfn.XLOOKUP(H592,Sheet1!$G:$G,Sheet1!$F:$F),IFERROR(_xlfn.XLOOKUP(1,(--($X$2:$X$1074=X592))*(--ISNUMBER(MATCH($H$2:$H$1074,Sheet1!$G:$G,0))),_xlfn.XLOOKUP($H$2:$H$1074,Sheet1!$G:$G,Sheet1!$F:$F,"")),"NOT FOUND"))</f>
        <v>YETKRTSCUT5008</v>
      </c>
      <c r="AF592" s="10" t="str">
        <f t="shared" si="39"/>
        <v>OFF WHITE</v>
      </c>
      <c r="AG592" s="11" t="str">
        <f t="shared" si="40"/>
        <v>JHAJJAR</v>
      </c>
      <c r="AH592" s="9" t="str">
        <f>IF(OR(J592="",AE592="",AE592="NOT FOUND"),"",IF(Y592="RP",IFERROR(LEFT(_xlfn.XLOOKUP(AE592,Sheet1!$F:$F,Sheet1!$W:$W),FIND("-",_xlfn.XLOOKUP(AE592,Sheet1!$F:$F,Sheet1!$W:$W),FIND("-",_xlfn.XLOOKUP(AE592,Sheet1!$F:$F,Sheet1!$W:$W))+1))&amp;AE592,"NOT FOUND"),LEFT(J592,FIND("-",J592,FIND("-",J592)+1))&amp;AE592))</f>
        <v>KRTS-APSU26-YETKRTSCUT5008</v>
      </c>
    </row>
    <row r="593" spans="1:34" ht="15.75" customHeight="1" x14ac:dyDescent="0.2">
      <c r="A593" s="4" t="s">
        <v>59</v>
      </c>
      <c r="B593" s="4" t="s">
        <v>862</v>
      </c>
      <c r="C593" s="4" t="s">
        <v>597</v>
      </c>
      <c r="D593" s="4" t="s">
        <v>797</v>
      </c>
      <c r="E593" s="4" t="s">
        <v>34</v>
      </c>
      <c r="F593" s="4" t="s">
        <v>35</v>
      </c>
      <c r="G593" s="4" t="s">
        <v>43</v>
      </c>
      <c r="H593" s="4" t="s">
        <v>817</v>
      </c>
      <c r="I593" s="4" t="s">
        <v>818</v>
      </c>
      <c r="J593" s="4" t="s">
        <v>819</v>
      </c>
      <c r="L593" s="4" t="s">
        <v>40</v>
      </c>
      <c r="M593" s="4">
        <v>1</v>
      </c>
      <c r="N593" s="4">
        <v>214</v>
      </c>
      <c r="O593" s="4">
        <v>214</v>
      </c>
      <c r="P593" s="4" t="s">
        <v>41</v>
      </c>
      <c r="Q593" s="4">
        <v>244.3</v>
      </c>
      <c r="R593" s="4">
        <v>244.3</v>
      </c>
      <c r="S593" s="4">
        <v>2614.0100000000002</v>
      </c>
      <c r="T593" s="4">
        <v>52280.2</v>
      </c>
      <c r="U593" s="4">
        <v>5</v>
      </c>
      <c r="V593" s="4" t="s">
        <v>42</v>
      </c>
      <c r="X593" s="7" t="str">
        <f t="shared" si="30"/>
        <v>441857089</v>
      </c>
      <c r="Y593" s="8" t="str">
        <f t="shared" si="31"/>
        <v>DC</v>
      </c>
      <c r="Z593" s="8">
        <f t="shared" si="32"/>
        <v>0</v>
      </c>
      <c r="AA593" s="8">
        <f t="shared" si="33"/>
        <v>0</v>
      </c>
      <c r="AB593" s="8">
        <f t="shared" si="34"/>
        <v>0</v>
      </c>
      <c r="AC593" s="8">
        <f t="shared" si="35"/>
        <v>214</v>
      </c>
      <c r="AD593" s="8">
        <f t="shared" si="36"/>
        <v>0</v>
      </c>
      <c r="AE593" s="9" t="str" cm="1">
        <f t="array" ref="AE593">IFERROR(_xlfn.XLOOKUP(H593,Sheet1!$G:$G,Sheet1!$F:$F),IFERROR(_xlfn.XLOOKUP(1,(--($X$2:$X$1074=X593))*(--ISNUMBER(MATCH($H$2:$H$1074,Sheet1!$G:$G,0))),_xlfn.XLOOKUP($H$2:$H$1074,Sheet1!$G:$G,Sheet1!$F:$F,"")),"NOT FOUND"))</f>
        <v>YETKRTSCUT5008</v>
      </c>
      <c r="AF593" s="10" t="str">
        <f t="shared" si="39"/>
        <v>OFF WHITE</v>
      </c>
      <c r="AG593" s="11" t="str">
        <f t="shared" si="40"/>
        <v>JHAJJAR</v>
      </c>
      <c r="AH593" s="9" t="str">
        <f>IF(OR(J593="",AE593="",AE593="NOT FOUND"),"",IF(Y593="RP",IFERROR(LEFT(_xlfn.XLOOKUP(AE593,Sheet1!$F:$F,Sheet1!$W:$W),FIND("-",_xlfn.XLOOKUP(AE593,Sheet1!$F:$F,Sheet1!$W:$W),FIND("-",_xlfn.XLOOKUP(AE593,Sheet1!$F:$F,Sheet1!$W:$W))+1))&amp;AE593,"NOT FOUND"),LEFT(J593,FIND("-",J593,FIND("-",J593)+1))&amp;AE593))</f>
        <v>KRTS-APSU26-YETKRTSCUT5008</v>
      </c>
    </row>
    <row r="594" spans="1:34" ht="15.75" customHeight="1" x14ac:dyDescent="0.2">
      <c r="A594" s="4" t="s">
        <v>59</v>
      </c>
      <c r="B594" s="4" t="s">
        <v>862</v>
      </c>
      <c r="C594" s="4" t="s">
        <v>597</v>
      </c>
      <c r="D594" s="4" t="s">
        <v>797</v>
      </c>
      <c r="E594" s="4" t="s">
        <v>34</v>
      </c>
      <c r="F594" s="4" t="s">
        <v>35</v>
      </c>
      <c r="G594" s="4" t="s">
        <v>47</v>
      </c>
      <c r="H594" s="4" t="s">
        <v>820</v>
      </c>
      <c r="I594" s="4" t="s">
        <v>821</v>
      </c>
      <c r="J594" s="4" t="s">
        <v>822</v>
      </c>
      <c r="L594" s="4" t="s">
        <v>40</v>
      </c>
      <c r="M594" s="4">
        <v>1</v>
      </c>
      <c r="N594" s="4">
        <v>183</v>
      </c>
      <c r="O594" s="4">
        <v>183</v>
      </c>
      <c r="P594" s="4" t="s">
        <v>41</v>
      </c>
      <c r="Q594" s="4">
        <v>244.3</v>
      </c>
      <c r="R594" s="4">
        <v>244.3</v>
      </c>
      <c r="S594" s="4">
        <v>2235.35</v>
      </c>
      <c r="T594" s="4">
        <v>44706.9</v>
      </c>
      <c r="U594" s="4">
        <v>5</v>
      </c>
      <c r="V594" s="4" t="s">
        <v>42</v>
      </c>
      <c r="X594" s="7" t="str">
        <f t="shared" si="30"/>
        <v>441857089</v>
      </c>
      <c r="Y594" s="8" t="str">
        <f t="shared" si="31"/>
        <v>DC</v>
      </c>
      <c r="Z594" s="8">
        <f t="shared" si="32"/>
        <v>0</v>
      </c>
      <c r="AA594" s="8">
        <f t="shared" si="33"/>
        <v>0</v>
      </c>
      <c r="AB594" s="8">
        <f t="shared" si="34"/>
        <v>183</v>
      </c>
      <c r="AC594" s="8">
        <f t="shared" si="35"/>
        <v>0</v>
      </c>
      <c r="AD594" s="8">
        <f t="shared" si="36"/>
        <v>0</v>
      </c>
      <c r="AE594" s="9" t="str" cm="1">
        <f t="array" ref="AE594">IFERROR(_xlfn.XLOOKUP(H594,Sheet1!$G:$G,Sheet1!$F:$F),IFERROR(_xlfn.XLOOKUP(1,(--($X$2:$X$1074=X594))*(--ISNUMBER(MATCH($H$2:$H$1074,Sheet1!$G:$G,0))),_xlfn.XLOOKUP($H$2:$H$1074,Sheet1!$G:$G,Sheet1!$F:$F,"")),"NOT FOUND"))</f>
        <v>YETKRTSCUT5008</v>
      </c>
      <c r="AF594" s="10" t="str">
        <f t="shared" si="39"/>
        <v>OFF WHITE</v>
      </c>
      <c r="AG594" s="11" t="str">
        <f t="shared" si="40"/>
        <v>JHAJJAR</v>
      </c>
      <c r="AH594" s="9" t="str">
        <f>IF(OR(J594="",AE594="",AE594="NOT FOUND"),"",IF(Y594="RP",IFERROR(LEFT(_xlfn.XLOOKUP(AE594,Sheet1!$F:$F,Sheet1!$W:$W),FIND("-",_xlfn.XLOOKUP(AE594,Sheet1!$F:$F,Sheet1!$W:$W),FIND("-",_xlfn.XLOOKUP(AE594,Sheet1!$F:$F,Sheet1!$W:$W))+1))&amp;AE594,"NOT FOUND"),LEFT(J594,FIND("-",J594,FIND("-",J594)+1))&amp;AE594))</f>
        <v>KRTS-APSU26-YETKRTSCUT5008</v>
      </c>
    </row>
    <row r="595" spans="1:34" ht="15.75" customHeight="1" x14ac:dyDescent="0.2">
      <c r="A595" s="4" t="s">
        <v>59</v>
      </c>
      <c r="B595" s="4" t="s">
        <v>862</v>
      </c>
      <c r="C595" s="4" t="s">
        <v>597</v>
      </c>
      <c r="D595" s="4" t="s">
        <v>797</v>
      </c>
      <c r="E595" s="4" t="s">
        <v>34</v>
      </c>
      <c r="F595" s="4" t="s">
        <v>35</v>
      </c>
      <c r="G595" s="4" t="s">
        <v>51</v>
      </c>
      <c r="H595" s="4" t="s">
        <v>823</v>
      </c>
      <c r="I595" s="4" t="s">
        <v>824</v>
      </c>
      <c r="J595" s="4" t="s">
        <v>825</v>
      </c>
      <c r="L595" s="4" t="s">
        <v>40</v>
      </c>
      <c r="M595" s="4">
        <v>1</v>
      </c>
      <c r="N595" s="4">
        <v>163</v>
      </c>
      <c r="O595" s="4">
        <v>163</v>
      </c>
      <c r="P595" s="4" t="s">
        <v>41</v>
      </c>
      <c r="Q595" s="4">
        <v>244.3</v>
      </c>
      <c r="R595" s="4">
        <v>244.3</v>
      </c>
      <c r="S595" s="4">
        <v>1991.05</v>
      </c>
      <c r="T595" s="4">
        <v>39820.9</v>
      </c>
      <c r="U595" s="4">
        <v>5</v>
      </c>
      <c r="V595" s="4" t="s">
        <v>42</v>
      </c>
      <c r="X595" s="7" t="str">
        <f t="shared" si="30"/>
        <v>441857089</v>
      </c>
      <c r="Y595" s="8" t="str">
        <f t="shared" si="31"/>
        <v>DC</v>
      </c>
      <c r="Z595" s="8">
        <f t="shared" si="32"/>
        <v>0</v>
      </c>
      <c r="AA595" s="8">
        <f t="shared" si="33"/>
        <v>163</v>
      </c>
      <c r="AB595" s="8">
        <f t="shared" si="34"/>
        <v>0</v>
      </c>
      <c r="AC595" s="8">
        <f t="shared" si="35"/>
        <v>0</v>
      </c>
      <c r="AD595" s="8">
        <f t="shared" si="36"/>
        <v>0</v>
      </c>
      <c r="AE595" s="9" t="str" cm="1">
        <f t="array" ref="AE595">IFERROR(_xlfn.XLOOKUP(H595,Sheet1!$G:$G,Sheet1!$F:$F),IFERROR(_xlfn.XLOOKUP(1,(--($X$2:$X$1074=X595))*(--ISNUMBER(MATCH($H$2:$H$1074,Sheet1!$G:$G,0))),_xlfn.XLOOKUP($H$2:$H$1074,Sheet1!$G:$G,Sheet1!$F:$F,"")),"NOT FOUND"))</f>
        <v>YETKRTSCUT5008</v>
      </c>
      <c r="AF595" s="10" t="str">
        <f t="shared" si="39"/>
        <v>OFF WHITE</v>
      </c>
      <c r="AG595" s="11" t="str">
        <f t="shared" si="40"/>
        <v>JHAJJAR</v>
      </c>
      <c r="AH595" s="9" t="str">
        <f>IF(OR(J595="",AE595="",AE595="NOT FOUND"),"",IF(Y595="RP",IFERROR(LEFT(_xlfn.XLOOKUP(AE595,Sheet1!$F:$F,Sheet1!$W:$W),FIND("-",_xlfn.XLOOKUP(AE595,Sheet1!$F:$F,Sheet1!$W:$W),FIND("-",_xlfn.XLOOKUP(AE595,Sheet1!$F:$F,Sheet1!$W:$W))+1))&amp;AE595,"NOT FOUND"),LEFT(J595,FIND("-",J595,FIND("-",J595)+1))&amp;AE595))</f>
        <v>KRTS-APSU26-YETKRTSCUT5008</v>
      </c>
    </row>
    <row r="596" spans="1:34" ht="15.75" customHeight="1" x14ac:dyDescent="0.2">
      <c r="A596" s="4" t="s">
        <v>59</v>
      </c>
      <c r="B596" s="4" t="s">
        <v>862</v>
      </c>
      <c r="C596" s="4" t="s">
        <v>597</v>
      </c>
      <c r="D596" s="4" t="s">
        <v>797</v>
      </c>
      <c r="E596" s="4" t="s">
        <v>34</v>
      </c>
      <c r="F596" s="4" t="s">
        <v>35</v>
      </c>
      <c r="G596" s="4" t="s">
        <v>55</v>
      </c>
      <c r="H596" s="4" t="s">
        <v>826</v>
      </c>
      <c r="I596" s="4" t="s">
        <v>827</v>
      </c>
      <c r="J596" s="4" t="s">
        <v>828</v>
      </c>
      <c r="L596" s="4" t="s">
        <v>40</v>
      </c>
      <c r="M596" s="4">
        <v>1</v>
      </c>
      <c r="N596" s="4">
        <v>30</v>
      </c>
      <c r="O596" s="4">
        <v>30</v>
      </c>
      <c r="P596" s="4" t="s">
        <v>41</v>
      </c>
      <c r="Q596" s="4">
        <v>244.3</v>
      </c>
      <c r="R596" s="4">
        <v>244.3</v>
      </c>
      <c r="S596" s="4">
        <v>366.45</v>
      </c>
      <c r="T596" s="4">
        <v>7329</v>
      </c>
      <c r="U596" s="4">
        <v>5</v>
      </c>
      <c r="V596" s="4" t="s">
        <v>42</v>
      </c>
      <c r="X596" s="7" t="str">
        <f t="shared" si="30"/>
        <v>441857089</v>
      </c>
      <c r="Y596" s="8" t="str">
        <f t="shared" si="31"/>
        <v>DC</v>
      </c>
      <c r="Z596" s="8">
        <f t="shared" si="32"/>
        <v>30</v>
      </c>
      <c r="AA596" s="8">
        <f t="shared" si="33"/>
        <v>0</v>
      </c>
      <c r="AB596" s="8">
        <f t="shared" si="34"/>
        <v>0</v>
      </c>
      <c r="AC596" s="8">
        <f t="shared" si="35"/>
        <v>0</v>
      </c>
      <c r="AD596" s="8">
        <f t="shared" si="36"/>
        <v>0</v>
      </c>
      <c r="AE596" s="9" t="str" cm="1">
        <f t="array" ref="AE596">IFERROR(_xlfn.XLOOKUP(H596,Sheet1!$G:$G,Sheet1!$F:$F),IFERROR(_xlfn.XLOOKUP(1,(--($X$2:$X$1074=X596))*(--ISNUMBER(MATCH($H$2:$H$1074,Sheet1!$G:$G,0))),_xlfn.XLOOKUP($H$2:$H$1074,Sheet1!$G:$G,Sheet1!$F:$F,"")),"NOT FOUND"))</f>
        <v>YETKRTSCUT5008</v>
      </c>
      <c r="AF596" s="10" t="str">
        <f t="shared" si="39"/>
        <v>OFF WHITE</v>
      </c>
      <c r="AG596" s="11" t="str">
        <f t="shared" si="40"/>
        <v>JHAJJAR</v>
      </c>
      <c r="AH596" s="9" t="str">
        <f>IF(OR(J596="",AE596="",AE596="NOT FOUND"),"",IF(Y596="RP",IFERROR(LEFT(_xlfn.XLOOKUP(AE596,Sheet1!$F:$F,Sheet1!$W:$W),FIND("-",_xlfn.XLOOKUP(AE596,Sheet1!$F:$F,Sheet1!$W:$W),FIND("-",_xlfn.XLOOKUP(AE596,Sheet1!$F:$F,Sheet1!$W:$W))+1))&amp;AE596,"NOT FOUND"),LEFT(J596,FIND("-",J596,FIND("-",J596)+1))&amp;AE596))</f>
        <v>KRTS-APSU26-YETKRTSCUT5008</v>
      </c>
    </row>
    <row r="597" spans="1:34" ht="15.75" customHeight="1" x14ac:dyDescent="0.2">
      <c r="A597" s="4" t="s">
        <v>59</v>
      </c>
      <c r="B597" s="4" t="s">
        <v>863</v>
      </c>
      <c r="C597" s="4" t="s">
        <v>597</v>
      </c>
      <c r="D597" s="4" t="s">
        <v>579</v>
      </c>
      <c r="E597" s="4" t="s">
        <v>34</v>
      </c>
      <c r="F597" s="4" t="s">
        <v>35</v>
      </c>
      <c r="G597" s="4" t="s">
        <v>36</v>
      </c>
      <c r="H597" s="4" t="s">
        <v>830</v>
      </c>
      <c r="I597" s="4" t="s">
        <v>831</v>
      </c>
      <c r="J597" s="4" t="s">
        <v>832</v>
      </c>
      <c r="L597" s="4" t="s">
        <v>40</v>
      </c>
      <c r="M597" s="4">
        <v>1</v>
      </c>
      <c r="N597" s="4">
        <v>38</v>
      </c>
      <c r="O597" s="4">
        <v>38</v>
      </c>
      <c r="P597" s="4" t="s">
        <v>41</v>
      </c>
      <c r="Q597" s="4">
        <v>244.3</v>
      </c>
      <c r="R597" s="4">
        <v>244.3</v>
      </c>
      <c r="S597" s="4">
        <v>464.17</v>
      </c>
      <c r="T597" s="4">
        <v>9283.4</v>
      </c>
      <c r="U597" s="4">
        <v>5</v>
      </c>
      <c r="V597" s="4" t="s">
        <v>42</v>
      </c>
      <c r="X597" s="7" t="str">
        <f t="shared" si="30"/>
        <v>441857089</v>
      </c>
      <c r="Y597" s="8" t="str">
        <f t="shared" si="31"/>
        <v>DC</v>
      </c>
      <c r="Z597" s="8">
        <f t="shared" si="32"/>
        <v>0</v>
      </c>
      <c r="AA597" s="8">
        <f t="shared" si="33"/>
        <v>0</v>
      </c>
      <c r="AB597" s="8">
        <f t="shared" si="34"/>
        <v>0</v>
      </c>
      <c r="AC597" s="8">
        <f t="shared" si="35"/>
        <v>0</v>
      </c>
      <c r="AD597" s="8">
        <f t="shared" si="36"/>
        <v>38</v>
      </c>
      <c r="AE597" s="9" t="str" cm="1">
        <f t="array" ref="AE597">IFERROR(_xlfn.XLOOKUP(H597,Sheet1!$G:$G,Sheet1!$F:$F),IFERROR(_xlfn.XLOOKUP(1,(--($X$2:$X$1074=X597))*(--ISNUMBER(MATCH($H$2:$H$1074,Sheet1!$G:$G,0))),_xlfn.XLOOKUP($H$2:$H$1074,Sheet1!$G:$G,Sheet1!$F:$F,"")),"NOT FOUND"))</f>
        <v>YETKRTSCUT5008</v>
      </c>
      <c r="AF597" s="10" t="str">
        <f t="shared" si="39"/>
        <v>MUSTARD</v>
      </c>
      <c r="AG597" s="11" t="str">
        <f t="shared" si="40"/>
        <v>JHAJJAR</v>
      </c>
      <c r="AH597" s="9" t="str">
        <f>IF(OR(J597="",AE597="",AE597="NOT FOUND"),"",IF(Y597="RP",IFERROR(LEFT(_xlfn.XLOOKUP(AE597,Sheet1!$F:$F,Sheet1!$W:$W),FIND("-",_xlfn.XLOOKUP(AE597,Sheet1!$F:$F,Sheet1!$W:$W),FIND("-",_xlfn.XLOOKUP(AE597,Sheet1!$F:$F,Sheet1!$W:$W))+1))&amp;AE597,"NOT FOUND"),LEFT(J597,FIND("-",J597,FIND("-",J597)+1))&amp;AE597))</f>
        <v>KRTS-APSU26-YETKRTSCUT5008</v>
      </c>
    </row>
    <row r="598" spans="1:34" ht="15.75" customHeight="1" x14ac:dyDescent="0.2">
      <c r="A598" s="4" t="s">
        <v>59</v>
      </c>
      <c r="B598" s="4" t="s">
        <v>863</v>
      </c>
      <c r="C598" s="4" t="s">
        <v>597</v>
      </c>
      <c r="D598" s="4" t="s">
        <v>579</v>
      </c>
      <c r="E598" s="4" t="s">
        <v>34</v>
      </c>
      <c r="F598" s="4" t="s">
        <v>35</v>
      </c>
      <c r="G598" s="4" t="s">
        <v>43</v>
      </c>
      <c r="H598" s="4" t="s">
        <v>833</v>
      </c>
      <c r="I598" s="4" t="s">
        <v>834</v>
      </c>
      <c r="J598" s="4" t="s">
        <v>835</v>
      </c>
      <c r="L598" s="4" t="s">
        <v>40</v>
      </c>
      <c r="M598" s="4">
        <v>1</v>
      </c>
      <c r="N598" s="4">
        <v>200</v>
      </c>
      <c r="O598" s="4">
        <v>200</v>
      </c>
      <c r="P598" s="4" t="s">
        <v>41</v>
      </c>
      <c r="Q598" s="4">
        <v>244.3</v>
      </c>
      <c r="R598" s="4">
        <v>244.3</v>
      </c>
      <c r="S598" s="4">
        <v>2443</v>
      </c>
      <c r="T598" s="4">
        <v>48860</v>
      </c>
      <c r="U598" s="4">
        <v>5</v>
      </c>
      <c r="V598" s="4" t="s">
        <v>42</v>
      </c>
      <c r="X598" s="7" t="str">
        <f t="shared" si="30"/>
        <v>441857089</v>
      </c>
      <c r="Y598" s="8" t="str">
        <f t="shared" si="31"/>
        <v>DC</v>
      </c>
      <c r="Z598" s="8">
        <f t="shared" si="32"/>
        <v>0</v>
      </c>
      <c r="AA598" s="8">
        <f t="shared" si="33"/>
        <v>0</v>
      </c>
      <c r="AB598" s="8">
        <f t="shared" si="34"/>
        <v>0</v>
      </c>
      <c r="AC598" s="8">
        <f t="shared" si="35"/>
        <v>200</v>
      </c>
      <c r="AD598" s="8">
        <f t="shared" si="36"/>
        <v>0</v>
      </c>
      <c r="AE598" s="9" t="str" cm="1">
        <f t="array" ref="AE598">IFERROR(_xlfn.XLOOKUP(H598,Sheet1!$G:$G,Sheet1!$F:$F),IFERROR(_xlfn.XLOOKUP(1,(--($X$2:$X$1074=X598))*(--ISNUMBER(MATCH($H$2:$H$1074,Sheet1!$G:$G,0))),_xlfn.XLOOKUP($H$2:$H$1074,Sheet1!$G:$G,Sheet1!$F:$F,"")),"NOT FOUND"))</f>
        <v>YETKRTSCUT5008</v>
      </c>
      <c r="AF598" s="10" t="str">
        <f t="shared" si="39"/>
        <v>MUSTARD</v>
      </c>
      <c r="AG598" s="11" t="str">
        <f t="shared" si="40"/>
        <v>JHAJJAR</v>
      </c>
      <c r="AH598" s="9" t="str">
        <f>IF(OR(J598="",AE598="",AE598="NOT FOUND"),"",IF(Y598="RP",IFERROR(LEFT(_xlfn.XLOOKUP(AE598,Sheet1!$F:$F,Sheet1!$W:$W),FIND("-",_xlfn.XLOOKUP(AE598,Sheet1!$F:$F,Sheet1!$W:$W),FIND("-",_xlfn.XLOOKUP(AE598,Sheet1!$F:$F,Sheet1!$W:$W))+1))&amp;AE598,"NOT FOUND"),LEFT(J598,FIND("-",J598,FIND("-",J598)+1))&amp;AE598))</f>
        <v>KRTS-APSU26-YETKRTSCUT5008</v>
      </c>
    </row>
    <row r="599" spans="1:34" ht="15.75" customHeight="1" x14ac:dyDescent="0.2">
      <c r="A599" s="4" t="s">
        <v>59</v>
      </c>
      <c r="B599" s="4" t="s">
        <v>863</v>
      </c>
      <c r="C599" s="4" t="s">
        <v>597</v>
      </c>
      <c r="D599" s="4" t="s">
        <v>579</v>
      </c>
      <c r="E599" s="4" t="s">
        <v>34</v>
      </c>
      <c r="F599" s="4" t="s">
        <v>35</v>
      </c>
      <c r="G599" s="4" t="s">
        <v>47</v>
      </c>
      <c r="H599" s="4" t="s">
        <v>836</v>
      </c>
      <c r="I599" s="4" t="s">
        <v>837</v>
      </c>
      <c r="J599" s="4" t="s">
        <v>838</v>
      </c>
      <c r="L599" s="4" t="s">
        <v>40</v>
      </c>
      <c r="M599" s="4">
        <v>1</v>
      </c>
      <c r="N599" s="4">
        <v>171</v>
      </c>
      <c r="O599" s="4">
        <v>171</v>
      </c>
      <c r="P599" s="4" t="s">
        <v>41</v>
      </c>
      <c r="Q599" s="4">
        <v>244.3</v>
      </c>
      <c r="R599" s="4">
        <v>244.3</v>
      </c>
      <c r="S599" s="4">
        <v>2088.77</v>
      </c>
      <c r="T599" s="4">
        <v>41775.300000000003</v>
      </c>
      <c r="U599" s="4">
        <v>5</v>
      </c>
      <c r="V599" s="4" t="s">
        <v>42</v>
      </c>
      <c r="X599" s="7" t="str">
        <f t="shared" si="30"/>
        <v>441857089</v>
      </c>
      <c r="Y599" s="8" t="str">
        <f t="shared" si="31"/>
        <v>DC</v>
      </c>
      <c r="Z599" s="8">
        <f t="shared" si="32"/>
        <v>0</v>
      </c>
      <c r="AA599" s="8">
        <f t="shared" si="33"/>
        <v>0</v>
      </c>
      <c r="AB599" s="8">
        <f t="shared" si="34"/>
        <v>171</v>
      </c>
      <c r="AC599" s="8">
        <f t="shared" si="35"/>
        <v>0</v>
      </c>
      <c r="AD599" s="8">
        <f t="shared" si="36"/>
        <v>0</v>
      </c>
      <c r="AE599" s="9" t="str" cm="1">
        <f t="array" ref="AE599">IFERROR(_xlfn.XLOOKUP(H599,Sheet1!$G:$G,Sheet1!$F:$F),IFERROR(_xlfn.XLOOKUP(1,(--($X$2:$X$1074=X599))*(--ISNUMBER(MATCH($H$2:$H$1074,Sheet1!$G:$G,0))),_xlfn.XLOOKUP($H$2:$H$1074,Sheet1!$G:$G,Sheet1!$F:$F,"")),"NOT FOUND"))</f>
        <v>YETKRTSCUT5008</v>
      </c>
      <c r="AF599" s="10" t="str">
        <f t="shared" si="39"/>
        <v>MUSTARD</v>
      </c>
      <c r="AG599" s="11" t="str">
        <f t="shared" si="40"/>
        <v>JHAJJAR</v>
      </c>
      <c r="AH599" s="9" t="str">
        <f>IF(OR(J599="",AE599="",AE599="NOT FOUND"),"",IF(Y599="RP",IFERROR(LEFT(_xlfn.XLOOKUP(AE599,Sheet1!$F:$F,Sheet1!$W:$W),FIND("-",_xlfn.XLOOKUP(AE599,Sheet1!$F:$F,Sheet1!$W:$W),FIND("-",_xlfn.XLOOKUP(AE599,Sheet1!$F:$F,Sheet1!$W:$W))+1))&amp;AE599,"NOT FOUND"),LEFT(J599,FIND("-",J599,FIND("-",J599)+1))&amp;AE599))</f>
        <v>KRTS-APSU26-YETKRTSCUT5008</v>
      </c>
    </row>
    <row r="600" spans="1:34" ht="15.75" customHeight="1" x14ac:dyDescent="0.2">
      <c r="A600" s="4" t="s">
        <v>59</v>
      </c>
      <c r="B600" s="4" t="s">
        <v>863</v>
      </c>
      <c r="C600" s="4" t="s">
        <v>597</v>
      </c>
      <c r="D600" s="4" t="s">
        <v>579</v>
      </c>
      <c r="E600" s="4" t="s">
        <v>34</v>
      </c>
      <c r="F600" s="4" t="s">
        <v>35</v>
      </c>
      <c r="G600" s="4" t="s">
        <v>51</v>
      </c>
      <c r="H600" s="4" t="s">
        <v>839</v>
      </c>
      <c r="I600" s="4" t="s">
        <v>840</v>
      </c>
      <c r="J600" s="4" t="s">
        <v>841</v>
      </c>
      <c r="L600" s="4" t="s">
        <v>40</v>
      </c>
      <c r="M600" s="4">
        <v>1</v>
      </c>
      <c r="N600" s="4">
        <v>152</v>
      </c>
      <c r="O600" s="4">
        <v>152</v>
      </c>
      <c r="P600" s="4" t="s">
        <v>41</v>
      </c>
      <c r="Q600" s="4">
        <v>244.3</v>
      </c>
      <c r="R600" s="4">
        <v>244.3</v>
      </c>
      <c r="S600" s="4">
        <v>1856.68</v>
      </c>
      <c r="T600" s="4">
        <v>37133.599999999999</v>
      </c>
      <c r="U600" s="4">
        <v>5</v>
      </c>
      <c r="V600" s="4" t="s">
        <v>42</v>
      </c>
      <c r="X600" s="7" t="str">
        <f t="shared" si="30"/>
        <v>441857089</v>
      </c>
      <c r="Y600" s="8" t="str">
        <f t="shared" si="31"/>
        <v>DC</v>
      </c>
      <c r="Z600" s="8">
        <f t="shared" si="32"/>
        <v>0</v>
      </c>
      <c r="AA600" s="8">
        <f t="shared" si="33"/>
        <v>152</v>
      </c>
      <c r="AB600" s="8">
        <f t="shared" si="34"/>
        <v>0</v>
      </c>
      <c r="AC600" s="8">
        <f t="shared" si="35"/>
        <v>0</v>
      </c>
      <c r="AD600" s="8">
        <f t="shared" si="36"/>
        <v>0</v>
      </c>
      <c r="AE600" s="9" t="str" cm="1">
        <f t="array" ref="AE600">IFERROR(_xlfn.XLOOKUP(H600,Sheet1!$G:$G,Sheet1!$F:$F),IFERROR(_xlfn.XLOOKUP(1,(--($X$2:$X$1074=X600))*(--ISNUMBER(MATCH($H$2:$H$1074,Sheet1!$G:$G,0))),_xlfn.XLOOKUP($H$2:$H$1074,Sheet1!$G:$G,Sheet1!$F:$F,"")),"NOT FOUND"))</f>
        <v>YETKRTSCUT5008</v>
      </c>
      <c r="AF600" s="10" t="str">
        <f t="shared" si="39"/>
        <v>MUSTARD</v>
      </c>
      <c r="AG600" s="11" t="str">
        <f t="shared" si="40"/>
        <v>JHAJJAR</v>
      </c>
      <c r="AH600" s="9" t="str">
        <f>IF(OR(J600="",AE600="",AE600="NOT FOUND"),"",IF(Y600="RP",IFERROR(LEFT(_xlfn.XLOOKUP(AE600,Sheet1!$F:$F,Sheet1!$W:$W),FIND("-",_xlfn.XLOOKUP(AE600,Sheet1!$F:$F,Sheet1!$W:$W),FIND("-",_xlfn.XLOOKUP(AE600,Sheet1!$F:$F,Sheet1!$W:$W))+1))&amp;AE600,"NOT FOUND"),LEFT(J600,FIND("-",J600,FIND("-",J600)+1))&amp;AE600))</f>
        <v>KRTS-APSU26-YETKRTSCUT5008</v>
      </c>
    </row>
    <row r="601" spans="1:34" ht="15.75" customHeight="1" x14ac:dyDescent="0.2">
      <c r="A601" s="4" t="s">
        <v>59</v>
      </c>
      <c r="B601" s="4" t="s">
        <v>863</v>
      </c>
      <c r="C601" s="4" t="s">
        <v>597</v>
      </c>
      <c r="D601" s="4" t="s">
        <v>579</v>
      </c>
      <c r="E601" s="4" t="s">
        <v>34</v>
      </c>
      <c r="F601" s="4" t="s">
        <v>35</v>
      </c>
      <c r="G601" s="4" t="s">
        <v>55</v>
      </c>
      <c r="H601" s="4" t="s">
        <v>842</v>
      </c>
      <c r="I601" s="4" t="s">
        <v>843</v>
      </c>
      <c r="J601" s="4" t="s">
        <v>844</v>
      </c>
      <c r="L601" s="4" t="s">
        <v>40</v>
      </c>
      <c r="M601" s="4">
        <v>1</v>
      </c>
      <c r="N601" s="4">
        <v>30</v>
      </c>
      <c r="O601" s="4">
        <v>30</v>
      </c>
      <c r="P601" s="4" t="s">
        <v>41</v>
      </c>
      <c r="Q601" s="4">
        <v>244.3</v>
      </c>
      <c r="R601" s="4">
        <v>244.3</v>
      </c>
      <c r="S601" s="4">
        <v>366.45</v>
      </c>
      <c r="T601" s="4">
        <v>7329</v>
      </c>
      <c r="U601" s="4">
        <v>5</v>
      </c>
      <c r="V601" s="4" t="s">
        <v>42</v>
      </c>
      <c r="X601" s="7" t="str">
        <f t="shared" si="30"/>
        <v>441857089</v>
      </c>
      <c r="Y601" s="8" t="str">
        <f t="shared" si="31"/>
        <v>DC</v>
      </c>
      <c r="Z601" s="8">
        <f t="shared" si="32"/>
        <v>30</v>
      </c>
      <c r="AA601" s="8">
        <f t="shared" si="33"/>
        <v>0</v>
      </c>
      <c r="AB601" s="8">
        <f t="shared" si="34"/>
        <v>0</v>
      </c>
      <c r="AC601" s="8">
        <f t="shared" si="35"/>
        <v>0</v>
      </c>
      <c r="AD601" s="8">
        <f t="shared" si="36"/>
        <v>0</v>
      </c>
      <c r="AE601" s="9" t="str" cm="1">
        <f t="array" ref="AE601">IFERROR(_xlfn.XLOOKUP(H601,Sheet1!$G:$G,Sheet1!$F:$F),IFERROR(_xlfn.XLOOKUP(1,(--($X$2:$X$1074=X601))*(--ISNUMBER(MATCH($H$2:$H$1074,Sheet1!$G:$G,0))),_xlfn.XLOOKUP($H$2:$H$1074,Sheet1!$G:$G,Sheet1!$F:$F,"")),"NOT FOUND"))</f>
        <v>YETKRTSCUT5008</v>
      </c>
      <c r="AF601" s="10" t="str">
        <f t="shared" si="39"/>
        <v>MUSTARD</v>
      </c>
      <c r="AG601" s="11" t="str">
        <f t="shared" si="40"/>
        <v>JHAJJAR</v>
      </c>
      <c r="AH601" s="9" t="str">
        <f>IF(OR(J601="",AE601="",AE601="NOT FOUND"),"",IF(Y601="RP",IFERROR(LEFT(_xlfn.XLOOKUP(AE601,Sheet1!$F:$F,Sheet1!$W:$W),FIND("-",_xlfn.XLOOKUP(AE601,Sheet1!$F:$F,Sheet1!$W:$W),FIND("-",_xlfn.XLOOKUP(AE601,Sheet1!$F:$F,Sheet1!$W:$W))+1))&amp;AE601,"NOT FOUND"),LEFT(J601,FIND("-",J601,FIND("-",J601)+1))&amp;AE601))</f>
        <v>KRTS-APSU26-YETKRTSCUT5008</v>
      </c>
    </row>
    <row r="602" spans="1:34" ht="15.75" customHeight="1" x14ac:dyDescent="0.2">
      <c r="A602" s="4" t="s">
        <v>61</v>
      </c>
      <c r="B602" s="4" t="s">
        <v>864</v>
      </c>
      <c r="C602" s="4" t="s">
        <v>597</v>
      </c>
      <c r="D602" s="4" t="s">
        <v>579</v>
      </c>
      <c r="E602" s="4" t="s">
        <v>34</v>
      </c>
      <c r="F602" s="4" t="s">
        <v>35</v>
      </c>
      <c r="G602" s="4" t="s">
        <v>36</v>
      </c>
      <c r="H602" s="4" t="s">
        <v>865</v>
      </c>
      <c r="I602" s="4" t="s">
        <v>866</v>
      </c>
      <c r="J602" s="4" t="s">
        <v>867</v>
      </c>
      <c r="L602" s="4" t="s">
        <v>40</v>
      </c>
      <c r="M602" s="4">
        <v>1</v>
      </c>
      <c r="N602" s="4">
        <v>34</v>
      </c>
      <c r="O602" s="4">
        <v>34</v>
      </c>
      <c r="P602" s="4" t="s">
        <v>41</v>
      </c>
      <c r="Q602" s="4">
        <v>244.3</v>
      </c>
      <c r="R602" s="4">
        <v>244.3</v>
      </c>
      <c r="S602" s="4">
        <v>415.31</v>
      </c>
      <c r="T602" s="4">
        <v>8306.2000000000007</v>
      </c>
      <c r="U602" s="4">
        <v>5</v>
      </c>
      <c r="V602" s="4" t="s">
        <v>42</v>
      </c>
      <c r="X602" s="7" t="str">
        <f t="shared" si="30"/>
        <v>441857089</v>
      </c>
      <c r="Y602" s="8" t="str">
        <f t="shared" si="31"/>
        <v>DC</v>
      </c>
      <c r="Z602" s="8">
        <f t="shared" si="32"/>
        <v>0</v>
      </c>
      <c r="AA602" s="8">
        <f t="shared" si="33"/>
        <v>0</v>
      </c>
      <c r="AB602" s="8">
        <f t="shared" si="34"/>
        <v>0</v>
      </c>
      <c r="AC602" s="8">
        <f t="shared" si="35"/>
        <v>0</v>
      </c>
      <c r="AD602" s="8">
        <f t="shared" si="36"/>
        <v>34</v>
      </c>
      <c r="AE602" s="9" t="str" cm="1">
        <f t="array" ref="AE602">IFERROR(_xlfn.XLOOKUP(H602,Sheet1!$G:$G,Sheet1!$F:$F),IFERROR(_xlfn.XLOOKUP(1,(--($X$2:$X$1074=X602))*(--ISNUMBER(MATCH($H$2:$H$1074,Sheet1!$G:$G,0))),_xlfn.XLOOKUP($H$2:$H$1074,Sheet1!$G:$G,Sheet1!$F:$F,"")),"NOT FOUND"))</f>
        <v>YETKRTSCUT5008</v>
      </c>
      <c r="AF602" s="10" t="str">
        <f t="shared" si="39"/>
        <v>SAGE GREEN</v>
      </c>
      <c r="AG602" s="11" t="str">
        <f t="shared" si="40"/>
        <v>HARIPAL</v>
      </c>
      <c r="AH602" s="9" t="str">
        <f>IF(OR(J602="",AE602="",AE602="NOT FOUND"),"",IF(Y602="RP",IFERROR(LEFT(_xlfn.XLOOKUP(AE602,Sheet1!$F:$F,Sheet1!$W:$W),FIND("-",_xlfn.XLOOKUP(AE602,Sheet1!$F:$F,Sheet1!$W:$W),FIND("-",_xlfn.XLOOKUP(AE602,Sheet1!$F:$F,Sheet1!$W:$W))+1))&amp;AE602,"NOT FOUND"),LEFT(J602,FIND("-",J602,FIND("-",J602)+1))&amp;AE602))</f>
        <v>KRTS-APSU26-YETKRTSCUT5008</v>
      </c>
    </row>
    <row r="603" spans="1:34" ht="15.75" customHeight="1" x14ac:dyDescent="0.2">
      <c r="A603" s="4" t="s">
        <v>61</v>
      </c>
      <c r="B603" s="4" t="s">
        <v>864</v>
      </c>
      <c r="C603" s="4" t="s">
        <v>597</v>
      </c>
      <c r="D603" s="4" t="s">
        <v>579</v>
      </c>
      <c r="E603" s="4" t="s">
        <v>34</v>
      </c>
      <c r="F603" s="4" t="s">
        <v>35</v>
      </c>
      <c r="G603" s="4" t="s">
        <v>43</v>
      </c>
      <c r="H603" s="4" t="s">
        <v>868</v>
      </c>
      <c r="I603" s="4" t="s">
        <v>869</v>
      </c>
      <c r="J603" s="4" t="s">
        <v>870</v>
      </c>
      <c r="L603" s="4" t="s">
        <v>40</v>
      </c>
      <c r="M603" s="4">
        <v>1</v>
      </c>
      <c r="N603" s="4">
        <v>177</v>
      </c>
      <c r="O603" s="4">
        <v>177</v>
      </c>
      <c r="P603" s="4" t="s">
        <v>41</v>
      </c>
      <c r="Q603" s="4">
        <v>244.3</v>
      </c>
      <c r="R603" s="4">
        <v>244.3</v>
      </c>
      <c r="S603" s="4">
        <v>2162.06</v>
      </c>
      <c r="T603" s="4">
        <v>43241.1</v>
      </c>
      <c r="U603" s="4">
        <v>5</v>
      </c>
      <c r="V603" s="4" t="s">
        <v>42</v>
      </c>
      <c r="X603" s="7" t="str">
        <f t="shared" si="30"/>
        <v>441857089</v>
      </c>
      <c r="Y603" s="8" t="str">
        <f t="shared" si="31"/>
        <v>DC</v>
      </c>
      <c r="Z603" s="8">
        <f t="shared" si="32"/>
        <v>0</v>
      </c>
      <c r="AA603" s="8">
        <f t="shared" si="33"/>
        <v>0</v>
      </c>
      <c r="AB603" s="8">
        <f t="shared" si="34"/>
        <v>0</v>
      </c>
      <c r="AC603" s="8">
        <f t="shared" si="35"/>
        <v>177</v>
      </c>
      <c r="AD603" s="8">
        <f t="shared" si="36"/>
        <v>0</v>
      </c>
      <c r="AE603" s="9" t="str" cm="1">
        <f t="array" ref="AE603">IFERROR(_xlfn.XLOOKUP(H603,Sheet1!$G:$G,Sheet1!$F:$F),IFERROR(_xlfn.XLOOKUP(1,(--($X$2:$X$1074=X603))*(--ISNUMBER(MATCH($H$2:$H$1074,Sheet1!$G:$G,0))),_xlfn.XLOOKUP($H$2:$H$1074,Sheet1!$G:$G,Sheet1!$F:$F,"")),"NOT FOUND"))</f>
        <v>YETKRTSCUT5008</v>
      </c>
      <c r="AF603" s="10" t="str">
        <f t="shared" si="39"/>
        <v>SAGE GREEN</v>
      </c>
      <c r="AG603" s="11" t="str">
        <f t="shared" si="40"/>
        <v>HARIPAL</v>
      </c>
      <c r="AH603" s="9" t="str">
        <f>IF(OR(J603="",AE603="",AE603="NOT FOUND"),"",IF(Y603="RP",IFERROR(LEFT(_xlfn.XLOOKUP(AE603,Sheet1!$F:$F,Sheet1!$W:$W),FIND("-",_xlfn.XLOOKUP(AE603,Sheet1!$F:$F,Sheet1!$W:$W),FIND("-",_xlfn.XLOOKUP(AE603,Sheet1!$F:$F,Sheet1!$W:$W))+1))&amp;AE603,"NOT FOUND"),LEFT(J603,FIND("-",J603,FIND("-",J603)+1))&amp;AE603))</f>
        <v>KRTS-APSU26-YETKRTSCUT5008</v>
      </c>
    </row>
    <row r="604" spans="1:34" ht="15.75" customHeight="1" x14ac:dyDescent="0.2">
      <c r="A604" s="4" t="s">
        <v>61</v>
      </c>
      <c r="B604" s="4" t="s">
        <v>864</v>
      </c>
      <c r="C604" s="4" t="s">
        <v>597</v>
      </c>
      <c r="D604" s="4" t="s">
        <v>579</v>
      </c>
      <c r="E604" s="4" t="s">
        <v>34</v>
      </c>
      <c r="F604" s="4" t="s">
        <v>35</v>
      </c>
      <c r="G604" s="4" t="s">
        <v>47</v>
      </c>
      <c r="H604" s="4" t="s">
        <v>790</v>
      </c>
      <c r="I604" s="4" t="s">
        <v>791</v>
      </c>
      <c r="J604" s="4" t="s">
        <v>792</v>
      </c>
      <c r="L604" s="4" t="s">
        <v>40</v>
      </c>
      <c r="M604" s="4">
        <v>1</v>
      </c>
      <c r="N604" s="4">
        <v>152</v>
      </c>
      <c r="O604" s="4">
        <v>152</v>
      </c>
      <c r="P604" s="4" t="s">
        <v>41</v>
      </c>
      <c r="Q604" s="4">
        <v>244.3</v>
      </c>
      <c r="R604" s="4">
        <v>244.3</v>
      </c>
      <c r="S604" s="4">
        <v>1856.68</v>
      </c>
      <c r="T604" s="4">
        <v>37133.599999999999</v>
      </c>
      <c r="U604" s="4">
        <v>5</v>
      </c>
      <c r="V604" s="4" t="s">
        <v>42</v>
      </c>
      <c r="X604" s="7" t="str">
        <f t="shared" si="30"/>
        <v>441857089</v>
      </c>
      <c r="Y604" s="8" t="str">
        <f t="shared" si="31"/>
        <v>DC</v>
      </c>
      <c r="Z604" s="8">
        <f t="shared" si="32"/>
        <v>0</v>
      </c>
      <c r="AA604" s="8">
        <f t="shared" si="33"/>
        <v>0</v>
      </c>
      <c r="AB604" s="8">
        <f t="shared" si="34"/>
        <v>152</v>
      </c>
      <c r="AC604" s="8">
        <f t="shared" si="35"/>
        <v>0</v>
      </c>
      <c r="AD604" s="8">
        <f t="shared" si="36"/>
        <v>0</v>
      </c>
      <c r="AE604" s="9" t="str" cm="1">
        <f t="array" ref="AE604">IFERROR(_xlfn.XLOOKUP(H604,Sheet1!$G:$G,Sheet1!$F:$F),IFERROR(_xlfn.XLOOKUP(1,(--($X$2:$X$1074=X604))*(--ISNUMBER(MATCH($H$2:$H$1074,Sheet1!$G:$G,0))),_xlfn.XLOOKUP($H$2:$H$1074,Sheet1!$G:$G,Sheet1!$F:$F,"")),"NOT FOUND"))</f>
        <v>YETKRTSCUT5008</v>
      </c>
      <c r="AF604" s="10" t="str">
        <f t="shared" si="39"/>
        <v>SAGE GREEN</v>
      </c>
      <c r="AG604" s="11" t="str">
        <f t="shared" si="40"/>
        <v>HARIPAL</v>
      </c>
      <c r="AH604" s="9" t="str">
        <f>IF(OR(J604="",AE604="",AE604="NOT FOUND"),"",IF(Y604="RP",IFERROR(LEFT(_xlfn.XLOOKUP(AE604,Sheet1!$F:$F,Sheet1!$W:$W),FIND("-",_xlfn.XLOOKUP(AE604,Sheet1!$F:$F,Sheet1!$W:$W),FIND("-",_xlfn.XLOOKUP(AE604,Sheet1!$F:$F,Sheet1!$W:$W))+1))&amp;AE604,"NOT FOUND"),LEFT(J604,FIND("-",J604,FIND("-",J604)+1))&amp;AE604))</f>
        <v>KRTS-APSU26-YETKRTSCUT5008</v>
      </c>
    </row>
    <row r="605" spans="1:34" ht="15.75" customHeight="1" x14ac:dyDescent="0.2">
      <c r="A605" s="4" t="s">
        <v>61</v>
      </c>
      <c r="B605" s="4" t="s">
        <v>864</v>
      </c>
      <c r="C605" s="4" t="s">
        <v>597</v>
      </c>
      <c r="D605" s="4" t="s">
        <v>579</v>
      </c>
      <c r="E605" s="4" t="s">
        <v>34</v>
      </c>
      <c r="F605" s="4" t="s">
        <v>35</v>
      </c>
      <c r="G605" s="4" t="s">
        <v>51</v>
      </c>
      <c r="H605" s="4" t="s">
        <v>793</v>
      </c>
      <c r="I605" s="4" t="s">
        <v>794</v>
      </c>
      <c r="J605" s="4" t="s">
        <v>795</v>
      </c>
      <c r="L605" s="4" t="s">
        <v>40</v>
      </c>
      <c r="M605" s="4">
        <v>1</v>
      </c>
      <c r="N605" s="4">
        <v>135</v>
      </c>
      <c r="O605" s="4">
        <v>135</v>
      </c>
      <c r="P605" s="4" t="s">
        <v>41</v>
      </c>
      <c r="Q605" s="4">
        <v>244.3</v>
      </c>
      <c r="R605" s="4">
        <v>244.3</v>
      </c>
      <c r="S605" s="4">
        <v>1649.03</v>
      </c>
      <c r="T605" s="4">
        <v>32980.5</v>
      </c>
      <c r="U605" s="4">
        <v>5</v>
      </c>
      <c r="V605" s="4" t="s">
        <v>42</v>
      </c>
      <c r="X605" s="7" t="str">
        <f t="shared" si="30"/>
        <v>441857089</v>
      </c>
      <c r="Y605" s="8" t="str">
        <f t="shared" si="31"/>
        <v>DC</v>
      </c>
      <c r="Z605" s="8">
        <f t="shared" si="32"/>
        <v>0</v>
      </c>
      <c r="AA605" s="8">
        <f t="shared" si="33"/>
        <v>135</v>
      </c>
      <c r="AB605" s="8">
        <f t="shared" si="34"/>
        <v>0</v>
      </c>
      <c r="AC605" s="8">
        <f t="shared" si="35"/>
        <v>0</v>
      </c>
      <c r="AD605" s="8">
        <f t="shared" si="36"/>
        <v>0</v>
      </c>
      <c r="AE605" s="9" t="str" cm="1">
        <f t="array" ref="AE605">IFERROR(_xlfn.XLOOKUP(H605,Sheet1!$G:$G,Sheet1!$F:$F),IFERROR(_xlfn.XLOOKUP(1,(--($X$2:$X$1074=X605))*(--ISNUMBER(MATCH($H$2:$H$1074,Sheet1!$G:$G,0))),_xlfn.XLOOKUP($H$2:$H$1074,Sheet1!$G:$G,Sheet1!$F:$F,"")),"NOT FOUND"))</f>
        <v>YETKRTSCUT5008</v>
      </c>
      <c r="AF605" s="10" t="str">
        <f t="shared" si="39"/>
        <v>SAGE GREEN</v>
      </c>
      <c r="AG605" s="11" t="str">
        <f t="shared" si="40"/>
        <v>HARIPAL</v>
      </c>
      <c r="AH605" s="9" t="str">
        <f>IF(OR(J605="",AE605="",AE605="NOT FOUND"),"",IF(Y605="RP",IFERROR(LEFT(_xlfn.XLOOKUP(AE605,Sheet1!$F:$F,Sheet1!$W:$W),FIND("-",_xlfn.XLOOKUP(AE605,Sheet1!$F:$F,Sheet1!$W:$W),FIND("-",_xlfn.XLOOKUP(AE605,Sheet1!$F:$F,Sheet1!$W:$W))+1))&amp;AE605,"NOT FOUND"),LEFT(J605,FIND("-",J605,FIND("-",J605)+1))&amp;AE605))</f>
        <v>KRTS-APSU26-YETKRTSCUT5008</v>
      </c>
    </row>
    <row r="606" spans="1:34" ht="15.75" customHeight="1" x14ac:dyDescent="0.2">
      <c r="A606" s="4" t="s">
        <v>61</v>
      </c>
      <c r="B606" s="4" t="s">
        <v>864</v>
      </c>
      <c r="C606" s="4" t="s">
        <v>597</v>
      </c>
      <c r="D606" s="4" t="s">
        <v>579</v>
      </c>
      <c r="E606" s="4" t="s">
        <v>34</v>
      </c>
      <c r="F606" s="4" t="s">
        <v>35</v>
      </c>
      <c r="G606" s="4" t="s">
        <v>55</v>
      </c>
      <c r="H606" s="4" t="s">
        <v>871</v>
      </c>
      <c r="I606" s="4" t="s">
        <v>872</v>
      </c>
      <c r="J606" s="4" t="s">
        <v>873</v>
      </c>
      <c r="L606" s="4" t="s">
        <v>40</v>
      </c>
      <c r="M606" s="4">
        <v>1</v>
      </c>
      <c r="N606" s="4">
        <v>30</v>
      </c>
      <c r="O606" s="4">
        <v>30</v>
      </c>
      <c r="P606" s="4" t="s">
        <v>41</v>
      </c>
      <c r="Q606" s="4">
        <v>244.3</v>
      </c>
      <c r="R606" s="4">
        <v>244.3</v>
      </c>
      <c r="S606" s="4">
        <v>366.45</v>
      </c>
      <c r="T606" s="4">
        <v>7329</v>
      </c>
      <c r="U606" s="4">
        <v>5</v>
      </c>
      <c r="V606" s="4" t="s">
        <v>42</v>
      </c>
      <c r="X606" s="7" t="str">
        <f t="shared" si="30"/>
        <v>441857089</v>
      </c>
      <c r="Y606" s="8" t="str">
        <f t="shared" si="31"/>
        <v>DC</v>
      </c>
      <c r="Z606" s="8">
        <f t="shared" si="32"/>
        <v>30</v>
      </c>
      <c r="AA606" s="8">
        <f t="shared" si="33"/>
        <v>0</v>
      </c>
      <c r="AB606" s="8">
        <f t="shared" si="34"/>
        <v>0</v>
      </c>
      <c r="AC606" s="8">
        <f t="shared" si="35"/>
        <v>0</v>
      </c>
      <c r="AD606" s="8">
        <f t="shared" si="36"/>
        <v>0</v>
      </c>
      <c r="AE606" s="9" t="str" cm="1">
        <f t="array" ref="AE606">IFERROR(_xlfn.XLOOKUP(H606,Sheet1!$G:$G,Sheet1!$F:$F),IFERROR(_xlfn.XLOOKUP(1,(--($X$2:$X$1074=X606))*(--ISNUMBER(MATCH($H$2:$H$1074,Sheet1!$G:$G,0))),_xlfn.XLOOKUP($H$2:$H$1074,Sheet1!$G:$G,Sheet1!$F:$F,"")),"NOT FOUND"))</f>
        <v>YETKRTSCUT5008</v>
      </c>
      <c r="AF606" s="10" t="str">
        <f t="shared" si="39"/>
        <v>SAGE GREEN</v>
      </c>
      <c r="AG606" s="11" t="str">
        <f t="shared" si="40"/>
        <v>HARIPAL</v>
      </c>
      <c r="AH606" s="9" t="str">
        <f>IF(OR(J606="",AE606="",AE606="NOT FOUND"),"",IF(Y606="RP",IFERROR(LEFT(_xlfn.XLOOKUP(AE606,Sheet1!$F:$F,Sheet1!$W:$W),FIND("-",_xlfn.XLOOKUP(AE606,Sheet1!$F:$F,Sheet1!$W:$W),FIND("-",_xlfn.XLOOKUP(AE606,Sheet1!$F:$F,Sheet1!$W:$W))+1))&amp;AE606,"NOT FOUND"),LEFT(J606,FIND("-",J606,FIND("-",J606)+1))&amp;AE606))</f>
        <v>KRTS-APSU26-YETKRTSCUT5008</v>
      </c>
    </row>
    <row r="607" spans="1:34" ht="15.75" customHeight="1" x14ac:dyDescent="0.2">
      <c r="A607" s="4" t="s">
        <v>59</v>
      </c>
      <c r="B607" s="4" t="s">
        <v>874</v>
      </c>
      <c r="C607" s="4" t="s">
        <v>597</v>
      </c>
      <c r="D607" s="4" t="s">
        <v>579</v>
      </c>
      <c r="E607" s="4" t="s">
        <v>34</v>
      </c>
      <c r="F607" s="4" t="s">
        <v>35</v>
      </c>
      <c r="G607" s="4" t="s">
        <v>36</v>
      </c>
      <c r="H607" s="4" t="s">
        <v>846</v>
      </c>
      <c r="I607" s="4" t="s">
        <v>847</v>
      </c>
      <c r="J607" s="4" t="s">
        <v>848</v>
      </c>
      <c r="L607" s="4" t="s">
        <v>40</v>
      </c>
      <c r="M607" s="4">
        <v>1</v>
      </c>
      <c r="N607" s="4">
        <v>36</v>
      </c>
      <c r="O607" s="4">
        <v>36</v>
      </c>
      <c r="P607" s="4" t="s">
        <v>41</v>
      </c>
      <c r="Q607" s="4">
        <v>244.3</v>
      </c>
      <c r="R607" s="4">
        <v>244.3</v>
      </c>
      <c r="S607" s="4">
        <v>439.74</v>
      </c>
      <c r="T607" s="4">
        <v>8794.7999999999993</v>
      </c>
      <c r="U607" s="4">
        <v>5</v>
      </c>
      <c r="V607" s="4" t="s">
        <v>42</v>
      </c>
      <c r="X607" s="7" t="str">
        <f t="shared" si="30"/>
        <v>441857089</v>
      </c>
      <c r="Y607" s="8" t="str">
        <f t="shared" si="31"/>
        <v>DC</v>
      </c>
      <c r="Z607" s="8">
        <f t="shared" si="32"/>
        <v>0</v>
      </c>
      <c r="AA607" s="8">
        <f t="shared" si="33"/>
        <v>0</v>
      </c>
      <c r="AB607" s="8">
        <f t="shared" si="34"/>
        <v>0</v>
      </c>
      <c r="AC607" s="8">
        <f t="shared" si="35"/>
        <v>0</v>
      </c>
      <c r="AD607" s="8">
        <f t="shared" si="36"/>
        <v>36</v>
      </c>
      <c r="AE607" s="9" t="str" cm="1">
        <f t="array" ref="AE607">IFERROR(_xlfn.XLOOKUP(H607,Sheet1!$G:$G,Sheet1!$F:$F),IFERROR(_xlfn.XLOOKUP(1,(--($X$2:$X$1074=X607))*(--ISNUMBER(MATCH($H$2:$H$1074,Sheet1!$G:$G,0))),_xlfn.XLOOKUP($H$2:$H$1074,Sheet1!$G:$G,Sheet1!$F:$F,"")),"NOT FOUND"))</f>
        <v>YETKRTSCUT5008</v>
      </c>
      <c r="AF607" s="10" t="str">
        <f t="shared" si="39"/>
        <v>FUCHSIA</v>
      </c>
      <c r="AG607" s="11" t="str">
        <f t="shared" si="40"/>
        <v>JHAJJAR</v>
      </c>
      <c r="AH607" s="9" t="str">
        <f>IF(OR(J607="",AE607="",AE607="NOT FOUND"),"",IF(Y607="RP",IFERROR(LEFT(_xlfn.XLOOKUP(AE607,Sheet1!$F:$F,Sheet1!$W:$W),FIND("-",_xlfn.XLOOKUP(AE607,Sheet1!$F:$F,Sheet1!$W:$W),FIND("-",_xlfn.XLOOKUP(AE607,Sheet1!$F:$F,Sheet1!$W:$W))+1))&amp;AE607,"NOT FOUND"),LEFT(J607,FIND("-",J607,FIND("-",J607)+1))&amp;AE607))</f>
        <v>KRTS-APSU26-YETKRTSCUT5008</v>
      </c>
    </row>
    <row r="608" spans="1:34" ht="15.75" customHeight="1" x14ac:dyDescent="0.2">
      <c r="A608" s="4" t="s">
        <v>59</v>
      </c>
      <c r="B608" s="4" t="s">
        <v>874</v>
      </c>
      <c r="C608" s="4" t="s">
        <v>597</v>
      </c>
      <c r="D608" s="4" t="s">
        <v>579</v>
      </c>
      <c r="E608" s="4" t="s">
        <v>34</v>
      </c>
      <c r="F608" s="4" t="s">
        <v>35</v>
      </c>
      <c r="G608" s="4" t="s">
        <v>43</v>
      </c>
      <c r="H608" s="4" t="s">
        <v>849</v>
      </c>
      <c r="I608" s="4" t="s">
        <v>850</v>
      </c>
      <c r="J608" s="4" t="s">
        <v>851</v>
      </c>
      <c r="L608" s="4" t="s">
        <v>40</v>
      </c>
      <c r="M608" s="4">
        <v>1</v>
      </c>
      <c r="N608" s="4">
        <v>187</v>
      </c>
      <c r="O608" s="4">
        <v>187</v>
      </c>
      <c r="P608" s="4" t="s">
        <v>41</v>
      </c>
      <c r="Q608" s="4">
        <v>244.3</v>
      </c>
      <c r="R608" s="4">
        <v>244.3</v>
      </c>
      <c r="S608" s="4">
        <v>2284.21</v>
      </c>
      <c r="T608" s="4">
        <v>45684.1</v>
      </c>
      <c r="U608" s="4">
        <v>5</v>
      </c>
      <c r="V608" s="4" t="s">
        <v>42</v>
      </c>
      <c r="X608" s="7" t="str">
        <f t="shared" si="30"/>
        <v>441857089</v>
      </c>
      <c r="Y608" s="8" t="str">
        <f t="shared" si="31"/>
        <v>DC</v>
      </c>
      <c r="Z608" s="8">
        <f t="shared" si="32"/>
        <v>0</v>
      </c>
      <c r="AA608" s="8">
        <f t="shared" si="33"/>
        <v>0</v>
      </c>
      <c r="AB608" s="8">
        <f t="shared" si="34"/>
        <v>0</v>
      </c>
      <c r="AC608" s="8">
        <f t="shared" si="35"/>
        <v>187</v>
      </c>
      <c r="AD608" s="8">
        <f t="shared" si="36"/>
        <v>0</v>
      </c>
      <c r="AE608" s="9" t="str" cm="1">
        <f t="array" ref="AE608">IFERROR(_xlfn.XLOOKUP(H608,Sheet1!$G:$G,Sheet1!$F:$F),IFERROR(_xlfn.XLOOKUP(1,(--($X$2:$X$1074=X608))*(--ISNUMBER(MATCH($H$2:$H$1074,Sheet1!$G:$G,0))),_xlfn.XLOOKUP($H$2:$H$1074,Sheet1!$G:$G,Sheet1!$F:$F,"")),"NOT FOUND"))</f>
        <v>YETKRTSCUT5008</v>
      </c>
      <c r="AF608" s="10" t="str">
        <f t="shared" si="39"/>
        <v>FUCHSIA</v>
      </c>
      <c r="AG608" s="11" t="str">
        <f t="shared" si="40"/>
        <v>JHAJJAR</v>
      </c>
      <c r="AH608" s="9" t="str">
        <f>IF(OR(J608="",AE608="",AE608="NOT FOUND"),"",IF(Y608="RP",IFERROR(LEFT(_xlfn.XLOOKUP(AE608,Sheet1!$F:$F,Sheet1!$W:$W),FIND("-",_xlfn.XLOOKUP(AE608,Sheet1!$F:$F,Sheet1!$W:$W),FIND("-",_xlfn.XLOOKUP(AE608,Sheet1!$F:$F,Sheet1!$W:$W))+1))&amp;AE608,"NOT FOUND"),LEFT(J608,FIND("-",J608,FIND("-",J608)+1))&amp;AE608))</f>
        <v>KRTS-APSU26-YETKRTSCUT5008</v>
      </c>
    </row>
    <row r="609" spans="1:34" ht="15.75" customHeight="1" x14ac:dyDescent="0.2">
      <c r="A609" s="4" t="s">
        <v>59</v>
      </c>
      <c r="B609" s="4" t="s">
        <v>874</v>
      </c>
      <c r="C609" s="4" t="s">
        <v>597</v>
      </c>
      <c r="D609" s="4" t="s">
        <v>579</v>
      </c>
      <c r="E609" s="4" t="s">
        <v>34</v>
      </c>
      <c r="F609" s="4" t="s">
        <v>35</v>
      </c>
      <c r="G609" s="4" t="s">
        <v>47</v>
      </c>
      <c r="H609" s="4" t="s">
        <v>852</v>
      </c>
      <c r="I609" s="4" t="s">
        <v>853</v>
      </c>
      <c r="J609" s="4" t="s">
        <v>854</v>
      </c>
      <c r="L609" s="4" t="s">
        <v>40</v>
      </c>
      <c r="M609" s="4">
        <v>1</v>
      </c>
      <c r="N609" s="4">
        <v>160</v>
      </c>
      <c r="O609" s="4">
        <v>160</v>
      </c>
      <c r="P609" s="4" t="s">
        <v>41</v>
      </c>
      <c r="Q609" s="4">
        <v>244.3</v>
      </c>
      <c r="R609" s="4">
        <v>244.3</v>
      </c>
      <c r="S609" s="4">
        <v>1954.4</v>
      </c>
      <c r="T609" s="4">
        <v>39088</v>
      </c>
      <c r="U609" s="4">
        <v>5</v>
      </c>
      <c r="V609" s="4" t="s">
        <v>42</v>
      </c>
      <c r="X609" s="7" t="str">
        <f t="shared" si="30"/>
        <v>441857089</v>
      </c>
      <c r="Y609" s="8" t="str">
        <f t="shared" si="31"/>
        <v>DC</v>
      </c>
      <c r="Z609" s="8">
        <f t="shared" si="32"/>
        <v>0</v>
      </c>
      <c r="AA609" s="8">
        <f t="shared" si="33"/>
        <v>0</v>
      </c>
      <c r="AB609" s="8">
        <f t="shared" si="34"/>
        <v>160</v>
      </c>
      <c r="AC609" s="8">
        <f t="shared" si="35"/>
        <v>0</v>
      </c>
      <c r="AD609" s="8">
        <f t="shared" si="36"/>
        <v>0</v>
      </c>
      <c r="AE609" s="9" t="str" cm="1">
        <f t="array" ref="AE609">IFERROR(_xlfn.XLOOKUP(H609,Sheet1!$G:$G,Sheet1!$F:$F),IFERROR(_xlfn.XLOOKUP(1,(--($X$2:$X$1074=X609))*(--ISNUMBER(MATCH($H$2:$H$1074,Sheet1!$G:$G,0))),_xlfn.XLOOKUP($H$2:$H$1074,Sheet1!$G:$G,Sheet1!$F:$F,"")),"NOT FOUND"))</f>
        <v>YETKRTSCUT5008</v>
      </c>
      <c r="AF609" s="10" t="str">
        <f t="shared" si="39"/>
        <v>FUCHSIA</v>
      </c>
      <c r="AG609" s="11" t="str">
        <f t="shared" si="40"/>
        <v>JHAJJAR</v>
      </c>
      <c r="AH609" s="9" t="str">
        <f>IF(OR(J609="",AE609="",AE609="NOT FOUND"),"",IF(Y609="RP",IFERROR(LEFT(_xlfn.XLOOKUP(AE609,Sheet1!$F:$F,Sheet1!$W:$W),FIND("-",_xlfn.XLOOKUP(AE609,Sheet1!$F:$F,Sheet1!$W:$W),FIND("-",_xlfn.XLOOKUP(AE609,Sheet1!$F:$F,Sheet1!$W:$W))+1))&amp;AE609,"NOT FOUND"),LEFT(J609,FIND("-",J609,FIND("-",J609)+1))&amp;AE609))</f>
        <v>KRTS-APSU26-YETKRTSCUT5008</v>
      </c>
    </row>
    <row r="610" spans="1:34" ht="15.75" customHeight="1" x14ac:dyDescent="0.2">
      <c r="A610" s="4" t="s">
        <v>59</v>
      </c>
      <c r="B610" s="4" t="s">
        <v>874</v>
      </c>
      <c r="C610" s="4" t="s">
        <v>597</v>
      </c>
      <c r="D610" s="4" t="s">
        <v>579</v>
      </c>
      <c r="E610" s="4" t="s">
        <v>34</v>
      </c>
      <c r="F610" s="4" t="s">
        <v>35</v>
      </c>
      <c r="G610" s="4" t="s">
        <v>51</v>
      </c>
      <c r="H610" s="4" t="s">
        <v>855</v>
      </c>
      <c r="I610" s="4" t="s">
        <v>856</v>
      </c>
      <c r="J610" s="4" t="s">
        <v>857</v>
      </c>
      <c r="L610" s="4" t="s">
        <v>40</v>
      </c>
      <c r="M610" s="4">
        <v>1</v>
      </c>
      <c r="N610" s="4">
        <v>142</v>
      </c>
      <c r="O610" s="4">
        <v>142</v>
      </c>
      <c r="P610" s="4" t="s">
        <v>41</v>
      </c>
      <c r="Q610" s="4">
        <v>244.3</v>
      </c>
      <c r="R610" s="4">
        <v>244.3</v>
      </c>
      <c r="S610" s="4">
        <v>1734.53</v>
      </c>
      <c r="T610" s="4">
        <v>34690.6</v>
      </c>
      <c r="U610" s="4">
        <v>5</v>
      </c>
      <c r="V610" s="4" t="s">
        <v>42</v>
      </c>
      <c r="X610" s="7" t="str">
        <f t="shared" si="30"/>
        <v>441857089</v>
      </c>
      <c r="Y610" s="8" t="str">
        <f t="shared" si="31"/>
        <v>DC</v>
      </c>
      <c r="Z610" s="8">
        <f t="shared" si="32"/>
        <v>0</v>
      </c>
      <c r="AA610" s="8">
        <f t="shared" si="33"/>
        <v>142</v>
      </c>
      <c r="AB610" s="8">
        <f t="shared" si="34"/>
        <v>0</v>
      </c>
      <c r="AC610" s="8">
        <f t="shared" si="35"/>
        <v>0</v>
      </c>
      <c r="AD610" s="8">
        <f t="shared" si="36"/>
        <v>0</v>
      </c>
      <c r="AE610" s="9" t="str" cm="1">
        <f t="array" ref="AE610">IFERROR(_xlfn.XLOOKUP(H610,Sheet1!$G:$G,Sheet1!$F:$F),IFERROR(_xlfn.XLOOKUP(1,(--($X$2:$X$1074=X610))*(--ISNUMBER(MATCH($H$2:$H$1074,Sheet1!$G:$G,0))),_xlfn.XLOOKUP($H$2:$H$1074,Sheet1!$G:$G,Sheet1!$F:$F,"")),"NOT FOUND"))</f>
        <v>YETKRTSCUT5008</v>
      </c>
      <c r="AF610" s="10" t="str">
        <f t="shared" si="39"/>
        <v>FUCHSIA</v>
      </c>
      <c r="AG610" s="11" t="str">
        <f t="shared" si="40"/>
        <v>JHAJJAR</v>
      </c>
      <c r="AH610" s="9" t="str">
        <f>IF(OR(J610="",AE610="",AE610="NOT FOUND"),"",IF(Y610="RP",IFERROR(LEFT(_xlfn.XLOOKUP(AE610,Sheet1!$F:$F,Sheet1!$W:$W),FIND("-",_xlfn.XLOOKUP(AE610,Sheet1!$F:$F,Sheet1!$W:$W),FIND("-",_xlfn.XLOOKUP(AE610,Sheet1!$F:$F,Sheet1!$W:$W))+1))&amp;AE610,"NOT FOUND"),LEFT(J610,FIND("-",J610,FIND("-",J610)+1))&amp;AE610))</f>
        <v>KRTS-APSU26-YETKRTSCUT5008</v>
      </c>
    </row>
    <row r="611" spans="1:34" ht="15.75" customHeight="1" x14ac:dyDescent="0.2">
      <c r="A611" s="4" t="s">
        <v>59</v>
      </c>
      <c r="B611" s="4" t="s">
        <v>874</v>
      </c>
      <c r="C611" s="4" t="s">
        <v>597</v>
      </c>
      <c r="D611" s="4" t="s">
        <v>579</v>
      </c>
      <c r="E611" s="4" t="s">
        <v>34</v>
      </c>
      <c r="F611" s="4" t="s">
        <v>35</v>
      </c>
      <c r="G611" s="4" t="s">
        <v>55</v>
      </c>
      <c r="H611" s="4" t="s">
        <v>858</v>
      </c>
      <c r="I611" s="4" t="s">
        <v>859</v>
      </c>
      <c r="J611" s="4" t="s">
        <v>860</v>
      </c>
      <c r="L611" s="4" t="s">
        <v>40</v>
      </c>
      <c r="M611" s="4">
        <v>1</v>
      </c>
      <c r="N611" s="4">
        <v>30</v>
      </c>
      <c r="O611" s="4">
        <v>30</v>
      </c>
      <c r="P611" s="4" t="s">
        <v>41</v>
      </c>
      <c r="Q611" s="4">
        <v>244.3</v>
      </c>
      <c r="R611" s="4">
        <v>244.3</v>
      </c>
      <c r="S611" s="4">
        <v>366.45</v>
      </c>
      <c r="T611" s="4">
        <v>7329</v>
      </c>
      <c r="U611" s="4">
        <v>5</v>
      </c>
      <c r="V611" s="4" t="s">
        <v>42</v>
      </c>
      <c r="X611" s="7" t="str">
        <f t="shared" si="30"/>
        <v>441857089</v>
      </c>
      <c r="Y611" s="8" t="str">
        <f t="shared" si="31"/>
        <v>DC</v>
      </c>
      <c r="Z611" s="8">
        <f t="shared" si="32"/>
        <v>30</v>
      </c>
      <c r="AA611" s="8">
        <f t="shared" si="33"/>
        <v>0</v>
      </c>
      <c r="AB611" s="8">
        <f t="shared" si="34"/>
        <v>0</v>
      </c>
      <c r="AC611" s="8">
        <f t="shared" si="35"/>
        <v>0</v>
      </c>
      <c r="AD611" s="8">
        <f t="shared" si="36"/>
        <v>0</v>
      </c>
      <c r="AE611" s="9" t="str" cm="1">
        <f t="array" ref="AE611">IFERROR(_xlfn.XLOOKUP(H611,Sheet1!$G:$G,Sheet1!$F:$F),IFERROR(_xlfn.XLOOKUP(1,(--($X$2:$X$1074=X611))*(--ISNUMBER(MATCH($H$2:$H$1074,Sheet1!$G:$G,0))),_xlfn.XLOOKUP($H$2:$H$1074,Sheet1!$G:$G,Sheet1!$F:$F,"")),"NOT FOUND"))</f>
        <v>YETKRTSCUT5008</v>
      </c>
      <c r="AF611" s="10" t="str">
        <f t="shared" si="39"/>
        <v>FUCHSIA</v>
      </c>
      <c r="AG611" s="11" t="str">
        <f t="shared" si="40"/>
        <v>JHAJJAR</v>
      </c>
      <c r="AH611" s="9" t="str">
        <f>IF(OR(J611="",AE611="",AE611="NOT FOUND"),"",IF(Y611="RP",IFERROR(LEFT(_xlfn.XLOOKUP(AE611,Sheet1!$F:$F,Sheet1!$W:$W),FIND("-",_xlfn.XLOOKUP(AE611,Sheet1!$F:$F,Sheet1!$W:$W),FIND("-",_xlfn.XLOOKUP(AE611,Sheet1!$F:$F,Sheet1!$W:$W))+1))&amp;AE611,"NOT FOUND"),LEFT(J611,FIND("-",J611,FIND("-",J611)+1))&amp;AE611))</f>
        <v>KRTS-APSU26-YETKRTSCUT5008</v>
      </c>
    </row>
    <row r="612" spans="1:34" ht="15.75" customHeight="1" x14ac:dyDescent="0.2">
      <c r="A612" s="4" t="s">
        <v>61</v>
      </c>
      <c r="B612" s="4" t="s">
        <v>875</v>
      </c>
      <c r="C612" s="4" t="s">
        <v>597</v>
      </c>
      <c r="D612" s="4" t="s">
        <v>797</v>
      </c>
      <c r="E612" s="4" t="s">
        <v>34</v>
      </c>
      <c r="F612" s="4" t="s">
        <v>35</v>
      </c>
      <c r="G612" s="4" t="s">
        <v>36</v>
      </c>
      <c r="H612" s="4" t="s">
        <v>798</v>
      </c>
      <c r="I612" s="4" t="s">
        <v>799</v>
      </c>
      <c r="J612" s="4" t="s">
        <v>800</v>
      </c>
      <c r="L612" s="4" t="s">
        <v>40</v>
      </c>
      <c r="M612" s="4">
        <v>1</v>
      </c>
      <c r="N612" s="4">
        <v>39</v>
      </c>
      <c r="O612" s="4">
        <v>39</v>
      </c>
      <c r="P612" s="4" t="s">
        <v>41</v>
      </c>
      <c r="Q612" s="4">
        <v>244.3</v>
      </c>
      <c r="R612" s="4">
        <v>244.3</v>
      </c>
      <c r="S612" s="4">
        <v>476.39</v>
      </c>
      <c r="T612" s="4">
        <v>9527.7000000000007</v>
      </c>
      <c r="U612" s="4">
        <v>5</v>
      </c>
      <c r="V612" s="4" t="s">
        <v>42</v>
      </c>
      <c r="X612" s="7" t="str">
        <f t="shared" si="30"/>
        <v>441857089</v>
      </c>
      <c r="Y612" s="8" t="str">
        <f t="shared" si="31"/>
        <v>DC</v>
      </c>
      <c r="Z612" s="8">
        <f t="shared" si="32"/>
        <v>0</v>
      </c>
      <c r="AA612" s="8">
        <f t="shared" si="33"/>
        <v>0</v>
      </c>
      <c r="AB612" s="8">
        <f t="shared" si="34"/>
        <v>0</v>
      </c>
      <c r="AC612" s="8">
        <f t="shared" si="35"/>
        <v>0</v>
      </c>
      <c r="AD612" s="8">
        <f t="shared" si="36"/>
        <v>39</v>
      </c>
      <c r="AE612" s="9" t="str" cm="1">
        <f t="array" ref="AE612">IFERROR(_xlfn.XLOOKUP(H612,Sheet1!$G:$G,Sheet1!$F:$F),IFERROR(_xlfn.XLOOKUP(1,(--($X$2:$X$1074=X612))*(--ISNUMBER(MATCH($H$2:$H$1074,Sheet1!$G:$G,0))),_xlfn.XLOOKUP($H$2:$H$1074,Sheet1!$G:$G,Sheet1!$F:$F,"")),"NOT FOUND"))</f>
        <v>YETKRTSCUT5008</v>
      </c>
      <c r="AF612" s="10" t="str">
        <f t="shared" si="39"/>
        <v>RUST</v>
      </c>
      <c r="AG612" s="11" t="str">
        <f t="shared" si="40"/>
        <v>HARIPAL</v>
      </c>
      <c r="AH612" s="9" t="str">
        <f>IF(OR(J612="",AE612="",AE612="NOT FOUND"),"",IF(Y612="RP",IFERROR(LEFT(_xlfn.XLOOKUP(AE612,Sheet1!$F:$F,Sheet1!$W:$W),FIND("-",_xlfn.XLOOKUP(AE612,Sheet1!$F:$F,Sheet1!$W:$W),FIND("-",_xlfn.XLOOKUP(AE612,Sheet1!$F:$F,Sheet1!$W:$W))+1))&amp;AE612,"NOT FOUND"),LEFT(J612,FIND("-",J612,FIND("-",J612)+1))&amp;AE612))</f>
        <v>KRTS-APSU26-YETKRTSCUT5008</v>
      </c>
    </row>
    <row r="613" spans="1:34" ht="15.75" customHeight="1" x14ac:dyDescent="0.2">
      <c r="A613" s="4" t="s">
        <v>61</v>
      </c>
      <c r="B613" s="4" t="s">
        <v>875</v>
      </c>
      <c r="C613" s="4" t="s">
        <v>597</v>
      </c>
      <c r="D613" s="4" t="s">
        <v>797</v>
      </c>
      <c r="E613" s="4" t="s">
        <v>34</v>
      </c>
      <c r="F613" s="4" t="s">
        <v>35</v>
      </c>
      <c r="G613" s="4" t="s">
        <v>43</v>
      </c>
      <c r="H613" s="4" t="s">
        <v>801</v>
      </c>
      <c r="I613" s="4" t="s">
        <v>802</v>
      </c>
      <c r="J613" s="4" t="s">
        <v>803</v>
      </c>
      <c r="L613" s="4" t="s">
        <v>40</v>
      </c>
      <c r="M613" s="4">
        <v>1</v>
      </c>
      <c r="N613" s="4">
        <v>202</v>
      </c>
      <c r="O613" s="4">
        <v>202</v>
      </c>
      <c r="P613" s="4" t="s">
        <v>41</v>
      </c>
      <c r="Q613" s="4">
        <v>244.3</v>
      </c>
      <c r="R613" s="4">
        <v>244.3</v>
      </c>
      <c r="S613" s="4">
        <v>2467.4299999999998</v>
      </c>
      <c r="T613" s="4">
        <v>49348.6</v>
      </c>
      <c r="U613" s="4">
        <v>5</v>
      </c>
      <c r="V613" s="4" t="s">
        <v>42</v>
      </c>
      <c r="X613" s="7" t="str">
        <f t="shared" si="30"/>
        <v>441857089</v>
      </c>
      <c r="Y613" s="8" t="str">
        <f t="shared" si="31"/>
        <v>DC</v>
      </c>
      <c r="Z613" s="8">
        <f t="shared" si="32"/>
        <v>0</v>
      </c>
      <c r="AA613" s="8">
        <f t="shared" si="33"/>
        <v>0</v>
      </c>
      <c r="AB613" s="8">
        <f t="shared" si="34"/>
        <v>0</v>
      </c>
      <c r="AC613" s="8">
        <f t="shared" si="35"/>
        <v>202</v>
      </c>
      <c r="AD613" s="8">
        <f t="shared" si="36"/>
        <v>0</v>
      </c>
      <c r="AE613" s="9" t="str" cm="1">
        <f t="array" ref="AE613">IFERROR(_xlfn.XLOOKUP(H613,Sheet1!$G:$G,Sheet1!$F:$F),IFERROR(_xlfn.XLOOKUP(1,(--($X$2:$X$1074=X613))*(--ISNUMBER(MATCH($H$2:$H$1074,Sheet1!$G:$G,0))),_xlfn.XLOOKUP($H$2:$H$1074,Sheet1!$G:$G,Sheet1!$F:$F,"")),"NOT FOUND"))</f>
        <v>YETKRTSCUT5008</v>
      </c>
      <c r="AF613" s="10" t="str">
        <f t="shared" si="39"/>
        <v>RUST</v>
      </c>
      <c r="AG613" s="11" t="str">
        <f t="shared" si="40"/>
        <v>HARIPAL</v>
      </c>
      <c r="AH613" s="9" t="str">
        <f>IF(OR(J613="",AE613="",AE613="NOT FOUND"),"",IF(Y613="RP",IFERROR(LEFT(_xlfn.XLOOKUP(AE613,Sheet1!$F:$F,Sheet1!$W:$W),FIND("-",_xlfn.XLOOKUP(AE613,Sheet1!$F:$F,Sheet1!$W:$W),FIND("-",_xlfn.XLOOKUP(AE613,Sheet1!$F:$F,Sheet1!$W:$W))+1))&amp;AE613,"NOT FOUND"),LEFT(J613,FIND("-",J613,FIND("-",J613)+1))&amp;AE613))</f>
        <v>KRTS-APSU26-YETKRTSCUT5008</v>
      </c>
    </row>
    <row r="614" spans="1:34" ht="15.75" customHeight="1" x14ac:dyDescent="0.2">
      <c r="A614" s="4" t="s">
        <v>61</v>
      </c>
      <c r="B614" s="4" t="s">
        <v>875</v>
      </c>
      <c r="C614" s="4" t="s">
        <v>597</v>
      </c>
      <c r="D614" s="4" t="s">
        <v>797</v>
      </c>
      <c r="E614" s="4" t="s">
        <v>34</v>
      </c>
      <c r="F614" s="4" t="s">
        <v>35</v>
      </c>
      <c r="G614" s="4" t="s">
        <v>47</v>
      </c>
      <c r="H614" s="4" t="s">
        <v>804</v>
      </c>
      <c r="I614" s="4" t="s">
        <v>805</v>
      </c>
      <c r="J614" s="4" t="s">
        <v>806</v>
      </c>
      <c r="L614" s="4" t="s">
        <v>40</v>
      </c>
      <c r="M614" s="4">
        <v>1</v>
      </c>
      <c r="N614" s="4">
        <v>173</v>
      </c>
      <c r="O614" s="4">
        <v>173</v>
      </c>
      <c r="P614" s="4" t="s">
        <v>41</v>
      </c>
      <c r="Q614" s="4">
        <v>244.3</v>
      </c>
      <c r="R614" s="4">
        <v>244.3</v>
      </c>
      <c r="S614" s="4">
        <v>2113.1999999999998</v>
      </c>
      <c r="T614" s="4">
        <v>42263.9</v>
      </c>
      <c r="U614" s="4">
        <v>5</v>
      </c>
      <c r="V614" s="4" t="s">
        <v>42</v>
      </c>
      <c r="X614" s="7" t="str">
        <f t="shared" si="30"/>
        <v>441857089</v>
      </c>
      <c r="Y614" s="8" t="str">
        <f t="shared" si="31"/>
        <v>DC</v>
      </c>
      <c r="Z614" s="8">
        <f t="shared" si="32"/>
        <v>0</v>
      </c>
      <c r="AA614" s="8">
        <f t="shared" si="33"/>
        <v>0</v>
      </c>
      <c r="AB614" s="8">
        <f t="shared" si="34"/>
        <v>173</v>
      </c>
      <c r="AC614" s="8">
        <f t="shared" si="35"/>
        <v>0</v>
      </c>
      <c r="AD614" s="8">
        <f t="shared" si="36"/>
        <v>0</v>
      </c>
      <c r="AE614" s="9" t="str" cm="1">
        <f t="array" ref="AE614">IFERROR(_xlfn.XLOOKUP(H614,Sheet1!$G:$G,Sheet1!$F:$F),IFERROR(_xlfn.XLOOKUP(1,(--($X$2:$X$1074=X614))*(--ISNUMBER(MATCH($H$2:$H$1074,Sheet1!$G:$G,0))),_xlfn.XLOOKUP($H$2:$H$1074,Sheet1!$G:$G,Sheet1!$F:$F,"")),"NOT FOUND"))</f>
        <v>YETKRTSCUT5008</v>
      </c>
      <c r="AF614" s="10" t="str">
        <f t="shared" si="39"/>
        <v>RUST</v>
      </c>
      <c r="AG614" s="11" t="str">
        <f t="shared" si="40"/>
        <v>HARIPAL</v>
      </c>
      <c r="AH614" s="9" t="str">
        <f>IF(OR(J614="",AE614="",AE614="NOT FOUND"),"",IF(Y614="RP",IFERROR(LEFT(_xlfn.XLOOKUP(AE614,Sheet1!$F:$F,Sheet1!$W:$W),FIND("-",_xlfn.XLOOKUP(AE614,Sheet1!$F:$F,Sheet1!$W:$W),FIND("-",_xlfn.XLOOKUP(AE614,Sheet1!$F:$F,Sheet1!$W:$W))+1))&amp;AE614,"NOT FOUND"),LEFT(J614,FIND("-",J614,FIND("-",J614)+1))&amp;AE614))</f>
        <v>KRTS-APSU26-YETKRTSCUT5008</v>
      </c>
    </row>
    <row r="615" spans="1:34" ht="15.75" customHeight="1" x14ac:dyDescent="0.2">
      <c r="A615" s="4" t="s">
        <v>61</v>
      </c>
      <c r="B615" s="4" t="s">
        <v>875</v>
      </c>
      <c r="C615" s="4" t="s">
        <v>597</v>
      </c>
      <c r="D615" s="4" t="s">
        <v>797</v>
      </c>
      <c r="E615" s="4" t="s">
        <v>34</v>
      </c>
      <c r="F615" s="4" t="s">
        <v>35</v>
      </c>
      <c r="G615" s="4" t="s">
        <v>51</v>
      </c>
      <c r="H615" s="4" t="s">
        <v>807</v>
      </c>
      <c r="I615" s="4" t="s">
        <v>808</v>
      </c>
      <c r="J615" s="4" t="s">
        <v>809</v>
      </c>
      <c r="L615" s="4" t="s">
        <v>40</v>
      </c>
      <c r="M615" s="4">
        <v>1</v>
      </c>
      <c r="N615" s="4">
        <v>154</v>
      </c>
      <c r="O615" s="4">
        <v>154</v>
      </c>
      <c r="P615" s="4" t="s">
        <v>41</v>
      </c>
      <c r="Q615" s="4">
        <v>244.3</v>
      </c>
      <c r="R615" s="4">
        <v>244.3</v>
      </c>
      <c r="S615" s="4">
        <v>1881.11</v>
      </c>
      <c r="T615" s="4">
        <v>37622.199999999997</v>
      </c>
      <c r="U615" s="4">
        <v>5</v>
      </c>
      <c r="V615" s="4" t="s">
        <v>42</v>
      </c>
      <c r="X615" s="7" t="str">
        <f t="shared" si="30"/>
        <v>441857089</v>
      </c>
      <c r="Y615" s="8" t="str">
        <f t="shared" si="31"/>
        <v>DC</v>
      </c>
      <c r="Z615" s="8">
        <f t="shared" si="32"/>
        <v>0</v>
      </c>
      <c r="AA615" s="8">
        <f t="shared" si="33"/>
        <v>154</v>
      </c>
      <c r="AB615" s="8">
        <f t="shared" si="34"/>
        <v>0</v>
      </c>
      <c r="AC615" s="8">
        <f t="shared" si="35"/>
        <v>0</v>
      </c>
      <c r="AD615" s="8">
        <f t="shared" si="36"/>
        <v>0</v>
      </c>
      <c r="AE615" s="9" t="str" cm="1">
        <f t="array" ref="AE615">IFERROR(_xlfn.XLOOKUP(H615,Sheet1!$G:$G,Sheet1!$F:$F),IFERROR(_xlfn.XLOOKUP(1,(--($X$2:$X$1074=X615))*(--ISNUMBER(MATCH($H$2:$H$1074,Sheet1!$G:$G,0))),_xlfn.XLOOKUP($H$2:$H$1074,Sheet1!$G:$G,Sheet1!$F:$F,"")),"NOT FOUND"))</f>
        <v>YETKRTSCUT5008</v>
      </c>
      <c r="AF615" s="10" t="str">
        <f t="shared" si="39"/>
        <v>RUST</v>
      </c>
      <c r="AG615" s="11" t="str">
        <f t="shared" si="40"/>
        <v>HARIPAL</v>
      </c>
      <c r="AH615" s="9" t="str">
        <f>IF(OR(J615="",AE615="",AE615="NOT FOUND"),"",IF(Y615="RP",IFERROR(LEFT(_xlfn.XLOOKUP(AE615,Sheet1!$F:$F,Sheet1!$W:$W),FIND("-",_xlfn.XLOOKUP(AE615,Sheet1!$F:$F,Sheet1!$W:$W),FIND("-",_xlfn.XLOOKUP(AE615,Sheet1!$F:$F,Sheet1!$W:$W))+1))&amp;AE615,"NOT FOUND"),LEFT(J615,FIND("-",J615,FIND("-",J615)+1))&amp;AE615))</f>
        <v>KRTS-APSU26-YETKRTSCUT5008</v>
      </c>
    </row>
    <row r="616" spans="1:34" ht="15.75" customHeight="1" x14ac:dyDescent="0.2">
      <c r="A616" s="4" t="s">
        <v>61</v>
      </c>
      <c r="B616" s="4" t="s">
        <v>875</v>
      </c>
      <c r="C616" s="4" t="s">
        <v>597</v>
      </c>
      <c r="D616" s="4" t="s">
        <v>797</v>
      </c>
      <c r="E616" s="4" t="s">
        <v>34</v>
      </c>
      <c r="F616" s="4" t="s">
        <v>35</v>
      </c>
      <c r="G616" s="4" t="s">
        <v>55</v>
      </c>
      <c r="H616" s="4" t="s">
        <v>810</v>
      </c>
      <c r="I616" s="4" t="s">
        <v>811</v>
      </c>
      <c r="J616" s="4" t="s">
        <v>812</v>
      </c>
      <c r="L616" s="4" t="s">
        <v>40</v>
      </c>
      <c r="M616" s="4">
        <v>1</v>
      </c>
      <c r="N616" s="4">
        <v>30</v>
      </c>
      <c r="O616" s="4">
        <v>30</v>
      </c>
      <c r="P616" s="4" t="s">
        <v>41</v>
      </c>
      <c r="Q616" s="4">
        <v>244.3</v>
      </c>
      <c r="R616" s="4">
        <v>244.3</v>
      </c>
      <c r="S616" s="4">
        <v>366.45</v>
      </c>
      <c r="T616" s="4">
        <v>7329</v>
      </c>
      <c r="U616" s="4">
        <v>5</v>
      </c>
      <c r="V616" s="4" t="s">
        <v>42</v>
      </c>
      <c r="X616" s="7" t="str">
        <f t="shared" si="30"/>
        <v>441857089</v>
      </c>
      <c r="Y616" s="8" t="str">
        <f t="shared" si="31"/>
        <v>DC</v>
      </c>
      <c r="Z616" s="8">
        <f t="shared" si="32"/>
        <v>30</v>
      </c>
      <c r="AA616" s="8">
        <f t="shared" si="33"/>
        <v>0</v>
      </c>
      <c r="AB616" s="8">
        <f t="shared" si="34"/>
        <v>0</v>
      </c>
      <c r="AC616" s="8">
        <f t="shared" si="35"/>
        <v>0</v>
      </c>
      <c r="AD616" s="8">
        <f t="shared" si="36"/>
        <v>0</v>
      </c>
      <c r="AE616" s="9" t="str" cm="1">
        <f t="array" ref="AE616">IFERROR(_xlfn.XLOOKUP(H616,Sheet1!$G:$G,Sheet1!$F:$F),IFERROR(_xlfn.XLOOKUP(1,(--($X$2:$X$1074=X616))*(--ISNUMBER(MATCH($H$2:$H$1074,Sheet1!$G:$G,0))),_xlfn.XLOOKUP($H$2:$H$1074,Sheet1!$G:$G,Sheet1!$F:$F,"")),"NOT FOUND"))</f>
        <v>YETKRTSCUT5008</v>
      </c>
      <c r="AF616" s="10" t="str">
        <f t="shared" si="39"/>
        <v>RUST</v>
      </c>
      <c r="AG616" s="11" t="str">
        <f t="shared" si="40"/>
        <v>HARIPAL</v>
      </c>
      <c r="AH616" s="9" t="str">
        <f>IF(OR(J616="",AE616="",AE616="NOT FOUND"),"",IF(Y616="RP",IFERROR(LEFT(_xlfn.XLOOKUP(AE616,Sheet1!$F:$F,Sheet1!$W:$W),FIND("-",_xlfn.XLOOKUP(AE616,Sheet1!$F:$F,Sheet1!$W:$W),FIND("-",_xlfn.XLOOKUP(AE616,Sheet1!$F:$F,Sheet1!$W:$W))+1))&amp;AE616,"NOT FOUND"),LEFT(J616,FIND("-",J616,FIND("-",J616)+1))&amp;AE616))</f>
        <v>KRTS-APSU26-YETKRTSCUT5008</v>
      </c>
    </row>
    <row r="617" spans="1:34" ht="15.75" customHeight="1" x14ac:dyDescent="0.2">
      <c r="A617" s="4" t="s">
        <v>61</v>
      </c>
      <c r="B617" s="4" t="s">
        <v>876</v>
      </c>
      <c r="C617" s="4" t="s">
        <v>597</v>
      </c>
      <c r="D617" s="4" t="s">
        <v>797</v>
      </c>
      <c r="E617" s="4" t="s">
        <v>34</v>
      </c>
      <c r="F617" s="4" t="s">
        <v>35</v>
      </c>
      <c r="G617" s="4" t="s">
        <v>36</v>
      </c>
      <c r="H617" s="4" t="s">
        <v>814</v>
      </c>
      <c r="I617" s="4" t="s">
        <v>815</v>
      </c>
      <c r="J617" s="4" t="s">
        <v>816</v>
      </c>
      <c r="L617" s="4" t="s">
        <v>40</v>
      </c>
      <c r="M617" s="4">
        <v>1</v>
      </c>
      <c r="N617" s="4">
        <v>39</v>
      </c>
      <c r="O617" s="4">
        <v>39</v>
      </c>
      <c r="P617" s="4" t="s">
        <v>41</v>
      </c>
      <c r="Q617" s="4">
        <v>244.3</v>
      </c>
      <c r="R617" s="4">
        <v>244.3</v>
      </c>
      <c r="S617" s="4">
        <v>476.39</v>
      </c>
      <c r="T617" s="4">
        <v>9527.7000000000007</v>
      </c>
      <c r="U617" s="4">
        <v>5</v>
      </c>
      <c r="V617" s="4" t="s">
        <v>42</v>
      </c>
      <c r="X617" s="7" t="str">
        <f t="shared" si="30"/>
        <v>441857089</v>
      </c>
      <c r="Y617" s="8" t="str">
        <f t="shared" si="31"/>
        <v>DC</v>
      </c>
      <c r="Z617" s="8">
        <f t="shared" si="32"/>
        <v>0</v>
      </c>
      <c r="AA617" s="8">
        <f t="shared" si="33"/>
        <v>0</v>
      </c>
      <c r="AB617" s="8">
        <f t="shared" si="34"/>
        <v>0</v>
      </c>
      <c r="AC617" s="8">
        <f t="shared" si="35"/>
        <v>0</v>
      </c>
      <c r="AD617" s="8">
        <f t="shared" si="36"/>
        <v>39</v>
      </c>
      <c r="AE617" s="9" t="str" cm="1">
        <f t="array" ref="AE617">IFERROR(_xlfn.XLOOKUP(H617,Sheet1!$G:$G,Sheet1!$F:$F),IFERROR(_xlfn.XLOOKUP(1,(--($X$2:$X$1074=X617))*(--ISNUMBER(MATCH($H$2:$H$1074,Sheet1!$G:$G,0))),_xlfn.XLOOKUP($H$2:$H$1074,Sheet1!$G:$G,Sheet1!$F:$F,"")),"NOT FOUND"))</f>
        <v>YETKRTSCUT5008</v>
      </c>
      <c r="AF617" s="10" t="str">
        <f t="shared" si="39"/>
        <v>OFF WHITE</v>
      </c>
      <c r="AG617" s="11" t="str">
        <f t="shared" si="40"/>
        <v>HARIPAL</v>
      </c>
      <c r="AH617" s="9" t="str">
        <f>IF(OR(J617="",AE617="",AE617="NOT FOUND"),"",IF(Y617="RP",IFERROR(LEFT(_xlfn.XLOOKUP(AE617,Sheet1!$F:$F,Sheet1!$W:$W),FIND("-",_xlfn.XLOOKUP(AE617,Sheet1!$F:$F,Sheet1!$W:$W),FIND("-",_xlfn.XLOOKUP(AE617,Sheet1!$F:$F,Sheet1!$W:$W))+1))&amp;AE617,"NOT FOUND"),LEFT(J617,FIND("-",J617,FIND("-",J617)+1))&amp;AE617))</f>
        <v>KRTS-APSU26-YETKRTSCUT5008</v>
      </c>
    </row>
    <row r="618" spans="1:34" ht="15.75" customHeight="1" x14ac:dyDescent="0.2">
      <c r="A618" s="4" t="s">
        <v>61</v>
      </c>
      <c r="B618" s="4" t="s">
        <v>876</v>
      </c>
      <c r="C618" s="4" t="s">
        <v>597</v>
      </c>
      <c r="D618" s="4" t="s">
        <v>797</v>
      </c>
      <c r="E618" s="4" t="s">
        <v>34</v>
      </c>
      <c r="F618" s="4" t="s">
        <v>35</v>
      </c>
      <c r="G618" s="4" t="s">
        <v>43</v>
      </c>
      <c r="H618" s="4" t="s">
        <v>817</v>
      </c>
      <c r="I618" s="4" t="s">
        <v>818</v>
      </c>
      <c r="J618" s="4" t="s">
        <v>819</v>
      </c>
      <c r="L618" s="4" t="s">
        <v>40</v>
      </c>
      <c r="M618" s="4">
        <v>1</v>
      </c>
      <c r="N618" s="4">
        <v>202</v>
      </c>
      <c r="O618" s="4">
        <v>202</v>
      </c>
      <c r="P618" s="4" t="s">
        <v>41</v>
      </c>
      <c r="Q618" s="4">
        <v>244.3</v>
      </c>
      <c r="R618" s="4">
        <v>244.3</v>
      </c>
      <c r="S618" s="4">
        <v>2467.4299999999998</v>
      </c>
      <c r="T618" s="4">
        <v>49348.6</v>
      </c>
      <c r="U618" s="4">
        <v>5</v>
      </c>
      <c r="V618" s="4" t="s">
        <v>42</v>
      </c>
      <c r="X618" s="7" t="str">
        <f t="shared" si="30"/>
        <v>441857089</v>
      </c>
      <c r="Y618" s="8" t="str">
        <f t="shared" si="31"/>
        <v>DC</v>
      </c>
      <c r="Z618" s="8">
        <f t="shared" si="32"/>
        <v>0</v>
      </c>
      <c r="AA618" s="8">
        <f t="shared" si="33"/>
        <v>0</v>
      </c>
      <c r="AB618" s="8">
        <f t="shared" si="34"/>
        <v>0</v>
      </c>
      <c r="AC618" s="8">
        <f t="shared" si="35"/>
        <v>202</v>
      </c>
      <c r="AD618" s="8">
        <f t="shared" si="36"/>
        <v>0</v>
      </c>
      <c r="AE618" s="9" t="str" cm="1">
        <f t="array" ref="AE618">IFERROR(_xlfn.XLOOKUP(H618,Sheet1!$G:$G,Sheet1!$F:$F),IFERROR(_xlfn.XLOOKUP(1,(--($X$2:$X$1074=X618))*(--ISNUMBER(MATCH($H$2:$H$1074,Sheet1!$G:$G,0))),_xlfn.XLOOKUP($H$2:$H$1074,Sheet1!$G:$G,Sheet1!$F:$F,"")),"NOT FOUND"))</f>
        <v>YETKRTSCUT5008</v>
      </c>
      <c r="AF618" s="10" t="str">
        <f t="shared" si="39"/>
        <v>OFF WHITE</v>
      </c>
      <c r="AG618" s="11" t="str">
        <f t="shared" si="40"/>
        <v>HARIPAL</v>
      </c>
      <c r="AH618" s="9" t="str">
        <f>IF(OR(J618="",AE618="",AE618="NOT FOUND"),"",IF(Y618="RP",IFERROR(LEFT(_xlfn.XLOOKUP(AE618,Sheet1!$F:$F,Sheet1!$W:$W),FIND("-",_xlfn.XLOOKUP(AE618,Sheet1!$F:$F,Sheet1!$W:$W),FIND("-",_xlfn.XLOOKUP(AE618,Sheet1!$F:$F,Sheet1!$W:$W))+1))&amp;AE618,"NOT FOUND"),LEFT(J618,FIND("-",J618,FIND("-",J618)+1))&amp;AE618))</f>
        <v>KRTS-APSU26-YETKRTSCUT5008</v>
      </c>
    </row>
    <row r="619" spans="1:34" ht="15.75" customHeight="1" x14ac:dyDescent="0.2">
      <c r="A619" s="4" t="s">
        <v>61</v>
      </c>
      <c r="B619" s="4" t="s">
        <v>876</v>
      </c>
      <c r="C619" s="4" t="s">
        <v>597</v>
      </c>
      <c r="D619" s="4" t="s">
        <v>797</v>
      </c>
      <c r="E619" s="4" t="s">
        <v>34</v>
      </c>
      <c r="F619" s="4" t="s">
        <v>35</v>
      </c>
      <c r="G619" s="4" t="s">
        <v>47</v>
      </c>
      <c r="H619" s="4" t="s">
        <v>820</v>
      </c>
      <c r="I619" s="4" t="s">
        <v>821</v>
      </c>
      <c r="J619" s="4" t="s">
        <v>822</v>
      </c>
      <c r="L619" s="4" t="s">
        <v>40</v>
      </c>
      <c r="M619" s="4">
        <v>1</v>
      </c>
      <c r="N619" s="4">
        <v>173</v>
      </c>
      <c r="O619" s="4">
        <v>173</v>
      </c>
      <c r="P619" s="4" t="s">
        <v>41</v>
      </c>
      <c r="Q619" s="4">
        <v>244.3</v>
      </c>
      <c r="R619" s="4">
        <v>244.3</v>
      </c>
      <c r="S619" s="4">
        <v>2113.1999999999998</v>
      </c>
      <c r="T619" s="4">
        <v>42263.9</v>
      </c>
      <c r="U619" s="4">
        <v>5</v>
      </c>
      <c r="V619" s="4" t="s">
        <v>42</v>
      </c>
      <c r="X619" s="7" t="str">
        <f t="shared" si="30"/>
        <v>441857089</v>
      </c>
      <c r="Y619" s="8" t="str">
        <f t="shared" si="31"/>
        <v>DC</v>
      </c>
      <c r="Z619" s="8">
        <f t="shared" si="32"/>
        <v>0</v>
      </c>
      <c r="AA619" s="8">
        <f t="shared" si="33"/>
        <v>0</v>
      </c>
      <c r="AB619" s="8">
        <f t="shared" si="34"/>
        <v>173</v>
      </c>
      <c r="AC619" s="8">
        <f t="shared" si="35"/>
        <v>0</v>
      </c>
      <c r="AD619" s="8">
        <f t="shared" si="36"/>
        <v>0</v>
      </c>
      <c r="AE619" s="9" t="str" cm="1">
        <f t="array" ref="AE619">IFERROR(_xlfn.XLOOKUP(H619,Sheet1!$G:$G,Sheet1!$F:$F),IFERROR(_xlfn.XLOOKUP(1,(--($X$2:$X$1074=X619))*(--ISNUMBER(MATCH($H$2:$H$1074,Sheet1!$G:$G,0))),_xlfn.XLOOKUP($H$2:$H$1074,Sheet1!$G:$G,Sheet1!$F:$F,"")),"NOT FOUND"))</f>
        <v>YETKRTSCUT5008</v>
      </c>
      <c r="AF619" s="10" t="str">
        <f t="shared" si="39"/>
        <v>OFF WHITE</v>
      </c>
      <c r="AG619" s="11" t="str">
        <f t="shared" si="40"/>
        <v>HARIPAL</v>
      </c>
      <c r="AH619" s="9" t="str">
        <f>IF(OR(J619="",AE619="",AE619="NOT FOUND"),"",IF(Y619="RP",IFERROR(LEFT(_xlfn.XLOOKUP(AE619,Sheet1!$F:$F,Sheet1!$W:$W),FIND("-",_xlfn.XLOOKUP(AE619,Sheet1!$F:$F,Sheet1!$W:$W),FIND("-",_xlfn.XLOOKUP(AE619,Sheet1!$F:$F,Sheet1!$W:$W))+1))&amp;AE619,"NOT FOUND"),LEFT(J619,FIND("-",J619,FIND("-",J619)+1))&amp;AE619))</f>
        <v>KRTS-APSU26-YETKRTSCUT5008</v>
      </c>
    </row>
    <row r="620" spans="1:34" ht="15.75" customHeight="1" x14ac:dyDescent="0.2">
      <c r="A620" s="4" t="s">
        <v>61</v>
      </c>
      <c r="B620" s="4" t="s">
        <v>876</v>
      </c>
      <c r="C620" s="4" t="s">
        <v>597</v>
      </c>
      <c r="D620" s="4" t="s">
        <v>797</v>
      </c>
      <c r="E620" s="4" t="s">
        <v>34</v>
      </c>
      <c r="F620" s="4" t="s">
        <v>35</v>
      </c>
      <c r="G620" s="4" t="s">
        <v>51</v>
      </c>
      <c r="H620" s="4" t="s">
        <v>823</v>
      </c>
      <c r="I620" s="4" t="s">
        <v>824</v>
      </c>
      <c r="J620" s="4" t="s">
        <v>825</v>
      </c>
      <c r="L620" s="4" t="s">
        <v>40</v>
      </c>
      <c r="M620" s="4">
        <v>1</v>
      </c>
      <c r="N620" s="4">
        <v>154</v>
      </c>
      <c r="O620" s="4">
        <v>154</v>
      </c>
      <c r="P620" s="4" t="s">
        <v>41</v>
      </c>
      <c r="Q620" s="4">
        <v>244.3</v>
      </c>
      <c r="R620" s="4">
        <v>244.3</v>
      </c>
      <c r="S620" s="4">
        <v>1881.11</v>
      </c>
      <c r="T620" s="4">
        <v>37622.199999999997</v>
      </c>
      <c r="U620" s="4">
        <v>5</v>
      </c>
      <c r="V620" s="4" t="s">
        <v>42</v>
      </c>
      <c r="X620" s="7" t="str">
        <f t="shared" si="30"/>
        <v>441857089</v>
      </c>
      <c r="Y620" s="8" t="str">
        <f t="shared" si="31"/>
        <v>DC</v>
      </c>
      <c r="Z620" s="8">
        <f t="shared" si="32"/>
        <v>0</v>
      </c>
      <c r="AA620" s="8">
        <f t="shared" si="33"/>
        <v>154</v>
      </c>
      <c r="AB620" s="8">
        <f t="shared" si="34"/>
        <v>0</v>
      </c>
      <c r="AC620" s="8">
        <f t="shared" si="35"/>
        <v>0</v>
      </c>
      <c r="AD620" s="8">
        <f t="shared" si="36"/>
        <v>0</v>
      </c>
      <c r="AE620" s="9" t="str" cm="1">
        <f t="array" ref="AE620">IFERROR(_xlfn.XLOOKUP(H620,Sheet1!$G:$G,Sheet1!$F:$F),IFERROR(_xlfn.XLOOKUP(1,(--($X$2:$X$1074=X620))*(--ISNUMBER(MATCH($H$2:$H$1074,Sheet1!$G:$G,0))),_xlfn.XLOOKUP($H$2:$H$1074,Sheet1!$G:$G,Sheet1!$F:$F,"")),"NOT FOUND"))</f>
        <v>YETKRTSCUT5008</v>
      </c>
      <c r="AF620" s="10" t="str">
        <f t="shared" si="39"/>
        <v>OFF WHITE</v>
      </c>
      <c r="AG620" s="11" t="str">
        <f t="shared" si="40"/>
        <v>HARIPAL</v>
      </c>
      <c r="AH620" s="9" t="str">
        <f>IF(OR(J620="",AE620="",AE620="NOT FOUND"),"",IF(Y620="RP",IFERROR(LEFT(_xlfn.XLOOKUP(AE620,Sheet1!$F:$F,Sheet1!$W:$W),FIND("-",_xlfn.XLOOKUP(AE620,Sheet1!$F:$F,Sheet1!$W:$W),FIND("-",_xlfn.XLOOKUP(AE620,Sheet1!$F:$F,Sheet1!$W:$W))+1))&amp;AE620,"NOT FOUND"),LEFT(J620,FIND("-",J620,FIND("-",J620)+1))&amp;AE620))</f>
        <v>KRTS-APSU26-YETKRTSCUT5008</v>
      </c>
    </row>
    <row r="621" spans="1:34" ht="15.75" customHeight="1" x14ac:dyDescent="0.2">
      <c r="A621" s="4" t="s">
        <v>61</v>
      </c>
      <c r="B621" s="4" t="s">
        <v>876</v>
      </c>
      <c r="C621" s="4" t="s">
        <v>597</v>
      </c>
      <c r="D621" s="4" t="s">
        <v>797</v>
      </c>
      <c r="E621" s="4" t="s">
        <v>34</v>
      </c>
      <c r="F621" s="4" t="s">
        <v>35</v>
      </c>
      <c r="G621" s="4" t="s">
        <v>55</v>
      </c>
      <c r="H621" s="4" t="s">
        <v>826</v>
      </c>
      <c r="I621" s="4" t="s">
        <v>827</v>
      </c>
      <c r="J621" s="4" t="s">
        <v>828</v>
      </c>
      <c r="L621" s="4" t="s">
        <v>40</v>
      </c>
      <c r="M621" s="4">
        <v>1</v>
      </c>
      <c r="N621" s="4">
        <v>30</v>
      </c>
      <c r="O621" s="4">
        <v>30</v>
      </c>
      <c r="P621" s="4" t="s">
        <v>41</v>
      </c>
      <c r="Q621" s="4">
        <v>244.3</v>
      </c>
      <c r="R621" s="4">
        <v>244.3</v>
      </c>
      <c r="S621" s="4">
        <v>366.45</v>
      </c>
      <c r="T621" s="4">
        <v>7329</v>
      </c>
      <c r="U621" s="4">
        <v>5</v>
      </c>
      <c r="V621" s="4" t="s">
        <v>42</v>
      </c>
      <c r="X621" s="7" t="str">
        <f t="shared" si="30"/>
        <v>441857089</v>
      </c>
      <c r="Y621" s="8" t="str">
        <f t="shared" si="31"/>
        <v>DC</v>
      </c>
      <c r="Z621" s="8">
        <f t="shared" si="32"/>
        <v>30</v>
      </c>
      <c r="AA621" s="8">
        <f t="shared" si="33"/>
        <v>0</v>
      </c>
      <c r="AB621" s="8">
        <f t="shared" si="34"/>
        <v>0</v>
      </c>
      <c r="AC621" s="8">
        <f t="shared" si="35"/>
        <v>0</v>
      </c>
      <c r="AD621" s="8">
        <f t="shared" si="36"/>
        <v>0</v>
      </c>
      <c r="AE621" s="9" t="str" cm="1">
        <f t="array" ref="AE621">IFERROR(_xlfn.XLOOKUP(H621,Sheet1!$G:$G,Sheet1!$F:$F),IFERROR(_xlfn.XLOOKUP(1,(--($X$2:$X$1074=X621))*(--ISNUMBER(MATCH($H$2:$H$1074,Sheet1!$G:$G,0))),_xlfn.XLOOKUP($H$2:$H$1074,Sheet1!$G:$G,Sheet1!$F:$F,"")),"NOT FOUND"))</f>
        <v>YETKRTSCUT5008</v>
      </c>
      <c r="AF621" s="10" t="str">
        <f t="shared" si="39"/>
        <v>OFF WHITE</v>
      </c>
      <c r="AG621" s="11" t="str">
        <f t="shared" si="40"/>
        <v>HARIPAL</v>
      </c>
      <c r="AH621" s="9" t="str">
        <f>IF(OR(J621="",AE621="",AE621="NOT FOUND"),"",IF(Y621="RP",IFERROR(LEFT(_xlfn.XLOOKUP(AE621,Sheet1!$F:$F,Sheet1!$W:$W),FIND("-",_xlfn.XLOOKUP(AE621,Sheet1!$F:$F,Sheet1!$W:$W),FIND("-",_xlfn.XLOOKUP(AE621,Sheet1!$F:$F,Sheet1!$W:$W))+1))&amp;AE621,"NOT FOUND"),LEFT(J621,FIND("-",J621,FIND("-",J621)+1))&amp;AE621))</f>
        <v>KRTS-APSU26-YETKRTSCUT5008</v>
      </c>
    </row>
    <row r="622" spans="1:34" ht="15.75" customHeight="1" x14ac:dyDescent="0.2">
      <c r="A622" s="4" t="s">
        <v>61</v>
      </c>
      <c r="B622" s="4" t="s">
        <v>877</v>
      </c>
      <c r="C622" s="4" t="s">
        <v>597</v>
      </c>
      <c r="D622" s="4" t="s">
        <v>579</v>
      </c>
      <c r="E622" s="4" t="s">
        <v>34</v>
      </c>
      <c r="F622" s="4" t="s">
        <v>35</v>
      </c>
      <c r="G622" s="4" t="s">
        <v>36</v>
      </c>
      <c r="H622" s="4" t="s">
        <v>830</v>
      </c>
      <c r="I622" s="4" t="s">
        <v>831</v>
      </c>
      <c r="J622" s="4" t="s">
        <v>832</v>
      </c>
      <c r="L622" s="4" t="s">
        <v>40</v>
      </c>
      <c r="M622" s="4">
        <v>1</v>
      </c>
      <c r="N622" s="4">
        <v>36</v>
      </c>
      <c r="O622" s="4">
        <v>36</v>
      </c>
      <c r="P622" s="4" t="s">
        <v>41</v>
      </c>
      <c r="Q622" s="4">
        <v>244.3</v>
      </c>
      <c r="R622" s="4">
        <v>244.3</v>
      </c>
      <c r="S622" s="4">
        <v>439.74</v>
      </c>
      <c r="T622" s="4">
        <v>8794.7999999999993</v>
      </c>
      <c r="U622" s="4">
        <v>5</v>
      </c>
      <c r="V622" s="4" t="s">
        <v>42</v>
      </c>
      <c r="X622" s="7" t="str">
        <f t="shared" si="30"/>
        <v>441857089</v>
      </c>
      <c r="Y622" s="8" t="str">
        <f t="shared" si="31"/>
        <v>DC</v>
      </c>
      <c r="Z622" s="8">
        <f t="shared" si="32"/>
        <v>0</v>
      </c>
      <c r="AA622" s="8">
        <f t="shared" si="33"/>
        <v>0</v>
      </c>
      <c r="AB622" s="8">
        <f t="shared" si="34"/>
        <v>0</v>
      </c>
      <c r="AC622" s="8">
        <f t="shared" si="35"/>
        <v>0</v>
      </c>
      <c r="AD622" s="8">
        <f t="shared" si="36"/>
        <v>36</v>
      </c>
      <c r="AE622" s="9" t="str" cm="1">
        <f t="array" ref="AE622">IFERROR(_xlfn.XLOOKUP(H622,Sheet1!$G:$G,Sheet1!$F:$F),IFERROR(_xlfn.XLOOKUP(1,(--($X$2:$X$1074=X622))*(--ISNUMBER(MATCH($H$2:$H$1074,Sheet1!$G:$G,0))),_xlfn.XLOOKUP($H$2:$H$1074,Sheet1!$G:$G,Sheet1!$F:$F,"")),"NOT FOUND"))</f>
        <v>YETKRTSCUT5008</v>
      </c>
      <c r="AF622" s="10" t="str">
        <f t="shared" si="39"/>
        <v>MUSTARD</v>
      </c>
      <c r="AG622" s="11" t="str">
        <f t="shared" si="40"/>
        <v>HARIPAL</v>
      </c>
      <c r="AH622" s="9" t="str">
        <f>IF(OR(J622="",AE622="",AE622="NOT FOUND"),"",IF(Y622="RP",IFERROR(LEFT(_xlfn.XLOOKUP(AE622,Sheet1!$F:$F,Sheet1!$W:$W),FIND("-",_xlfn.XLOOKUP(AE622,Sheet1!$F:$F,Sheet1!$W:$W),FIND("-",_xlfn.XLOOKUP(AE622,Sheet1!$F:$F,Sheet1!$W:$W))+1))&amp;AE622,"NOT FOUND"),LEFT(J622,FIND("-",J622,FIND("-",J622)+1))&amp;AE622))</f>
        <v>KRTS-APSU26-YETKRTSCUT5008</v>
      </c>
    </row>
    <row r="623" spans="1:34" ht="15.75" customHeight="1" x14ac:dyDescent="0.2">
      <c r="A623" s="4" t="s">
        <v>61</v>
      </c>
      <c r="B623" s="4" t="s">
        <v>877</v>
      </c>
      <c r="C623" s="4" t="s">
        <v>597</v>
      </c>
      <c r="D623" s="4" t="s">
        <v>579</v>
      </c>
      <c r="E623" s="4" t="s">
        <v>34</v>
      </c>
      <c r="F623" s="4" t="s">
        <v>35</v>
      </c>
      <c r="G623" s="4" t="s">
        <v>43</v>
      </c>
      <c r="H623" s="4" t="s">
        <v>833</v>
      </c>
      <c r="I623" s="4" t="s">
        <v>834</v>
      </c>
      <c r="J623" s="4" t="s">
        <v>835</v>
      </c>
      <c r="L623" s="4" t="s">
        <v>40</v>
      </c>
      <c r="M623" s="4">
        <v>1</v>
      </c>
      <c r="N623" s="4">
        <v>189</v>
      </c>
      <c r="O623" s="4">
        <v>189</v>
      </c>
      <c r="P623" s="4" t="s">
        <v>41</v>
      </c>
      <c r="Q623" s="4">
        <v>244.3</v>
      </c>
      <c r="R623" s="4">
        <v>244.3</v>
      </c>
      <c r="S623" s="4">
        <v>2308.64</v>
      </c>
      <c r="T623" s="4">
        <v>46172.7</v>
      </c>
      <c r="U623" s="4">
        <v>5</v>
      </c>
      <c r="V623" s="4" t="s">
        <v>42</v>
      </c>
      <c r="X623" s="7" t="str">
        <f t="shared" si="30"/>
        <v>441857089</v>
      </c>
      <c r="Y623" s="8" t="str">
        <f t="shared" si="31"/>
        <v>DC</v>
      </c>
      <c r="Z623" s="8">
        <f t="shared" si="32"/>
        <v>0</v>
      </c>
      <c r="AA623" s="8">
        <f t="shared" si="33"/>
        <v>0</v>
      </c>
      <c r="AB623" s="8">
        <f t="shared" si="34"/>
        <v>0</v>
      </c>
      <c r="AC623" s="8">
        <f t="shared" si="35"/>
        <v>189</v>
      </c>
      <c r="AD623" s="8">
        <f t="shared" si="36"/>
        <v>0</v>
      </c>
      <c r="AE623" s="9" t="str" cm="1">
        <f t="array" ref="AE623">IFERROR(_xlfn.XLOOKUP(H623,Sheet1!$G:$G,Sheet1!$F:$F),IFERROR(_xlfn.XLOOKUP(1,(--($X$2:$X$1074=X623))*(--ISNUMBER(MATCH($H$2:$H$1074,Sheet1!$G:$G,0))),_xlfn.XLOOKUP($H$2:$H$1074,Sheet1!$G:$G,Sheet1!$F:$F,"")),"NOT FOUND"))</f>
        <v>YETKRTSCUT5008</v>
      </c>
      <c r="AF623" s="10" t="str">
        <f t="shared" si="39"/>
        <v>MUSTARD</v>
      </c>
      <c r="AG623" s="11" t="str">
        <f t="shared" si="40"/>
        <v>HARIPAL</v>
      </c>
      <c r="AH623" s="9" t="str">
        <f>IF(OR(J623="",AE623="",AE623="NOT FOUND"),"",IF(Y623="RP",IFERROR(LEFT(_xlfn.XLOOKUP(AE623,Sheet1!$F:$F,Sheet1!$W:$W),FIND("-",_xlfn.XLOOKUP(AE623,Sheet1!$F:$F,Sheet1!$W:$W),FIND("-",_xlfn.XLOOKUP(AE623,Sheet1!$F:$F,Sheet1!$W:$W))+1))&amp;AE623,"NOT FOUND"),LEFT(J623,FIND("-",J623,FIND("-",J623)+1))&amp;AE623))</f>
        <v>KRTS-APSU26-YETKRTSCUT5008</v>
      </c>
    </row>
    <row r="624" spans="1:34" ht="15.75" customHeight="1" x14ac:dyDescent="0.2">
      <c r="A624" s="4" t="s">
        <v>61</v>
      </c>
      <c r="B624" s="4" t="s">
        <v>877</v>
      </c>
      <c r="C624" s="4" t="s">
        <v>597</v>
      </c>
      <c r="D624" s="4" t="s">
        <v>579</v>
      </c>
      <c r="E624" s="4" t="s">
        <v>34</v>
      </c>
      <c r="F624" s="4" t="s">
        <v>35</v>
      </c>
      <c r="G624" s="4" t="s">
        <v>47</v>
      </c>
      <c r="H624" s="4" t="s">
        <v>836</v>
      </c>
      <c r="I624" s="4" t="s">
        <v>837</v>
      </c>
      <c r="J624" s="4" t="s">
        <v>838</v>
      </c>
      <c r="L624" s="4" t="s">
        <v>40</v>
      </c>
      <c r="M624" s="4">
        <v>1</v>
      </c>
      <c r="N624" s="4">
        <v>162</v>
      </c>
      <c r="O624" s="4">
        <v>162</v>
      </c>
      <c r="P624" s="4" t="s">
        <v>41</v>
      </c>
      <c r="Q624" s="4">
        <v>244.3</v>
      </c>
      <c r="R624" s="4">
        <v>244.3</v>
      </c>
      <c r="S624" s="4">
        <v>1978.83</v>
      </c>
      <c r="T624" s="4">
        <v>39576.6</v>
      </c>
      <c r="U624" s="4">
        <v>5</v>
      </c>
      <c r="V624" s="4" t="s">
        <v>42</v>
      </c>
      <c r="X624" s="7" t="str">
        <f t="shared" si="30"/>
        <v>441857089</v>
      </c>
      <c r="Y624" s="8" t="str">
        <f t="shared" si="31"/>
        <v>DC</v>
      </c>
      <c r="Z624" s="8">
        <f t="shared" si="32"/>
        <v>0</v>
      </c>
      <c r="AA624" s="8">
        <f t="shared" si="33"/>
        <v>0</v>
      </c>
      <c r="AB624" s="8">
        <f t="shared" si="34"/>
        <v>162</v>
      </c>
      <c r="AC624" s="8">
        <f t="shared" si="35"/>
        <v>0</v>
      </c>
      <c r="AD624" s="8">
        <f t="shared" si="36"/>
        <v>0</v>
      </c>
      <c r="AE624" s="9" t="str" cm="1">
        <f t="array" ref="AE624">IFERROR(_xlfn.XLOOKUP(H624,Sheet1!$G:$G,Sheet1!$F:$F),IFERROR(_xlfn.XLOOKUP(1,(--($X$2:$X$1074=X624))*(--ISNUMBER(MATCH($H$2:$H$1074,Sheet1!$G:$G,0))),_xlfn.XLOOKUP($H$2:$H$1074,Sheet1!$G:$G,Sheet1!$F:$F,"")),"NOT FOUND"))</f>
        <v>YETKRTSCUT5008</v>
      </c>
      <c r="AF624" s="10" t="str">
        <f t="shared" si="39"/>
        <v>MUSTARD</v>
      </c>
      <c r="AG624" s="11" t="str">
        <f t="shared" si="40"/>
        <v>HARIPAL</v>
      </c>
      <c r="AH624" s="9" t="str">
        <f>IF(OR(J624="",AE624="",AE624="NOT FOUND"),"",IF(Y624="RP",IFERROR(LEFT(_xlfn.XLOOKUP(AE624,Sheet1!$F:$F,Sheet1!$W:$W),FIND("-",_xlfn.XLOOKUP(AE624,Sheet1!$F:$F,Sheet1!$W:$W),FIND("-",_xlfn.XLOOKUP(AE624,Sheet1!$F:$F,Sheet1!$W:$W))+1))&amp;AE624,"NOT FOUND"),LEFT(J624,FIND("-",J624,FIND("-",J624)+1))&amp;AE624))</f>
        <v>KRTS-APSU26-YETKRTSCUT5008</v>
      </c>
    </row>
    <row r="625" spans="1:34" ht="15.75" customHeight="1" x14ac:dyDescent="0.2">
      <c r="A625" s="4" t="s">
        <v>61</v>
      </c>
      <c r="B625" s="4" t="s">
        <v>877</v>
      </c>
      <c r="C625" s="4" t="s">
        <v>597</v>
      </c>
      <c r="D625" s="4" t="s">
        <v>579</v>
      </c>
      <c r="E625" s="4" t="s">
        <v>34</v>
      </c>
      <c r="F625" s="4" t="s">
        <v>35</v>
      </c>
      <c r="G625" s="4" t="s">
        <v>51</v>
      </c>
      <c r="H625" s="4" t="s">
        <v>839</v>
      </c>
      <c r="I625" s="4" t="s">
        <v>840</v>
      </c>
      <c r="J625" s="4" t="s">
        <v>841</v>
      </c>
      <c r="L625" s="4" t="s">
        <v>40</v>
      </c>
      <c r="M625" s="4">
        <v>1</v>
      </c>
      <c r="N625" s="4">
        <v>144</v>
      </c>
      <c r="O625" s="4">
        <v>144</v>
      </c>
      <c r="P625" s="4" t="s">
        <v>41</v>
      </c>
      <c r="Q625" s="4">
        <v>244.3</v>
      </c>
      <c r="R625" s="4">
        <v>244.3</v>
      </c>
      <c r="S625" s="4">
        <v>1758.96</v>
      </c>
      <c r="T625" s="4">
        <v>35179.199999999997</v>
      </c>
      <c r="U625" s="4">
        <v>5</v>
      </c>
      <c r="V625" s="4" t="s">
        <v>42</v>
      </c>
      <c r="X625" s="7" t="str">
        <f t="shared" si="30"/>
        <v>441857089</v>
      </c>
      <c r="Y625" s="8" t="str">
        <f t="shared" si="31"/>
        <v>DC</v>
      </c>
      <c r="Z625" s="8">
        <f t="shared" si="32"/>
        <v>0</v>
      </c>
      <c r="AA625" s="8">
        <f t="shared" si="33"/>
        <v>144</v>
      </c>
      <c r="AB625" s="8">
        <f t="shared" si="34"/>
        <v>0</v>
      </c>
      <c r="AC625" s="8">
        <f t="shared" si="35"/>
        <v>0</v>
      </c>
      <c r="AD625" s="8">
        <f t="shared" si="36"/>
        <v>0</v>
      </c>
      <c r="AE625" s="9" t="str" cm="1">
        <f t="array" ref="AE625">IFERROR(_xlfn.XLOOKUP(H625,Sheet1!$G:$G,Sheet1!$F:$F),IFERROR(_xlfn.XLOOKUP(1,(--($X$2:$X$1074=X625))*(--ISNUMBER(MATCH($H$2:$H$1074,Sheet1!$G:$G,0))),_xlfn.XLOOKUP($H$2:$H$1074,Sheet1!$G:$G,Sheet1!$F:$F,"")),"NOT FOUND"))</f>
        <v>YETKRTSCUT5008</v>
      </c>
      <c r="AF625" s="10" t="str">
        <f t="shared" si="39"/>
        <v>MUSTARD</v>
      </c>
      <c r="AG625" s="11" t="str">
        <f t="shared" si="40"/>
        <v>HARIPAL</v>
      </c>
      <c r="AH625" s="9" t="str">
        <f>IF(OR(J625="",AE625="",AE625="NOT FOUND"),"",IF(Y625="RP",IFERROR(LEFT(_xlfn.XLOOKUP(AE625,Sheet1!$F:$F,Sheet1!$W:$W),FIND("-",_xlfn.XLOOKUP(AE625,Sheet1!$F:$F,Sheet1!$W:$W),FIND("-",_xlfn.XLOOKUP(AE625,Sheet1!$F:$F,Sheet1!$W:$W))+1))&amp;AE625,"NOT FOUND"),LEFT(J625,FIND("-",J625,FIND("-",J625)+1))&amp;AE625))</f>
        <v>KRTS-APSU26-YETKRTSCUT5008</v>
      </c>
    </row>
    <row r="626" spans="1:34" ht="15.75" customHeight="1" x14ac:dyDescent="0.2">
      <c r="A626" s="4" t="s">
        <v>61</v>
      </c>
      <c r="B626" s="4" t="s">
        <v>877</v>
      </c>
      <c r="C626" s="4" t="s">
        <v>597</v>
      </c>
      <c r="D626" s="4" t="s">
        <v>579</v>
      </c>
      <c r="E626" s="4" t="s">
        <v>34</v>
      </c>
      <c r="F626" s="4" t="s">
        <v>35</v>
      </c>
      <c r="G626" s="4" t="s">
        <v>55</v>
      </c>
      <c r="H626" s="4" t="s">
        <v>842</v>
      </c>
      <c r="I626" s="4" t="s">
        <v>843</v>
      </c>
      <c r="J626" s="4" t="s">
        <v>844</v>
      </c>
      <c r="L626" s="4" t="s">
        <v>40</v>
      </c>
      <c r="M626" s="4">
        <v>1</v>
      </c>
      <c r="N626" s="4">
        <v>30</v>
      </c>
      <c r="O626" s="4">
        <v>30</v>
      </c>
      <c r="P626" s="4" t="s">
        <v>41</v>
      </c>
      <c r="Q626" s="4">
        <v>244.3</v>
      </c>
      <c r="R626" s="4">
        <v>244.3</v>
      </c>
      <c r="S626" s="4">
        <v>366.45</v>
      </c>
      <c r="T626" s="4">
        <v>7329</v>
      </c>
      <c r="U626" s="4">
        <v>5</v>
      </c>
      <c r="V626" s="4" t="s">
        <v>42</v>
      </c>
      <c r="X626" s="7" t="str">
        <f t="shared" si="30"/>
        <v>441857089</v>
      </c>
      <c r="Y626" s="8" t="str">
        <f t="shared" si="31"/>
        <v>DC</v>
      </c>
      <c r="Z626" s="8">
        <f t="shared" si="32"/>
        <v>30</v>
      </c>
      <c r="AA626" s="8">
        <f t="shared" si="33"/>
        <v>0</v>
      </c>
      <c r="AB626" s="8">
        <f t="shared" si="34"/>
        <v>0</v>
      </c>
      <c r="AC626" s="8">
        <f t="shared" si="35"/>
        <v>0</v>
      </c>
      <c r="AD626" s="8">
        <f t="shared" si="36"/>
        <v>0</v>
      </c>
      <c r="AE626" s="9" t="str" cm="1">
        <f t="array" ref="AE626">IFERROR(_xlfn.XLOOKUP(H626,Sheet1!$G:$G,Sheet1!$F:$F),IFERROR(_xlfn.XLOOKUP(1,(--($X$2:$X$1074=X626))*(--ISNUMBER(MATCH($H$2:$H$1074,Sheet1!$G:$G,0))),_xlfn.XLOOKUP($H$2:$H$1074,Sheet1!$G:$G,Sheet1!$F:$F,"")),"NOT FOUND"))</f>
        <v>YETKRTSCUT5008</v>
      </c>
      <c r="AF626" s="10" t="str">
        <f t="shared" si="39"/>
        <v>MUSTARD</v>
      </c>
      <c r="AG626" s="11" t="str">
        <f t="shared" si="40"/>
        <v>HARIPAL</v>
      </c>
      <c r="AH626" s="9" t="str">
        <f>IF(OR(J626="",AE626="",AE626="NOT FOUND"),"",IF(Y626="RP",IFERROR(LEFT(_xlfn.XLOOKUP(AE626,Sheet1!$F:$F,Sheet1!$W:$W),FIND("-",_xlfn.XLOOKUP(AE626,Sheet1!$F:$F,Sheet1!$W:$W),FIND("-",_xlfn.XLOOKUP(AE626,Sheet1!$F:$F,Sheet1!$W:$W))+1))&amp;AE626,"NOT FOUND"),LEFT(J626,FIND("-",J626,FIND("-",J626)+1))&amp;AE626))</f>
        <v>KRTS-APSU26-YETKRTSCUT5008</v>
      </c>
    </row>
    <row r="627" spans="1:34" ht="15.75" customHeight="1" x14ac:dyDescent="0.2">
      <c r="A627" s="4" t="s">
        <v>61</v>
      </c>
      <c r="B627" s="4" t="s">
        <v>878</v>
      </c>
      <c r="C627" s="4" t="s">
        <v>597</v>
      </c>
      <c r="D627" s="4" t="s">
        <v>579</v>
      </c>
      <c r="E627" s="4" t="s">
        <v>34</v>
      </c>
      <c r="F627" s="4" t="s">
        <v>35</v>
      </c>
      <c r="G627" s="4" t="s">
        <v>36</v>
      </c>
      <c r="H627" s="4" t="s">
        <v>846</v>
      </c>
      <c r="I627" s="4" t="s">
        <v>847</v>
      </c>
      <c r="J627" s="4" t="s">
        <v>848</v>
      </c>
      <c r="L627" s="4" t="s">
        <v>40</v>
      </c>
      <c r="M627" s="4">
        <v>1</v>
      </c>
      <c r="N627" s="4">
        <v>34</v>
      </c>
      <c r="O627" s="4">
        <v>34</v>
      </c>
      <c r="P627" s="4" t="s">
        <v>41</v>
      </c>
      <c r="Q627" s="4">
        <v>244.3</v>
      </c>
      <c r="R627" s="4">
        <v>244.3</v>
      </c>
      <c r="S627" s="4">
        <v>415.31</v>
      </c>
      <c r="T627" s="4">
        <v>8306.2000000000007</v>
      </c>
      <c r="U627" s="4">
        <v>5</v>
      </c>
      <c r="V627" s="4" t="s">
        <v>42</v>
      </c>
      <c r="X627" s="7" t="str">
        <f t="shared" si="30"/>
        <v>441857089</v>
      </c>
      <c r="Y627" s="8" t="str">
        <f t="shared" si="31"/>
        <v>DC</v>
      </c>
      <c r="Z627" s="8">
        <f t="shared" si="32"/>
        <v>0</v>
      </c>
      <c r="AA627" s="8">
        <f t="shared" si="33"/>
        <v>0</v>
      </c>
      <c r="AB627" s="8">
        <f t="shared" si="34"/>
        <v>0</v>
      </c>
      <c r="AC627" s="8">
        <f t="shared" si="35"/>
        <v>0</v>
      </c>
      <c r="AD627" s="8">
        <f t="shared" si="36"/>
        <v>34</v>
      </c>
      <c r="AE627" s="9" t="str" cm="1">
        <f t="array" ref="AE627">IFERROR(_xlfn.XLOOKUP(H627,Sheet1!$G:$G,Sheet1!$F:$F),IFERROR(_xlfn.XLOOKUP(1,(--($X$2:$X$1074=X627))*(--ISNUMBER(MATCH($H$2:$H$1074,Sheet1!$G:$G,0))),_xlfn.XLOOKUP($H$2:$H$1074,Sheet1!$G:$G,Sheet1!$F:$F,"")),"NOT FOUND"))</f>
        <v>YETKRTSCUT5008</v>
      </c>
      <c r="AF627" s="10" t="str">
        <f t="shared" si="39"/>
        <v>FUCHSIA</v>
      </c>
      <c r="AG627" s="11" t="str">
        <f t="shared" si="40"/>
        <v>HARIPAL</v>
      </c>
      <c r="AH627" s="9" t="str">
        <f>IF(OR(J627="",AE627="",AE627="NOT FOUND"),"",IF(Y627="RP",IFERROR(LEFT(_xlfn.XLOOKUP(AE627,Sheet1!$F:$F,Sheet1!$W:$W),FIND("-",_xlfn.XLOOKUP(AE627,Sheet1!$F:$F,Sheet1!$W:$W),FIND("-",_xlfn.XLOOKUP(AE627,Sheet1!$F:$F,Sheet1!$W:$W))+1))&amp;AE627,"NOT FOUND"),LEFT(J627,FIND("-",J627,FIND("-",J627)+1))&amp;AE627))</f>
        <v>KRTS-APSU26-YETKRTSCUT5008</v>
      </c>
    </row>
    <row r="628" spans="1:34" ht="15.75" customHeight="1" x14ac:dyDescent="0.2">
      <c r="A628" s="4" t="s">
        <v>61</v>
      </c>
      <c r="B628" s="4" t="s">
        <v>878</v>
      </c>
      <c r="C628" s="4" t="s">
        <v>597</v>
      </c>
      <c r="D628" s="4" t="s">
        <v>579</v>
      </c>
      <c r="E628" s="4" t="s">
        <v>34</v>
      </c>
      <c r="F628" s="4" t="s">
        <v>35</v>
      </c>
      <c r="G628" s="4" t="s">
        <v>43</v>
      </c>
      <c r="H628" s="4" t="s">
        <v>849</v>
      </c>
      <c r="I628" s="4" t="s">
        <v>850</v>
      </c>
      <c r="J628" s="4" t="s">
        <v>851</v>
      </c>
      <c r="L628" s="4" t="s">
        <v>40</v>
      </c>
      <c r="M628" s="4">
        <v>1</v>
      </c>
      <c r="N628" s="4">
        <v>177</v>
      </c>
      <c r="O628" s="4">
        <v>177</v>
      </c>
      <c r="P628" s="4" t="s">
        <v>41</v>
      </c>
      <c r="Q628" s="4">
        <v>244.3</v>
      </c>
      <c r="R628" s="4">
        <v>244.3</v>
      </c>
      <c r="S628" s="4">
        <v>2162.06</v>
      </c>
      <c r="T628" s="4">
        <v>43241.1</v>
      </c>
      <c r="U628" s="4">
        <v>5</v>
      </c>
      <c r="V628" s="4" t="s">
        <v>42</v>
      </c>
      <c r="X628" s="7" t="str">
        <f t="shared" si="30"/>
        <v>441857089</v>
      </c>
      <c r="Y628" s="8" t="str">
        <f t="shared" si="31"/>
        <v>DC</v>
      </c>
      <c r="Z628" s="8">
        <f t="shared" si="32"/>
        <v>0</v>
      </c>
      <c r="AA628" s="8">
        <f t="shared" si="33"/>
        <v>0</v>
      </c>
      <c r="AB628" s="8">
        <f t="shared" si="34"/>
        <v>0</v>
      </c>
      <c r="AC628" s="8">
        <f t="shared" si="35"/>
        <v>177</v>
      </c>
      <c r="AD628" s="8">
        <f t="shared" si="36"/>
        <v>0</v>
      </c>
      <c r="AE628" s="9" t="str" cm="1">
        <f t="array" ref="AE628">IFERROR(_xlfn.XLOOKUP(H628,Sheet1!$G:$G,Sheet1!$F:$F),IFERROR(_xlfn.XLOOKUP(1,(--($X$2:$X$1074=X628))*(--ISNUMBER(MATCH($H$2:$H$1074,Sheet1!$G:$G,0))),_xlfn.XLOOKUP($H$2:$H$1074,Sheet1!$G:$G,Sheet1!$F:$F,"")),"NOT FOUND"))</f>
        <v>YETKRTSCUT5008</v>
      </c>
      <c r="AF628" s="10" t="str">
        <f t="shared" si="39"/>
        <v>FUCHSIA</v>
      </c>
      <c r="AG628" s="11" t="str">
        <f t="shared" si="40"/>
        <v>HARIPAL</v>
      </c>
      <c r="AH628" s="9" t="str">
        <f>IF(OR(J628="",AE628="",AE628="NOT FOUND"),"",IF(Y628="RP",IFERROR(LEFT(_xlfn.XLOOKUP(AE628,Sheet1!$F:$F,Sheet1!$W:$W),FIND("-",_xlfn.XLOOKUP(AE628,Sheet1!$F:$F,Sheet1!$W:$W),FIND("-",_xlfn.XLOOKUP(AE628,Sheet1!$F:$F,Sheet1!$W:$W))+1))&amp;AE628,"NOT FOUND"),LEFT(J628,FIND("-",J628,FIND("-",J628)+1))&amp;AE628))</f>
        <v>KRTS-APSU26-YETKRTSCUT5008</v>
      </c>
    </row>
    <row r="629" spans="1:34" ht="15.75" customHeight="1" x14ac:dyDescent="0.2">
      <c r="A629" s="4" t="s">
        <v>61</v>
      </c>
      <c r="B629" s="4" t="s">
        <v>878</v>
      </c>
      <c r="C629" s="4" t="s">
        <v>597</v>
      </c>
      <c r="D629" s="4" t="s">
        <v>579</v>
      </c>
      <c r="E629" s="4" t="s">
        <v>34</v>
      </c>
      <c r="F629" s="4" t="s">
        <v>35</v>
      </c>
      <c r="G629" s="4" t="s">
        <v>47</v>
      </c>
      <c r="H629" s="4" t="s">
        <v>852</v>
      </c>
      <c r="I629" s="4" t="s">
        <v>853</v>
      </c>
      <c r="J629" s="4" t="s">
        <v>854</v>
      </c>
      <c r="L629" s="4" t="s">
        <v>40</v>
      </c>
      <c r="M629" s="4">
        <v>1</v>
      </c>
      <c r="N629" s="4">
        <v>152</v>
      </c>
      <c r="O629" s="4">
        <v>152</v>
      </c>
      <c r="P629" s="4" t="s">
        <v>41</v>
      </c>
      <c r="Q629" s="4">
        <v>244.3</v>
      </c>
      <c r="R629" s="4">
        <v>244.3</v>
      </c>
      <c r="S629" s="4">
        <v>1856.68</v>
      </c>
      <c r="T629" s="4">
        <v>37133.599999999999</v>
      </c>
      <c r="U629" s="4">
        <v>5</v>
      </c>
      <c r="V629" s="4" t="s">
        <v>42</v>
      </c>
      <c r="X629" s="7" t="str">
        <f t="shared" si="30"/>
        <v>441857089</v>
      </c>
      <c r="Y629" s="8" t="str">
        <f t="shared" si="31"/>
        <v>DC</v>
      </c>
      <c r="Z629" s="8">
        <f t="shared" si="32"/>
        <v>0</v>
      </c>
      <c r="AA629" s="8">
        <f t="shared" si="33"/>
        <v>0</v>
      </c>
      <c r="AB629" s="8">
        <f t="shared" si="34"/>
        <v>152</v>
      </c>
      <c r="AC629" s="8">
        <f t="shared" si="35"/>
        <v>0</v>
      </c>
      <c r="AD629" s="8">
        <f t="shared" si="36"/>
        <v>0</v>
      </c>
      <c r="AE629" s="9" t="str" cm="1">
        <f t="array" ref="AE629">IFERROR(_xlfn.XLOOKUP(H629,Sheet1!$G:$G,Sheet1!$F:$F),IFERROR(_xlfn.XLOOKUP(1,(--($X$2:$X$1074=X629))*(--ISNUMBER(MATCH($H$2:$H$1074,Sheet1!$G:$G,0))),_xlfn.XLOOKUP($H$2:$H$1074,Sheet1!$G:$G,Sheet1!$F:$F,"")),"NOT FOUND"))</f>
        <v>YETKRTSCUT5008</v>
      </c>
      <c r="AF629" s="10" t="str">
        <f t="shared" si="39"/>
        <v>FUCHSIA</v>
      </c>
      <c r="AG629" s="11" t="str">
        <f t="shared" si="40"/>
        <v>HARIPAL</v>
      </c>
      <c r="AH629" s="9" t="str">
        <f>IF(OR(J629="",AE629="",AE629="NOT FOUND"),"",IF(Y629="RP",IFERROR(LEFT(_xlfn.XLOOKUP(AE629,Sheet1!$F:$F,Sheet1!$W:$W),FIND("-",_xlfn.XLOOKUP(AE629,Sheet1!$F:$F,Sheet1!$W:$W),FIND("-",_xlfn.XLOOKUP(AE629,Sheet1!$F:$F,Sheet1!$W:$W))+1))&amp;AE629,"NOT FOUND"),LEFT(J629,FIND("-",J629,FIND("-",J629)+1))&amp;AE629))</f>
        <v>KRTS-APSU26-YETKRTSCUT5008</v>
      </c>
    </row>
    <row r="630" spans="1:34" ht="15.75" customHeight="1" x14ac:dyDescent="0.2">
      <c r="A630" s="4" t="s">
        <v>61</v>
      </c>
      <c r="B630" s="4" t="s">
        <v>878</v>
      </c>
      <c r="C630" s="4" t="s">
        <v>597</v>
      </c>
      <c r="D630" s="4" t="s">
        <v>579</v>
      </c>
      <c r="E630" s="4" t="s">
        <v>34</v>
      </c>
      <c r="F630" s="4" t="s">
        <v>35</v>
      </c>
      <c r="G630" s="4" t="s">
        <v>51</v>
      </c>
      <c r="H630" s="4" t="s">
        <v>855</v>
      </c>
      <c r="I630" s="4" t="s">
        <v>856</v>
      </c>
      <c r="J630" s="4" t="s">
        <v>857</v>
      </c>
      <c r="L630" s="4" t="s">
        <v>40</v>
      </c>
      <c r="M630" s="4">
        <v>1</v>
      </c>
      <c r="N630" s="4">
        <v>135</v>
      </c>
      <c r="O630" s="4">
        <v>135</v>
      </c>
      <c r="P630" s="4" t="s">
        <v>41</v>
      </c>
      <c r="Q630" s="4">
        <v>244.3</v>
      </c>
      <c r="R630" s="4">
        <v>244.3</v>
      </c>
      <c r="S630" s="4">
        <v>1649.03</v>
      </c>
      <c r="T630" s="4">
        <v>32980.5</v>
      </c>
      <c r="U630" s="4">
        <v>5</v>
      </c>
      <c r="V630" s="4" t="s">
        <v>42</v>
      </c>
      <c r="X630" s="7" t="str">
        <f t="shared" si="30"/>
        <v>441857089</v>
      </c>
      <c r="Y630" s="8" t="str">
        <f t="shared" si="31"/>
        <v>DC</v>
      </c>
      <c r="Z630" s="8">
        <f t="shared" si="32"/>
        <v>0</v>
      </c>
      <c r="AA630" s="8">
        <f t="shared" si="33"/>
        <v>135</v>
      </c>
      <c r="AB630" s="8">
        <f t="shared" si="34"/>
        <v>0</v>
      </c>
      <c r="AC630" s="8">
        <f t="shared" si="35"/>
        <v>0</v>
      </c>
      <c r="AD630" s="8">
        <f t="shared" si="36"/>
        <v>0</v>
      </c>
      <c r="AE630" s="9" t="str" cm="1">
        <f t="array" ref="AE630">IFERROR(_xlfn.XLOOKUP(H630,Sheet1!$G:$G,Sheet1!$F:$F),IFERROR(_xlfn.XLOOKUP(1,(--($X$2:$X$1074=X630))*(--ISNUMBER(MATCH($H$2:$H$1074,Sheet1!$G:$G,0))),_xlfn.XLOOKUP($H$2:$H$1074,Sheet1!$G:$G,Sheet1!$F:$F,"")),"NOT FOUND"))</f>
        <v>YETKRTSCUT5008</v>
      </c>
      <c r="AF630" s="10" t="str">
        <f t="shared" si="39"/>
        <v>FUCHSIA</v>
      </c>
      <c r="AG630" s="11" t="str">
        <f t="shared" si="40"/>
        <v>HARIPAL</v>
      </c>
      <c r="AH630" s="9" t="str">
        <f>IF(OR(J630="",AE630="",AE630="NOT FOUND"),"",IF(Y630="RP",IFERROR(LEFT(_xlfn.XLOOKUP(AE630,Sheet1!$F:$F,Sheet1!$W:$W),FIND("-",_xlfn.XLOOKUP(AE630,Sheet1!$F:$F,Sheet1!$W:$W),FIND("-",_xlfn.XLOOKUP(AE630,Sheet1!$F:$F,Sheet1!$W:$W))+1))&amp;AE630,"NOT FOUND"),LEFT(J630,FIND("-",J630,FIND("-",J630)+1))&amp;AE630))</f>
        <v>KRTS-APSU26-YETKRTSCUT5008</v>
      </c>
    </row>
    <row r="631" spans="1:34" ht="15.75" customHeight="1" x14ac:dyDescent="0.2">
      <c r="A631" s="4" t="s">
        <v>61</v>
      </c>
      <c r="B631" s="4" t="s">
        <v>878</v>
      </c>
      <c r="C631" s="4" t="s">
        <v>597</v>
      </c>
      <c r="D631" s="4" t="s">
        <v>579</v>
      </c>
      <c r="E631" s="4" t="s">
        <v>34</v>
      </c>
      <c r="F631" s="4" t="s">
        <v>35</v>
      </c>
      <c r="G631" s="4" t="s">
        <v>55</v>
      </c>
      <c r="H631" s="4" t="s">
        <v>858</v>
      </c>
      <c r="I631" s="4" t="s">
        <v>859</v>
      </c>
      <c r="J631" s="4" t="s">
        <v>860</v>
      </c>
      <c r="L631" s="4" t="s">
        <v>40</v>
      </c>
      <c r="M631" s="4">
        <v>1</v>
      </c>
      <c r="N631" s="4">
        <v>30</v>
      </c>
      <c r="O631" s="4">
        <v>30</v>
      </c>
      <c r="P631" s="4" t="s">
        <v>41</v>
      </c>
      <c r="Q631" s="4">
        <v>244.3</v>
      </c>
      <c r="R631" s="4">
        <v>244.3</v>
      </c>
      <c r="S631" s="4">
        <v>366.45</v>
      </c>
      <c r="T631" s="4">
        <v>7329</v>
      </c>
      <c r="U631" s="4">
        <v>5</v>
      </c>
      <c r="V631" s="4" t="s">
        <v>42</v>
      </c>
      <c r="X631" s="7" t="str">
        <f t="shared" si="30"/>
        <v>441857089</v>
      </c>
      <c r="Y631" s="8" t="str">
        <f t="shared" si="31"/>
        <v>DC</v>
      </c>
      <c r="Z631" s="8">
        <f t="shared" si="32"/>
        <v>30</v>
      </c>
      <c r="AA631" s="8">
        <f t="shared" si="33"/>
        <v>0</v>
      </c>
      <c r="AB631" s="8">
        <f t="shared" si="34"/>
        <v>0</v>
      </c>
      <c r="AC631" s="8">
        <f t="shared" si="35"/>
        <v>0</v>
      </c>
      <c r="AD631" s="8">
        <f t="shared" si="36"/>
        <v>0</v>
      </c>
      <c r="AE631" s="9" t="str" cm="1">
        <f t="array" ref="AE631">IFERROR(_xlfn.XLOOKUP(H631,Sheet1!$G:$G,Sheet1!$F:$F),IFERROR(_xlfn.XLOOKUP(1,(--($X$2:$X$1074=X631))*(--ISNUMBER(MATCH($H$2:$H$1074,Sheet1!$G:$G,0))),_xlfn.XLOOKUP($H$2:$H$1074,Sheet1!$G:$G,Sheet1!$F:$F,"")),"NOT FOUND"))</f>
        <v>YETKRTSCUT5008</v>
      </c>
      <c r="AF631" s="10" t="str">
        <f t="shared" si="39"/>
        <v>FUCHSIA</v>
      </c>
      <c r="AG631" s="11" t="str">
        <f t="shared" si="40"/>
        <v>HARIPAL</v>
      </c>
      <c r="AH631" s="9" t="str">
        <f>IF(OR(J631="",AE631="",AE631="NOT FOUND"),"",IF(Y631="RP",IFERROR(LEFT(_xlfn.XLOOKUP(AE631,Sheet1!$F:$F,Sheet1!$W:$W),FIND("-",_xlfn.XLOOKUP(AE631,Sheet1!$F:$F,Sheet1!$W:$W),FIND("-",_xlfn.XLOOKUP(AE631,Sheet1!$F:$F,Sheet1!$W:$W))+1))&amp;AE631,"NOT FOUND"),LEFT(J631,FIND("-",J631,FIND("-",J631)+1))&amp;AE631))</f>
        <v>KRTS-APSU26-YETKRTSCUT5008</v>
      </c>
    </row>
    <row r="632" spans="1:34" ht="15.75" customHeight="1" x14ac:dyDescent="0.2">
      <c r="A632" s="4" t="s">
        <v>30</v>
      </c>
      <c r="B632" s="4" t="s">
        <v>879</v>
      </c>
      <c r="C632" s="4" t="s">
        <v>880</v>
      </c>
      <c r="D632" s="4" t="s">
        <v>797</v>
      </c>
      <c r="E632" s="4" t="s">
        <v>34</v>
      </c>
      <c r="F632" s="4" t="s">
        <v>35</v>
      </c>
      <c r="G632" s="4" t="s">
        <v>36</v>
      </c>
      <c r="H632" s="4" t="s">
        <v>881</v>
      </c>
      <c r="I632" s="4" t="s">
        <v>882</v>
      </c>
      <c r="J632" s="4" t="s">
        <v>883</v>
      </c>
      <c r="L632" s="4" t="s">
        <v>40</v>
      </c>
      <c r="M632" s="4">
        <v>1</v>
      </c>
      <c r="N632" s="4">
        <v>566</v>
      </c>
      <c r="O632" s="4">
        <v>566</v>
      </c>
      <c r="P632" s="4" t="s">
        <v>41</v>
      </c>
      <c r="Q632" s="4">
        <v>1221.5</v>
      </c>
      <c r="R632" s="4">
        <v>1221.5</v>
      </c>
      <c r="S632" s="4">
        <v>34568.449999999997</v>
      </c>
      <c r="T632" s="4">
        <v>691369</v>
      </c>
      <c r="U632" s="4">
        <v>5</v>
      </c>
      <c r="V632" s="4" t="s">
        <v>42</v>
      </c>
      <c r="X632" s="7" t="str">
        <f t="shared" si="30"/>
        <v xml:space="preserve">441857089 </v>
      </c>
      <c r="Y632" s="8" t="str">
        <f t="shared" si="31"/>
        <v>RP</v>
      </c>
      <c r="Z632" s="8">
        <f t="shared" si="32"/>
        <v>566</v>
      </c>
      <c r="AA632" s="8">
        <f t="shared" si="33"/>
        <v>566</v>
      </c>
      <c r="AB632" s="8">
        <f t="shared" si="34"/>
        <v>566</v>
      </c>
      <c r="AC632" s="8">
        <f t="shared" si="35"/>
        <v>566</v>
      </c>
      <c r="AD632" s="8">
        <f t="shared" si="36"/>
        <v>566</v>
      </c>
      <c r="AE632" s="9" t="str" cm="1">
        <f t="array" ref="AE632">IFERROR(_xlfn.XLOOKUP(H632,Sheet1!$G:$G,Sheet1!$F:$F),IFERROR(_xlfn.XLOOKUP(1,(--($X$2:$X$1074=X632))*(--ISNUMBER(MATCH($H$2:$H$1074,Sheet1!$G:$G,0))),_xlfn.XLOOKUP($H$2:$H$1074,Sheet1!$G:$G,Sheet1!$F:$F,"")),"NOT FOUND"))</f>
        <v>YETKRTSCUT5008</v>
      </c>
      <c r="AF632" s="10" t="str">
        <f t="shared" si="39"/>
        <v>RUST</v>
      </c>
      <c r="AG632" s="11" t="str">
        <f t="shared" si="40"/>
        <v>Bangalore</v>
      </c>
      <c r="AH632" s="9" t="str">
        <f>IF(OR(J632="",AE632="",AE632="NOT FOUND"),"",IF(Y632="RP",IFERROR(LEFT(_xlfn.XLOOKUP(AE632,Sheet1!$F:$F,Sheet1!$W:$W),FIND("-",_xlfn.XLOOKUP(AE632,Sheet1!$F:$F,Sheet1!$W:$W),FIND("-",_xlfn.XLOOKUP(AE632,Sheet1!$F:$F,Sheet1!$W:$W))+1))&amp;AE632,"NOT FOUND"),LEFT(J632,FIND("-",J632,FIND("-",J632)+1))&amp;AE632))</f>
        <v>KRTS-APSU26-YETKRTSCUT5008</v>
      </c>
    </row>
    <row r="633" spans="1:34" ht="15.75" customHeight="1" x14ac:dyDescent="0.2">
      <c r="A633" s="4" t="s">
        <v>30</v>
      </c>
      <c r="B633" s="4" t="s">
        <v>879</v>
      </c>
      <c r="C633" s="4" t="s">
        <v>880</v>
      </c>
      <c r="D633" s="4" t="s">
        <v>797</v>
      </c>
      <c r="E633" s="4" t="s">
        <v>34</v>
      </c>
      <c r="F633" s="4" t="s">
        <v>35</v>
      </c>
      <c r="G633" s="4" t="s">
        <v>43</v>
      </c>
      <c r="H633" s="4" t="s">
        <v>798</v>
      </c>
      <c r="I633" s="4" t="s">
        <v>799</v>
      </c>
      <c r="J633" s="4" t="s">
        <v>800</v>
      </c>
      <c r="L633" s="4" t="s">
        <v>40</v>
      </c>
      <c r="M633" s="4">
        <v>1</v>
      </c>
      <c r="N633" s="4">
        <v>566</v>
      </c>
      <c r="O633" s="4">
        <v>566</v>
      </c>
      <c r="P633" s="4" t="s">
        <v>41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 t="s">
        <v>42</v>
      </c>
      <c r="X633" s="7" t="str">
        <f t="shared" si="30"/>
        <v>441857089</v>
      </c>
      <c r="Y633" s="8" t="str">
        <f t="shared" si="31"/>
        <v>DC</v>
      </c>
      <c r="Z633" s="8">
        <f t="shared" si="32"/>
        <v>0</v>
      </c>
      <c r="AA633" s="8">
        <f t="shared" si="33"/>
        <v>0</v>
      </c>
      <c r="AB633" s="8">
        <f t="shared" si="34"/>
        <v>0</v>
      </c>
      <c r="AC633" s="8">
        <f t="shared" si="35"/>
        <v>0</v>
      </c>
      <c r="AD633" s="8">
        <f t="shared" si="36"/>
        <v>566</v>
      </c>
      <c r="AE633" s="9" t="str" cm="1">
        <f t="array" ref="AE633">IFERROR(_xlfn.XLOOKUP(H633,Sheet1!$G:$G,Sheet1!$F:$F),IFERROR(_xlfn.XLOOKUP(1,(--($X$2:$X$1074=X633))*(--ISNUMBER(MATCH($H$2:$H$1074,Sheet1!$G:$G,0))),_xlfn.XLOOKUP($H$2:$H$1074,Sheet1!$G:$G,Sheet1!$F:$F,"")),"NOT FOUND"))</f>
        <v>YETKRTSCUT5008</v>
      </c>
      <c r="AF633" s="10" t="str">
        <f t="shared" si="39"/>
        <v>RUST</v>
      </c>
      <c r="AG633" s="11" t="str">
        <f t="shared" si="40"/>
        <v>Bangalore</v>
      </c>
      <c r="AH633" s="9" t="str">
        <f>IF(OR(J633="",AE633="",AE633="NOT FOUND"),"",IF(Y633="RP",IFERROR(LEFT(_xlfn.XLOOKUP(AE633,Sheet1!$F:$F,Sheet1!$W:$W),FIND("-",_xlfn.XLOOKUP(AE633,Sheet1!$F:$F,Sheet1!$W:$W),FIND("-",_xlfn.XLOOKUP(AE633,Sheet1!$F:$F,Sheet1!$W:$W))+1))&amp;AE633,"NOT FOUND"),LEFT(J633,FIND("-",J633,FIND("-",J633)+1))&amp;AE633))</f>
        <v>KRTS-APSU26-YETKRTSCUT5008</v>
      </c>
    </row>
    <row r="634" spans="1:34" ht="15.75" customHeight="1" x14ac:dyDescent="0.2">
      <c r="A634" s="4" t="s">
        <v>30</v>
      </c>
      <c r="B634" s="4" t="s">
        <v>879</v>
      </c>
      <c r="C634" s="4" t="s">
        <v>880</v>
      </c>
      <c r="D634" s="4" t="s">
        <v>797</v>
      </c>
      <c r="E634" s="4" t="s">
        <v>34</v>
      </c>
      <c r="F634" s="4" t="s">
        <v>35</v>
      </c>
      <c r="G634" s="4" t="s">
        <v>47</v>
      </c>
      <c r="H634" s="4" t="s">
        <v>801</v>
      </c>
      <c r="I634" s="4" t="s">
        <v>802</v>
      </c>
      <c r="J634" s="4" t="s">
        <v>803</v>
      </c>
      <c r="L634" s="4" t="s">
        <v>40</v>
      </c>
      <c r="M634" s="4">
        <v>1</v>
      </c>
      <c r="N634" s="4">
        <v>566</v>
      </c>
      <c r="O634" s="4">
        <v>566</v>
      </c>
      <c r="P634" s="4" t="s">
        <v>41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 t="s">
        <v>42</v>
      </c>
      <c r="X634" s="7" t="str">
        <f t="shared" si="30"/>
        <v>441857089</v>
      </c>
      <c r="Y634" s="8" t="str">
        <f t="shared" si="31"/>
        <v>DC</v>
      </c>
      <c r="Z634" s="8">
        <f t="shared" si="32"/>
        <v>0</v>
      </c>
      <c r="AA634" s="8">
        <f t="shared" si="33"/>
        <v>0</v>
      </c>
      <c r="AB634" s="8">
        <f t="shared" si="34"/>
        <v>0</v>
      </c>
      <c r="AC634" s="8">
        <f t="shared" si="35"/>
        <v>566</v>
      </c>
      <c r="AD634" s="8">
        <f t="shared" si="36"/>
        <v>0</v>
      </c>
      <c r="AE634" s="9" t="str" cm="1">
        <f t="array" ref="AE634">IFERROR(_xlfn.XLOOKUP(H634,Sheet1!$G:$G,Sheet1!$F:$F),IFERROR(_xlfn.XLOOKUP(1,(--($X$2:$X$1074=X634))*(--ISNUMBER(MATCH($H$2:$H$1074,Sheet1!$G:$G,0))),_xlfn.XLOOKUP($H$2:$H$1074,Sheet1!$G:$G,Sheet1!$F:$F,"")),"NOT FOUND"))</f>
        <v>YETKRTSCUT5008</v>
      </c>
      <c r="AF634" s="10" t="str">
        <f t="shared" si="39"/>
        <v>RUST</v>
      </c>
      <c r="AG634" s="11" t="str">
        <f t="shared" si="40"/>
        <v>Bangalore</v>
      </c>
      <c r="AH634" s="9" t="str">
        <f>IF(OR(J634="",AE634="",AE634="NOT FOUND"),"",IF(Y634="RP",IFERROR(LEFT(_xlfn.XLOOKUP(AE634,Sheet1!$F:$F,Sheet1!$W:$W),FIND("-",_xlfn.XLOOKUP(AE634,Sheet1!$F:$F,Sheet1!$W:$W),FIND("-",_xlfn.XLOOKUP(AE634,Sheet1!$F:$F,Sheet1!$W:$W))+1))&amp;AE634,"NOT FOUND"),LEFT(J634,FIND("-",J634,FIND("-",J634)+1))&amp;AE634))</f>
        <v>KRTS-APSU26-YETKRTSCUT5008</v>
      </c>
    </row>
    <row r="635" spans="1:34" ht="15.75" customHeight="1" x14ac:dyDescent="0.2">
      <c r="A635" s="4" t="s">
        <v>30</v>
      </c>
      <c r="B635" s="4" t="s">
        <v>879</v>
      </c>
      <c r="C635" s="4" t="s">
        <v>880</v>
      </c>
      <c r="D635" s="4" t="s">
        <v>797</v>
      </c>
      <c r="E635" s="4" t="s">
        <v>34</v>
      </c>
      <c r="F635" s="4" t="s">
        <v>35</v>
      </c>
      <c r="G635" s="4" t="s">
        <v>51</v>
      </c>
      <c r="H635" s="4" t="s">
        <v>804</v>
      </c>
      <c r="I635" s="4" t="s">
        <v>805</v>
      </c>
      <c r="J635" s="4" t="s">
        <v>806</v>
      </c>
      <c r="L635" s="4" t="s">
        <v>40</v>
      </c>
      <c r="M635" s="4">
        <v>1</v>
      </c>
      <c r="N635" s="4">
        <v>566</v>
      </c>
      <c r="O635" s="4">
        <v>566</v>
      </c>
      <c r="P635" s="4" t="s">
        <v>41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 t="s">
        <v>42</v>
      </c>
      <c r="X635" s="7" t="str">
        <f t="shared" si="30"/>
        <v>441857089</v>
      </c>
      <c r="Y635" s="8" t="str">
        <f t="shared" si="31"/>
        <v>DC</v>
      </c>
      <c r="Z635" s="8">
        <f t="shared" si="32"/>
        <v>0</v>
      </c>
      <c r="AA635" s="8">
        <f t="shared" si="33"/>
        <v>0</v>
      </c>
      <c r="AB635" s="8">
        <f t="shared" si="34"/>
        <v>566</v>
      </c>
      <c r="AC635" s="8">
        <f t="shared" si="35"/>
        <v>0</v>
      </c>
      <c r="AD635" s="8">
        <f t="shared" si="36"/>
        <v>0</v>
      </c>
      <c r="AE635" s="9" t="str" cm="1">
        <f t="array" ref="AE635">IFERROR(_xlfn.XLOOKUP(H635,Sheet1!$G:$G,Sheet1!$F:$F),IFERROR(_xlfn.XLOOKUP(1,(--($X$2:$X$1074=X635))*(--ISNUMBER(MATCH($H$2:$H$1074,Sheet1!$G:$G,0))),_xlfn.XLOOKUP($H$2:$H$1074,Sheet1!$G:$G,Sheet1!$F:$F,"")),"NOT FOUND"))</f>
        <v>YETKRTSCUT5008</v>
      </c>
      <c r="AF635" s="10" t="str">
        <f t="shared" si="39"/>
        <v>RUST</v>
      </c>
      <c r="AG635" s="11" t="str">
        <f t="shared" si="40"/>
        <v>Bangalore</v>
      </c>
      <c r="AH635" s="9" t="str">
        <f>IF(OR(J635="",AE635="",AE635="NOT FOUND"),"",IF(Y635="RP",IFERROR(LEFT(_xlfn.XLOOKUP(AE635,Sheet1!$F:$F,Sheet1!$W:$W),FIND("-",_xlfn.XLOOKUP(AE635,Sheet1!$F:$F,Sheet1!$W:$W),FIND("-",_xlfn.XLOOKUP(AE635,Sheet1!$F:$F,Sheet1!$W:$W))+1))&amp;AE635,"NOT FOUND"),LEFT(J635,FIND("-",J635,FIND("-",J635)+1))&amp;AE635))</f>
        <v>KRTS-APSU26-YETKRTSCUT5008</v>
      </c>
    </row>
    <row r="636" spans="1:34" ht="15.75" customHeight="1" x14ac:dyDescent="0.2">
      <c r="A636" s="4" t="s">
        <v>30</v>
      </c>
      <c r="B636" s="4" t="s">
        <v>879</v>
      </c>
      <c r="C636" s="4" t="s">
        <v>880</v>
      </c>
      <c r="D636" s="4" t="s">
        <v>797</v>
      </c>
      <c r="E636" s="4" t="s">
        <v>34</v>
      </c>
      <c r="F636" s="4" t="s">
        <v>35</v>
      </c>
      <c r="G636" s="4" t="s">
        <v>55</v>
      </c>
      <c r="H636" s="4" t="s">
        <v>807</v>
      </c>
      <c r="I636" s="4" t="s">
        <v>808</v>
      </c>
      <c r="J636" s="4" t="s">
        <v>809</v>
      </c>
      <c r="L636" s="4" t="s">
        <v>40</v>
      </c>
      <c r="M636" s="4">
        <v>1</v>
      </c>
      <c r="N636" s="4">
        <v>566</v>
      </c>
      <c r="O636" s="4">
        <v>566</v>
      </c>
      <c r="P636" s="4" t="s">
        <v>41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 t="s">
        <v>42</v>
      </c>
      <c r="X636" s="7" t="str">
        <f t="shared" si="30"/>
        <v>441857089</v>
      </c>
      <c r="Y636" s="8" t="str">
        <f t="shared" si="31"/>
        <v>DC</v>
      </c>
      <c r="Z636" s="8">
        <f t="shared" si="32"/>
        <v>0</v>
      </c>
      <c r="AA636" s="8">
        <f t="shared" si="33"/>
        <v>566</v>
      </c>
      <c r="AB636" s="8">
        <f t="shared" si="34"/>
        <v>0</v>
      </c>
      <c r="AC636" s="8">
        <f t="shared" si="35"/>
        <v>0</v>
      </c>
      <c r="AD636" s="8">
        <f t="shared" si="36"/>
        <v>0</v>
      </c>
      <c r="AE636" s="9" t="str" cm="1">
        <f t="array" ref="AE636">IFERROR(_xlfn.XLOOKUP(H636,Sheet1!$G:$G,Sheet1!$F:$F),IFERROR(_xlfn.XLOOKUP(1,(--($X$2:$X$1074=X636))*(--ISNUMBER(MATCH($H$2:$H$1074,Sheet1!$G:$G,0))),_xlfn.XLOOKUP($H$2:$H$1074,Sheet1!$G:$G,Sheet1!$F:$F,"")),"NOT FOUND"))</f>
        <v>YETKRTSCUT5008</v>
      </c>
      <c r="AF636" s="10" t="str">
        <f t="shared" si="39"/>
        <v>RUST</v>
      </c>
      <c r="AG636" s="11" t="str">
        <f t="shared" si="40"/>
        <v>Bangalore</v>
      </c>
      <c r="AH636" s="9" t="str">
        <f>IF(OR(J636="",AE636="",AE636="NOT FOUND"),"",IF(Y636="RP",IFERROR(LEFT(_xlfn.XLOOKUP(AE636,Sheet1!$F:$F,Sheet1!$W:$W),FIND("-",_xlfn.XLOOKUP(AE636,Sheet1!$F:$F,Sheet1!$W:$W),FIND("-",_xlfn.XLOOKUP(AE636,Sheet1!$F:$F,Sheet1!$W:$W))+1))&amp;AE636,"NOT FOUND"),LEFT(J636,FIND("-",J636,FIND("-",J636)+1))&amp;AE636))</f>
        <v>KRTS-APSU26-YETKRTSCUT5008</v>
      </c>
    </row>
    <row r="637" spans="1:34" ht="15.75" customHeight="1" x14ac:dyDescent="0.2">
      <c r="A637" s="4" t="s">
        <v>30</v>
      </c>
      <c r="B637" s="4" t="s">
        <v>879</v>
      </c>
      <c r="C637" s="4" t="s">
        <v>880</v>
      </c>
      <c r="D637" s="4" t="s">
        <v>797</v>
      </c>
      <c r="E637" s="4" t="s">
        <v>34</v>
      </c>
      <c r="F637" s="4" t="s">
        <v>35</v>
      </c>
      <c r="G637" s="4" t="s">
        <v>884</v>
      </c>
      <c r="H637" s="4" t="s">
        <v>810</v>
      </c>
      <c r="I637" s="4" t="s">
        <v>811</v>
      </c>
      <c r="J637" s="4" t="s">
        <v>812</v>
      </c>
      <c r="L637" s="4" t="s">
        <v>40</v>
      </c>
      <c r="M637" s="4">
        <v>1</v>
      </c>
      <c r="N637" s="4">
        <v>566</v>
      </c>
      <c r="O637" s="4">
        <v>566</v>
      </c>
      <c r="P637" s="4" t="s">
        <v>41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X637" s="7" t="str">
        <f t="shared" si="30"/>
        <v>441857089</v>
      </c>
      <c r="Y637" s="8" t="str">
        <f t="shared" si="31"/>
        <v>DC</v>
      </c>
      <c r="Z637" s="8">
        <f t="shared" si="32"/>
        <v>566</v>
      </c>
      <c r="AA637" s="8">
        <f t="shared" si="33"/>
        <v>0</v>
      </c>
      <c r="AB637" s="8">
        <f t="shared" si="34"/>
        <v>0</v>
      </c>
      <c r="AC637" s="8">
        <f t="shared" si="35"/>
        <v>0</v>
      </c>
      <c r="AD637" s="8">
        <f t="shared" si="36"/>
        <v>0</v>
      </c>
      <c r="AE637" s="9" t="str" cm="1">
        <f t="array" ref="AE637">IFERROR(_xlfn.XLOOKUP(H637,Sheet1!$G:$G,Sheet1!$F:$F),IFERROR(_xlfn.XLOOKUP(1,(--($X$2:$X$1074=X637))*(--ISNUMBER(MATCH($H$2:$H$1074,Sheet1!$G:$G,0))),_xlfn.XLOOKUP($H$2:$H$1074,Sheet1!$G:$G,Sheet1!$F:$F,"")),"NOT FOUND"))</f>
        <v>YETKRTSCUT5008</v>
      </c>
      <c r="AF637" s="10" t="str">
        <f t="shared" si="39"/>
        <v>RUST</v>
      </c>
      <c r="AG637" s="11" t="str">
        <f t="shared" si="40"/>
        <v>Bangalore</v>
      </c>
      <c r="AH637" s="9" t="str">
        <f>IF(OR(J637="",AE637="",AE637="NOT FOUND"),"",IF(Y637="RP",IFERROR(LEFT(_xlfn.XLOOKUP(AE637,Sheet1!$F:$F,Sheet1!$W:$W),FIND("-",_xlfn.XLOOKUP(AE637,Sheet1!$F:$F,Sheet1!$W:$W),FIND("-",_xlfn.XLOOKUP(AE637,Sheet1!$F:$F,Sheet1!$W:$W))+1))&amp;AE637,"NOT FOUND"),LEFT(J637,FIND("-",J637,FIND("-",J637)+1))&amp;AE637))</f>
        <v>KRTS-APSU26-YETKRTSCUT5008</v>
      </c>
    </row>
    <row r="638" spans="1:34" ht="15.75" customHeight="1" x14ac:dyDescent="0.2">
      <c r="A638" s="4" t="s">
        <v>30</v>
      </c>
      <c r="B638" s="4" t="s">
        <v>885</v>
      </c>
      <c r="C638" s="4" t="s">
        <v>880</v>
      </c>
      <c r="D638" s="4" t="s">
        <v>797</v>
      </c>
      <c r="E638" s="4" t="s">
        <v>34</v>
      </c>
      <c r="F638" s="4" t="s">
        <v>35</v>
      </c>
      <c r="G638" s="4" t="s">
        <v>36</v>
      </c>
      <c r="H638" s="4" t="s">
        <v>886</v>
      </c>
      <c r="I638" s="4" t="s">
        <v>887</v>
      </c>
      <c r="J638" s="4" t="s">
        <v>888</v>
      </c>
      <c r="L638" s="4" t="s">
        <v>40</v>
      </c>
      <c r="M638" s="4">
        <v>1</v>
      </c>
      <c r="N638" s="4">
        <v>566</v>
      </c>
      <c r="O638" s="4">
        <v>566</v>
      </c>
      <c r="P638" s="4" t="s">
        <v>41</v>
      </c>
      <c r="Q638" s="4">
        <v>1221.5</v>
      </c>
      <c r="R638" s="4">
        <v>1221.5</v>
      </c>
      <c r="S638" s="4">
        <v>34568.449999999997</v>
      </c>
      <c r="T638" s="4">
        <v>691369</v>
      </c>
      <c r="U638" s="4">
        <v>5</v>
      </c>
      <c r="V638" s="4" t="s">
        <v>42</v>
      </c>
      <c r="X638" s="7" t="str">
        <f t="shared" si="30"/>
        <v xml:space="preserve">441857089 </v>
      </c>
      <c r="Y638" s="8" t="str">
        <f t="shared" si="31"/>
        <v>RP</v>
      </c>
      <c r="Z638" s="8">
        <f t="shared" si="32"/>
        <v>566</v>
      </c>
      <c r="AA638" s="8">
        <f t="shared" si="33"/>
        <v>566</v>
      </c>
      <c r="AB638" s="8">
        <f t="shared" si="34"/>
        <v>566</v>
      </c>
      <c r="AC638" s="8">
        <f t="shared" si="35"/>
        <v>566</v>
      </c>
      <c r="AD638" s="8">
        <f t="shared" si="36"/>
        <v>566</v>
      </c>
      <c r="AE638" s="9" t="str" cm="1">
        <f t="array" ref="AE638">IFERROR(_xlfn.XLOOKUP(H638,Sheet1!$G:$G,Sheet1!$F:$F),IFERROR(_xlfn.XLOOKUP(1,(--($X$2:$X$1074=X638))*(--ISNUMBER(MATCH($H$2:$H$1074,Sheet1!$G:$G,0))),_xlfn.XLOOKUP($H$2:$H$1074,Sheet1!$G:$G,Sheet1!$F:$F,"")),"NOT FOUND"))</f>
        <v>YETKRTSCUT5008</v>
      </c>
      <c r="AF638" s="10" t="str">
        <f t="shared" si="39"/>
        <v>OFF WHITE</v>
      </c>
      <c r="AG638" s="11" t="str">
        <f t="shared" si="40"/>
        <v>Bangalore</v>
      </c>
      <c r="AH638" s="9" t="str">
        <f>IF(OR(J638="",AE638="",AE638="NOT FOUND"),"",IF(Y638="RP",IFERROR(LEFT(_xlfn.XLOOKUP(AE638,Sheet1!$F:$F,Sheet1!$W:$W),FIND("-",_xlfn.XLOOKUP(AE638,Sheet1!$F:$F,Sheet1!$W:$W),FIND("-",_xlfn.XLOOKUP(AE638,Sheet1!$F:$F,Sheet1!$W:$W))+1))&amp;AE638,"NOT FOUND"),LEFT(J638,FIND("-",J638,FIND("-",J638)+1))&amp;AE638))</f>
        <v>KRTS-APSU26-YETKRTSCUT5008</v>
      </c>
    </row>
    <row r="639" spans="1:34" ht="15.75" customHeight="1" x14ac:dyDescent="0.2">
      <c r="A639" s="4" t="s">
        <v>30</v>
      </c>
      <c r="B639" s="4" t="s">
        <v>885</v>
      </c>
      <c r="C639" s="4" t="s">
        <v>880</v>
      </c>
      <c r="D639" s="4" t="s">
        <v>797</v>
      </c>
      <c r="E639" s="4" t="s">
        <v>34</v>
      </c>
      <c r="F639" s="4" t="s">
        <v>35</v>
      </c>
      <c r="G639" s="4" t="s">
        <v>43</v>
      </c>
      <c r="H639" s="4" t="s">
        <v>814</v>
      </c>
      <c r="I639" s="4" t="s">
        <v>815</v>
      </c>
      <c r="J639" s="4" t="s">
        <v>816</v>
      </c>
      <c r="L639" s="4" t="s">
        <v>40</v>
      </c>
      <c r="M639" s="4">
        <v>1</v>
      </c>
      <c r="N639" s="4">
        <v>566</v>
      </c>
      <c r="O639" s="4">
        <v>566</v>
      </c>
      <c r="P639" s="4" t="s">
        <v>41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 t="s">
        <v>42</v>
      </c>
      <c r="X639" s="7" t="str">
        <f t="shared" si="30"/>
        <v>441857089</v>
      </c>
      <c r="Y639" s="8" t="str">
        <f t="shared" si="31"/>
        <v>DC</v>
      </c>
      <c r="Z639" s="8">
        <f t="shared" si="32"/>
        <v>0</v>
      </c>
      <c r="AA639" s="8">
        <f t="shared" si="33"/>
        <v>0</v>
      </c>
      <c r="AB639" s="8">
        <f t="shared" si="34"/>
        <v>0</v>
      </c>
      <c r="AC639" s="8">
        <f t="shared" si="35"/>
        <v>0</v>
      </c>
      <c r="AD639" s="8">
        <f t="shared" si="36"/>
        <v>566</v>
      </c>
      <c r="AE639" s="9" t="str" cm="1">
        <f t="array" ref="AE639">IFERROR(_xlfn.XLOOKUP(H639,Sheet1!$G:$G,Sheet1!$F:$F),IFERROR(_xlfn.XLOOKUP(1,(--($X$2:$X$1074=X639))*(--ISNUMBER(MATCH($H$2:$H$1074,Sheet1!$G:$G,0))),_xlfn.XLOOKUP($H$2:$H$1074,Sheet1!$G:$G,Sheet1!$F:$F,"")),"NOT FOUND"))</f>
        <v>YETKRTSCUT5008</v>
      </c>
      <c r="AF639" s="10" t="str">
        <f t="shared" si="39"/>
        <v>OFF WHITE</v>
      </c>
      <c r="AG639" s="11" t="str">
        <f t="shared" si="40"/>
        <v>Bangalore</v>
      </c>
      <c r="AH639" s="9" t="str">
        <f>IF(OR(J639="",AE639="",AE639="NOT FOUND"),"",IF(Y639="RP",IFERROR(LEFT(_xlfn.XLOOKUP(AE639,Sheet1!$F:$F,Sheet1!$W:$W),FIND("-",_xlfn.XLOOKUP(AE639,Sheet1!$F:$F,Sheet1!$W:$W),FIND("-",_xlfn.XLOOKUP(AE639,Sheet1!$F:$F,Sheet1!$W:$W))+1))&amp;AE639,"NOT FOUND"),LEFT(J639,FIND("-",J639,FIND("-",J639)+1))&amp;AE639))</f>
        <v>KRTS-APSU26-YETKRTSCUT5008</v>
      </c>
    </row>
    <row r="640" spans="1:34" ht="15.75" customHeight="1" x14ac:dyDescent="0.2">
      <c r="A640" s="4" t="s">
        <v>30</v>
      </c>
      <c r="B640" s="4" t="s">
        <v>885</v>
      </c>
      <c r="C640" s="4" t="s">
        <v>880</v>
      </c>
      <c r="D640" s="4" t="s">
        <v>797</v>
      </c>
      <c r="E640" s="4" t="s">
        <v>34</v>
      </c>
      <c r="F640" s="4" t="s">
        <v>35</v>
      </c>
      <c r="G640" s="4" t="s">
        <v>47</v>
      </c>
      <c r="H640" s="4" t="s">
        <v>817</v>
      </c>
      <c r="I640" s="4" t="s">
        <v>818</v>
      </c>
      <c r="J640" s="4" t="s">
        <v>819</v>
      </c>
      <c r="L640" s="4" t="s">
        <v>40</v>
      </c>
      <c r="M640" s="4">
        <v>1</v>
      </c>
      <c r="N640" s="4">
        <v>566</v>
      </c>
      <c r="O640" s="4">
        <v>566</v>
      </c>
      <c r="P640" s="4" t="s">
        <v>41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 t="s">
        <v>42</v>
      </c>
      <c r="X640" s="7" t="str">
        <f t="shared" si="30"/>
        <v>441857089</v>
      </c>
      <c r="Y640" s="8" t="str">
        <f t="shared" si="31"/>
        <v>DC</v>
      </c>
      <c r="Z640" s="8">
        <f t="shared" si="32"/>
        <v>0</v>
      </c>
      <c r="AA640" s="8">
        <f t="shared" si="33"/>
        <v>0</v>
      </c>
      <c r="AB640" s="8">
        <f t="shared" si="34"/>
        <v>0</v>
      </c>
      <c r="AC640" s="8">
        <f t="shared" si="35"/>
        <v>566</v>
      </c>
      <c r="AD640" s="8">
        <f t="shared" si="36"/>
        <v>0</v>
      </c>
      <c r="AE640" s="9" t="str" cm="1">
        <f t="array" ref="AE640">IFERROR(_xlfn.XLOOKUP(H640,Sheet1!$G:$G,Sheet1!$F:$F),IFERROR(_xlfn.XLOOKUP(1,(--($X$2:$X$1074=X640))*(--ISNUMBER(MATCH($H$2:$H$1074,Sheet1!$G:$G,0))),_xlfn.XLOOKUP($H$2:$H$1074,Sheet1!$G:$G,Sheet1!$F:$F,"")),"NOT FOUND"))</f>
        <v>YETKRTSCUT5008</v>
      </c>
      <c r="AF640" s="10" t="str">
        <f t="shared" si="39"/>
        <v>OFF WHITE</v>
      </c>
      <c r="AG640" s="11" t="str">
        <f t="shared" si="40"/>
        <v>Bangalore</v>
      </c>
      <c r="AH640" s="9" t="str">
        <f>IF(OR(J640="",AE640="",AE640="NOT FOUND"),"",IF(Y640="RP",IFERROR(LEFT(_xlfn.XLOOKUP(AE640,Sheet1!$F:$F,Sheet1!$W:$W),FIND("-",_xlfn.XLOOKUP(AE640,Sheet1!$F:$F,Sheet1!$W:$W),FIND("-",_xlfn.XLOOKUP(AE640,Sheet1!$F:$F,Sheet1!$W:$W))+1))&amp;AE640,"NOT FOUND"),LEFT(J640,FIND("-",J640,FIND("-",J640)+1))&amp;AE640))</f>
        <v>KRTS-APSU26-YETKRTSCUT5008</v>
      </c>
    </row>
    <row r="641" spans="1:34" ht="15.75" customHeight="1" x14ac:dyDescent="0.2">
      <c r="A641" s="4" t="s">
        <v>30</v>
      </c>
      <c r="B641" s="4" t="s">
        <v>885</v>
      </c>
      <c r="C641" s="4" t="s">
        <v>880</v>
      </c>
      <c r="D641" s="4" t="s">
        <v>797</v>
      </c>
      <c r="E641" s="4" t="s">
        <v>34</v>
      </c>
      <c r="F641" s="4" t="s">
        <v>35</v>
      </c>
      <c r="G641" s="4" t="s">
        <v>51</v>
      </c>
      <c r="H641" s="4" t="s">
        <v>820</v>
      </c>
      <c r="I641" s="4" t="s">
        <v>821</v>
      </c>
      <c r="J641" s="4" t="s">
        <v>822</v>
      </c>
      <c r="L641" s="4" t="s">
        <v>40</v>
      </c>
      <c r="M641" s="4">
        <v>1</v>
      </c>
      <c r="N641" s="4">
        <v>566</v>
      </c>
      <c r="O641" s="4">
        <v>566</v>
      </c>
      <c r="P641" s="4" t="s">
        <v>41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 t="s">
        <v>42</v>
      </c>
      <c r="X641" s="7" t="str">
        <f t="shared" si="30"/>
        <v>441857089</v>
      </c>
      <c r="Y641" s="8" t="str">
        <f t="shared" si="31"/>
        <v>DC</v>
      </c>
      <c r="Z641" s="8">
        <f t="shared" si="32"/>
        <v>0</v>
      </c>
      <c r="AA641" s="8">
        <f t="shared" si="33"/>
        <v>0</v>
      </c>
      <c r="AB641" s="8">
        <f t="shared" si="34"/>
        <v>566</v>
      </c>
      <c r="AC641" s="8">
        <f t="shared" si="35"/>
        <v>0</v>
      </c>
      <c r="AD641" s="8">
        <f t="shared" si="36"/>
        <v>0</v>
      </c>
      <c r="AE641" s="9" t="str" cm="1">
        <f t="array" ref="AE641">IFERROR(_xlfn.XLOOKUP(H641,Sheet1!$G:$G,Sheet1!$F:$F),IFERROR(_xlfn.XLOOKUP(1,(--($X$2:$X$1074=X641))*(--ISNUMBER(MATCH($H$2:$H$1074,Sheet1!$G:$G,0))),_xlfn.XLOOKUP($H$2:$H$1074,Sheet1!$G:$G,Sheet1!$F:$F,"")),"NOT FOUND"))</f>
        <v>YETKRTSCUT5008</v>
      </c>
      <c r="AF641" s="10" t="str">
        <f t="shared" si="39"/>
        <v>OFF WHITE</v>
      </c>
      <c r="AG641" s="11" t="str">
        <f t="shared" si="40"/>
        <v>Bangalore</v>
      </c>
      <c r="AH641" s="9" t="str">
        <f>IF(OR(J641="",AE641="",AE641="NOT FOUND"),"",IF(Y641="RP",IFERROR(LEFT(_xlfn.XLOOKUP(AE641,Sheet1!$F:$F,Sheet1!$W:$W),FIND("-",_xlfn.XLOOKUP(AE641,Sheet1!$F:$F,Sheet1!$W:$W),FIND("-",_xlfn.XLOOKUP(AE641,Sheet1!$F:$F,Sheet1!$W:$W))+1))&amp;AE641,"NOT FOUND"),LEFT(J641,FIND("-",J641,FIND("-",J641)+1))&amp;AE641))</f>
        <v>KRTS-APSU26-YETKRTSCUT5008</v>
      </c>
    </row>
    <row r="642" spans="1:34" ht="15.75" customHeight="1" x14ac:dyDescent="0.2">
      <c r="A642" s="4" t="s">
        <v>30</v>
      </c>
      <c r="B642" s="4" t="s">
        <v>885</v>
      </c>
      <c r="C642" s="4" t="s">
        <v>880</v>
      </c>
      <c r="D642" s="4" t="s">
        <v>797</v>
      </c>
      <c r="E642" s="4" t="s">
        <v>34</v>
      </c>
      <c r="F642" s="4" t="s">
        <v>35</v>
      </c>
      <c r="G642" s="4" t="s">
        <v>55</v>
      </c>
      <c r="H642" s="4" t="s">
        <v>823</v>
      </c>
      <c r="I642" s="4" t="s">
        <v>824</v>
      </c>
      <c r="J642" s="4" t="s">
        <v>825</v>
      </c>
      <c r="L642" s="4" t="s">
        <v>40</v>
      </c>
      <c r="M642" s="4">
        <v>1</v>
      </c>
      <c r="N642" s="4">
        <v>566</v>
      </c>
      <c r="O642" s="4">
        <v>566</v>
      </c>
      <c r="P642" s="4" t="s">
        <v>41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 t="s">
        <v>42</v>
      </c>
      <c r="X642" s="7" t="str">
        <f t="shared" si="30"/>
        <v>441857089</v>
      </c>
      <c r="Y642" s="8" t="str">
        <f t="shared" si="31"/>
        <v>DC</v>
      </c>
      <c r="Z642" s="8">
        <f t="shared" si="32"/>
        <v>0</v>
      </c>
      <c r="AA642" s="8">
        <f t="shared" si="33"/>
        <v>566</v>
      </c>
      <c r="AB642" s="8">
        <f t="shared" si="34"/>
        <v>0</v>
      </c>
      <c r="AC642" s="8">
        <f t="shared" si="35"/>
        <v>0</v>
      </c>
      <c r="AD642" s="8">
        <f t="shared" si="36"/>
        <v>0</v>
      </c>
      <c r="AE642" s="9" t="str" cm="1">
        <f t="array" ref="AE642">IFERROR(_xlfn.XLOOKUP(H642,Sheet1!$G:$G,Sheet1!$F:$F),IFERROR(_xlfn.XLOOKUP(1,(--($X$2:$X$1074=X642))*(--ISNUMBER(MATCH($H$2:$H$1074,Sheet1!$G:$G,0))),_xlfn.XLOOKUP($H$2:$H$1074,Sheet1!$G:$G,Sheet1!$F:$F,"")),"NOT FOUND"))</f>
        <v>YETKRTSCUT5008</v>
      </c>
      <c r="AF642" s="10" t="str">
        <f t="shared" si="39"/>
        <v>OFF WHITE</v>
      </c>
      <c r="AG642" s="11" t="str">
        <f t="shared" si="40"/>
        <v>Bangalore</v>
      </c>
      <c r="AH642" s="9" t="str">
        <f>IF(OR(J642="",AE642="",AE642="NOT FOUND"),"",IF(Y642="RP",IFERROR(LEFT(_xlfn.XLOOKUP(AE642,Sheet1!$F:$F,Sheet1!$W:$W),FIND("-",_xlfn.XLOOKUP(AE642,Sheet1!$F:$F,Sheet1!$W:$W),FIND("-",_xlfn.XLOOKUP(AE642,Sheet1!$F:$F,Sheet1!$W:$W))+1))&amp;AE642,"NOT FOUND"),LEFT(J642,FIND("-",J642,FIND("-",J642)+1))&amp;AE642))</f>
        <v>KRTS-APSU26-YETKRTSCUT5008</v>
      </c>
    </row>
    <row r="643" spans="1:34" ht="15.75" customHeight="1" x14ac:dyDescent="0.2">
      <c r="A643" s="4" t="s">
        <v>30</v>
      </c>
      <c r="B643" s="4" t="s">
        <v>885</v>
      </c>
      <c r="C643" s="4" t="s">
        <v>880</v>
      </c>
      <c r="D643" s="4" t="s">
        <v>797</v>
      </c>
      <c r="E643" s="4" t="s">
        <v>34</v>
      </c>
      <c r="F643" s="4" t="s">
        <v>35</v>
      </c>
      <c r="G643" s="4" t="s">
        <v>884</v>
      </c>
      <c r="H643" s="4" t="s">
        <v>826</v>
      </c>
      <c r="I643" s="4" t="s">
        <v>827</v>
      </c>
      <c r="J643" s="4" t="s">
        <v>828</v>
      </c>
      <c r="L643" s="4" t="s">
        <v>40</v>
      </c>
      <c r="M643" s="4">
        <v>1</v>
      </c>
      <c r="N643" s="4">
        <v>566</v>
      </c>
      <c r="O643" s="4">
        <v>566</v>
      </c>
      <c r="P643" s="4" t="s">
        <v>41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X643" s="7" t="str">
        <f t="shared" si="30"/>
        <v>441857089</v>
      </c>
      <c r="Y643" s="8" t="str">
        <f t="shared" si="31"/>
        <v>DC</v>
      </c>
      <c r="Z643" s="8">
        <f t="shared" si="32"/>
        <v>566</v>
      </c>
      <c r="AA643" s="8">
        <f t="shared" si="33"/>
        <v>0</v>
      </c>
      <c r="AB643" s="8">
        <f t="shared" si="34"/>
        <v>0</v>
      </c>
      <c r="AC643" s="8">
        <f t="shared" si="35"/>
        <v>0</v>
      </c>
      <c r="AD643" s="8">
        <f t="shared" si="36"/>
        <v>0</v>
      </c>
      <c r="AE643" s="9" t="str" cm="1">
        <f t="array" ref="AE643">IFERROR(_xlfn.XLOOKUP(H643,Sheet1!$G:$G,Sheet1!$F:$F),IFERROR(_xlfn.XLOOKUP(1,(--($X$2:$X$1074=X643))*(--ISNUMBER(MATCH($H$2:$H$1074,Sheet1!$G:$G,0))),_xlfn.XLOOKUP($H$2:$H$1074,Sheet1!$G:$G,Sheet1!$F:$F,"")),"NOT FOUND"))</f>
        <v>YETKRTSCUT5008</v>
      </c>
      <c r="AF643" s="10" t="str">
        <f t="shared" ref="AF643:AF706" si="41">IFERROR(IF(ISNUMBER(SEARCH("(RP)",J643)),TRIM(SUBSTITUTE(MID(J643,10,LEN(J643)),"(RP)","")),TRIM(MID(J643,FIND(",",J643)+1,FIND(",",J643,FIND(",",J643)+1)-FIND(",",J643)-1))),"")</f>
        <v>OFF WHITE</v>
      </c>
      <c r="AG643" s="11" t="str">
        <f t="shared" ref="AG643:AG706" si="42">IF(A643="SZAF","Bangalore",IF(A643="SAEX","JHAJJAR",IF(A643="S0EU","HARIPAL","")))</f>
        <v>Bangalore</v>
      </c>
      <c r="AH643" s="9" t="str">
        <f>IF(OR(J643="",AE643="",AE643="NOT FOUND"),"",IF(Y643="RP",IFERROR(LEFT(_xlfn.XLOOKUP(AE643,Sheet1!$F:$F,Sheet1!$W:$W),FIND("-",_xlfn.XLOOKUP(AE643,Sheet1!$F:$F,Sheet1!$W:$W),FIND("-",_xlfn.XLOOKUP(AE643,Sheet1!$F:$F,Sheet1!$W:$W))+1))&amp;AE643,"NOT FOUND"),LEFT(J643,FIND("-",J643,FIND("-",J643)+1))&amp;AE643))</f>
        <v>KRTS-APSU26-YETKRTSCUT5008</v>
      </c>
    </row>
    <row r="644" spans="1:34" ht="15.75" customHeight="1" x14ac:dyDescent="0.2">
      <c r="A644" s="4" t="s">
        <v>30</v>
      </c>
      <c r="B644" s="4" t="s">
        <v>889</v>
      </c>
      <c r="C644" s="4" t="s">
        <v>880</v>
      </c>
      <c r="D644" s="4" t="s">
        <v>579</v>
      </c>
      <c r="E644" s="4" t="s">
        <v>34</v>
      </c>
      <c r="F644" s="4" t="s">
        <v>35</v>
      </c>
      <c r="G644" s="4" t="s">
        <v>36</v>
      </c>
      <c r="H644" s="4" t="s">
        <v>890</v>
      </c>
      <c r="I644" s="4" t="s">
        <v>891</v>
      </c>
      <c r="J644" s="4" t="s">
        <v>892</v>
      </c>
      <c r="L644" s="4" t="s">
        <v>40</v>
      </c>
      <c r="M644" s="4">
        <v>1</v>
      </c>
      <c r="N644" s="4">
        <v>531</v>
      </c>
      <c r="O644" s="4">
        <v>531</v>
      </c>
      <c r="P644" s="4" t="s">
        <v>41</v>
      </c>
      <c r="Q644" s="4">
        <v>1221.5</v>
      </c>
      <c r="R644" s="4">
        <v>1221.5</v>
      </c>
      <c r="S644" s="4">
        <v>32430.83</v>
      </c>
      <c r="T644" s="4">
        <v>648616.5</v>
      </c>
      <c r="U644" s="4">
        <v>5</v>
      </c>
      <c r="V644" s="4" t="s">
        <v>42</v>
      </c>
      <c r="X644" s="7" t="str">
        <f t="shared" si="30"/>
        <v xml:space="preserve">441857089 </v>
      </c>
      <c r="Y644" s="8" t="str">
        <f t="shared" si="31"/>
        <v>RP</v>
      </c>
      <c r="Z644" s="8">
        <f t="shared" si="32"/>
        <v>531</v>
      </c>
      <c r="AA644" s="8">
        <f t="shared" si="33"/>
        <v>531</v>
      </c>
      <c r="AB644" s="8">
        <f t="shared" si="34"/>
        <v>531</v>
      </c>
      <c r="AC644" s="8">
        <f t="shared" si="35"/>
        <v>531</v>
      </c>
      <c r="AD644" s="8">
        <f t="shared" si="36"/>
        <v>531</v>
      </c>
      <c r="AE644" s="9" t="str" cm="1">
        <f t="array" ref="AE644">IFERROR(_xlfn.XLOOKUP(H644,Sheet1!$G:$G,Sheet1!$F:$F),IFERROR(_xlfn.XLOOKUP(1,(--($X$2:$X$1074=X644))*(--ISNUMBER(MATCH($H$2:$H$1074,Sheet1!$G:$G,0))),_xlfn.XLOOKUP($H$2:$H$1074,Sheet1!$G:$G,Sheet1!$F:$F,"")),"NOT FOUND"))</f>
        <v>YETKRTSCUT5008</v>
      </c>
      <c r="AF644" s="10" t="str">
        <f t="shared" si="41"/>
        <v>MUSTARD</v>
      </c>
      <c r="AG644" s="11" t="str">
        <f t="shared" si="42"/>
        <v>Bangalore</v>
      </c>
      <c r="AH644" s="9" t="str">
        <f>IF(OR(J644="",AE644="",AE644="NOT FOUND"),"",IF(Y644="RP",IFERROR(LEFT(_xlfn.XLOOKUP(AE644,Sheet1!$F:$F,Sheet1!$W:$W),FIND("-",_xlfn.XLOOKUP(AE644,Sheet1!$F:$F,Sheet1!$W:$W),FIND("-",_xlfn.XLOOKUP(AE644,Sheet1!$F:$F,Sheet1!$W:$W))+1))&amp;AE644,"NOT FOUND"),LEFT(J644,FIND("-",J644,FIND("-",J644)+1))&amp;AE644))</f>
        <v>KRTS-APSU26-YETKRTSCUT5008</v>
      </c>
    </row>
    <row r="645" spans="1:34" ht="15.75" customHeight="1" x14ac:dyDescent="0.2">
      <c r="A645" s="4" t="s">
        <v>30</v>
      </c>
      <c r="B645" s="4" t="s">
        <v>893</v>
      </c>
      <c r="C645" s="4" t="s">
        <v>880</v>
      </c>
      <c r="D645" s="4" t="s">
        <v>579</v>
      </c>
      <c r="E645" s="4" t="s">
        <v>34</v>
      </c>
      <c r="F645" s="4" t="s">
        <v>35</v>
      </c>
      <c r="G645" s="4" t="s">
        <v>36</v>
      </c>
      <c r="H645" s="4" t="s">
        <v>894</v>
      </c>
      <c r="I645" s="4" t="s">
        <v>895</v>
      </c>
      <c r="J645" s="4" t="s">
        <v>896</v>
      </c>
      <c r="L645" s="4" t="s">
        <v>40</v>
      </c>
      <c r="M645" s="4">
        <v>1</v>
      </c>
      <c r="N645" s="4">
        <v>495</v>
      </c>
      <c r="O645" s="4">
        <v>495</v>
      </c>
      <c r="P645" s="4" t="s">
        <v>41</v>
      </c>
      <c r="Q645" s="4">
        <v>1221.5</v>
      </c>
      <c r="R645" s="4">
        <v>1221.5</v>
      </c>
      <c r="S645" s="4">
        <v>30232.13</v>
      </c>
      <c r="T645" s="4">
        <v>604642.5</v>
      </c>
      <c r="U645" s="4">
        <v>5</v>
      </c>
      <c r="V645" s="4" t="s">
        <v>42</v>
      </c>
      <c r="X645" s="7" t="str">
        <f t="shared" si="30"/>
        <v xml:space="preserve">441857089 </v>
      </c>
      <c r="Y645" s="8" t="str">
        <f t="shared" si="31"/>
        <v>RP</v>
      </c>
      <c r="Z645" s="8">
        <f t="shared" si="32"/>
        <v>495</v>
      </c>
      <c r="AA645" s="8">
        <f t="shared" si="33"/>
        <v>495</v>
      </c>
      <c r="AB645" s="8">
        <f t="shared" si="34"/>
        <v>495</v>
      </c>
      <c r="AC645" s="8">
        <f t="shared" si="35"/>
        <v>495</v>
      </c>
      <c r="AD645" s="8">
        <f t="shared" si="36"/>
        <v>495</v>
      </c>
      <c r="AE645" s="9" t="str" cm="1">
        <f t="array" ref="AE645">IFERROR(_xlfn.XLOOKUP(H645,Sheet1!$G:$G,Sheet1!$F:$F),IFERROR(_xlfn.XLOOKUP(1,(--($X$2:$X$1074=X645))*(--ISNUMBER(MATCH($H$2:$H$1074,Sheet1!$G:$G,0))),_xlfn.XLOOKUP($H$2:$H$1074,Sheet1!$G:$G,Sheet1!$F:$F,"")),"NOT FOUND"))</f>
        <v>YETKRTSCUT5008</v>
      </c>
      <c r="AF645" s="10" t="str">
        <f t="shared" si="41"/>
        <v>FUCHSIA</v>
      </c>
      <c r="AG645" s="11" t="str">
        <f t="shared" si="42"/>
        <v>Bangalore</v>
      </c>
      <c r="AH645" s="9" t="str">
        <f>IF(OR(J645="",AE645="",AE645="NOT FOUND"),"",IF(Y645="RP",IFERROR(LEFT(_xlfn.XLOOKUP(AE645,Sheet1!$F:$F,Sheet1!$W:$W),FIND("-",_xlfn.XLOOKUP(AE645,Sheet1!$F:$F,Sheet1!$W:$W),FIND("-",_xlfn.XLOOKUP(AE645,Sheet1!$F:$F,Sheet1!$W:$W))+1))&amp;AE645,"NOT FOUND"),LEFT(J645,FIND("-",J645,FIND("-",J645)+1))&amp;AE645))</f>
        <v>KRTS-APSU26-YETKRTSCUT5008</v>
      </c>
    </row>
    <row r="646" spans="1:34" ht="15.75" customHeight="1" x14ac:dyDescent="0.2">
      <c r="A646" s="4" t="s">
        <v>59</v>
      </c>
      <c r="B646" s="4" t="s">
        <v>897</v>
      </c>
      <c r="C646" s="4" t="s">
        <v>880</v>
      </c>
      <c r="D646" s="4" t="s">
        <v>579</v>
      </c>
      <c r="E646" s="4" t="s">
        <v>34</v>
      </c>
      <c r="F646" s="4" t="s">
        <v>35</v>
      </c>
      <c r="G646" s="4" t="s">
        <v>36</v>
      </c>
      <c r="H646" s="4" t="s">
        <v>894</v>
      </c>
      <c r="I646" s="4" t="s">
        <v>895</v>
      </c>
      <c r="J646" s="4" t="s">
        <v>896</v>
      </c>
      <c r="L646" s="4" t="s">
        <v>40</v>
      </c>
      <c r="M646" s="4">
        <v>1</v>
      </c>
      <c r="N646" s="4">
        <v>249</v>
      </c>
      <c r="O646" s="4">
        <v>249</v>
      </c>
      <c r="P646" s="4" t="s">
        <v>41</v>
      </c>
      <c r="Q646" s="4">
        <v>1221.5</v>
      </c>
      <c r="R646" s="4">
        <v>1221.5</v>
      </c>
      <c r="S646" s="4">
        <v>15207.68</v>
      </c>
      <c r="T646" s="4">
        <v>304153.5</v>
      </c>
      <c r="U646" s="4">
        <v>5</v>
      </c>
      <c r="V646" s="4" t="s">
        <v>42</v>
      </c>
      <c r="X646" s="7" t="str">
        <f t="shared" si="30"/>
        <v xml:space="preserve">441857089 </v>
      </c>
      <c r="Y646" s="8" t="str">
        <f t="shared" si="31"/>
        <v>RP</v>
      </c>
      <c r="Z646" s="8">
        <f t="shared" si="32"/>
        <v>249</v>
      </c>
      <c r="AA646" s="8">
        <f t="shared" si="33"/>
        <v>249</v>
      </c>
      <c r="AB646" s="8">
        <f t="shared" si="34"/>
        <v>249</v>
      </c>
      <c r="AC646" s="8">
        <f t="shared" si="35"/>
        <v>249</v>
      </c>
      <c r="AD646" s="8">
        <f t="shared" si="36"/>
        <v>249</v>
      </c>
      <c r="AE646" s="9" t="str" cm="1">
        <f t="array" ref="AE646">IFERROR(_xlfn.XLOOKUP(H646,Sheet1!$G:$G,Sheet1!$F:$F),IFERROR(_xlfn.XLOOKUP(1,(--($X$2:$X$1074=X646))*(--ISNUMBER(MATCH($H$2:$H$1074,Sheet1!$G:$G,0))),_xlfn.XLOOKUP($H$2:$H$1074,Sheet1!$G:$G,Sheet1!$F:$F,"")),"NOT FOUND"))</f>
        <v>YETKRTSCUT5008</v>
      </c>
      <c r="AF646" s="10" t="str">
        <f t="shared" si="41"/>
        <v>FUCHSIA</v>
      </c>
      <c r="AG646" s="11" t="str">
        <f t="shared" si="42"/>
        <v>JHAJJAR</v>
      </c>
      <c r="AH646" s="9" t="str">
        <f>IF(OR(J646="",AE646="",AE646="NOT FOUND"),"",IF(Y646="RP",IFERROR(LEFT(_xlfn.XLOOKUP(AE646,Sheet1!$F:$F,Sheet1!$W:$W),FIND("-",_xlfn.XLOOKUP(AE646,Sheet1!$F:$F,Sheet1!$W:$W),FIND("-",_xlfn.XLOOKUP(AE646,Sheet1!$F:$F,Sheet1!$W:$W))+1))&amp;AE646,"NOT FOUND"),LEFT(J646,FIND("-",J646,FIND("-",J646)+1))&amp;AE646))</f>
        <v>KRTS-APSU26-YETKRTSCUT5008</v>
      </c>
    </row>
    <row r="647" spans="1:34" ht="15.75" customHeight="1" x14ac:dyDescent="0.2">
      <c r="A647" s="4" t="s">
        <v>59</v>
      </c>
      <c r="B647" s="4" t="s">
        <v>898</v>
      </c>
      <c r="C647" s="4" t="s">
        <v>880</v>
      </c>
      <c r="D647" s="4" t="s">
        <v>579</v>
      </c>
      <c r="E647" s="4" t="s">
        <v>34</v>
      </c>
      <c r="F647" s="4" t="s">
        <v>35</v>
      </c>
      <c r="G647" s="4" t="s">
        <v>36</v>
      </c>
      <c r="H647" s="4" t="s">
        <v>890</v>
      </c>
      <c r="I647" s="4" t="s">
        <v>891</v>
      </c>
      <c r="J647" s="4" t="s">
        <v>892</v>
      </c>
      <c r="L647" s="4" t="s">
        <v>40</v>
      </c>
      <c r="M647" s="4">
        <v>1</v>
      </c>
      <c r="N647" s="4">
        <v>267</v>
      </c>
      <c r="O647" s="4">
        <v>267</v>
      </c>
      <c r="P647" s="4" t="s">
        <v>41</v>
      </c>
      <c r="Q647" s="4">
        <v>1221.5</v>
      </c>
      <c r="R647" s="4">
        <v>1221.5</v>
      </c>
      <c r="S647" s="4">
        <v>16307.03</v>
      </c>
      <c r="T647" s="4">
        <v>326140.5</v>
      </c>
      <c r="U647" s="4">
        <v>5</v>
      </c>
      <c r="V647" s="4" t="s">
        <v>42</v>
      </c>
      <c r="X647" s="7" t="str">
        <f t="shared" si="30"/>
        <v xml:space="preserve">441857089 </v>
      </c>
      <c r="Y647" s="8" t="str">
        <f t="shared" si="31"/>
        <v>RP</v>
      </c>
      <c r="Z647" s="8">
        <f t="shared" si="32"/>
        <v>267</v>
      </c>
      <c r="AA647" s="8">
        <f t="shared" si="33"/>
        <v>267</v>
      </c>
      <c r="AB647" s="8">
        <f t="shared" si="34"/>
        <v>267</v>
      </c>
      <c r="AC647" s="8">
        <f t="shared" si="35"/>
        <v>267</v>
      </c>
      <c r="AD647" s="8">
        <f t="shared" si="36"/>
        <v>267</v>
      </c>
      <c r="AE647" s="9" t="str" cm="1">
        <f t="array" ref="AE647">IFERROR(_xlfn.XLOOKUP(H647,Sheet1!$G:$G,Sheet1!$F:$F),IFERROR(_xlfn.XLOOKUP(1,(--($X$2:$X$1074=X647))*(--ISNUMBER(MATCH($H$2:$H$1074,Sheet1!$G:$G,0))),_xlfn.XLOOKUP($H$2:$H$1074,Sheet1!$G:$G,Sheet1!$F:$F,"")),"NOT FOUND"))</f>
        <v>YETKRTSCUT5008</v>
      </c>
      <c r="AF647" s="10" t="str">
        <f t="shared" si="41"/>
        <v>MUSTARD</v>
      </c>
      <c r="AG647" s="11" t="str">
        <f t="shared" si="42"/>
        <v>JHAJJAR</v>
      </c>
      <c r="AH647" s="9" t="str">
        <f>IF(OR(J647="",AE647="",AE647="NOT FOUND"),"",IF(Y647="RP",IFERROR(LEFT(_xlfn.XLOOKUP(AE647,Sheet1!$F:$F,Sheet1!$W:$W),FIND("-",_xlfn.XLOOKUP(AE647,Sheet1!$F:$F,Sheet1!$W:$W),FIND("-",_xlfn.XLOOKUP(AE647,Sheet1!$F:$F,Sheet1!$W:$W))+1))&amp;AE647,"NOT FOUND"),LEFT(J647,FIND("-",J647,FIND("-",J647)+1))&amp;AE647))</f>
        <v>KRTS-APSU26-YETKRTSCUT5008</v>
      </c>
    </row>
    <row r="648" spans="1:34" ht="15.75" customHeight="1" x14ac:dyDescent="0.2">
      <c r="A648" s="4" t="s">
        <v>59</v>
      </c>
      <c r="B648" s="4" t="s">
        <v>899</v>
      </c>
      <c r="C648" s="4" t="s">
        <v>880</v>
      </c>
      <c r="D648" s="4" t="s">
        <v>797</v>
      </c>
      <c r="E648" s="4" t="s">
        <v>34</v>
      </c>
      <c r="F648" s="4" t="s">
        <v>35</v>
      </c>
      <c r="G648" s="4" t="s">
        <v>36</v>
      </c>
      <c r="H648" s="4" t="s">
        <v>886</v>
      </c>
      <c r="I648" s="4" t="s">
        <v>887</v>
      </c>
      <c r="J648" s="4" t="s">
        <v>888</v>
      </c>
      <c r="L648" s="4" t="s">
        <v>40</v>
      </c>
      <c r="M648" s="4">
        <v>1</v>
      </c>
      <c r="N648" s="4">
        <v>284</v>
      </c>
      <c r="O648" s="4">
        <v>284</v>
      </c>
      <c r="P648" s="4" t="s">
        <v>41</v>
      </c>
      <c r="Q648" s="4">
        <v>1221.5</v>
      </c>
      <c r="R648" s="4">
        <v>1221.5</v>
      </c>
      <c r="S648" s="4">
        <v>17345.3</v>
      </c>
      <c r="T648" s="4">
        <v>346906</v>
      </c>
      <c r="U648" s="4">
        <v>5</v>
      </c>
      <c r="V648" s="4" t="s">
        <v>42</v>
      </c>
      <c r="X648" s="7" t="str">
        <f t="shared" si="30"/>
        <v xml:space="preserve">441857089 </v>
      </c>
      <c r="Y648" s="8" t="str">
        <f t="shared" si="31"/>
        <v>RP</v>
      </c>
      <c r="Z648" s="8">
        <f t="shared" si="32"/>
        <v>284</v>
      </c>
      <c r="AA648" s="8">
        <f t="shared" si="33"/>
        <v>284</v>
      </c>
      <c r="AB648" s="8">
        <f t="shared" si="34"/>
        <v>284</v>
      </c>
      <c r="AC648" s="8">
        <f t="shared" si="35"/>
        <v>284</v>
      </c>
      <c r="AD648" s="8">
        <f t="shared" si="36"/>
        <v>284</v>
      </c>
      <c r="AE648" s="9" t="str" cm="1">
        <f t="array" ref="AE648">IFERROR(_xlfn.XLOOKUP(H648,Sheet1!$G:$G,Sheet1!$F:$F),IFERROR(_xlfn.XLOOKUP(1,(--($X$2:$X$1074=X648))*(--ISNUMBER(MATCH($H$2:$H$1074,Sheet1!$G:$G,0))),_xlfn.XLOOKUP($H$2:$H$1074,Sheet1!$G:$G,Sheet1!$F:$F,"")),"NOT FOUND"))</f>
        <v>YETKRTSCUT5008</v>
      </c>
      <c r="AF648" s="10" t="str">
        <f t="shared" si="41"/>
        <v>OFF WHITE</v>
      </c>
      <c r="AG648" s="11" t="str">
        <f t="shared" si="42"/>
        <v>JHAJJAR</v>
      </c>
      <c r="AH648" s="9" t="str">
        <f>IF(OR(J648="",AE648="",AE648="NOT FOUND"),"",IF(Y648="RP",IFERROR(LEFT(_xlfn.XLOOKUP(AE648,Sheet1!$F:$F,Sheet1!$W:$W),FIND("-",_xlfn.XLOOKUP(AE648,Sheet1!$F:$F,Sheet1!$W:$W),FIND("-",_xlfn.XLOOKUP(AE648,Sheet1!$F:$F,Sheet1!$W:$W))+1))&amp;AE648,"NOT FOUND"),LEFT(J648,FIND("-",J648,FIND("-",J648)+1))&amp;AE648))</f>
        <v>KRTS-APSU26-YETKRTSCUT5008</v>
      </c>
    </row>
    <row r="649" spans="1:34" ht="15.75" customHeight="1" x14ac:dyDescent="0.2">
      <c r="A649" s="4" t="s">
        <v>59</v>
      </c>
      <c r="B649" s="4" t="s">
        <v>899</v>
      </c>
      <c r="C649" s="4" t="s">
        <v>880</v>
      </c>
      <c r="D649" s="4" t="s">
        <v>797</v>
      </c>
      <c r="E649" s="4" t="s">
        <v>34</v>
      </c>
      <c r="F649" s="4" t="s">
        <v>35</v>
      </c>
      <c r="G649" s="4" t="s">
        <v>43</v>
      </c>
      <c r="H649" s="4" t="s">
        <v>814</v>
      </c>
      <c r="I649" s="4" t="s">
        <v>815</v>
      </c>
      <c r="J649" s="4" t="s">
        <v>816</v>
      </c>
      <c r="L649" s="4" t="s">
        <v>40</v>
      </c>
      <c r="M649" s="4">
        <v>1</v>
      </c>
      <c r="N649" s="4">
        <v>284</v>
      </c>
      <c r="O649" s="4">
        <v>284</v>
      </c>
      <c r="P649" s="4" t="s">
        <v>41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 t="s">
        <v>42</v>
      </c>
      <c r="X649" s="7" t="str">
        <f t="shared" si="30"/>
        <v>441857089</v>
      </c>
      <c r="Y649" s="8" t="str">
        <f t="shared" si="31"/>
        <v>DC</v>
      </c>
      <c r="Z649" s="8">
        <f t="shared" si="32"/>
        <v>0</v>
      </c>
      <c r="AA649" s="8">
        <f t="shared" si="33"/>
        <v>0</v>
      </c>
      <c r="AB649" s="8">
        <f t="shared" si="34"/>
        <v>0</v>
      </c>
      <c r="AC649" s="8">
        <f t="shared" si="35"/>
        <v>0</v>
      </c>
      <c r="AD649" s="8">
        <f t="shared" si="36"/>
        <v>284</v>
      </c>
      <c r="AE649" s="9" t="str" cm="1">
        <f t="array" ref="AE649">IFERROR(_xlfn.XLOOKUP(H649,Sheet1!$G:$G,Sheet1!$F:$F),IFERROR(_xlfn.XLOOKUP(1,(--($X$2:$X$1074=X649))*(--ISNUMBER(MATCH($H$2:$H$1074,Sheet1!$G:$G,0))),_xlfn.XLOOKUP($H$2:$H$1074,Sheet1!$G:$G,Sheet1!$F:$F,"")),"NOT FOUND"))</f>
        <v>YETKRTSCUT5008</v>
      </c>
      <c r="AF649" s="10" t="str">
        <f t="shared" si="41"/>
        <v>OFF WHITE</v>
      </c>
      <c r="AG649" s="11" t="str">
        <f t="shared" si="42"/>
        <v>JHAJJAR</v>
      </c>
      <c r="AH649" s="9" t="str">
        <f>IF(OR(J649="",AE649="",AE649="NOT FOUND"),"",IF(Y649="RP",IFERROR(LEFT(_xlfn.XLOOKUP(AE649,Sheet1!$F:$F,Sheet1!$W:$W),FIND("-",_xlfn.XLOOKUP(AE649,Sheet1!$F:$F,Sheet1!$W:$W),FIND("-",_xlfn.XLOOKUP(AE649,Sheet1!$F:$F,Sheet1!$W:$W))+1))&amp;AE649,"NOT FOUND"),LEFT(J649,FIND("-",J649,FIND("-",J649)+1))&amp;AE649))</f>
        <v>KRTS-APSU26-YETKRTSCUT5008</v>
      </c>
    </row>
    <row r="650" spans="1:34" ht="15.75" customHeight="1" x14ac:dyDescent="0.2">
      <c r="A650" s="4" t="s">
        <v>59</v>
      </c>
      <c r="B650" s="4" t="s">
        <v>899</v>
      </c>
      <c r="C650" s="4" t="s">
        <v>880</v>
      </c>
      <c r="D650" s="4" t="s">
        <v>797</v>
      </c>
      <c r="E650" s="4" t="s">
        <v>34</v>
      </c>
      <c r="F650" s="4" t="s">
        <v>35</v>
      </c>
      <c r="G650" s="4" t="s">
        <v>47</v>
      </c>
      <c r="H650" s="4" t="s">
        <v>817</v>
      </c>
      <c r="I650" s="4" t="s">
        <v>818</v>
      </c>
      <c r="J650" s="4" t="s">
        <v>819</v>
      </c>
      <c r="L650" s="4" t="s">
        <v>40</v>
      </c>
      <c r="M650" s="4">
        <v>1</v>
      </c>
      <c r="N650" s="4">
        <v>284</v>
      </c>
      <c r="O650" s="4">
        <v>284</v>
      </c>
      <c r="P650" s="4" t="s">
        <v>41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 t="s">
        <v>42</v>
      </c>
      <c r="X650" s="7" t="str">
        <f t="shared" si="30"/>
        <v>441857089</v>
      </c>
      <c r="Y650" s="8" t="str">
        <f t="shared" si="31"/>
        <v>DC</v>
      </c>
      <c r="Z650" s="8">
        <f t="shared" si="32"/>
        <v>0</v>
      </c>
      <c r="AA650" s="8">
        <f t="shared" si="33"/>
        <v>0</v>
      </c>
      <c r="AB650" s="8">
        <f t="shared" si="34"/>
        <v>0</v>
      </c>
      <c r="AC650" s="8">
        <f t="shared" si="35"/>
        <v>284</v>
      </c>
      <c r="AD650" s="8">
        <f t="shared" si="36"/>
        <v>0</v>
      </c>
      <c r="AE650" s="9" t="str" cm="1">
        <f t="array" ref="AE650">IFERROR(_xlfn.XLOOKUP(H650,Sheet1!$G:$G,Sheet1!$F:$F),IFERROR(_xlfn.XLOOKUP(1,(--($X$2:$X$1074=X650))*(--ISNUMBER(MATCH($H$2:$H$1074,Sheet1!$G:$G,0))),_xlfn.XLOOKUP($H$2:$H$1074,Sheet1!$G:$G,Sheet1!$F:$F,"")),"NOT FOUND"))</f>
        <v>YETKRTSCUT5008</v>
      </c>
      <c r="AF650" s="10" t="str">
        <f t="shared" si="41"/>
        <v>OFF WHITE</v>
      </c>
      <c r="AG650" s="11" t="str">
        <f t="shared" si="42"/>
        <v>JHAJJAR</v>
      </c>
      <c r="AH650" s="9" t="str">
        <f>IF(OR(J650="",AE650="",AE650="NOT FOUND"),"",IF(Y650="RP",IFERROR(LEFT(_xlfn.XLOOKUP(AE650,Sheet1!$F:$F,Sheet1!$W:$W),FIND("-",_xlfn.XLOOKUP(AE650,Sheet1!$F:$F,Sheet1!$W:$W),FIND("-",_xlfn.XLOOKUP(AE650,Sheet1!$F:$F,Sheet1!$W:$W))+1))&amp;AE650,"NOT FOUND"),LEFT(J650,FIND("-",J650,FIND("-",J650)+1))&amp;AE650))</f>
        <v>KRTS-APSU26-YETKRTSCUT5008</v>
      </c>
    </row>
    <row r="651" spans="1:34" ht="15.75" customHeight="1" x14ac:dyDescent="0.2">
      <c r="A651" s="4" t="s">
        <v>59</v>
      </c>
      <c r="B651" s="4" t="s">
        <v>899</v>
      </c>
      <c r="C651" s="4" t="s">
        <v>880</v>
      </c>
      <c r="D651" s="4" t="s">
        <v>797</v>
      </c>
      <c r="E651" s="4" t="s">
        <v>34</v>
      </c>
      <c r="F651" s="4" t="s">
        <v>35</v>
      </c>
      <c r="G651" s="4" t="s">
        <v>51</v>
      </c>
      <c r="H651" s="4" t="s">
        <v>820</v>
      </c>
      <c r="I651" s="4" t="s">
        <v>821</v>
      </c>
      <c r="J651" s="4" t="s">
        <v>822</v>
      </c>
      <c r="L651" s="4" t="s">
        <v>40</v>
      </c>
      <c r="M651" s="4">
        <v>1</v>
      </c>
      <c r="N651" s="4">
        <v>284</v>
      </c>
      <c r="O651" s="4">
        <v>284</v>
      </c>
      <c r="P651" s="4" t="s">
        <v>41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 t="s">
        <v>42</v>
      </c>
      <c r="X651" s="7" t="str">
        <f t="shared" si="30"/>
        <v>441857089</v>
      </c>
      <c r="Y651" s="8" t="str">
        <f t="shared" si="31"/>
        <v>DC</v>
      </c>
      <c r="Z651" s="8">
        <f t="shared" si="32"/>
        <v>0</v>
      </c>
      <c r="AA651" s="8">
        <f t="shared" si="33"/>
        <v>0</v>
      </c>
      <c r="AB651" s="8">
        <f t="shared" si="34"/>
        <v>284</v>
      </c>
      <c r="AC651" s="8">
        <f t="shared" si="35"/>
        <v>0</v>
      </c>
      <c r="AD651" s="8">
        <f t="shared" si="36"/>
        <v>0</v>
      </c>
      <c r="AE651" s="9" t="str" cm="1">
        <f t="array" ref="AE651">IFERROR(_xlfn.XLOOKUP(H651,Sheet1!$G:$G,Sheet1!$F:$F),IFERROR(_xlfn.XLOOKUP(1,(--($X$2:$X$1074=X651))*(--ISNUMBER(MATCH($H$2:$H$1074,Sheet1!$G:$G,0))),_xlfn.XLOOKUP($H$2:$H$1074,Sheet1!$G:$G,Sheet1!$F:$F,"")),"NOT FOUND"))</f>
        <v>YETKRTSCUT5008</v>
      </c>
      <c r="AF651" s="10" t="str">
        <f t="shared" si="41"/>
        <v>OFF WHITE</v>
      </c>
      <c r="AG651" s="11" t="str">
        <f t="shared" si="42"/>
        <v>JHAJJAR</v>
      </c>
      <c r="AH651" s="9" t="str">
        <f>IF(OR(J651="",AE651="",AE651="NOT FOUND"),"",IF(Y651="RP",IFERROR(LEFT(_xlfn.XLOOKUP(AE651,Sheet1!$F:$F,Sheet1!$W:$W),FIND("-",_xlfn.XLOOKUP(AE651,Sheet1!$F:$F,Sheet1!$W:$W),FIND("-",_xlfn.XLOOKUP(AE651,Sheet1!$F:$F,Sheet1!$W:$W))+1))&amp;AE651,"NOT FOUND"),LEFT(J651,FIND("-",J651,FIND("-",J651)+1))&amp;AE651))</f>
        <v>KRTS-APSU26-YETKRTSCUT5008</v>
      </c>
    </row>
    <row r="652" spans="1:34" ht="15.75" customHeight="1" x14ac:dyDescent="0.2">
      <c r="A652" s="4" t="s">
        <v>59</v>
      </c>
      <c r="B652" s="4" t="s">
        <v>899</v>
      </c>
      <c r="C652" s="4" t="s">
        <v>880</v>
      </c>
      <c r="D652" s="4" t="s">
        <v>797</v>
      </c>
      <c r="E652" s="4" t="s">
        <v>34</v>
      </c>
      <c r="F652" s="4" t="s">
        <v>35</v>
      </c>
      <c r="G652" s="4" t="s">
        <v>55</v>
      </c>
      <c r="H652" s="4" t="s">
        <v>823</v>
      </c>
      <c r="I652" s="4" t="s">
        <v>824</v>
      </c>
      <c r="J652" s="4" t="s">
        <v>825</v>
      </c>
      <c r="L652" s="4" t="s">
        <v>40</v>
      </c>
      <c r="M652" s="4">
        <v>1</v>
      </c>
      <c r="N652" s="4">
        <v>284</v>
      </c>
      <c r="O652" s="4">
        <v>284</v>
      </c>
      <c r="P652" s="4" t="s">
        <v>41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 t="s">
        <v>42</v>
      </c>
      <c r="X652" s="7" t="str">
        <f t="shared" si="30"/>
        <v>441857089</v>
      </c>
      <c r="Y652" s="8" t="str">
        <f t="shared" si="31"/>
        <v>DC</v>
      </c>
      <c r="Z652" s="8">
        <f t="shared" si="32"/>
        <v>0</v>
      </c>
      <c r="AA652" s="8">
        <f t="shared" si="33"/>
        <v>284</v>
      </c>
      <c r="AB652" s="8">
        <f t="shared" si="34"/>
        <v>0</v>
      </c>
      <c r="AC652" s="8">
        <f t="shared" si="35"/>
        <v>0</v>
      </c>
      <c r="AD652" s="8">
        <f t="shared" si="36"/>
        <v>0</v>
      </c>
      <c r="AE652" s="9" t="str" cm="1">
        <f t="array" ref="AE652">IFERROR(_xlfn.XLOOKUP(H652,Sheet1!$G:$G,Sheet1!$F:$F),IFERROR(_xlfn.XLOOKUP(1,(--($X$2:$X$1074=X652))*(--ISNUMBER(MATCH($H$2:$H$1074,Sheet1!$G:$G,0))),_xlfn.XLOOKUP($H$2:$H$1074,Sheet1!$G:$G,Sheet1!$F:$F,"")),"NOT FOUND"))</f>
        <v>YETKRTSCUT5008</v>
      </c>
      <c r="AF652" s="10" t="str">
        <f t="shared" si="41"/>
        <v>OFF WHITE</v>
      </c>
      <c r="AG652" s="11" t="str">
        <f t="shared" si="42"/>
        <v>JHAJJAR</v>
      </c>
      <c r="AH652" s="9" t="str">
        <f>IF(OR(J652="",AE652="",AE652="NOT FOUND"),"",IF(Y652="RP",IFERROR(LEFT(_xlfn.XLOOKUP(AE652,Sheet1!$F:$F,Sheet1!$W:$W),FIND("-",_xlfn.XLOOKUP(AE652,Sheet1!$F:$F,Sheet1!$W:$W),FIND("-",_xlfn.XLOOKUP(AE652,Sheet1!$F:$F,Sheet1!$W:$W))+1))&amp;AE652,"NOT FOUND"),LEFT(J652,FIND("-",J652,FIND("-",J652)+1))&amp;AE652))</f>
        <v>KRTS-APSU26-YETKRTSCUT5008</v>
      </c>
    </row>
    <row r="653" spans="1:34" ht="15.75" customHeight="1" x14ac:dyDescent="0.2">
      <c r="A653" s="4" t="s">
        <v>59</v>
      </c>
      <c r="B653" s="4" t="s">
        <v>899</v>
      </c>
      <c r="C653" s="4" t="s">
        <v>880</v>
      </c>
      <c r="D653" s="4" t="s">
        <v>797</v>
      </c>
      <c r="E653" s="4" t="s">
        <v>34</v>
      </c>
      <c r="F653" s="4" t="s">
        <v>35</v>
      </c>
      <c r="G653" s="4" t="s">
        <v>884</v>
      </c>
      <c r="H653" s="4" t="s">
        <v>826</v>
      </c>
      <c r="I653" s="4" t="s">
        <v>827</v>
      </c>
      <c r="J653" s="4" t="s">
        <v>828</v>
      </c>
      <c r="L653" s="4" t="s">
        <v>40</v>
      </c>
      <c r="M653" s="4">
        <v>1</v>
      </c>
      <c r="N653" s="4">
        <v>284</v>
      </c>
      <c r="O653" s="4">
        <v>284</v>
      </c>
      <c r="P653" s="4" t="s">
        <v>41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X653" s="7" t="str">
        <f t="shared" si="30"/>
        <v>441857089</v>
      </c>
      <c r="Y653" s="8" t="str">
        <f t="shared" si="31"/>
        <v>DC</v>
      </c>
      <c r="Z653" s="8">
        <f t="shared" si="32"/>
        <v>284</v>
      </c>
      <c r="AA653" s="8">
        <f t="shared" si="33"/>
        <v>0</v>
      </c>
      <c r="AB653" s="8">
        <f t="shared" si="34"/>
        <v>0</v>
      </c>
      <c r="AC653" s="8">
        <f t="shared" si="35"/>
        <v>0</v>
      </c>
      <c r="AD653" s="8">
        <f t="shared" si="36"/>
        <v>0</v>
      </c>
      <c r="AE653" s="9" t="str" cm="1">
        <f t="array" ref="AE653">IFERROR(_xlfn.XLOOKUP(H653,Sheet1!$G:$G,Sheet1!$F:$F),IFERROR(_xlfn.XLOOKUP(1,(--($X$2:$X$1074=X653))*(--ISNUMBER(MATCH($H$2:$H$1074,Sheet1!$G:$G,0))),_xlfn.XLOOKUP($H$2:$H$1074,Sheet1!$G:$G,Sheet1!$F:$F,"")),"NOT FOUND"))</f>
        <v>YETKRTSCUT5008</v>
      </c>
      <c r="AF653" s="10" t="str">
        <f t="shared" si="41"/>
        <v>OFF WHITE</v>
      </c>
      <c r="AG653" s="11" t="str">
        <f t="shared" si="42"/>
        <v>JHAJJAR</v>
      </c>
      <c r="AH653" s="9" t="str">
        <f>IF(OR(J653="",AE653="",AE653="NOT FOUND"),"",IF(Y653="RP",IFERROR(LEFT(_xlfn.XLOOKUP(AE653,Sheet1!$F:$F,Sheet1!$W:$W),FIND("-",_xlfn.XLOOKUP(AE653,Sheet1!$F:$F,Sheet1!$W:$W),FIND("-",_xlfn.XLOOKUP(AE653,Sheet1!$F:$F,Sheet1!$W:$W))+1))&amp;AE653,"NOT FOUND"),LEFT(J653,FIND("-",J653,FIND("-",J653)+1))&amp;AE653))</f>
        <v>KRTS-APSU26-YETKRTSCUT5008</v>
      </c>
    </row>
    <row r="654" spans="1:34" ht="15.75" customHeight="1" x14ac:dyDescent="0.2">
      <c r="A654" s="4" t="s">
        <v>59</v>
      </c>
      <c r="B654" s="4" t="s">
        <v>900</v>
      </c>
      <c r="C654" s="4" t="s">
        <v>880</v>
      </c>
      <c r="D654" s="4" t="s">
        <v>797</v>
      </c>
      <c r="E654" s="4" t="s">
        <v>34</v>
      </c>
      <c r="F654" s="4" t="s">
        <v>35</v>
      </c>
      <c r="G654" s="4" t="s">
        <v>36</v>
      </c>
      <c r="H654" s="4" t="s">
        <v>881</v>
      </c>
      <c r="I654" s="4" t="s">
        <v>882</v>
      </c>
      <c r="J654" s="4" t="s">
        <v>883</v>
      </c>
      <c r="L654" s="4" t="s">
        <v>40</v>
      </c>
      <c r="M654" s="4">
        <v>1</v>
      </c>
      <c r="N654" s="4">
        <v>284</v>
      </c>
      <c r="O654" s="4">
        <v>284</v>
      </c>
      <c r="P654" s="4" t="s">
        <v>41</v>
      </c>
      <c r="Q654" s="4">
        <v>1221.5</v>
      </c>
      <c r="R654" s="4">
        <v>1221.5</v>
      </c>
      <c r="S654" s="4">
        <v>17345.3</v>
      </c>
      <c r="T654" s="4">
        <v>346906</v>
      </c>
      <c r="U654" s="4">
        <v>5</v>
      </c>
      <c r="V654" s="4" t="s">
        <v>42</v>
      </c>
      <c r="X654" s="7" t="str">
        <f t="shared" si="30"/>
        <v xml:space="preserve">441857089 </v>
      </c>
      <c r="Y654" s="8" t="str">
        <f t="shared" si="31"/>
        <v>RP</v>
      </c>
      <c r="Z654" s="8">
        <f t="shared" si="32"/>
        <v>284</v>
      </c>
      <c r="AA654" s="8">
        <f t="shared" si="33"/>
        <v>284</v>
      </c>
      <c r="AB654" s="8">
        <f t="shared" si="34"/>
        <v>284</v>
      </c>
      <c r="AC654" s="8">
        <f t="shared" si="35"/>
        <v>284</v>
      </c>
      <c r="AD654" s="8">
        <f t="shared" si="36"/>
        <v>284</v>
      </c>
      <c r="AE654" s="9" t="str" cm="1">
        <f t="array" ref="AE654">IFERROR(_xlfn.XLOOKUP(H654,Sheet1!$G:$G,Sheet1!$F:$F),IFERROR(_xlfn.XLOOKUP(1,(--($X$2:$X$1074=X654))*(--ISNUMBER(MATCH($H$2:$H$1074,Sheet1!$G:$G,0))),_xlfn.XLOOKUP($H$2:$H$1074,Sheet1!$G:$G,Sheet1!$F:$F,"")),"NOT FOUND"))</f>
        <v>YETKRTSCUT5008</v>
      </c>
      <c r="AF654" s="10" t="str">
        <f t="shared" si="41"/>
        <v>RUST</v>
      </c>
      <c r="AG654" s="11" t="str">
        <f t="shared" si="42"/>
        <v>JHAJJAR</v>
      </c>
      <c r="AH654" s="9" t="str">
        <f>IF(OR(J654="",AE654="",AE654="NOT FOUND"),"",IF(Y654="RP",IFERROR(LEFT(_xlfn.XLOOKUP(AE654,Sheet1!$F:$F,Sheet1!$W:$W),FIND("-",_xlfn.XLOOKUP(AE654,Sheet1!$F:$F,Sheet1!$W:$W),FIND("-",_xlfn.XLOOKUP(AE654,Sheet1!$F:$F,Sheet1!$W:$W))+1))&amp;AE654,"NOT FOUND"),LEFT(J654,FIND("-",J654,FIND("-",J654)+1))&amp;AE654))</f>
        <v>KRTS-APSU26-YETKRTSCUT5008</v>
      </c>
    </row>
    <row r="655" spans="1:34" ht="15.75" customHeight="1" x14ac:dyDescent="0.2">
      <c r="A655" s="4" t="s">
        <v>59</v>
      </c>
      <c r="B655" s="4" t="s">
        <v>900</v>
      </c>
      <c r="C655" s="4" t="s">
        <v>880</v>
      </c>
      <c r="D655" s="4" t="s">
        <v>797</v>
      </c>
      <c r="E655" s="4" t="s">
        <v>34</v>
      </c>
      <c r="F655" s="4" t="s">
        <v>35</v>
      </c>
      <c r="G655" s="4" t="s">
        <v>43</v>
      </c>
      <c r="H655" s="4" t="s">
        <v>798</v>
      </c>
      <c r="I655" s="4" t="s">
        <v>799</v>
      </c>
      <c r="J655" s="4" t="s">
        <v>800</v>
      </c>
      <c r="L655" s="4" t="s">
        <v>40</v>
      </c>
      <c r="M655" s="4">
        <v>1</v>
      </c>
      <c r="N655" s="4">
        <v>284</v>
      </c>
      <c r="O655" s="4">
        <v>284</v>
      </c>
      <c r="P655" s="4" t="s">
        <v>41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 t="s">
        <v>42</v>
      </c>
      <c r="X655" s="7" t="str">
        <f t="shared" si="30"/>
        <v>441857089</v>
      </c>
      <c r="Y655" s="8" t="str">
        <f t="shared" si="31"/>
        <v>DC</v>
      </c>
      <c r="Z655" s="8">
        <f t="shared" si="32"/>
        <v>0</v>
      </c>
      <c r="AA655" s="8">
        <f t="shared" si="33"/>
        <v>0</v>
      </c>
      <c r="AB655" s="8">
        <f t="shared" si="34"/>
        <v>0</v>
      </c>
      <c r="AC655" s="8">
        <f t="shared" si="35"/>
        <v>0</v>
      </c>
      <c r="AD655" s="8">
        <f t="shared" si="36"/>
        <v>284</v>
      </c>
      <c r="AE655" s="9" t="str" cm="1">
        <f t="array" ref="AE655">IFERROR(_xlfn.XLOOKUP(H655,Sheet1!$G:$G,Sheet1!$F:$F),IFERROR(_xlfn.XLOOKUP(1,(--($X$2:$X$1074=X655))*(--ISNUMBER(MATCH($H$2:$H$1074,Sheet1!$G:$G,0))),_xlfn.XLOOKUP($H$2:$H$1074,Sheet1!$G:$G,Sheet1!$F:$F,"")),"NOT FOUND"))</f>
        <v>YETKRTSCUT5008</v>
      </c>
      <c r="AF655" s="10" t="str">
        <f t="shared" si="41"/>
        <v>RUST</v>
      </c>
      <c r="AG655" s="11" t="str">
        <f t="shared" si="42"/>
        <v>JHAJJAR</v>
      </c>
      <c r="AH655" s="9" t="str">
        <f>IF(OR(J655="",AE655="",AE655="NOT FOUND"),"",IF(Y655="RP",IFERROR(LEFT(_xlfn.XLOOKUP(AE655,Sheet1!$F:$F,Sheet1!$W:$W),FIND("-",_xlfn.XLOOKUP(AE655,Sheet1!$F:$F,Sheet1!$W:$W),FIND("-",_xlfn.XLOOKUP(AE655,Sheet1!$F:$F,Sheet1!$W:$W))+1))&amp;AE655,"NOT FOUND"),LEFT(J655,FIND("-",J655,FIND("-",J655)+1))&amp;AE655))</f>
        <v>KRTS-APSU26-YETKRTSCUT5008</v>
      </c>
    </row>
    <row r="656" spans="1:34" ht="15.75" customHeight="1" x14ac:dyDescent="0.2">
      <c r="A656" s="4" t="s">
        <v>59</v>
      </c>
      <c r="B656" s="4" t="s">
        <v>900</v>
      </c>
      <c r="C656" s="4" t="s">
        <v>880</v>
      </c>
      <c r="D656" s="4" t="s">
        <v>797</v>
      </c>
      <c r="E656" s="4" t="s">
        <v>34</v>
      </c>
      <c r="F656" s="4" t="s">
        <v>35</v>
      </c>
      <c r="G656" s="4" t="s">
        <v>47</v>
      </c>
      <c r="H656" s="4" t="s">
        <v>801</v>
      </c>
      <c r="I656" s="4" t="s">
        <v>802</v>
      </c>
      <c r="J656" s="4" t="s">
        <v>803</v>
      </c>
      <c r="L656" s="4" t="s">
        <v>40</v>
      </c>
      <c r="M656" s="4">
        <v>1</v>
      </c>
      <c r="N656" s="4">
        <v>284</v>
      </c>
      <c r="O656" s="4">
        <v>284</v>
      </c>
      <c r="P656" s="4" t="s">
        <v>41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 t="s">
        <v>42</v>
      </c>
      <c r="X656" s="7" t="str">
        <f t="shared" si="30"/>
        <v>441857089</v>
      </c>
      <c r="Y656" s="8" t="str">
        <f t="shared" si="31"/>
        <v>DC</v>
      </c>
      <c r="Z656" s="8">
        <f t="shared" si="32"/>
        <v>0</v>
      </c>
      <c r="AA656" s="8">
        <f t="shared" si="33"/>
        <v>0</v>
      </c>
      <c r="AB656" s="8">
        <f t="shared" si="34"/>
        <v>0</v>
      </c>
      <c r="AC656" s="8">
        <f t="shared" si="35"/>
        <v>284</v>
      </c>
      <c r="AD656" s="8">
        <f t="shared" si="36"/>
        <v>0</v>
      </c>
      <c r="AE656" s="9" t="str" cm="1">
        <f t="array" ref="AE656">IFERROR(_xlfn.XLOOKUP(H656,Sheet1!$G:$G,Sheet1!$F:$F),IFERROR(_xlfn.XLOOKUP(1,(--($X$2:$X$1074=X656))*(--ISNUMBER(MATCH($H$2:$H$1074,Sheet1!$G:$G,0))),_xlfn.XLOOKUP($H$2:$H$1074,Sheet1!$G:$G,Sheet1!$F:$F,"")),"NOT FOUND"))</f>
        <v>YETKRTSCUT5008</v>
      </c>
      <c r="AF656" s="10" t="str">
        <f t="shared" si="41"/>
        <v>RUST</v>
      </c>
      <c r="AG656" s="11" t="str">
        <f t="shared" si="42"/>
        <v>JHAJJAR</v>
      </c>
      <c r="AH656" s="9" t="str">
        <f>IF(OR(J656="",AE656="",AE656="NOT FOUND"),"",IF(Y656="RP",IFERROR(LEFT(_xlfn.XLOOKUP(AE656,Sheet1!$F:$F,Sheet1!$W:$W),FIND("-",_xlfn.XLOOKUP(AE656,Sheet1!$F:$F,Sheet1!$W:$W),FIND("-",_xlfn.XLOOKUP(AE656,Sheet1!$F:$F,Sheet1!$W:$W))+1))&amp;AE656,"NOT FOUND"),LEFT(J656,FIND("-",J656,FIND("-",J656)+1))&amp;AE656))</f>
        <v>KRTS-APSU26-YETKRTSCUT5008</v>
      </c>
    </row>
    <row r="657" spans="1:34" ht="15.75" customHeight="1" x14ac:dyDescent="0.2">
      <c r="A657" s="4" t="s">
        <v>59</v>
      </c>
      <c r="B657" s="4" t="s">
        <v>900</v>
      </c>
      <c r="C657" s="4" t="s">
        <v>880</v>
      </c>
      <c r="D657" s="4" t="s">
        <v>797</v>
      </c>
      <c r="E657" s="4" t="s">
        <v>34</v>
      </c>
      <c r="F657" s="4" t="s">
        <v>35</v>
      </c>
      <c r="G657" s="4" t="s">
        <v>51</v>
      </c>
      <c r="H657" s="4" t="s">
        <v>804</v>
      </c>
      <c r="I657" s="4" t="s">
        <v>805</v>
      </c>
      <c r="J657" s="4" t="s">
        <v>806</v>
      </c>
      <c r="L657" s="4" t="s">
        <v>40</v>
      </c>
      <c r="M657" s="4">
        <v>1</v>
      </c>
      <c r="N657" s="4">
        <v>284</v>
      </c>
      <c r="O657" s="4">
        <v>284</v>
      </c>
      <c r="P657" s="4" t="s">
        <v>41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 t="s">
        <v>42</v>
      </c>
      <c r="X657" s="7" t="str">
        <f t="shared" si="30"/>
        <v>441857089</v>
      </c>
      <c r="Y657" s="8" t="str">
        <f t="shared" si="31"/>
        <v>DC</v>
      </c>
      <c r="Z657" s="8">
        <f t="shared" si="32"/>
        <v>0</v>
      </c>
      <c r="AA657" s="8">
        <f t="shared" si="33"/>
        <v>0</v>
      </c>
      <c r="AB657" s="8">
        <f t="shared" si="34"/>
        <v>284</v>
      </c>
      <c r="AC657" s="8">
        <f t="shared" si="35"/>
        <v>0</v>
      </c>
      <c r="AD657" s="8">
        <f t="shared" si="36"/>
        <v>0</v>
      </c>
      <c r="AE657" s="9" t="str" cm="1">
        <f t="array" ref="AE657">IFERROR(_xlfn.XLOOKUP(H657,Sheet1!$G:$G,Sheet1!$F:$F),IFERROR(_xlfn.XLOOKUP(1,(--($X$2:$X$1074=X657))*(--ISNUMBER(MATCH($H$2:$H$1074,Sheet1!$G:$G,0))),_xlfn.XLOOKUP($H$2:$H$1074,Sheet1!$G:$G,Sheet1!$F:$F,"")),"NOT FOUND"))</f>
        <v>YETKRTSCUT5008</v>
      </c>
      <c r="AF657" s="10" t="str">
        <f t="shared" si="41"/>
        <v>RUST</v>
      </c>
      <c r="AG657" s="11" t="str">
        <f t="shared" si="42"/>
        <v>JHAJJAR</v>
      </c>
      <c r="AH657" s="9" t="str">
        <f>IF(OR(J657="",AE657="",AE657="NOT FOUND"),"",IF(Y657="RP",IFERROR(LEFT(_xlfn.XLOOKUP(AE657,Sheet1!$F:$F,Sheet1!$W:$W),FIND("-",_xlfn.XLOOKUP(AE657,Sheet1!$F:$F,Sheet1!$W:$W),FIND("-",_xlfn.XLOOKUP(AE657,Sheet1!$F:$F,Sheet1!$W:$W))+1))&amp;AE657,"NOT FOUND"),LEFT(J657,FIND("-",J657,FIND("-",J657)+1))&amp;AE657))</f>
        <v>KRTS-APSU26-YETKRTSCUT5008</v>
      </c>
    </row>
    <row r="658" spans="1:34" ht="15.75" customHeight="1" x14ac:dyDescent="0.2">
      <c r="A658" s="4" t="s">
        <v>59</v>
      </c>
      <c r="B658" s="4" t="s">
        <v>900</v>
      </c>
      <c r="C658" s="4" t="s">
        <v>880</v>
      </c>
      <c r="D658" s="4" t="s">
        <v>797</v>
      </c>
      <c r="E658" s="4" t="s">
        <v>34</v>
      </c>
      <c r="F658" s="4" t="s">
        <v>35</v>
      </c>
      <c r="G658" s="4" t="s">
        <v>55</v>
      </c>
      <c r="H658" s="4" t="s">
        <v>807</v>
      </c>
      <c r="I658" s="4" t="s">
        <v>808</v>
      </c>
      <c r="J658" s="4" t="s">
        <v>809</v>
      </c>
      <c r="L658" s="4" t="s">
        <v>40</v>
      </c>
      <c r="M658" s="4">
        <v>1</v>
      </c>
      <c r="N658" s="4">
        <v>284</v>
      </c>
      <c r="O658" s="4">
        <v>284</v>
      </c>
      <c r="P658" s="4" t="s">
        <v>41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 t="s">
        <v>42</v>
      </c>
      <c r="X658" s="7" t="str">
        <f t="shared" si="30"/>
        <v>441857089</v>
      </c>
      <c r="Y658" s="8" t="str">
        <f t="shared" si="31"/>
        <v>DC</v>
      </c>
      <c r="Z658" s="8">
        <f t="shared" si="32"/>
        <v>0</v>
      </c>
      <c r="AA658" s="8">
        <f t="shared" si="33"/>
        <v>284</v>
      </c>
      <c r="AB658" s="8">
        <f t="shared" si="34"/>
        <v>0</v>
      </c>
      <c r="AC658" s="8">
        <f t="shared" si="35"/>
        <v>0</v>
      </c>
      <c r="AD658" s="8">
        <f t="shared" si="36"/>
        <v>0</v>
      </c>
      <c r="AE658" s="9" t="str" cm="1">
        <f t="array" ref="AE658">IFERROR(_xlfn.XLOOKUP(H658,Sheet1!$G:$G,Sheet1!$F:$F),IFERROR(_xlfn.XLOOKUP(1,(--($X$2:$X$1074=X658))*(--ISNUMBER(MATCH($H$2:$H$1074,Sheet1!$G:$G,0))),_xlfn.XLOOKUP($H$2:$H$1074,Sheet1!$G:$G,Sheet1!$F:$F,"")),"NOT FOUND"))</f>
        <v>YETKRTSCUT5008</v>
      </c>
      <c r="AF658" s="10" t="str">
        <f t="shared" si="41"/>
        <v>RUST</v>
      </c>
      <c r="AG658" s="11" t="str">
        <f t="shared" si="42"/>
        <v>JHAJJAR</v>
      </c>
      <c r="AH658" s="9" t="str">
        <f>IF(OR(J658="",AE658="",AE658="NOT FOUND"),"",IF(Y658="RP",IFERROR(LEFT(_xlfn.XLOOKUP(AE658,Sheet1!$F:$F,Sheet1!$W:$W),FIND("-",_xlfn.XLOOKUP(AE658,Sheet1!$F:$F,Sheet1!$W:$W),FIND("-",_xlfn.XLOOKUP(AE658,Sheet1!$F:$F,Sheet1!$W:$W))+1))&amp;AE658,"NOT FOUND"),LEFT(J658,FIND("-",J658,FIND("-",J658)+1))&amp;AE658))</f>
        <v>KRTS-APSU26-YETKRTSCUT5008</v>
      </c>
    </row>
    <row r="659" spans="1:34" ht="15.75" customHeight="1" x14ac:dyDescent="0.2">
      <c r="A659" s="4" t="s">
        <v>59</v>
      </c>
      <c r="B659" s="4" t="s">
        <v>900</v>
      </c>
      <c r="C659" s="4" t="s">
        <v>880</v>
      </c>
      <c r="D659" s="4" t="s">
        <v>797</v>
      </c>
      <c r="E659" s="4" t="s">
        <v>34</v>
      </c>
      <c r="F659" s="4" t="s">
        <v>35</v>
      </c>
      <c r="G659" s="4" t="s">
        <v>884</v>
      </c>
      <c r="H659" s="4" t="s">
        <v>810</v>
      </c>
      <c r="I659" s="4" t="s">
        <v>811</v>
      </c>
      <c r="J659" s="4" t="s">
        <v>812</v>
      </c>
      <c r="L659" s="4" t="s">
        <v>40</v>
      </c>
      <c r="M659" s="4">
        <v>1</v>
      </c>
      <c r="N659" s="4">
        <v>284</v>
      </c>
      <c r="O659" s="4">
        <v>284</v>
      </c>
      <c r="P659" s="4" t="s">
        <v>41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X659" s="7" t="str">
        <f t="shared" si="30"/>
        <v>441857089</v>
      </c>
      <c r="Y659" s="8" t="str">
        <f t="shared" si="31"/>
        <v>DC</v>
      </c>
      <c r="Z659" s="8">
        <f t="shared" si="32"/>
        <v>284</v>
      </c>
      <c r="AA659" s="8">
        <f t="shared" si="33"/>
        <v>0</v>
      </c>
      <c r="AB659" s="8">
        <f t="shared" si="34"/>
        <v>0</v>
      </c>
      <c r="AC659" s="8">
        <f t="shared" si="35"/>
        <v>0</v>
      </c>
      <c r="AD659" s="8">
        <f t="shared" si="36"/>
        <v>0</v>
      </c>
      <c r="AE659" s="9" t="str" cm="1">
        <f t="array" ref="AE659">IFERROR(_xlfn.XLOOKUP(H659,Sheet1!$G:$G,Sheet1!$F:$F),IFERROR(_xlfn.XLOOKUP(1,(--($X$2:$X$1074=X659))*(--ISNUMBER(MATCH($H$2:$H$1074,Sheet1!$G:$G,0))),_xlfn.XLOOKUP($H$2:$H$1074,Sheet1!$G:$G,Sheet1!$F:$F,"")),"NOT FOUND"))</f>
        <v>YETKRTSCUT5008</v>
      </c>
      <c r="AF659" s="10" t="str">
        <f t="shared" si="41"/>
        <v>RUST</v>
      </c>
      <c r="AG659" s="11" t="str">
        <f t="shared" si="42"/>
        <v>JHAJJAR</v>
      </c>
      <c r="AH659" s="9" t="str">
        <f>IF(OR(J659="",AE659="",AE659="NOT FOUND"),"",IF(Y659="RP",IFERROR(LEFT(_xlfn.XLOOKUP(AE659,Sheet1!$F:$F,Sheet1!$W:$W),FIND("-",_xlfn.XLOOKUP(AE659,Sheet1!$F:$F,Sheet1!$W:$W),FIND("-",_xlfn.XLOOKUP(AE659,Sheet1!$F:$F,Sheet1!$W:$W))+1))&amp;AE659,"NOT FOUND"),LEFT(J659,FIND("-",J659,FIND("-",J659)+1))&amp;AE659))</f>
        <v>KRTS-APSU26-YETKRTSCUT5008</v>
      </c>
    </row>
    <row r="660" spans="1:34" ht="15.75" customHeight="1" x14ac:dyDescent="0.2">
      <c r="A660" s="4" t="s">
        <v>61</v>
      </c>
      <c r="B660" s="4" t="s">
        <v>901</v>
      </c>
      <c r="C660" s="4" t="s">
        <v>880</v>
      </c>
      <c r="D660" s="4" t="s">
        <v>579</v>
      </c>
      <c r="E660" s="4" t="s">
        <v>34</v>
      </c>
      <c r="F660" s="4" t="s">
        <v>35</v>
      </c>
      <c r="G660" s="4" t="s">
        <v>36</v>
      </c>
      <c r="H660" s="4" t="s">
        <v>890</v>
      </c>
      <c r="I660" s="4" t="s">
        <v>891</v>
      </c>
      <c r="J660" s="4" t="s">
        <v>892</v>
      </c>
      <c r="L660" s="4" t="s">
        <v>40</v>
      </c>
      <c r="M660" s="4">
        <v>1</v>
      </c>
      <c r="N660" s="4">
        <v>253</v>
      </c>
      <c r="O660" s="4">
        <v>253</v>
      </c>
      <c r="P660" s="4" t="s">
        <v>41</v>
      </c>
      <c r="Q660" s="4">
        <v>1221.5</v>
      </c>
      <c r="R660" s="4">
        <v>1221.5</v>
      </c>
      <c r="S660" s="4">
        <v>15451.98</v>
      </c>
      <c r="T660" s="4">
        <v>309039.5</v>
      </c>
      <c r="U660" s="4">
        <v>5</v>
      </c>
      <c r="V660" s="4" t="s">
        <v>42</v>
      </c>
      <c r="X660" s="7" t="str">
        <f t="shared" si="30"/>
        <v xml:space="preserve">441857089 </v>
      </c>
      <c r="Y660" s="8" t="str">
        <f t="shared" si="31"/>
        <v>RP</v>
      </c>
      <c r="Z660" s="8">
        <f t="shared" si="32"/>
        <v>253</v>
      </c>
      <c r="AA660" s="8">
        <f t="shared" si="33"/>
        <v>253</v>
      </c>
      <c r="AB660" s="8">
        <f t="shared" si="34"/>
        <v>253</v>
      </c>
      <c r="AC660" s="8">
        <f t="shared" si="35"/>
        <v>253</v>
      </c>
      <c r="AD660" s="8">
        <f t="shared" si="36"/>
        <v>253</v>
      </c>
      <c r="AE660" s="9" t="str" cm="1">
        <f t="array" ref="AE660">IFERROR(_xlfn.XLOOKUP(H660,Sheet1!$G:$G,Sheet1!$F:$F),IFERROR(_xlfn.XLOOKUP(1,(--($X$2:$X$1074=X660))*(--ISNUMBER(MATCH($H$2:$H$1074,Sheet1!$G:$G,0))),_xlfn.XLOOKUP($H$2:$H$1074,Sheet1!$G:$G,Sheet1!$F:$F,"")),"NOT FOUND"))</f>
        <v>YETKRTSCUT5008</v>
      </c>
      <c r="AF660" s="10" t="str">
        <f t="shared" si="41"/>
        <v>MUSTARD</v>
      </c>
      <c r="AG660" s="11" t="str">
        <f t="shared" si="42"/>
        <v>HARIPAL</v>
      </c>
      <c r="AH660" s="9" t="str">
        <f>IF(OR(J660="",AE660="",AE660="NOT FOUND"),"",IF(Y660="RP",IFERROR(LEFT(_xlfn.XLOOKUP(AE660,Sheet1!$F:$F,Sheet1!$W:$W),FIND("-",_xlfn.XLOOKUP(AE660,Sheet1!$F:$F,Sheet1!$W:$W),FIND("-",_xlfn.XLOOKUP(AE660,Sheet1!$F:$F,Sheet1!$W:$W))+1))&amp;AE660,"NOT FOUND"),LEFT(J660,FIND("-",J660,FIND("-",J660)+1))&amp;AE660))</f>
        <v>KRTS-APSU26-YETKRTSCUT5008</v>
      </c>
    </row>
    <row r="661" spans="1:34" ht="15.75" customHeight="1" x14ac:dyDescent="0.2">
      <c r="A661" s="4" t="s">
        <v>61</v>
      </c>
      <c r="B661" s="4" t="s">
        <v>902</v>
      </c>
      <c r="C661" s="4" t="s">
        <v>880</v>
      </c>
      <c r="D661" s="4" t="s">
        <v>579</v>
      </c>
      <c r="E661" s="4" t="s">
        <v>34</v>
      </c>
      <c r="F661" s="4" t="s">
        <v>35</v>
      </c>
      <c r="G661" s="4" t="s">
        <v>36</v>
      </c>
      <c r="H661" s="4" t="s">
        <v>894</v>
      </c>
      <c r="I661" s="4" t="s">
        <v>895</v>
      </c>
      <c r="J661" s="4" t="s">
        <v>896</v>
      </c>
      <c r="L661" s="4" t="s">
        <v>40</v>
      </c>
      <c r="M661" s="4">
        <v>1</v>
      </c>
      <c r="N661" s="4">
        <v>236</v>
      </c>
      <c r="O661" s="4">
        <v>236</v>
      </c>
      <c r="P661" s="4" t="s">
        <v>41</v>
      </c>
      <c r="Q661" s="4">
        <v>1221.5</v>
      </c>
      <c r="R661" s="4">
        <v>1221.5</v>
      </c>
      <c r="S661" s="4">
        <v>14413.7</v>
      </c>
      <c r="T661" s="4">
        <v>288274</v>
      </c>
      <c r="U661" s="4">
        <v>5</v>
      </c>
      <c r="V661" s="4" t="s">
        <v>42</v>
      </c>
      <c r="X661" s="7" t="str">
        <f t="shared" si="30"/>
        <v xml:space="preserve">441857089 </v>
      </c>
      <c r="Y661" s="8" t="str">
        <f t="shared" si="31"/>
        <v>RP</v>
      </c>
      <c r="Z661" s="8">
        <f t="shared" si="32"/>
        <v>236</v>
      </c>
      <c r="AA661" s="8">
        <f t="shared" si="33"/>
        <v>236</v>
      </c>
      <c r="AB661" s="8">
        <f t="shared" si="34"/>
        <v>236</v>
      </c>
      <c r="AC661" s="8">
        <f t="shared" si="35"/>
        <v>236</v>
      </c>
      <c r="AD661" s="8">
        <f t="shared" si="36"/>
        <v>236</v>
      </c>
      <c r="AE661" s="9" t="str" cm="1">
        <f t="array" ref="AE661">IFERROR(_xlfn.XLOOKUP(H661,Sheet1!$G:$G,Sheet1!$F:$F),IFERROR(_xlfn.XLOOKUP(1,(--($X$2:$X$1074=X661))*(--ISNUMBER(MATCH($H$2:$H$1074,Sheet1!$G:$G,0))),_xlfn.XLOOKUP($H$2:$H$1074,Sheet1!$G:$G,Sheet1!$F:$F,"")),"NOT FOUND"))</f>
        <v>YETKRTSCUT5008</v>
      </c>
      <c r="AF661" s="10" t="str">
        <f t="shared" si="41"/>
        <v>FUCHSIA</v>
      </c>
      <c r="AG661" s="11" t="str">
        <f t="shared" si="42"/>
        <v>HARIPAL</v>
      </c>
      <c r="AH661" s="9" t="str">
        <f>IF(OR(J661="",AE661="",AE661="NOT FOUND"),"",IF(Y661="RP",IFERROR(LEFT(_xlfn.XLOOKUP(AE661,Sheet1!$F:$F,Sheet1!$W:$W),FIND("-",_xlfn.XLOOKUP(AE661,Sheet1!$F:$F,Sheet1!$W:$W),FIND("-",_xlfn.XLOOKUP(AE661,Sheet1!$F:$F,Sheet1!$W:$W))+1))&amp;AE661,"NOT FOUND"),LEFT(J661,FIND("-",J661,FIND("-",J661)+1))&amp;AE661))</f>
        <v>KRTS-APSU26-YETKRTSCUT5008</v>
      </c>
    </row>
    <row r="662" spans="1:34" ht="15.75" customHeight="1" x14ac:dyDescent="0.2">
      <c r="A662" s="4" t="s">
        <v>61</v>
      </c>
      <c r="B662" s="4" t="s">
        <v>903</v>
      </c>
      <c r="C662" s="4" t="s">
        <v>880</v>
      </c>
      <c r="D662" s="4" t="s">
        <v>579</v>
      </c>
      <c r="E662" s="4" t="s">
        <v>34</v>
      </c>
      <c r="F662" s="4" t="s">
        <v>35</v>
      </c>
      <c r="G662" s="4" t="s">
        <v>36</v>
      </c>
      <c r="H662" s="4" t="s">
        <v>904</v>
      </c>
      <c r="I662" s="4" t="s">
        <v>905</v>
      </c>
      <c r="J662" s="4" t="s">
        <v>906</v>
      </c>
      <c r="L662" s="4" t="s">
        <v>40</v>
      </c>
      <c r="M662" s="4">
        <v>1</v>
      </c>
      <c r="N662" s="4">
        <v>236</v>
      </c>
      <c r="O662" s="4">
        <v>236</v>
      </c>
      <c r="P662" s="4" t="s">
        <v>41</v>
      </c>
      <c r="Q662" s="4">
        <v>1221.5</v>
      </c>
      <c r="R662" s="4">
        <v>1221.5</v>
      </c>
      <c r="S662" s="4">
        <v>14413.7</v>
      </c>
      <c r="T662" s="4">
        <v>288274</v>
      </c>
      <c r="U662" s="4">
        <v>5</v>
      </c>
      <c r="V662" s="4" t="s">
        <v>42</v>
      </c>
      <c r="X662" s="7" t="str">
        <f t="shared" si="30"/>
        <v xml:space="preserve">441857089 </v>
      </c>
      <c r="Y662" s="8" t="str">
        <f t="shared" si="31"/>
        <v>RP</v>
      </c>
      <c r="Z662" s="8">
        <f t="shared" si="32"/>
        <v>236</v>
      </c>
      <c r="AA662" s="8">
        <f t="shared" si="33"/>
        <v>236</v>
      </c>
      <c r="AB662" s="8">
        <f t="shared" si="34"/>
        <v>236</v>
      </c>
      <c r="AC662" s="8">
        <f t="shared" si="35"/>
        <v>236</v>
      </c>
      <c r="AD662" s="8">
        <f t="shared" si="36"/>
        <v>236</v>
      </c>
      <c r="AE662" s="9" t="str" cm="1">
        <f t="array" ref="AE662">IFERROR(_xlfn.XLOOKUP(H662,Sheet1!$G:$G,Sheet1!$F:$F),IFERROR(_xlfn.XLOOKUP(1,(--($X$2:$X$1074=X662))*(--ISNUMBER(MATCH($H$2:$H$1074,Sheet1!$G:$G,0))),_xlfn.XLOOKUP($H$2:$H$1074,Sheet1!$G:$G,Sheet1!$F:$F,"")),"NOT FOUND"))</f>
        <v>YETKRTSCUT5008</v>
      </c>
      <c r="AF662" s="10" t="str">
        <f t="shared" si="41"/>
        <v>SAGE GREEN</v>
      </c>
      <c r="AG662" s="11" t="str">
        <f t="shared" si="42"/>
        <v>HARIPAL</v>
      </c>
      <c r="AH662" s="9" t="str">
        <f>IF(OR(J662="",AE662="",AE662="NOT FOUND"),"",IF(Y662="RP",IFERROR(LEFT(_xlfn.XLOOKUP(AE662,Sheet1!$F:$F,Sheet1!$W:$W),FIND("-",_xlfn.XLOOKUP(AE662,Sheet1!$F:$F,Sheet1!$W:$W),FIND("-",_xlfn.XLOOKUP(AE662,Sheet1!$F:$F,Sheet1!$W:$W))+1))&amp;AE662,"NOT FOUND"),LEFT(J662,FIND("-",J662,FIND("-",J662)+1))&amp;AE662))</f>
        <v>KRTS-APSU26-YETKRTSCUT5008</v>
      </c>
    </row>
    <row r="663" spans="1:34" ht="15.75" customHeight="1" x14ac:dyDescent="0.2">
      <c r="A663" s="4" t="s">
        <v>61</v>
      </c>
      <c r="B663" s="4" t="s">
        <v>907</v>
      </c>
      <c r="C663" s="4" t="s">
        <v>880</v>
      </c>
      <c r="D663" s="4" t="s">
        <v>797</v>
      </c>
      <c r="E663" s="4" t="s">
        <v>34</v>
      </c>
      <c r="F663" s="4" t="s">
        <v>35</v>
      </c>
      <c r="G663" s="4" t="s">
        <v>36</v>
      </c>
      <c r="H663" s="4" t="s">
        <v>886</v>
      </c>
      <c r="I663" s="4" t="s">
        <v>887</v>
      </c>
      <c r="J663" s="4" t="s">
        <v>888</v>
      </c>
      <c r="L663" s="4" t="s">
        <v>40</v>
      </c>
      <c r="M663" s="4">
        <v>1</v>
      </c>
      <c r="N663" s="4">
        <v>269</v>
      </c>
      <c r="O663" s="4">
        <v>269</v>
      </c>
      <c r="P663" s="4" t="s">
        <v>41</v>
      </c>
      <c r="Q663" s="4">
        <v>1221.5</v>
      </c>
      <c r="R663" s="4">
        <v>1221.5</v>
      </c>
      <c r="S663" s="4">
        <v>16429.18</v>
      </c>
      <c r="T663" s="4">
        <v>328583.5</v>
      </c>
      <c r="U663" s="4">
        <v>5</v>
      </c>
      <c r="V663" s="4" t="s">
        <v>42</v>
      </c>
      <c r="X663" s="7" t="str">
        <f t="shared" si="30"/>
        <v xml:space="preserve">441857089 </v>
      </c>
      <c r="Y663" s="8" t="str">
        <f t="shared" si="31"/>
        <v>RP</v>
      </c>
      <c r="Z663" s="8">
        <f t="shared" si="32"/>
        <v>269</v>
      </c>
      <c r="AA663" s="8">
        <f t="shared" si="33"/>
        <v>269</v>
      </c>
      <c r="AB663" s="8">
        <f t="shared" si="34"/>
        <v>269</v>
      </c>
      <c r="AC663" s="8">
        <f t="shared" si="35"/>
        <v>269</v>
      </c>
      <c r="AD663" s="8">
        <f t="shared" si="36"/>
        <v>269</v>
      </c>
      <c r="AE663" s="9" t="str" cm="1">
        <f t="array" ref="AE663">IFERROR(_xlfn.XLOOKUP(H663,Sheet1!$G:$G,Sheet1!$F:$F),IFERROR(_xlfn.XLOOKUP(1,(--($X$2:$X$1074=X663))*(--ISNUMBER(MATCH($H$2:$H$1074,Sheet1!$G:$G,0))),_xlfn.XLOOKUP($H$2:$H$1074,Sheet1!$G:$G,Sheet1!$F:$F,"")),"NOT FOUND"))</f>
        <v>YETKRTSCUT5008</v>
      </c>
      <c r="AF663" s="10" t="str">
        <f t="shared" si="41"/>
        <v>OFF WHITE</v>
      </c>
      <c r="AG663" s="11" t="str">
        <f t="shared" si="42"/>
        <v>HARIPAL</v>
      </c>
      <c r="AH663" s="9" t="str">
        <f>IF(OR(J663="",AE663="",AE663="NOT FOUND"),"",IF(Y663="RP",IFERROR(LEFT(_xlfn.XLOOKUP(AE663,Sheet1!$F:$F,Sheet1!$W:$W),FIND("-",_xlfn.XLOOKUP(AE663,Sheet1!$F:$F,Sheet1!$W:$W),FIND("-",_xlfn.XLOOKUP(AE663,Sheet1!$F:$F,Sheet1!$W:$W))+1))&amp;AE663,"NOT FOUND"),LEFT(J663,FIND("-",J663,FIND("-",J663)+1))&amp;AE663))</f>
        <v>KRTS-APSU26-YETKRTSCUT5008</v>
      </c>
    </row>
    <row r="664" spans="1:34" ht="15.75" customHeight="1" x14ac:dyDescent="0.2">
      <c r="A664" s="4" t="s">
        <v>61</v>
      </c>
      <c r="B664" s="4" t="s">
        <v>907</v>
      </c>
      <c r="C664" s="4" t="s">
        <v>880</v>
      </c>
      <c r="D664" s="4" t="s">
        <v>797</v>
      </c>
      <c r="E664" s="4" t="s">
        <v>34</v>
      </c>
      <c r="F664" s="4" t="s">
        <v>35</v>
      </c>
      <c r="G664" s="4" t="s">
        <v>43</v>
      </c>
      <c r="H664" s="4" t="s">
        <v>814</v>
      </c>
      <c r="I664" s="4" t="s">
        <v>815</v>
      </c>
      <c r="J664" s="4" t="s">
        <v>816</v>
      </c>
      <c r="L664" s="4" t="s">
        <v>40</v>
      </c>
      <c r="M664" s="4">
        <v>1</v>
      </c>
      <c r="N664" s="4">
        <v>269</v>
      </c>
      <c r="O664" s="4">
        <v>269</v>
      </c>
      <c r="P664" s="4" t="s">
        <v>41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 t="s">
        <v>42</v>
      </c>
      <c r="X664" s="7" t="str">
        <f t="shared" si="30"/>
        <v>441857089</v>
      </c>
      <c r="Y664" s="8" t="str">
        <f t="shared" si="31"/>
        <v>DC</v>
      </c>
      <c r="Z664" s="8">
        <f t="shared" si="32"/>
        <v>0</v>
      </c>
      <c r="AA664" s="8">
        <f t="shared" si="33"/>
        <v>0</v>
      </c>
      <c r="AB664" s="8">
        <f t="shared" si="34"/>
        <v>0</v>
      </c>
      <c r="AC664" s="8">
        <f t="shared" si="35"/>
        <v>0</v>
      </c>
      <c r="AD664" s="8">
        <f t="shared" si="36"/>
        <v>269</v>
      </c>
      <c r="AE664" s="9" t="str" cm="1">
        <f t="array" ref="AE664">IFERROR(_xlfn.XLOOKUP(H664,Sheet1!$G:$G,Sheet1!$F:$F),IFERROR(_xlfn.XLOOKUP(1,(--($X$2:$X$1074=X664))*(--ISNUMBER(MATCH($H$2:$H$1074,Sheet1!$G:$G,0))),_xlfn.XLOOKUP($H$2:$H$1074,Sheet1!$G:$G,Sheet1!$F:$F,"")),"NOT FOUND"))</f>
        <v>YETKRTSCUT5008</v>
      </c>
      <c r="AF664" s="10" t="str">
        <f t="shared" si="41"/>
        <v>OFF WHITE</v>
      </c>
      <c r="AG664" s="11" t="str">
        <f t="shared" si="42"/>
        <v>HARIPAL</v>
      </c>
      <c r="AH664" s="9" t="str">
        <f>IF(OR(J664="",AE664="",AE664="NOT FOUND"),"",IF(Y664="RP",IFERROR(LEFT(_xlfn.XLOOKUP(AE664,Sheet1!$F:$F,Sheet1!$W:$W),FIND("-",_xlfn.XLOOKUP(AE664,Sheet1!$F:$F,Sheet1!$W:$W),FIND("-",_xlfn.XLOOKUP(AE664,Sheet1!$F:$F,Sheet1!$W:$W))+1))&amp;AE664,"NOT FOUND"),LEFT(J664,FIND("-",J664,FIND("-",J664)+1))&amp;AE664))</f>
        <v>KRTS-APSU26-YETKRTSCUT5008</v>
      </c>
    </row>
    <row r="665" spans="1:34" ht="15.75" customHeight="1" x14ac:dyDescent="0.2">
      <c r="A665" s="4" t="s">
        <v>61</v>
      </c>
      <c r="B665" s="4" t="s">
        <v>907</v>
      </c>
      <c r="C665" s="4" t="s">
        <v>880</v>
      </c>
      <c r="D665" s="4" t="s">
        <v>797</v>
      </c>
      <c r="E665" s="4" t="s">
        <v>34</v>
      </c>
      <c r="F665" s="4" t="s">
        <v>35</v>
      </c>
      <c r="G665" s="4" t="s">
        <v>47</v>
      </c>
      <c r="H665" s="4" t="s">
        <v>817</v>
      </c>
      <c r="I665" s="4" t="s">
        <v>818</v>
      </c>
      <c r="J665" s="4" t="s">
        <v>819</v>
      </c>
      <c r="L665" s="4" t="s">
        <v>40</v>
      </c>
      <c r="M665" s="4">
        <v>1</v>
      </c>
      <c r="N665" s="4">
        <v>269</v>
      </c>
      <c r="O665" s="4">
        <v>269</v>
      </c>
      <c r="P665" s="4" t="s">
        <v>41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 t="s">
        <v>42</v>
      </c>
      <c r="X665" s="7" t="str">
        <f t="shared" si="30"/>
        <v>441857089</v>
      </c>
      <c r="Y665" s="8" t="str">
        <f t="shared" si="31"/>
        <v>DC</v>
      </c>
      <c r="Z665" s="8">
        <f t="shared" si="32"/>
        <v>0</v>
      </c>
      <c r="AA665" s="8">
        <f t="shared" si="33"/>
        <v>0</v>
      </c>
      <c r="AB665" s="8">
        <f t="shared" si="34"/>
        <v>0</v>
      </c>
      <c r="AC665" s="8">
        <f t="shared" si="35"/>
        <v>269</v>
      </c>
      <c r="AD665" s="8">
        <f t="shared" si="36"/>
        <v>0</v>
      </c>
      <c r="AE665" s="9" t="str" cm="1">
        <f t="array" ref="AE665">IFERROR(_xlfn.XLOOKUP(H665,Sheet1!$G:$G,Sheet1!$F:$F),IFERROR(_xlfn.XLOOKUP(1,(--($X$2:$X$1074=X665))*(--ISNUMBER(MATCH($H$2:$H$1074,Sheet1!$G:$G,0))),_xlfn.XLOOKUP($H$2:$H$1074,Sheet1!$G:$G,Sheet1!$F:$F,"")),"NOT FOUND"))</f>
        <v>YETKRTSCUT5008</v>
      </c>
      <c r="AF665" s="10" t="str">
        <f t="shared" si="41"/>
        <v>OFF WHITE</v>
      </c>
      <c r="AG665" s="11" t="str">
        <f t="shared" si="42"/>
        <v>HARIPAL</v>
      </c>
      <c r="AH665" s="9" t="str">
        <f>IF(OR(J665="",AE665="",AE665="NOT FOUND"),"",IF(Y665="RP",IFERROR(LEFT(_xlfn.XLOOKUP(AE665,Sheet1!$F:$F,Sheet1!$W:$W),FIND("-",_xlfn.XLOOKUP(AE665,Sheet1!$F:$F,Sheet1!$W:$W),FIND("-",_xlfn.XLOOKUP(AE665,Sheet1!$F:$F,Sheet1!$W:$W))+1))&amp;AE665,"NOT FOUND"),LEFT(J665,FIND("-",J665,FIND("-",J665)+1))&amp;AE665))</f>
        <v>KRTS-APSU26-YETKRTSCUT5008</v>
      </c>
    </row>
    <row r="666" spans="1:34" ht="15.75" customHeight="1" x14ac:dyDescent="0.2">
      <c r="A666" s="4" t="s">
        <v>61</v>
      </c>
      <c r="B666" s="4" t="s">
        <v>907</v>
      </c>
      <c r="C666" s="4" t="s">
        <v>880</v>
      </c>
      <c r="D666" s="4" t="s">
        <v>797</v>
      </c>
      <c r="E666" s="4" t="s">
        <v>34</v>
      </c>
      <c r="F666" s="4" t="s">
        <v>35</v>
      </c>
      <c r="G666" s="4" t="s">
        <v>51</v>
      </c>
      <c r="H666" s="4" t="s">
        <v>820</v>
      </c>
      <c r="I666" s="4" t="s">
        <v>821</v>
      </c>
      <c r="J666" s="4" t="s">
        <v>822</v>
      </c>
      <c r="L666" s="4" t="s">
        <v>40</v>
      </c>
      <c r="M666" s="4">
        <v>1</v>
      </c>
      <c r="N666" s="4">
        <v>269</v>
      </c>
      <c r="O666" s="4">
        <v>269</v>
      </c>
      <c r="P666" s="4" t="s">
        <v>41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 t="s">
        <v>42</v>
      </c>
      <c r="X666" s="7" t="str">
        <f t="shared" si="30"/>
        <v>441857089</v>
      </c>
      <c r="Y666" s="8" t="str">
        <f t="shared" si="31"/>
        <v>DC</v>
      </c>
      <c r="Z666" s="8">
        <f t="shared" si="32"/>
        <v>0</v>
      </c>
      <c r="AA666" s="8">
        <f t="shared" si="33"/>
        <v>0</v>
      </c>
      <c r="AB666" s="8">
        <f t="shared" si="34"/>
        <v>269</v>
      </c>
      <c r="AC666" s="8">
        <f t="shared" si="35"/>
        <v>0</v>
      </c>
      <c r="AD666" s="8">
        <f t="shared" si="36"/>
        <v>0</v>
      </c>
      <c r="AE666" s="9" t="str" cm="1">
        <f t="array" ref="AE666">IFERROR(_xlfn.XLOOKUP(H666,Sheet1!$G:$G,Sheet1!$F:$F),IFERROR(_xlfn.XLOOKUP(1,(--($X$2:$X$1074=X666))*(--ISNUMBER(MATCH($H$2:$H$1074,Sheet1!$G:$G,0))),_xlfn.XLOOKUP($H$2:$H$1074,Sheet1!$G:$G,Sheet1!$F:$F,"")),"NOT FOUND"))</f>
        <v>YETKRTSCUT5008</v>
      </c>
      <c r="AF666" s="10" t="str">
        <f t="shared" si="41"/>
        <v>OFF WHITE</v>
      </c>
      <c r="AG666" s="11" t="str">
        <f t="shared" si="42"/>
        <v>HARIPAL</v>
      </c>
      <c r="AH666" s="9" t="str">
        <f>IF(OR(J666="",AE666="",AE666="NOT FOUND"),"",IF(Y666="RP",IFERROR(LEFT(_xlfn.XLOOKUP(AE666,Sheet1!$F:$F,Sheet1!$W:$W),FIND("-",_xlfn.XLOOKUP(AE666,Sheet1!$F:$F,Sheet1!$W:$W),FIND("-",_xlfn.XLOOKUP(AE666,Sheet1!$F:$F,Sheet1!$W:$W))+1))&amp;AE666,"NOT FOUND"),LEFT(J666,FIND("-",J666,FIND("-",J666)+1))&amp;AE666))</f>
        <v>KRTS-APSU26-YETKRTSCUT5008</v>
      </c>
    </row>
    <row r="667" spans="1:34" ht="15.75" customHeight="1" x14ac:dyDescent="0.2">
      <c r="A667" s="4" t="s">
        <v>61</v>
      </c>
      <c r="B667" s="4" t="s">
        <v>907</v>
      </c>
      <c r="C667" s="4" t="s">
        <v>880</v>
      </c>
      <c r="D667" s="4" t="s">
        <v>797</v>
      </c>
      <c r="E667" s="4" t="s">
        <v>34</v>
      </c>
      <c r="F667" s="4" t="s">
        <v>35</v>
      </c>
      <c r="G667" s="4" t="s">
        <v>55</v>
      </c>
      <c r="H667" s="4" t="s">
        <v>823</v>
      </c>
      <c r="I667" s="4" t="s">
        <v>824</v>
      </c>
      <c r="J667" s="4" t="s">
        <v>825</v>
      </c>
      <c r="L667" s="4" t="s">
        <v>40</v>
      </c>
      <c r="M667" s="4">
        <v>1</v>
      </c>
      <c r="N667" s="4">
        <v>269</v>
      </c>
      <c r="O667" s="4">
        <v>269</v>
      </c>
      <c r="P667" s="4" t="s">
        <v>41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 t="s">
        <v>42</v>
      </c>
      <c r="X667" s="7" t="str">
        <f t="shared" si="30"/>
        <v>441857089</v>
      </c>
      <c r="Y667" s="8" t="str">
        <f t="shared" si="31"/>
        <v>DC</v>
      </c>
      <c r="Z667" s="8">
        <f t="shared" si="32"/>
        <v>0</v>
      </c>
      <c r="AA667" s="8">
        <f t="shared" si="33"/>
        <v>269</v>
      </c>
      <c r="AB667" s="8">
        <f t="shared" si="34"/>
        <v>0</v>
      </c>
      <c r="AC667" s="8">
        <f t="shared" si="35"/>
        <v>0</v>
      </c>
      <c r="AD667" s="8">
        <f t="shared" si="36"/>
        <v>0</v>
      </c>
      <c r="AE667" s="9" t="str" cm="1">
        <f t="array" ref="AE667">IFERROR(_xlfn.XLOOKUP(H667,Sheet1!$G:$G,Sheet1!$F:$F),IFERROR(_xlfn.XLOOKUP(1,(--($X$2:$X$1074=X667))*(--ISNUMBER(MATCH($H$2:$H$1074,Sheet1!$G:$G,0))),_xlfn.XLOOKUP($H$2:$H$1074,Sheet1!$G:$G,Sheet1!$F:$F,"")),"NOT FOUND"))</f>
        <v>YETKRTSCUT5008</v>
      </c>
      <c r="AF667" s="10" t="str">
        <f t="shared" si="41"/>
        <v>OFF WHITE</v>
      </c>
      <c r="AG667" s="11" t="str">
        <f t="shared" si="42"/>
        <v>HARIPAL</v>
      </c>
      <c r="AH667" s="9" t="str">
        <f>IF(OR(J667="",AE667="",AE667="NOT FOUND"),"",IF(Y667="RP",IFERROR(LEFT(_xlfn.XLOOKUP(AE667,Sheet1!$F:$F,Sheet1!$W:$W),FIND("-",_xlfn.XLOOKUP(AE667,Sheet1!$F:$F,Sheet1!$W:$W),FIND("-",_xlfn.XLOOKUP(AE667,Sheet1!$F:$F,Sheet1!$W:$W))+1))&amp;AE667,"NOT FOUND"),LEFT(J667,FIND("-",J667,FIND("-",J667)+1))&amp;AE667))</f>
        <v>KRTS-APSU26-YETKRTSCUT5008</v>
      </c>
    </row>
    <row r="668" spans="1:34" ht="15.75" customHeight="1" x14ac:dyDescent="0.2">
      <c r="A668" s="4" t="s">
        <v>61</v>
      </c>
      <c r="B668" s="4" t="s">
        <v>907</v>
      </c>
      <c r="C668" s="4" t="s">
        <v>880</v>
      </c>
      <c r="D668" s="4" t="s">
        <v>797</v>
      </c>
      <c r="E668" s="4" t="s">
        <v>34</v>
      </c>
      <c r="F668" s="4" t="s">
        <v>35</v>
      </c>
      <c r="G668" s="4" t="s">
        <v>884</v>
      </c>
      <c r="H668" s="4" t="s">
        <v>826</v>
      </c>
      <c r="I668" s="4" t="s">
        <v>827</v>
      </c>
      <c r="J668" s="4" t="s">
        <v>828</v>
      </c>
      <c r="L668" s="4" t="s">
        <v>40</v>
      </c>
      <c r="M668" s="4">
        <v>1</v>
      </c>
      <c r="N668" s="4">
        <v>269</v>
      </c>
      <c r="O668" s="4">
        <v>269</v>
      </c>
      <c r="P668" s="4" t="s">
        <v>41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X668" s="7" t="str">
        <f t="shared" si="30"/>
        <v>441857089</v>
      </c>
      <c r="Y668" s="8" t="str">
        <f t="shared" si="31"/>
        <v>DC</v>
      </c>
      <c r="Z668" s="8">
        <f t="shared" si="32"/>
        <v>269</v>
      </c>
      <c r="AA668" s="8">
        <f t="shared" si="33"/>
        <v>0</v>
      </c>
      <c r="AB668" s="8">
        <f t="shared" si="34"/>
        <v>0</v>
      </c>
      <c r="AC668" s="8">
        <f t="shared" si="35"/>
        <v>0</v>
      </c>
      <c r="AD668" s="8">
        <f t="shared" si="36"/>
        <v>0</v>
      </c>
      <c r="AE668" s="9" t="str" cm="1">
        <f t="array" ref="AE668">IFERROR(_xlfn.XLOOKUP(H668,Sheet1!$G:$G,Sheet1!$F:$F),IFERROR(_xlfn.XLOOKUP(1,(--($X$2:$X$1074=X668))*(--ISNUMBER(MATCH($H$2:$H$1074,Sheet1!$G:$G,0))),_xlfn.XLOOKUP($H$2:$H$1074,Sheet1!$G:$G,Sheet1!$F:$F,"")),"NOT FOUND"))</f>
        <v>YETKRTSCUT5008</v>
      </c>
      <c r="AF668" s="10" t="str">
        <f t="shared" si="41"/>
        <v>OFF WHITE</v>
      </c>
      <c r="AG668" s="11" t="str">
        <f t="shared" si="42"/>
        <v>HARIPAL</v>
      </c>
      <c r="AH668" s="9" t="str">
        <f>IF(OR(J668="",AE668="",AE668="NOT FOUND"),"",IF(Y668="RP",IFERROR(LEFT(_xlfn.XLOOKUP(AE668,Sheet1!$F:$F,Sheet1!$W:$W),FIND("-",_xlfn.XLOOKUP(AE668,Sheet1!$F:$F,Sheet1!$W:$W),FIND("-",_xlfn.XLOOKUP(AE668,Sheet1!$F:$F,Sheet1!$W:$W))+1))&amp;AE668,"NOT FOUND"),LEFT(J668,FIND("-",J668,FIND("-",J668)+1))&amp;AE668))</f>
        <v>KRTS-APSU26-YETKRTSCUT5008</v>
      </c>
    </row>
    <row r="669" spans="1:34" ht="15.75" customHeight="1" x14ac:dyDescent="0.2">
      <c r="A669" s="4" t="s">
        <v>61</v>
      </c>
      <c r="B669" s="4" t="s">
        <v>908</v>
      </c>
      <c r="C669" s="4" t="s">
        <v>880</v>
      </c>
      <c r="D669" s="4" t="s">
        <v>797</v>
      </c>
      <c r="E669" s="4" t="s">
        <v>34</v>
      </c>
      <c r="F669" s="4" t="s">
        <v>35</v>
      </c>
      <c r="G669" s="4" t="s">
        <v>36</v>
      </c>
      <c r="H669" s="4" t="s">
        <v>881</v>
      </c>
      <c r="I669" s="4" t="s">
        <v>882</v>
      </c>
      <c r="J669" s="4" t="s">
        <v>883</v>
      </c>
      <c r="L669" s="4" t="s">
        <v>40</v>
      </c>
      <c r="M669" s="4">
        <v>1</v>
      </c>
      <c r="N669" s="4">
        <v>269</v>
      </c>
      <c r="O669" s="4">
        <v>269</v>
      </c>
      <c r="P669" s="4" t="s">
        <v>41</v>
      </c>
      <c r="Q669" s="4">
        <v>1221.5</v>
      </c>
      <c r="R669" s="4">
        <v>1221.5</v>
      </c>
      <c r="S669" s="4">
        <v>16429.18</v>
      </c>
      <c r="T669" s="4">
        <v>328583.5</v>
      </c>
      <c r="U669" s="4">
        <v>5</v>
      </c>
      <c r="V669" s="4" t="s">
        <v>42</v>
      </c>
      <c r="X669" s="7" t="str">
        <f t="shared" si="30"/>
        <v xml:space="preserve">441857089 </v>
      </c>
      <c r="Y669" s="8" t="str">
        <f t="shared" si="31"/>
        <v>RP</v>
      </c>
      <c r="Z669" s="8">
        <f t="shared" si="32"/>
        <v>269</v>
      </c>
      <c r="AA669" s="8">
        <f t="shared" si="33"/>
        <v>269</v>
      </c>
      <c r="AB669" s="8">
        <f t="shared" si="34"/>
        <v>269</v>
      </c>
      <c r="AC669" s="8">
        <f t="shared" si="35"/>
        <v>269</v>
      </c>
      <c r="AD669" s="8">
        <f t="shared" si="36"/>
        <v>269</v>
      </c>
      <c r="AE669" s="9" t="str" cm="1">
        <f t="array" ref="AE669">IFERROR(_xlfn.XLOOKUP(H669,Sheet1!$G:$G,Sheet1!$F:$F),IFERROR(_xlfn.XLOOKUP(1,(--($X$2:$X$1074=X669))*(--ISNUMBER(MATCH($H$2:$H$1074,Sheet1!$G:$G,0))),_xlfn.XLOOKUP($H$2:$H$1074,Sheet1!$G:$G,Sheet1!$F:$F,"")),"NOT FOUND"))</f>
        <v>YETKRTSCUT5008</v>
      </c>
      <c r="AF669" s="10" t="str">
        <f t="shared" si="41"/>
        <v>RUST</v>
      </c>
      <c r="AG669" s="11" t="str">
        <f t="shared" si="42"/>
        <v>HARIPAL</v>
      </c>
      <c r="AH669" s="9" t="str">
        <f>IF(OR(J669="",AE669="",AE669="NOT FOUND"),"",IF(Y669="RP",IFERROR(LEFT(_xlfn.XLOOKUP(AE669,Sheet1!$F:$F,Sheet1!$W:$W),FIND("-",_xlfn.XLOOKUP(AE669,Sheet1!$F:$F,Sheet1!$W:$W),FIND("-",_xlfn.XLOOKUP(AE669,Sheet1!$F:$F,Sheet1!$W:$W))+1))&amp;AE669,"NOT FOUND"),LEFT(J669,FIND("-",J669,FIND("-",J669)+1))&amp;AE669))</f>
        <v>KRTS-APSU26-YETKRTSCUT5008</v>
      </c>
    </row>
    <row r="670" spans="1:34" ht="15.75" customHeight="1" x14ac:dyDescent="0.2">
      <c r="A670" s="4" t="s">
        <v>61</v>
      </c>
      <c r="B670" s="4" t="s">
        <v>908</v>
      </c>
      <c r="C670" s="4" t="s">
        <v>880</v>
      </c>
      <c r="D670" s="4" t="s">
        <v>797</v>
      </c>
      <c r="E670" s="4" t="s">
        <v>34</v>
      </c>
      <c r="F670" s="4" t="s">
        <v>35</v>
      </c>
      <c r="G670" s="4" t="s">
        <v>43</v>
      </c>
      <c r="H670" s="4" t="s">
        <v>798</v>
      </c>
      <c r="I670" s="4" t="s">
        <v>799</v>
      </c>
      <c r="J670" s="4" t="s">
        <v>800</v>
      </c>
      <c r="L670" s="4" t="s">
        <v>40</v>
      </c>
      <c r="M670" s="4">
        <v>1</v>
      </c>
      <c r="N670" s="4">
        <v>269</v>
      </c>
      <c r="O670" s="4">
        <v>269</v>
      </c>
      <c r="P670" s="4" t="s">
        <v>41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 t="s">
        <v>42</v>
      </c>
      <c r="X670" s="7" t="str">
        <f t="shared" si="30"/>
        <v>441857089</v>
      </c>
      <c r="Y670" s="8" t="str">
        <f t="shared" si="31"/>
        <v>DC</v>
      </c>
      <c r="Z670" s="8">
        <f t="shared" si="32"/>
        <v>0</v>
      </c>
      <c r="AA670" s="8">
        <f t="shared" si="33"/>
        <v>0</v>
      </c>
      <c r="AB670" s="8">
        <f t="shared" si="34"/>
        <v>0</v>
      </c>
      <c r="AC670" s="8">
        <f t="shared" si="35"/>
        <v>0</v>
      </c>
      <c r="AD670" s="8">
        <f t="shared" si="36"/>
        <v>269</v>
      </c>
      <c r="AE670" s="9" t="str" cm="1">
        <f t="array" ref="AE670">IFERROR(_xlfn.XLOOKUP(H670,Sheet1!$G:$G,Sheet1!$F:$F),IFERROR(_xlfn.XLOOKUP(1,(--($X$2:$X$1074=X670))*(--ISNUMBER(MATCH($H$2:$H$1074,Sheet1!$G:$G,0))),_xlfn.XLOOKUP($H$2:$H$1074,Sheet1!$G:$G,Sheet1!$F:$F,"")),"NOT FOUND"))</f>
        <v>YETKRTSCUT5008</v>
      </c>
      <c r="AF670" s="10" t="str">
        <f t="shared" si="41"/>
        <v>RUST</v>
      </c>
      <c r="AG670" s="11" t="str">
        <f t="shared" si="42"/>
        <v>HARIPAL</v>
      </c>
      <c r="AH670" s="9" t="str">
        <f>IF(OR(J670="",AE670="",AE670="NOT FOUND"),"",IF(Y670="RP",IFERROR(LEFT(_xlfn.XLOOKUP(AE670,Sheet1!$F:$F,Sheet1!$W:$W),FIND("-",_xlfn.XLOOKUP(AE670,Sheet1!$F:$F,Sheet1!$W:$W),FIND("-",_xlfn.XLOOKUP(AE670,Sheet1!$F:$F,Sheet1!$W:$W))+1))&amp;AE670,"NOT FOUND"),LEFT(J670,FIND("-",J670,FIND("-",J670)+1))&amp;AE670))</f>
        <v>KRTS-APSU26-YETKRTSCUT5008</v>
      </c>
    </row>
    <row r="671" spans="1:34" ht="15.75" customHeight="1" x14ac:dyDescent="0.2">
      <c r="A671" s="4" t="s">
        <v>61</v>
      </c>
      <c r="B671" s="4" t="s">
        <v>908</v>
      </c>
      <c r="C671" s="4" t="s">
        <v>880</v>
      </c>
      <c r="D671" s="4" t="s">
        <v>797</v>
      </c>
      <c r="E671" s="4" t="s">
        <v>34</v>
      </c>
      <c r="F671" s="4" t="s">
        <v>35</v>
      </c>
      <c r="G671" s="4" t="s">
        <v>47</v>
      </c>
      <c r="H671" s="4" t="s">
        <v>801</v>
      </c>
      <c r="I671" s="4" t="s">
        <v>802</v>
      </c>
      <c r="J671" s="4" t="s">
        <v>803</v>
      </c>
      <c r="L671" s="4" t="s">
        <v>40</v>
      </c>
      <c r="M671" s="4">
        <v>1</v>
      </c>
      <c r="N671" s="4">
        <v>269</v>
      </c>
      <c r="O671" s="4">
        <v>269</v>
      </c>
      <c r="P671" s="4" t="s">
        <v>41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 t="s">
        <v>42</v>
      </c>
      <c r="X671" s="7" t="str">
        <f t="shared" si="30"/>
        <v>441857089</v>
      </c>
      <c r="Y671" s="8" t="str">
        <f t="shared" si="31"/>
        <v>DC</v>
      </c>
      <c r="Z671" s="8">
        <f t="shared" si="32"/>
        <v>0</v>
      </c>
      <c r="AA671" s="8">
        <f t="shared" si="33"/>
        <v>0</v>
      </c>
      <c r="AB671" s="8">
        <f t="shared" si="34"/>
        <v>0</v>
      </c>
      <c r="AC671" s="8">
        <f t="shared" si="35"/>
        <v>269</v>
      </c>
      <c r="AD671" s="8">
        <f t="shared" si="36"/>
        <v>0</v>
      </c>
      <c r="AE671" s="9" t="str" cm="1">
        <f t="array" ref="AE671">IFERROR(_xlfn.XLOOKUP(H671,Sheet1!$G:$G,Sheet1!$F:$F),IFERROR(_xlfn.XLOOKUP(1,(--($X$2:$X$1074=X671))*(--ISNUMBER(MATCH($H$2:$H$1074,Sheet1!$G:$G,0))),_xlfn.XLOOKUP($H$2:$H$1074,Sheet1!$G:$G,Sheet1!$F:$F,"")),"NOT FOUND"))</f>
        <v>YETKRTSCUT5008</v>
      </c>
      <c r="AF671" s="10" t="str">
        <f t="shared" si="41"/>
        <v>RUST</v>
      </c>
      <c r="AG671" s="11" t="str">
        <f t="shared" si="42"/>
        <v>HARIPAL</v>
      </c>
      <c r="AH671" s="9" t="str">
        <f>IF(OR(J671="",AE671="",AE671="NOT FOUND"),"",IF(Y671="RP",IFERROR(LEFT(_xlfn.XLOOKUP(AE671,Sheet1!$F:$F,Sheet1!$W:$W),FIND("-",_xlfn.XLOOKUP(AE671,Sheet1!$F:$F,Sheet1!$W:$W),FIND("-",_xlfn.XLOOKUP(AE671,Sheet1!$F:$F,Sheet1!$W:$W))+1))&amp;AE671,"NOT FOUND"),LEFT(J671,FIND("-",J671,FIND("-",J671)+1))&amp;AE671))</f>
        <v>KRTS-APSU26-YETKRTSCUT5008</v>
      </c>
    </row>
    <row r="672" spans="1:34" ht="15.75" customHeight="1" x14ac:dyDescent="0.2">
      <c r="A672" s="4" t="s">
        <v>61</v>
      </c>
      <c r="B672" s="4" t="s">
        <v>908</v>
      </c>
      <c r="C672" s="4" t="s">
        <v>880</v>
      </c>
      <c r="D672" s="4" t="s">
        <v>797</v>
      </c>
      <c r="E672" s="4" t="s">
        <v>34</v>
      </c>
      <c r="F672" s="4" t="s">
        <v>35</v>
      </c>
      <c r="G672" s="4" t="s">
        <v>51</v>
      </c>
      <c r="H672" s="4" t="s">
        <v>804</v>
      </c>
      <c r="I672" s="4" t="s">
        <v>805</v>
      </c>
      <c r="J672" s="4" t="s">
        <v>806</v>
      </c>
      <c r="L672" s="4" t="s">
        <v>40</v>
      </c>
      <c r="M672" s="4">
        <v>1</v>
      </c>
      <c r="N672" s="4">
        <v>269</v>
      </c>
      <c r="O672" s="4">
        <v>269</v>
      </c>
      <c r="P672" s="4" t="s">
        <v>41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 t="s">
        <v>42</v>
      </c>
      <c r="X672" s="7" t="str">
        <f t="shared" si="30"/>
        <v>441857089</v>
      </c>
      <c r="Y672" s="8" t="str">
        <f t="shared" si="31"/>
        <v>DC</v>
      </c>
      <c r="Z672" s="8">
        <f t="shared" si="32"/>
        <v>0</v>
      </c>
      <c r="AA672" s="8">
        <f t="shared" si="33"/>
        <v>0</v>
      </c>
      <c r="AB672" s="8">
        <f t="shared" si="34"/>
        <v>269</v>
      </c>
      <c r="AC672" s="8">
        <f t="shared" si="35"/>
        <v>0</v>
      </c>
      <c r="AD672" s="8">
        <f t="shared" si="36"/>
        <v>0</v>
      </c>
      <c r="AE672" s="9" t="str" cm="1">
        <f t="array" ref="AE672">IFERROR(_xlfn.XLOOKUP(H672,Sheet1!$G:$G,Sheet1!$F:$F),IFERROR(_xlfn.XLOOKUP(1,(--($X$2:$X$1074=X672))*(--ISNUMBER(MATCH($H$2:$H$1074,Sheet1!$G:$G,0))),_xlfn.XLOOKUP($H$2:$H$1074,Sheet1!$G:$G,Sheet1!$F:$F,"")),"NOT FOUND"))</f>
        <v>YETKRTSCUT5008</v>
      </c>
      <c r="AF672" s="10" t="str">
        <f t="shared" si="41"/>
        <v>RUST</v>
      </c>
      <c r="AG672" s="11" t="str">
        <f t="shared" si="42"/>
        <v>HARIPAL</v>
      </c>
      <c r="AH672" s="9" t="str">
        <f>IF(OR(J672="",AE672="",AE672="NOT FOUND"),"",IF(Y672="RP",IFERROR(LEFT(_xlfn.XLOOKUP(AE672,Sheet1!$F:$F,Sheet1!$W:$W),FIND("-",_xlfn.XLOOKUP(AE672,Sheet1!$F:$F,Sheet1!$W:$W),FIND("-",_xlfn.XLOOKUP(AE672,Sheet1!$F:$F,Sheet1!$W:$W))+1))&amp;AE672,"NOT FOUND"),LEFT(J672,FIND("-",J672,FIND("-",J672)+1))&amp;AE672))</f>
        <v>KRTS-APSU26-YETKRTSCUT5008</v>
      </c>
    </row>
    <row r="673" spans="1:34" ht="15.75" customHeight="1" x14ac:dyDescent="0.2">
      <c r="A673" s="4" t="s">
        <v>61</v>
      </c>
      <c r="B673" s="4" t="s">
        <v>908</v>
      </c>
      <c r="C673" s="4" t="s">
        <v>880</v>
      </c>
      <c r="D673" s="4" t="s">
        <v>797</v>
      </c>
      <c r="E673" s="4" t="s">
        <v>34</v>
      </c>
      <c r="F673" s="4" t="s">
        <v>35</v>
      </c>
      <c r="G673" s="4" t="s">
        <v>55</v>
      </c>
      <c r="H673" s="4" t="s">
        <v>807</v>
      </c>
      <c r="I673" s="4" t="s">
        <v>808</v>
      </c>
      <c r="J673" s="4" t="s">
        <v>809</v>
      </c>
      <c r="L673" s="4" t="s">
        <v>40</v>
      </c>
      <c r="M673" s="4">
        <v>1</v>
      </c>
      <c r="N673" s="4">
        <v>269</v>
      </c>
      <c r="O673" s="4">
        <v>269</v>
      </c>
      <c r="P673" s="4" t="s">
        <v>41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 t="s">
        <v>42</v>
      </c>
      <c r="X673" s="7" t="str">
        <f t="shared" si="30"/>
        <v>441857089</v>
      </c>
      <c r="Y673" s="8" t="str">
        <f t="shared" si="31"/>
        <v>DC</v>
      </c>
      <c r="Z673" s="8">
        <f t="shared" si="32"/>
        <v>0</v>
      </c>
      <c r="AA673" s="8">
        <f t="shared" si="33"/>
        <v>269</v>
      </c>
      <c r="AB673" s="8">
        <f t="shared" si="34"/>
        <v>0</v>
      </c>
      <c r="AC673" s="8">
        <f t="shared" si="35"/>
        <v>0</v>
      </c>
      <c r="AD673" s="8">
        <f t="shared" si="36"/>
        <v>0</v>
      </c>
      <c r="AE673" s="9" t="str" cm="1">
        <f t="array" ref="AE673">IFERROR(_xlfn.XLOOKUP(H673,Sheet1!$G:$G,Sheet1!$F:$F),IFERROR(_xlfn.XLOOKUP(1,(--($X$2:$X$1074=X673))*(--ISNUMBER(MATCH($H$2:$H$1074,Sheet1!$G:$G,0))),_xlfn.XLOOKUP($H$2:$H$1074,Sheet1!$G:$G,Sheet1!$F:$F,"")),"NOT FOUND"))</f>
        <v>YETKRTSCUT5008</v>
      </c>
      <c r="AF673" s="10" t="str">
        <f t="shared" si="41"/>
        <v>RUST</v>
      </c>
      <c r="AG673" s="11" t="str">
        <f t="shared" si="42"/>
        <v>HARIPAL</v>
      </c>
      <c r="AH673" s="9" t="str">
        <f>IF(OR(J673="",AE673="",AE673="NOT FOUND"),"",IF(Y673="RP",IFERROR(LEFT(_xlfn.XLOOKUP(AE673,Sheet1!$F:$F,Sheet1!$W:$W),FIND("-",_xlfn.XLOOKUP(AE673,Sheet1!$F:$F,Sheet1!$W:$W),FIND("-",_xlfn.XLOOKUP(AE673,Sheet1!$F:$F,Sheet1!$W:$W))+1))&amp;AE673,"NOT FOUND"),LEFT(J673,FIND("-",J673,FIND("-",J673)+1))&amp;AE673))</f>
        <v>KRTS-APSU26-YETKRTSCUT5008</v>
      </c>
    </row>
    <row r="674" spans="1:34" ht="15.75" customHeight="1" x14ac:dyDescent="0.2">
      <c r="A674" s="4" t="s">
        <v>61</v>
      </c>
      <c r="B674" s="4" t="s">
        <v>908</v>
      </c>
      <c r="C674" s="4" t="s">
        <v>880</v>
      </c>
      <c r="D674" s="4" t="s">
        <v>797</v>
      </c>
      <c r="E674" s="4" t="s">
        <v>34</v>
      </c>
      <c r="F674" s="4" t="s">
        <v>35</v>
      </c>
      <c r="G674" s="4" t="s">
        <v>884</v>
      </c>
      <c r="H674" s="4" t="s">
        <v>810</v>
      </c>
      <c r="I674" s="4" t="s">
        <v>811</v>
      </c>
      <c r="J674" s="4" t="s">
        <v>812</v>
      </c>
      <c r="L674" s="4" t="s">
        <v>40</v>
      </c>
      <c r="M674" s="4">
        <v>1</v>
      </c>
      <c r="N674" s="4">
        <v>269</v>
      </c>
      <c r="O674" s="4">
        <v>269</v>
      </c>
      <c r="P674" s="4" t="s">
        <v>41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X674" s="7" t="str">
        <f t="shared" si="30"/>
        <v>441857089</v>
      </c>
      <c r="Y674" s="8" t="str">
        <f t="shared" si="31"/>
        <v>DC</v>
      </c>
      <c r="Z674" s="8">
        <f t="shared" si="32"/>
        <v>269</v>
      </c>
      <c r="AA674" s="8">
        <f t="shared" si="33"/>
        <v>0</v>
      </c>
      <c r="AB674" s="8">
        <f t="shared" si="34"/>
        <v>0</v>
      </c>
      <c r="AC674" s="8">
        <f t="shared" si="35"/>
        <v>0</v>
      </c>
      <c r="AD674" s="8">
        <f t="shared" si="36"/>
        <v>0</v>
      </c>
      <c r="AE674" s="9" t="str" cm="1">
        <f t="array" ref="AE674">IFERROR(_xlfn.XLOOKUP(H674,Sheet1!$G:$G,Sheet1!$F:$F),IFERROR(_xlfn.XLOOKUP(1,(--($X$2:$X$1074=X674))*(--ISNUMBER(MATCH($H$2:$H$1074,Sheet1!$G:$G,0))),_xlfn.XLOOKUP($H$2:$H$1074,Sheet1!$G:$G,Sheet1!$F:$F,"")),"NOT FOUND"))</f>
        <v>YETKRTSCUT5008</v>
      </c>
      <c r="AF674" s="10" t="str">
        <f t="shared" si="41"/>
        <v>RUST</v>
      </c>
      <c r="AG674" s="11" t="str">
        <f t="shared" si="42"/>
        <v>HARIPAL</v>
      </c>
      <c r="AH674" s="9" t="str">
        <f>IF(OR(J674="",AE674="",AE674="NOT FOUND"),"",IF(Y674="RP",IFERROR(LEFT(_xlfn.XLOOKUP(AE674,Sheet1!$F:$F,Sheet1!$W:$W),FIND("-",_xlfn.XLOOKUP(AE674,Sheet1!$F:$F,Sheet1!$W:$W),FIND("-",_xlfn.XLOOKUP(AE674,Sheet1!$F:$F,Sheet1!$W:$W))+1))&amp;AE674,"NOT FOUND"),LEFT(J674,FIND("-",J674,FIND("-",J674)+1))&amp;AE674))</f>
        <v>KRTS-APSU26-YETKRTSCUT5008</v>
      </c>
    </row>
    <row r="675" spans="1:34" ht="15.75" customHeight="1" x14ac:dyDescent="0.2">
      <c r="A675" s="4" t="s">
        <v>30</v>
      </c>
      <c r="B675" s="4" t="s">
        <v>909</v>
      </c>
      <c r="C675" s="4" t="s">
        <v>910</v>
      </c>
      <c r="D675" s="4" t="s">
        <v>64</v>
      </c>
      <c r="E675" s="4" t="s">
        <v>34</v>
      </c>
      <c r="F675" s="4" t="s">
        <v>35</v>
      </c>
      <c r="G675" s="4" t="s">
        <v>36</v>
      </c>
      <c r="H675" s="4" t="s">
        <v>911</v>
      </c>
      <c r="I675" s="4" t="s">
        <v>912</v>
      </c>
      <c r="J675" s="4" t="s">
        <v>913</v>
      </c>
      <c r="L675" s="4" t="s">
        <v>40</v>
      </c>
      <c r="M675" s="4">
        <v>1</v>
      </c>
      <c r="N675" s="4">
        <v>30</v>
      </c>
      <c r="O675" s="4">
        <v>30</v>
      </c>
      <c r="P675" s="4" t="s">
        <v>41</v>
      </c>
      <c r="Q675" s="4">
        <v>204.3</v>
      </c>
      <c r="R675" s="4">
        <v>204.3</v>
      </c>
      <c r="S675" s="4">
        <v>306.45</v>
      </c>
      <c r="T675" s="4">
        <v>6129</v>
      </c>
      <c r="U675" s="4">
        <v>5</v>
      </c>
      <c r="V675" s="4" t="s">
        <v>42</v>
      </c>
      <c r="X675" s="7" t="str">
        <f t="shared" si="30"/>
        <v>441857093</v>
      </c>
      <c r="Y675" s="8" t="str">
        <f t="shared" si="31"/>
        <v>DC</v>
      </c>
      <c r="Z675" s="8">
        <f t="shared" si="32"/>
        <v>30</v>
      </c>
      <c r="AA675" s="8">
        <f t="shared" si="33"/>
        <v>0</v>
      </c>
      <c r="AB675" s="8">
        <f t="shared" si="34"/>
        <v>0</v>
      </c>
      <c r="AC675" s="8">
        <f t="shared" si="35"/>
        <v>0</v>
      </c>
      <c r="AD675" s="8">
        <f t="shared" si="36"/>
        <v>0</v>
      </c>
      <c r="AE675" s="9" t="str" cm="1">
        <f t="array" ref="AE675">IFERROR(_xlfn.XLOOKUP(H675,Sheet1!$G:$G,Sheet1!$F:$F),IFERROR(_xlfn.XLOOKUP(1,(--($X$2:$X$1074=X675))*(--ISNUMBER(MATCH($H$2:$H$1074,Sheet1!$G:$G,0))),_xlfn.XLOOKUP($H$2:$H$1074,Sheet1!$G:$G,Sheet1!$F:$F,"")),"NOT FOUND"))</f>
        <v>RETKRTSCUT5007</v>
      </c>
      <c r="AF675" s="10" t="str">
        <f t="shared" si="41"/>
        <v>BLACK</v>
      </c>
      <c r="AG675" s="11" t="str">
        <f t="shared" si="42"/>
        <v>Bangalore</v>
      </c>
      <c r="AH675" s="9" t="str">
        <f>IF(OR(J675="",AE675="",AE675="NOT FOUND"),"",IF(Y675="RP",IFERROR(LEFT(_xlfn.XLOOKUP(AE675,Sheet1!$F:$F,Sheet1!$W:$W),FIND("-",_xlfn.XLOOKUP(AE675,Sheet1!$F:$F,Sheet1!$W:$W),FIND("-",_xlfn.XLOOKUP(AE675,Sheet1!$F:$F,Sheet1!$W:$W))+1))&amp;AE675,"NOT FOUND"),LEFT(J675,FIND("-",J675,FIND("-",J675)+1))&amp;AE675))</f>
        <v>KRTS-APSU26-RETKRTSCUT5007</v>
      </c>
    </row>
    <row r="676" spans="1:34" ht="15.75" customHeight="1" x14ac:dyDescent="0.2">
      <c r="A676" s="4" t="s">
        <v>30</v>
      </c>
      <c r="B676" s="4" t="s">
        <v>909</v>
      </c>
      <c r="C676" s="4" t="s">
        <v>910</v>
      </c>
      <c r="D676" s="4" t="s">
        <v>64</v>
      </c>
      <c r="E676" s="4" t="s">
        <v>34</v>
      </c>
      <c r="F676" s="4" t="s">
        <v>35</v>
      </c>
      <c r="G676" s="4" t="s">
        <v>43</v>
      </c>
      <c r="H676" s="4" t="s">
        <v>914</v>
      </c>
      <c r="I676" s="4" t="s">
        <v>915</v>
      </c>
      <c r="J676" s="4" t="s">
        <v>916</v>
      </c>
      <c r="L676" s="4" t="s">
        <v>40</v>
      </c>
      <c r="M676" s="4">
        <v>1</v>
      </c>
      <c r="N676" s="4">
        <v>363</v>
      </c>
      <c r="O676" s="4">
        <v>363</v>
      </c>
      <c r="P676" s="4" t="s">
        <v>41</v>
      </c>
      <c r="Q676" s="4">
        <v>204.3</v>
      </c>
      <c r="R676" s="4">
        <v>204.3</v>
      </c>
      <c r="S676" s="4">
        <v>3708.05</v>
      </c>
      <c r="T676" s="4">
        <v>74160.899999999994</v>
      </c>
      <c r="U676" s="4">
        <v>5</v>
      </c>
      <c r="V676" s="4" t="s">
        <v>42</v>
      </c>
      <c r="X676" s="7" t="str">
        <f t="shared" si="30"/>
        <v>441857093</v>
      </c>
      <c r="Y676" s="8" t="str">
        <f t="shared" si="31"/>
        <v>DC</v>
      </c>
      <c r="Z676" s="8">
        <f t="shared" si="32"/>
        <v>0</v>
      </c>
      <c r="AA676" s="8">
        <f t="shared" si="33"/>
        <v>363</v>
      </c>
      <c r="AB676" s="8">
        <f t="shared" si="34"/>
        <v>0</v>
      </c>
      <c r="AC676" s="8">
        <f t="shared" si="35"/>
        <v>0</v>
      </c>
      <c r="AD676" s="8">
        <f t="shared" si="36"/>
        <v>0</v>
      </c>
      <c r="AE676" s="9" t="str" cm="1">
        <f t="array" ref="AE676">IFERROR(_xlfn.XLOOKUP(H676,Sheet1!$G:$G,Sheet1!$F:$F),IFERROR(_xlfn.XLOOKUP(1,(--($X$2:$X$1074=X676))*(--ISNUMBER(MATCH($H$2:$H$1074,Sheet1!$G:$G,0))),_xlfn.XLOOKUP($H$2:$H$1074,Sheet1!$G:$G,Sheet1!$F:$F,"")),"NOT FOUND"))</f>
        <v>RETKRTSCUT5007</v>
      </c>
      <c r="AF676" s="10" t="str">
        <f t="shared" si="41"/>
        <v>BLACK</v>
      </c>
      <c r="AG676" s="11" t="str">
        <f t="shared" si="42"/>
        <v>Bangalore</v>
      </c>
      <c r="AH676" s="9" t="str">
        <f>IF(OR(J676="",AE676="",AE676="NOT FOUND"),"",IF(Y676="RP",IFERROR(LEFT(_xlfn.XLOOKUP(AE676,Sheet1!$F:$F,Sheet1!$W:$W),FIND("-",_xlfn.XLOOKUP(AE676,Sheet1!$F:$F,Sheet1!$W:$W),FIND("-",_xlfn.XLOOKUP(AE676,Sheet1!$F:$F,Sheet1!$W:$W))+1))&amp;AE676,"NOT FOUND"),LEFT(J676,FIND("-",J676,FIND("-",J676)+1))&amp;AE676))</f>
        <v>KRTS-APSU26-RETKRTSCUT5007</v>
      </c>
    </row>
    <row r="677" spans="1:34" ht="15.75" customHeight="1" x14ac:dyDescent="0.2">
      <c r="A677" s="4" t="s">
        <v>30</v>
      </c>
      <c r="B677" s="4" t="s">
        <v>909</v>
      </c>
      <c r="C677" s="4" t="s">
        <v>910</v>
      </c>
      <c r="D677" s="4" t="s">
        <v>64</v>
      </c>
      <c r="E677" s="4" t="s">
        <v>34</v>
      </c>
      <c r="F677" s="4" t="s">
        <v>35</v>
      </c>
      <c r="G677" s="4" t="s">
        <v>47</v>
      </c>
      <c r="H677" s="4" t="s">
        <v>917</v>
      </c>
      <c r="I677" s="4" t="s">
        <v>918</v>
      </c>
      <c r="J677" s="4" t="s">
        <v>919</v>
      </c>
      <c r="L677" s="4" t="s">
        <v>40</v>
      </c>
      <c r="M677" s="4">
        <v>1</v>
      </c>
      <c r="N677" s="4">
        <v>409</v>
      </c>
      <c r="O677" s="4">
        <v>409</v>
      </c>
      <c r="P677" s="4" t="s">
        <v>41</v>
      </c>
      <c r="Q677" s="4">
        <v>204.3</v>
      </c>
      <c r="R677" s="4">
        <v>204.3</v>
      </c>
      <c r="S677" s="4">
        <v>4177.9399999999996</v>
      </c>
      <c r="T677" s="4">
        <v>83558.7</v>
      </c>
      <c r="U677" s="4">
        <v>5</v>
      </c>
      <c r="V677" s="4" t="s">
        <v>42</v>
      </c>
      <c r="X677" s="7" t="str">
        <f t="shared" si="30"/>
        <v>441857093</v>
      </c>
      <c r="Y677" s="8" t="str">
        <f t="shared" si="31"/>
        <v>DC</v>
      </c>
      <c r="Z677" s="8">
        <f t="shared" si="32"/>
        <v>0</v>
      </c>
      <c r="AA677" s="8">
        <f t="shared" si="33"/>
        <v>0</v>
      </c>
      <c r="AB677" s="8">
        <f t="shared" si="34"/>
        <v>409</v>
      </c>
      <c r="AC677" s="8">
        <f t="shared" si="35"/>
        <v>0</v>
      </c>
      <c r="AD677" s="8">
        <f t="shared" si="36"/>
        <v>0</v>
      </c>
      <c r="AE677" s="9" t="str" cm="1">
        <f t="array" ref="AE677">IFERROR(_xlfn.XLOOKUP(H677,Sheet1!$G:$G,Sheet1!$F:$F),IFERROR(_xlfn.XLOOKUP(1,(--($X$2:$X$1074=X677))*(--ISNUMBER(MATCH($H$2:$H$1074,Sheet1!$G:$G,0))),_xlfn.XLOOKUP($H$2:$H$1074,Sheet1!$G:$G,Sheet1!$F:$F,"")),"NOT FOUND"))</f>
        <v>RETKRTSCUT5007</v>
      </c>
      <c r="AF677" s="10" t="str">
        <f t="shared" si="41"/>
        <v>BLACK</v>
      </c>
      <c r="AG677" s="11" t="str">
        <f t="shared" si="42"/>
        <v>Bangalore</v>
      </c>
      <c r="AH677" s="9" t="str">
        <f>IF(OR(J677="",AE677="",AE677="NOT FOUND"),"",IF(Y677="RP",IFERROR(LEFT(_xlfn.XLOOKUP(AE677,Sheet1!$F:$F,Sheet1!$W:$W),FIND("-",_xlfn.XLOOKUP(AE677,Sheet1!$F:$F,Sheet1!$W:$W),FIND("-",_xlfn.XLOOKUP(AE677,Sheet1!$F:$F,Sheet1!$W:$W))+1))&amp;AE677,"NOT FOUND"),LEFT(J677,FIND("-",J677,FIND("-",J677)+1))&amp;AE677))</f>
        <v>KRTS-APSU26-RETKRTSCUT5007</v>
      </c>
    </row>
    <row r="678" spans="1:34" ht="15.75" customHeight="1" x14ac:dyDescent="0.2">
      <c r="A678" s="4" t="s">
        <v>30</v>
      </c>
      <c r="B678" s="4" t="s">
        <v>909</v>
      </c>
      <c r="C678" s="4" t="s">
        <v>910</v>
      </c>
      <c r="D678" s="4" t="s">
        <v>64</v>
      </c>
      <c r="E678" s="4" t="s">
        <v>34</v>
      </c>
      <c r="F678" s="4" t="s">
        <v>35</v>
      </c>
      <c r="G678" s="4" t="s">
        <v>51</v>
      </c>
      <c r="H678" s="4" t="s">
        <v>920</v>
      </c>
      <c r="I678" s="4" t="s">
        <v>921</v>
      </c>
      <c r="J678" s="4" t="s">
        <v>922</v>
      </c>
      <c r="L678" s="4" t="s">
        <v>40</v>
      </c>
      <c r="M678" s="4">
        <v>1</v>
      </c>
      <c r="N678" s="4">
        <v>477</v>
      </c>
      <c r="O678" s="4">
        <v>477</v>
      </c>
      <c r="P678" s="4" t="s">
        <v>41</v>
      </c>
      <c r="Q678" s="4">
        <v>204.3</v>
      </c>
      <c r="R678" s="4">
        <v>204.3</v>
      </c>
      <c r="S678" s="4">
        <v>4872.5600000000004</v>
      </c>
      <c r="T678" s="4">
        <v>97451.1</v>
      </c>
      <c r="U678" s="4">
        <v>5</v>
      </c>
      <c r="V678" s="4" t="s">
        <v>42</v>
      </c>
      <c r="X678" s="7" t="str">
        <f t="shared" si="30"/>
        <v>441857093</v>
      </c>
      <c r="Y678" s="8" t="str">
        <f t="shared" si="31"/>
        <v>DC</v>
      </c>
      <c r="Z678" s="8">
        <f t="shared" si="32"/>
        <v>0</v>
      </c>
      <c r="AA678" s="8">
        <f t="shared" si="33"/>
        <v>0</v>
      </c>
      <c r="AB678" s="8">
        <f t="shared" si="34"/>
        <v>0</v>
      </c>
      <c r="AC678" s="8">
        <f t="shared" si="35"/>
        <v>477</v>
      </c>
      <c r="AD678" s="8">
        <f t="shared" si="36"/>
        <v>0</v>
      </c>
      <c r="AE678" s="9" t="str" cm="1">
        <f t="array" ref="AE678">IFERROR(_xlfn.XLOOKUP(H678,Sheet1!$G:$G,Sheet1!$F:$F),IFERROR(_xlfn.XLOOKUP(1,(--($X$2:$X$1074=X678))*(--ISNUMBER(MATCH($H$2:$H$1074,Sheet1!$G:$G,0))),_xlfn.XLOOKUP($H$2:$H$1074,Sheet1!$G:$G,Sheet1!$F:$F,"")),"NOT FOUND"))</f>
        <v>RETKRTSCUT5007</v>
      </c>
      <c r="AF678" s="10" t="str">
        <f t="shared" si="41"/>
        <v>BLACK</v>
      </c>
      <c r="AG678" s="11" t="str">
        <f t="shared" si="42"/>
        <v>Bangalore</v>
      </c>
      <c r="AH678" s="9" t="str">
        <f>IF(OR(J678="",AE678="",AE678="NOT FOUND"),"",IF(Y678="RP",IFERROR(LEFT(_xlfn.XLOOKUP(AE678,Sheet1!$F:$F,Sheet1!$W:$W),FIND("-",_xlfn.XLOOKUP(AE678,Sheet1!$F:$F,Sheet1!$W:$W),FIND("-",_xlfn.XLOOKUP(AE678,Sheet1!$F:$F,Sheet1!$W:$W))+1))&amp;AE678,"NOT FOUND"),LEFT(J678,FIND("-",J678,FIND("-",J678)+1))&amp;AE678))</f>
        <v>KRTS-APSU26-RETKRTSCUT5007</v>
      </c>
    </row>
    <row r="679" spans="1:34" ht="15.75" customHeight="1" x14ac:dyDescent="0.2">
      <c r="A679" s="4" t="s">
        <v>30</v>
      </c>
      <c r="B679" s="4" t="s">
        <v>909</v>
      </c>
      <c r="C679" s="4" t="s">
        <v>910</v>
      </c>
      <c r="D679" s="4" t="s">
        <v>64</v>
      </c>
      <c r="E679" s="4" t="s">
        <v>34</v>
      </c>
      <c r="F679" s="4" t="s">
        <v>35</v>
      </c>
      <c r="G679" s="4" t="s">
        <v>55</v>
      </c>
      <c r="H679" s="4" t="s">
        <v>923</v>
      </c>
      <c r="I679" s="4" t="s">
        <v>924</v>
      </c>
      <c r="J679" s="4" t="s">
        <v>925</v>
      </c>
      <c r="L679" s="4" t="s">
        <v>40</v>
      </c>
      <c r="M679" s="4">
        <v>1</v>
      </c>
      <c r="N679" s="4">
        <v>90</v>
      </c>
      <c r="O679" s="4">
        <v>90</v>
      </c>
      <c r="P679" s="4" t="s">
        <v>41</v>
      </c>
      <c r="Q679" s="4">
        <v>204.3</v>
      </c>
      <c r="R679" s="4">
        <v>204.3</v>
      </c>
      <c r="S679" s="4">
        <v>919.35</v>
      </c>
      <c r="T679" s="4">
        <v>18387</v>
      </c>
      <c r="U679" s="4">
        <v>5</v>
      </c>
      <c r="V679" s="4" t="s">
        <v>42</v>
      </c>
      <c r="X679" s="7" t="str">
        <f t="shared" si="30"/>
        <v>441857093</v>
      </c>
      <c r="Y679" s="8" t="str">
        <f t="shared" si="31"/>
        <v>DC</v>
      </c>
      <c r="Z679" s="8">
        <f t="shared" si="32"/>
        <v>0</v>
      </c>
      <c r="AA679" s="8">
        <f t="shared" si="33"/>
        <v>0</v>
      </c>
      <c r="AB679" s="8">
        <f t="shared" si="34"/>
        <v>0</v>
      </c>
      <c r="AC679" s="8">
        <f t="shared" si="35"/>
        <v>0</v>
      </c>
      <c r="AD679" s="8">
        <f t="shared" si="36"/>
        <v>90</v>
      </c>
      <c r="AE679" s="9" t="str" cm="1">
        <f t="array" ref="AE679">IFERROR(_xlfn.XLOOKUP(H679,Sheet1!$G:$G,Sheet1!$F:$F),IFERROR(_xlfn.XLOOKUP(1,(--($X$2:$X$1074=X679))*(--ISNUMBER(MATCH($H$2:$H$1074,Sheet1!$G:$G,0))),_xlfn.XLOOKUP($H$2:$H$1074,Sheet1!$G:$G,Sheet1!$F:$F,"")),"NOT FOUND"))</f>
        <v>RETKRTSCUT5007</v>
      </c>
      <c r="AF679" s="10" t="str">
        <f t="shared" si="41"/>
        <v>BLACK</v>
      </c>
      <c r="AG679" s="11" t="str">
        <f t="shared" si="42"/>
        <v>Bangalore</v>
      </c>
      <c r="AH679" s="9" t="str">
        <f>IF(OR(J679="",AE679="",AE679="NOT FOUND"),"",IF(Y679="RP",IFERROR(LEFT(_xlfn.XLOOKUP(AE679,Sheet1!$F:$F,Sheet1!$W:$W),FIND("-",_xlfn.XLOOKUP(AE679,Sheet1!$F:$F,Sheet1!$W:$W),FIND("-",_xlfn.XLOOKUP(AE679,Sheet1!$F:$F,Sheet1!$W:$W))+1))&amp;AE679,"NOT FOUND"),LEFT(J679,FIND("-",J679,FIND("-",J679)+1))&amp;AE679))</f>
        <v>KRTS-APSU26-RETKRTSCUT5007</v>
      </c>
    </row>
    <row r="680" spans="1:34" ht="15.75" customHeight="1" x14ac:dyDescent="0.2">
      <c r="A680" s="4" t="s">
        <v>59</v>
      </c>
      <c r="B680" s="4" t="s">
        <v>926</v>
      </c>
      <c r="C680" s="4" t="s">
        <v>910</v>
      </c>
      <c r="D680" s="4" t="s">
        <v>64</v>
      </c>
      <c r="E680" s="4" t="s">
        <v>34</v>
      </c>
      <c r="F680" s="4" t="s">
        <v>35</v>
      </c>
      <c r="G680" s="4" t="s">
        <v>36</v>
      </c>
      <c r="H680" s="4" t="s">
        <v>911</v>
      </c>
      <c r="I680" s="4" t="s">
        <v>912</v>
      </c>
      <c r="J680" s="4" t="s">
        <v>913</v>
      </c>
      <c r="L680" s="4" t="s">
        <v>40</v>
      </c>
      <c r="M680" s="4">
        <v>1</v>
      </c>
      <c r="N680" s="4">
        <v>30</v>
      </c>
      <c r="O680" s="4">
        <v>30</v>
      </c>
      <c r="P680" s="4" t="s">
        <v>41</v>
      </c>
      <c r="Q680" s="4">
        <v>204.3</v>
      </c>
      <c r="R680" s="4">
        <v>204.3</v>
      </c>
      <c r="S680" s="4">
        <v>306.45</v>
      </c>
      <c r="T680" s="4">
        <v>6129</v>
      </c>
      <c r="U680" s="4">
        <v>5</v>
      </c>
      <c r="V680" s="4" t="s">
        <v>42</v>
      </c>
      <c r="X680" s="7" t="str">
        <f t="shared" si="30"/>
        <v>441857093</v>
      </c>
      <c r="Y680" s="8" t="str">
        <f t="shared" si="31"/>
        <v>DC</v>
      </c>
      <c r="Z680" s="8">
        <f t="shared" si="32"/>
        <v>30</v>
      </c>
      <c r="AA680" s="8">
        <f t="shared" si="33"/>
        <v>0</v>
      </c>
      <c r="AB680" s="8">
        <f t="shared" si="34"/>
        <v>0</v>
      </c>
      <c r="AC680" s="8">
        <f t="shared" si="35"/>
        <v>0</v>
      </c>
      <c r="AD680" s="8">
        <f t="shared" si="36"/>
        <v>0</v>
      </c>
      <c r="AE680" s="9" t="str" cm="1">
        <f t="array" ref="AE680">IFERROR(_xlfn.XLOOKUP(H680,Sheet1!$G:$G,Sheet1!$F:$F),IFERROR(_xlfn.XLOOKUP(1,(--($X$2:$X$1074=X680))*(--ISNUMBER(MATCH($H$2:$H$1074,Sheet1!$G:$G,0))),_xlfn.XLOOKUP($H$2:$H$1074,Sheet1!$G:$G,Sheet1!$F:$F,"")),"NOT FOUND"))</f>
        <v>RETKRTSCUT5007</v>
      </c>
      <c r="AF680" s="10" t="str">
        <f t="shared" si="41"/>
        <v>BLACK</v>
      </c>
      <c r="AG680" s="11" t="str">
        <f t="shared" si="42"/>
        <v>JHAJJAR</v>
      </c>
      <c r="AH680" s="9" t="str">
        <f>IF(OR(J680="",AE680="",AE680="NOT FOUND"),"",IF(Y680="RP",IFERROR(LEFT(_xlfn.XLOOKUP(AE680,Sheet1!$F:$F,Sheet1!$W:$W),FIND("-",_xlfn.XLOOKUP(AE680,Sheet1!$F:$F,Sheet1!$W:$W),FIND("-",_xlfn.XLOOKUP(AE680,Sheet1!$F:$F,Sheet1!$W:$W))+1))&amp;AE680,"NOT FOUND"),LEFT(J680,FIND("-",J680,FIND("-",J680)+1))&amp;AE680))</f>
        <v>KRTS-APSU26-RETKRTSCUT5007</v>
      </c>
    </row>
    <row r="681" spans="1:34" ht="15.75" customHeight="1" x14ac:dyDescent="0.2">
      <c r="A681" s="4" t="s">
        <v>59</v>
      </c>
      <c r="B681" s="4" t="s">
        <v>926</v>
      </c>
      <c r="C681" s="4" t="s">
        <v>910</v>
      </c>
      <c r="D681" s="4" t="s">
        <v>64</v>
      </c>
      <c r="E681" s="4" t="s">
        <v>34</v>
      </c>
      <c r="F681" s="4" t="s">
        <v>35</v>
      </c>
      <c r="G681" s="4" t="s">
        <v>43</v>
      </c>
      <c r="H681" s="4" t="s">
        <v>914</v>
      </c>
      <c r="I681" s="4" t="s">
        <v>915</v>
      </c>
      <c r="J681" s="4" t="s">
        <v>916</v>
      </c>
      <c r="L681" s="4" t="s">
        <v>40</v>
      </c>
      <c r="M681" s="4">
        <v>1</v>
      </c>
      <c r="N681" s="4">
        <v>183</v>
      </c>
      <c r="O681" s="4">
        <v>183</v>
      </c>
      <c r="P681" s="4" t="s">
        <v>41</v>
      </c>
      <c r="Q681" s="4">
        <v>204.3</v>
      </c>
      <c r="R681" s="4">
        <v>204.3</v>
      </c>
      <c r="S681" s="4">
        <v>1869.35</v>
      </c>
      <c r="T681" s="4">
        <v>37386.9</v>
      </c>
      <c r="U681" s="4">
        <v>5</v>
      </c>
      <c r="V681" s="4" t="s">
        <v>42</v>
      </c>
      <c r="X681" s="7" t="str">
        <f t="shared" si="30"/>
        <v>441857093</v>
      </c>
      <c r="Y681" s="8" t="str">
        <f t="shared" si="31"/>
        <v>DC</v>
      </c>
      <c r="Z681" s="8">
        <f t="shared" si="32"/>
        <v>0</v>
      </c>
      <c r="AA681" s="8">
        <f t="shared" si="33"/>
        <v>183</v>
      </c>
      <c r="AB681" s="8">
        <f t="shared" si="34"/>
        <v>0</v>
      </c>
      <c r="AC681" s="8">
        <f t="shared" si="35"/>
        <v>0</v>
      </c>
      <c r="AD681" s="8">
        <f t="shared" si="36"/>
        <v>0</v>
      </c>
      <c r="AE681" s="9" t="str" cm="1">
        <f t="array" ref="AE681">IFERROR(_xlfn.XLOOKUP(H681,Sheet1!$G:$G,Sheet1!$F:$F),IFERROR(_xlfn.XLOOKUP(1,(--($X$2:$X$1074=X681))*(--ISNUMBER(MATCH($H$2:$H$1074,Sheet1!$G:$G,0))),_xlfn.XLOOKUP($H$2:$H$1074,Sheet1!$G:$G,Sheet1!$F:$F,"")),"NOT FOUND"))</f>
        <v>RETKRTSCUT5007</v>
      </c>
      <c r="AF681" s="10" t="str">
        <f t="shared" si="41"/>
        <v>BLACK</v>
      </c>
      <c r="AG681" s="11" t="str">
        <f t="shared" si="42"/>
        <v>JHAJJAR</v>
      </c>
      <c r="AH681" s="9" t="str">
        <f>IF(OR(J681="",AE681="",AE681="NOT FOUND"),"",IF(Y681="RP",IFERROR(LEFT(_xlfn.XLOOKUP(AE681,Sheet1!$F:$F,Sheet1!$W:$W),FIND("-",_xlfn.XLOOKUP(AE681,Sheet1!$F:$F,Sheet1!$W:$W),FIND("-",_xlfn.XLOOKUP(AE681,Sheet1!$F:$F,Sheet1!$W:$W))+1))&amp;AE681,"NOT FOUND"),LEFT(J681,FIND("-",J681,FIND("-",J681)+1))&amp;AE681))</f>
        <v>KRTS-APSU26-RETKRTSCUT5007</v>
      </c>
    </row>
    <row r="682" spans="1:34" ht="15.75" customHeight="1" x14ac:dyDescent="0.2">
      <c r="A682" s="4" t="s">
        <v>59</v>
      </c>
      <c r="B682" s="4" t="s">
        <v>926</v>
      </c>
      <c r="C682" s="4" t="s">
        <v>910</v>
      </c>
      <c r="D682" s="4" t="s">
        <v>64</v>
      </c>
      <c r="E682" s="4" t="s">
        <v>34</v>
      </c>
      <c r="F682" s="4" t="s">
        <v>35</v>
      </c>
      <c r="G682" s="4" t="s">
        <v>47</v>
      </c>
      <c r="H682" s="4" t="s">
        <v>917</v>
      </c>
      <c r="I682" s="4" t="s">
        <v>918</v>
      </c>
      <c r="J682" s="4" t="s">
        <v>919</v>
      </c>
      <c r="L682" s="4" t="s">
        <v>40</v>
      </c>
      <c r="M682" s="4">
        <v>1</v>
      </c>
      <c r="N682" s="4">
        <v>205</v>
      </c>
      <c r="O682" s="4">
        <v>205</v>
      </c>
      <c r="P682" s="4" t="s">
        <v>41</v>
      </c>
      <c r="Q682" s="4">
        <v>204.3</v>
      </c>
      <c r="R682" s="4">
        <v>204.3</v>
      </c>
      <c r="S682" s="4">
        <v>2094.08</v>
      </c>
      <c r="T682" s="4">
        <v>41881.5</v>
      </c>
      <c r="U682" s="4">
        <v>5</v>
      </c>
      <c r="V682" s="4" t="s">
        <v>42</v>
      </c>
      <c r="X682" s="7" t="str">
        <f t="shared" si="30"/>
        <v>441857093</v>
      </c>
      <c r="Y682" s="8" t="str">
        <f t="shared" si="31"/>
        <v>DC</v>
      </c>
      <c r="Z682" s="8">
        <f t="shared" si="32"/>
        <v>0</v>
      </c>
      <c r="AA682" s="8">
        <f t="shared" si="33"/>
        <v>0</v>
      </c>
      <c r="AB682" s="8">
        <f t="shared" si="34"/>
        <v>205</v>
      </c>
      <c r="AC682" s="8">
        <f t="shared" si="35"/>
        <v>0</v>
      </c>
      <c r="AD682" s="8">
        <f t="shared" si="36"/>
        <v>0</v>
      </c>
      <c r="AE682" s="9" t="str" cm="1">
        <f t="array" ref="AE682">IFERROR(_xlfn.XLOOKUP(H682,Sheet1!$G:$G,Sheet1!$F:$F),IFERROR(_xlfn.XLOOKUP(1,(--($X$2:$X$1074=X682))*(--ISNUMBER(MATCH($H$2:$H$1074,Sheet1!$G:$G,0))),_xlfn.XLOOKUP($H$2:$H$1074,Sheet1!$G:$G,Sheet1!$F:$F,"")),"NOT FOUND"))</f>
        <v>RETKRTSCUT5007</v>
      </c>
      <c r="AF682" s="10" t="str">
        <f t="shared" si="41"/>
        <v>BLACK</v>
      </c>
      <c r="AG682" s="11" t="str">
        <f t="shared" si="42"/>
        <v>JHAJJAR</v>
      </c>
      <c r="AH682" s="9" t="str">
        <f>IF(OR(J682="",AE682="",AE682="NOT FOUND"),"",IF(Y682="RP",IFERROR(LEFT(_xlfn.XLOOKUP(AE682,Sheet1!$F:$F,Sheet1!$W:$W),FIND("-",_xlfn.XLOOKUP(AE682,Sheet1!$F:$F,Sheet1!$W:$W),FIND("-",_xlfn.XLOOKUP(AE682,Sheet1!$F:$F,Sheet1!$W:$W))+1))&amp;AE682,"NOT FOUND"),LEFT(J682,FIND("-",J682,FIND("-",J682)+1))&amp;AE682))</f>
        <v>KRTS-APSU26-RETKRTSCUT5007</v>
      </c>
    </row>
    <row r="683" spans="1:34" ht="15.75" customHeight="1" x14ac:dyDescent="0.2">
      <c r="A683" s="4" t="s">
        <v>59</v>
      </c>
      <c r="B683" s="4" t="s">
        <v>926</v>
      </c>
      <c r="C683" s="4" t="s">
        <v>910</v>
      </c>
      <c r="D683" s="4" t="s">
        <v>64</v>
      </c>
      <c r="E683" s="4" t="s">
        <v>34</v>
      </c>
      <c r="F683" s="4" t="s">
        <v>35</v>
      </c>
      <c r="G683" s="4" t="s">
        <v>51</v>
      </c>
      <c r="H683" s="4" t="s">
        <v>920</v>
      </c>
      <c r="I683" s="4" t="s">
        <v>921</v>
      </c>
      <c r="J683" s="4" t="s">
        <v>922</v>
      </c>
      <c r="L683" s="4" t="s">
        <v>40</v>
      </c>
      <c r="M683" s="4">
        <v>1</v>
      </c>
      <c r="N683" s="4">
        <v>240</v>
      </c>
      <c r="O683" s="4">
        <v>240</v>
      </c>
      <c r="P683" s="4" t="s">
        <v>41</v>
      </c>
      <c r="Q683" s="4">
        <v>204.3</v>
      </c>
      <c r="R683" s="4">
        <v>204.3</v>
      </c>
      <c r="S683" s="4">
        <v>2451.6</v>
      </c>
      <c r="T683" s="4">
        <v>49032</v>
      </c>
      <c r="U683" s="4">
        <v>5</v>
      </c>
      <c r="V683" s="4" t="s">
        <v>42</v>
      </c>
      <c r="X683" s="7" t="str">
        <f t="shared" si="30"/>
        <v>441857093</v>
      </c>
      <c r="Y683" s="8" t="str">
        <f t="shared" si="31"/>
        <v>DC</v>
      </c>
      <c r="Z683" s="8">
        <f t="shared" si="32"/>
        <v>0</v>
      </c>
      <c r="AA683" s="8">
        <f t="shared" si="33"/>
        <v>0</v>
      </c>
      <c r="AB683" s="8">
        <f t="shared" si="34"/>
        <v>0</v>
      </c>
      <c r="AC683" s="8">
        <f t="shared" si="35"/>
        <v>240</v>
      </c>
      <c r="AD683" s="8">
        <f t="shared" si="36"/>
        <v>0</v>
      </c>
      <c r="AE683" s="9" t="str" cm="1">
        <f t="array" ref="AE683">IFERROR(_xlfn.XLOOKUP(H683,Sheet1!$G:$G,Sheet1!$F:$F),IFERROR(_xlfn.XLOOKUP(1,(--($X$2:$X$1074=X683))*(--ISNUMBER(MATCH($H$2:$H$1074,Sheet1!$G:$G,0))),_xlfn.XLOOKUP($H$2:$H$1074,Sheet1!$G:$G,Sheet1!$F:$F,"")),"NOT FOUND"))</f>
        <v>RETKRTSCUT5007</v>
      </c>
      <c r="AF683" s="10" t="str">
        <f t="shared" si="41"/>
        <v>BLACK</v>
      </c>
      <c r="AG683" s="11" t="str">
        <f t="shared" si="42"/>
        <v>JHAJJAR</v>
      </c>
      <c r="AH683" s="9" t="str">
        <f>IF(OR(J683="",AE683="",AE683="NOT FOUND"),"",IF(Y683="RP",IFERROR(LEFT(_xlfn.XLOOKUP(AE683,Sheet1!$F:$F,Sheet1!$W:$W),FIND("-",_xlfn.XLOOKUP(AE683,Sheet1!$F:$F,Sheet1!$W:$W),FIND("-",_xlfn.XLOOKUP(AE683,Sheet1!$F:$F,Sheet1!$W:$W))+1))&amp;AE683,"NOT FOUND"),LEFT(J683,FIND("-",J683,FIND("-",J683)+1))&amp;AE683))</f>
        <v>KRTS-APSU26-RETKRTSCUT5007</v>
      </c>
    </row>
    <row r="684" spans="1:34" ht="15.75" customHeight="1" x14ac:dyDescent="0.2">
      <c r="A684" s="4" t="s">
        <v>59</v>
      </c>
      <c r="B684" s="4" t="s">
        <v>926</v>
      </c>
      <c r="C684" s="4" t="s">
        <v>910</v>
      </c>
      <c r="D684" s="4" t="s">
        <v>64</v>
      </c>
      <c r="E684" s="4" t="s">
        <v>34</v>
      </c>
      <c r="F684" s="4" t="s">
        <v>35</v>
      </c>
      <c r="G684" s="4" t="s">
        <v>55</v>
      </c>
      <c r="H684" s="4" t="s">
        <v>923</v>
      </c>
      <c r="I684" s="4" t="s">
        <v>924</v>
      </c>
      <c r="J684" s="4" t="s">
        <v>925</v>
      </c>
      <c r="L684" s="4" t="s">
        <v>40</v>
      </c>
      <c r="M684" s="4">
        <v>1</v>
      </c>
      <c r="N684" s="4">
        <v>45</v>
      </c>
      <c r="O684" s="4">
        <v>45</v>
      </c>
      <c r="P684" s="4" t="s">
        <v>41</v>
      </c>
      <c r="Q684" s="4">
        <v>204.3</v>
      </c>
      <c r="R684" s="4">
        <v>204.3</v>
      </c>
      <c r="S684" s="4">
        <v>459.68</v>
      </c>
      <c r="T684" s="4">
        <v>9193.5</v>
      </c>
      <c r="U684" s="4">
        <v>5</v>
      </c>
      <c r="V684" s="4" t="s">
        <v>42</v>
      </c>
      <c r="X684" s="7" t="str">
        <f t="shared" si="30"/>
        <v>441857093</v>
      </c>
      <c r="Y684" s="8" t="str">
        <f t="shared" si="31"/>
        <v>DC</v>
      </c>
      <c r="Z684" s="8">
        <f t="shared" si="32"/>
        <v>0</v>
      </c>
      <c r="AA684" s="8">
        <f t="shared" si="33"/>
        <v>0</v>
      </c>
      <c r="AB684" s="8">
        <f t="shared" si="34"/>
        <v>0</v>
      </c>
      <c r="AC684" s="8">
        <f t="shared" si="35"/>
        <v>0</v>
      </c>
      <c r="AD684" s="8">
        <f t="shared" si="36"/>
        <v>45</v>
      </c>
      <c r="AE684" s="9" t="str" cm="1">
        <f t="array" ref="AE684">IFERROR(_xlfn.XLOOKUP(H684,Sheet1!$G:$G,Sheet1!$F:$F),IFERROR(_xlfn.XLOOKUP(1,(--($X$2:$X$1074=X684))*(--ISNUMBER(MATCH($H$2:$H$1074,Sheet1!$G:$G,0))),_xlfn.XLOOKUP($H$2:$H$1074,Sheet1!$G:$G,Sheet1!$F:$F,"")),"NOT FOUND"))</f>
        <v>RETKRTSCUT5007</v>
      </c>
      <c r="AF684" s="10" t="str">
        <f t="shared" si="41"/>
        <v>BLACK</v>
      </c>
      <c r="AG684" s="11" t="str">
        <f t="shared" si="42"/>
        <v>JHAJJAR</v>
      </c>
      <c r="AH684" s="9" t="str">
        <f>IF(OR(J684="",AE684="",AE684="NOT FOUND"),"",IF(Y684="RP",IFERROR(LEFT(_xlfn.XLOOKUP(AE684,Sheet1!$F:$F,Sheet1!$W:$W),FIND("-",_xlfn.XLOOKUP(AE684,Sheet1!$F:$F,Sheet1!$W:$W),FIND("-",_xlfn.XLOOKUP(AE684,Sheet1!$F:$F,Sheet1!$W:$W))+1))&amp;AE684,"NOT FOUND"),LEFT(J684,FIND("-",J684,FIND("-",J684)+1))&amp;AE684))</f>
        <v>KRTS-APSU26-RETKRTSCUT5007</v>
      </c>
    </row>
    <row r="685" spans="1:34" ht="15.75" customHeight="1" x14ac:dyDescent="0.2">
      <c r="A685" s="4" t="s">
        <v>61</v>
      </c>
      <c r="B685" s="4" t="s">
        <v>927</v>
      </c>
      <c r="C685" s="4" t="s">
        <v>910</v>
      </c>
      <c r="D685" s="4" t="s">
        <v>64</v>
      </c>
      <c r="E685" s="4" t="s">
        <v>34</v>
      </c>
      <c r="F685" s="4" t="s">
        <v>35</v>
      </c>
      <c r="G685" s="4" t="s">
        <v>36</v>
      </c>
      <c r="H685" s="4" t="s">
        <v>911</v>
      </c>
      <c r="I685" s="4" t="s">
        <v>912</v>
      </c>
      <c r="J685" s="4" t="s">
        <v>913</v>
      </c>
      <c r="L685" s="4" t="s">
        <v>40</v>
      </c>
      <c r="M685" s="4">
        <v>1</v>
      </c>
      <c r="N685" s="4">
        <v>30</v>
      </c>
      <c r="O685" s="4">
        <v>30</v>
      </c>
      <c r="P685" s="4" t="s">
        <v>41</v>
      </c>
      <c r="Q685" s="4">
        <v>204.3</v>
      </c>
      <c r="R685" s="4">
        <v>204.3</v>
      </c>
      <c r="S685" s="4">
        <v>306.45</v>
      </c>
      <c r="T685" s="4">
        <v>6129</v>
      </c>
      <c r="U685" s="4">
        <v>5</v>
      </c>
      <c r="V685" s="4" t="s">
        <v>42</v>
      </c>
      <c r="X685" s="7" t="str">
        <f t="shared" si="30"/>
        <v>441857093</v>
      </c>
      <c r="Y685" s="8" t="str">
        <f t="shared" si="31"/>
        <v>DC</v>
      </c>
      <c r="Z685" s="8">
        <f t="shared" si="32"/>
        <v>30</v>
      </c>
      <c r="AA685" s="8">
        <f t="shared" si="33"/>
        <v>0</v>
      </c>
      <c r="AB685" s="8">
        <f t="shared" si="34"/>
        <v>0</v>
      </c>
      <c r="AC685" s="8">
        <f t="shared" si="35"/>
        <v>0</v>
      </c>
      <c r="AD685" s="8">
        <f t="shared" si="36"/>
        <v>0</v>
      </c>
      <c r="AE685" s="9" t="str" cm="1">
        <f t="array" ref="AE685">IFERROR(_xlfn.XLOOKUP(H685,Sheet1!$G:$G,Sheet1!$F:$F),IFERROR(_xlfn.XLOOKUP(1,(--($X$2:$X$1074=X685))*(--ISNUMBER(MATCH($H$2:$H$1074,Sheet1!$G:$G,0))),_xlfn.XLOOKUP($H$2:$H$1074,Sheet1!$G:$G,Sheet1!$F:$F,"")),"NOT FOUND"))</f>
        <v>RETKRTSCUT5007</v>
      </c>
      <c r="AF685" s="10" t="str">
        <f t="shared" si="41"/>
        <v>BLACK</v>
      </c>
      <c r="AG685" s="11" t="str">
        <f t="shared" si="42"/>
        <v>HARIPAL</v>
      </c>
      <c r="AH685" s="9" t="str">
        <f>IF(OR(J685="",AE685="",AE685="NOT FOUND"),"",IF(Y685="RP",IFERROR(LEFT(_xlfn.XLOOKUP(AE685,Sheet1!$F:$F,Sheet1!$W:$W),FIND("-",_xlfn.XLOOKUP(AE685,Sheet1!$F:$F,Sheet1!$W:$W),FIND("-",_xlfn.XLOOKUP(AE685,Sheet1!$F:$F,Sheet1!$W:$W))+1))&amp;AE685,"NOT FOUND"),LEFT(J685,FIND("-",J685,FIND("-",J685)+1))&amp;AE685))</f>
        <v>KRTS-APSU26-RETKRTSCUT5007</v>
      </c>
    </row>
    <row r="686" spans="1:34" ht="15.75" customHeight="1" x14ac:dyDescent="0.2">
      <c r="A686" s="4" t="s">
        <v>61</v>
      </c>
      <c r="B686" s="4" t="s">
        <v>927</v>
      </c>
      <c r="C686" s="4" t="s">
        <v>910</v>
      </c>
      <c r="D686" s="4" t="s">
        <v>64</v>
      </c>
      <c r="E686" s="4" t="s">
        <v>34</v>
      </c>
      <c r="F686" s="4" t="s">
        <v>35</v>
      </c>
      <c r="G686" s="4" t="s">
        <v>43</v>
      </c>
      <c r="H686" s="4" t="s">
        <v>914</v>
      </c>
      <c r="I686" s="4" t="s">
        <v>915</v>
      </c>
      <c r="J686" s="4" t="s">
        <v>916</v>
      </c>
      <c r="L686" s="4" t="s">
        <v>40</v>
      </c>
      <c r="M686" s="4">
        <v>1</v>
      </c>
      <c r="N686" s="4">
        <v>173</v>
      </c>
      <c r="O686" s="4">
        <v>173</v>
      </c>
      <c r="P686" s="4" t="s">
        <v>41</v>
      </c>
      <c r="Q686" s="4">
        <v>204.3</v>
      </c>
      <c r="R686" s="4">
        <v>204.3</v>
      </c>
      <c r="S686" s="4">
        <v>1767.2</v>
      </c>
      <c r="T686" s="4">
        <v>35343.9</v>
      </c>
      <c r="U686" s="4">
        <v>5</v>
      </c>
      <c r="V686" s="4" t="s">
        <v>42</v>
      </c>
      <c r="X686" s="7" t="str">
        <f t="shared" si="30"/>
        <v>441857093</v>
      </c>
      <c r="Y686" s="8" t="str">
        <f t="shared" si="31"/>
        <v>DC</v>
      </c>
      <c r="Z686" s="8">
        <f t="shared" si="32"/>
        <v>0</v>
      </c>
      <c r="AA686" s="8">
        <f t="shared" si="33"/>
        <v>173</v>
      </c>
      <c r="AB686" s="8">
        <f t="shared" si="34"/>
        <v>0</v>
      </c>
      <c r="AC686" s="8">
        <f t="shared" si="35"/>
        <v>0</v>
      </c>
      <c r="AD686" s="8">
        <f t="shared" si="36"/>
        <v>0</v>
      </c>
      <c r="AE686" s="9" t="str" cm="1">
        <f t="array" ref="AE686">IFERROR(_xlfn.XLOOKUP(H686,Sheet1!$G:$G,Sheet1!$F:$F),IFERROR(_xlfn.XLOOKUP(1,(--($X$2:$X$1074=X686))*(--ISNUMBER(MATCH($H$2:$H$1074,Sheet1!$G:$G,0))),_xlfn.XLOOKUP($H$2:$H$1074,Sheet1!$G:$G,Sheet1!$F:$F,"")),"NOT FOUND"))</f>
        <v>RETKRTSCUT5007</v>
      </c>
      <c r="AF686" s="10" t="str">
        <f t="shared" si="41"/>
        <v>BLACK</v>
      </c>
      <c r="AG686" s="11" t="str">
        <f t="shared" si="42"/>
        <v>HARIPAL</v>
      </c>
      <c r="AH686" s="9" t="str">
        <f>IF(OR(J686="",AE686="",AE686="NOT FOUND"),"",IF(Y686="RP",IFERROR(LEFT(_xlfn.XLOOKUP(AE686,Sheet1!$F:$F,Sheet1!$W:$W),FIND("-",_xlfn.XLOOKUP(AE686,Sheet1!$F:$F,Sheet1!$W:$W),FIND("-",_xlfn.XLOOKUP(AE686,Sheet1!$F:$F,Sheet1!$W:$W))+1))&amp;AE686,"NOT FOUND"),LEFT(J686,FIND("-",J686,FIND("-",J686)+1))&amp;AE686))</f>
        <v>KRTS-APSU26-RETKRTSCUT5007</v>
      </c>
    </row>
    <row r="687" spans="1:34" ht="15.75" customHeight="1" x14ac:dyDescent="0.2">
      <c r="A687" s="4" t="s">
        <v>61</v>
      </c>
      <c r="B687" s="4" t="s">
        <v>927</v>
      </c>
      <c r="C687" s="4" t="s">
        <v>910</v>
      </c>
      <c r="D687" s="4" t="s">
        <v>64</v>
      </c>
      <c r="E687" s="4" t="s">
        <v>34</v>
      </c>
      <c r="F687" s="4" t="s">
        <v>35</v>
      </c>
      <c r="G687" s="4" t="s">
        <v>47</v>
      </c>
      <c r="H687" s="4" t="s">
        <v>917</v>
      </c>
      <c r="I687" s="4" t="s">
        <v>918</v>
      </c>
      <c r="J687" s="4" t="s">
        <v>919</v>
      </c>
      <c r="L687" s="4" t="s">
        <v>40</v>
      </c>
      <c r="M687" s="4">
        <v>1</v>
      </c>
      <c r="N687" s="4">
        <v>195</v>
      </c>
      <c r="O687" s="4">
        <v>195</v>
      </c>
      <c r="P687" s="4" t="s">
        <v>41</v>
      </c>
      <c r="Q687" s="4">
        <v>204.3</v>
      </c>
      <c r="R687" s="4">
        <v>204.3</v>
      </c>
      <c r="S687" s="4">
        <v>1991.93</v>
      </c>
      <c r="T687" s="4">
        <v>39838.5</v>
      </c>
      <c r="U687" s="4">
        <v>5</v>
      </c>
      <c r="V687" s="4" t="s">
        <v>42</v>
      </c>
      <c r="X687" s="7" t="str">
        <f t="shared" si="30"/>
        <v>441857093</v>
      </c>
      <c r="Y687" s="8" t="str">
        <f t="shared" si="31"/>
        <v>DC</v>
      </c>
      <c r="Z687" s="8">
        <f t="shared" si="32"/>
        <v>0</v>
      </c>
      <c r="AA687" s="8">
        <f t="shared" si="33"/>
        <v>0</v>
      </c>
      <c r="AB687" s="8">
        <f t="shared" si="34"/>
        <v>195</v>
      </c>
      <c r="AC687" s="8">
        <f t="shared" si="35"/>
        <v>0</v>
      </c>
      <c r="AD687" s="8">
        <f t="shared" si="36"/>
        <v>0</v>
      </c>
      <c r="AE687" s="9" t="str" cm="1">
        <f t="array" ref="AE687">IFERROR(_xlfn.XLOOKUP(H687,Sheet1!$G:$G,Sheet1!$F:$F),IFERROR(_xlfn.XLOOKUP(1,(--($X$2:$X$1074=X687))*(--ISNUMBER(MATCH($H$2:$H$1074,Sheet1!$G:$G,0))),_xlfn.XLOOKUP($H$2:$H$1074,Sheet1!$G:$G,Sheet1!$F:$F,"")),"NOT FOUND"))</f>
        <v>RETKRTSCUT5007</v>
      </c>
      <c r="AF687" s="10" t="str">
        <f t="shared" si="41"/>
        <v>BLACK</v>
      </c>
      <c r="AG687" s="11" t="str">
        <f t="shared" si="42"/>
        <v>HARIPAL</v>
      </c>
      <c r="AH687" s="9" t="str">
        <f>IF(OR(J687="",AE687="",AE687="NOT FOUND"),"",IF(Y687="RP",IFERROR(LEFT(_xlfn.XLOOKUP(AE687,Sheet1!$F:$F,Sheet1!$W:$W),FIND("-",_xlfn.XLOOKUP(AE687,Sheet1!$F:$F,Sheet1!$W:$W),FIND("-",_xlfn.XLOOKUP(AE687,Sheet1!$F:$F,Sheet1!$W:$W))+1))&amp;AE687,"NOT FOUND"),LEFT(J687,FIND("-",J687,FIND("-",J687)+1))&amp;AE687))</f>
        <v>KRTS-APSU26-RETKRTSCUT5007</v>
      </c>
    </row>
    <row r="688" spans="1:34" ht="15.75" customHeight="1" x14ac:dyDescent="0.2">
      <c r="A688" s="4" t="s">
        <v>61</v>
      </c>
      <c r="B688" s="4" t="s">
        <v>927</v>
      </c>
      <c r="C688" s="4" t="s">
        <v>910</v>
      </c>
      <c r="D688" s="4" t="s">
        <v>64</v>
      </c>
      <c r="E688" s="4" t="s">
        <v>34</v>
      </c>
      <c r="F688" s="4" t="s">
        <v>35</v>
      </c>
      <c r="G688" s="4" t="s">
        <v>51</v>
      </c>
      <c r="H688" s="4" t="s">
        <v>920</v>
      </c>
      <c r="I688" s="4" t="s">
        <v>921</v>
      </c>
      <c r="J688" s="4" t="s">
        <v>922</v>
      </c>
      <c r="L688" s="4" t="s">
        <v>40</v>
      </c>
      <c r="M688" s="4">
        <v>1</v>
      </c>
      <c r="N688" s="4">
        <v>227</v>
      </c>
      <c r="O688" s="4">
        <v>227</v>
      </c>
      <c r="P688" s="4" t="s">
        <v>41</v>
      </c>
      <c r="Q688" s="4">
        <v>204.3</v>
      </c>
      <c r="R688" s="4">
        <v>204.3</v>
      </c>
      <c r="S688" s="4">
        <v>2318.81</v>
      </c>
      <c r="T688" s="4">
        <v>46376.1</v>
      </c>
      <c r="U688" s="4">
        <v>5</v>
      </c>
      <c r="V688" s="4" t="s">
        <v>42</v>
      </c>
      <c r="X688" s="7" t="str">
        <f t="shared" si="30"/>
        <v>441857093</v>
      </c>
      <c r="Y688" s="8" t="str">
        <f t="shared" si="31"/>
        <v>DC</v>
      </c>
      <c r="Z688" s="8">
        <f t="shared" si="32"/>
        <v>0</v>
      </c>
      <c r="AA688" s="8">
        <f t="shared" si="33"/>
        <v>0</v>
      </c>
      <c r="AB688" s="8">
        <f t="shared" si="34"/>
        <v>0</v>
      </c>
      <c r="AC688" s="8">
        <f t="shared" si="35"/>
        <v>227</v>
      </c>
      <c r="AD688" s="8">
        <f t="shared" si="36"/>
        <v>0</v>
      </c>
      <c r="AE688" s="9" t="str" cm="1">
        <f t="array" ref="AE688">IFERROR(_xlfn.XLOOKUP(H688,Sheet1!$G:$G,Sheet1!$F:$F),IFERROR(_xlfn.XLOOKUP(1,(--($X$2:$X$1074=X688))*(--ISNUMBER(MATCH($H$2:$H$1074,Sheet1!$G:$G,0))),_xlfn.XLOOKUP($H$2:$H$1074,Sheet1!$G:$G,Sheet1!$F:$F,"")),"NOT FOUND"))</f>
        <v>RETKRTSCUT5007</v>
      </c>
      <c r="AF688" s="10" t="str">
        <f t="shared" si="41"/>
        <v>BLACK</v>
      </c>
      <c r="AG688" s="11" t="str">
        <f t="shared" si="42"/>
        <v>HARIPAL</v>
      </c>
      <c r="AH688" s="9" t="str">
        <f>IF(OR(J688="",AE688="",AE688="NOT FOUND"),"",IF(Y688="RP",IFERROR(LEFT(_xlfn.XLOOKUP(AE688,Sheet1!$F:$F,Sheet1!$W:$W),FIND("-",_xlfn.XLOOKUP(AE688,Sheet1!$F:$F,Sheet1!$W:$W),FIND("-",_xlfn.XLOOKUP(AE688,Sheet1!$F:$F,Sheet1!$W:$W))+1))&amp;AE688,"NOT FOUND"),LEFT(J688,FIND("-",J688,FIND("-",J688)+1))&amp;AE688))</f>
        <v>KRTS-APSU26-RETKRTSCUT5007</v>
      </c>
    </row>
    <row r="689" spans="1:34" ht="15.75" customHeight="1" x14ac:dyDescent="0.2">
      <c r="A689" s="4" t="s">
        <v>61</v>
      </c>
      <c r="B689" s="4" t="s">
        <v>927</v>
      </c>
      <c r="C689" s="4" t="s">
        <v>910</v>
      </c>
      <c r="D689" s="4" t="s">
        <v>64</v>
      </c>
      <c r="E689" s="4" t="s">
        <v>34</v>
      </c>
      <c r="F689" s="4" t="s">
        <v>35</v>
      </c>
      <c r="G689" s="4" t="s">
        <v>55</v>
      </c>
      <c r="H689" s="4" t="s">
        <v>923</v>
      </c>
      <c r="I689" s="4" t="s">
        <v>924</v>
      </c>
      <c r="J689" s="4" t="s">
        <v>925</v>
      </c>
      <c r="L689" s="4" t="s">
        <v>40</v>
      </c>
      <c r="M689" s="4">
        <v>1</v>
      </c>
      <c r="N689" s="4">
        <v>43</v>
      </c>
      <c r="O689" s="4">
        <v>43</v>
      </c>
      <c r="P689" s="4" t="s">
        <v>41</v>
      </c>
      <c r="Q689" s="4">
        <v>204.3</v>
      </c>
      <c r="R689" s="4">
        <v>204.3</v>
      </c>
      <c r="S689" s="4">
        <v>439.25</v>
      </c>
      <c r="T689" s="4">
        <v>8784.9</v>
      </c>
      <c r="U689" s="4">
        <v>5</v>
      </c>
      <c r="V689" s="4" t="s">
        <v>42</v>
      </c>
      <c r="X689" s="7" t="str">
        <f t="shared" si="30"/>
        <v>441857093</v>
      </c>
      <c r="Y689" s="8" t="str">
        <f t="shared" si="31"/>
        <v>DC</v>
      </c>
      <c r="Z689" s="8">
        <f t="shared" si="32"/>
        <v>0</v>
      </c>
      <c r="AA689" s="8">
        <f t="shared" si="33"/>
        <v>0</v>
      </c>
      <c r="AB689" s="8">
        <f t="shared" si="34"/>
        <v>0</v>
      </c>
      <c r="AC689" s="8">
        <f t="shared" si="35"/>
        <v>0</v>
      </c>
      <c r="AD689" s="8">
        <f t="shared" si="36"/>
        <v>43</v>
      </c>
      <c r="AE689" s="9" t="str" cm="1">
        <f t="array" ref="AE689">IFERROR(_xlfn.XLOOKUP(H689,Sheet1!$G:$G,Sheet1!$F:$F),IFERROR(_xlfn.XLOOKUP(1,(--($X$2:$X$1074=X689))*(--ISNUMBER(MATCH($H$2:$H$1074,Sheet1!$G:$G,0))),_xlfn.XLOOKUP($H$2:$H$1074,Sheet1!$G:$G,Sheet1!$F:$F,"")),"NOT FOUND"))</f>
        <v>RETKRTSCUT5007</v>
      </c>
      <c r="AF689" s="10" t="str">
        <f t="shared" si="41"/>
        <v>BLACK</v>
      </c>
      <c r="AG689" s="11" t="str">
        <f t="shared" si="42"/>
        <v>HARIPAL</v>
      </c>
      <c r="AH689" s="9" t="str">
        <f>IF(OR(J689="",AE689="",AE689="NOT FOUND"),"",IF(Y689="RP",IFERROR(LEFT(_xlfn.XLOOKUP(AE689,Sheet1!$F:$F,Sheet1!$W:$W),FIND("-",_xlfn.XLOOKUP(AE689,Sheet1!$F:$F,Sheet1!$W:$W),FIND("-",_xlfn.XLOOKUP(AE689,Sheet1!$F:$F,Sheet1!$W:$W))+1))&amp;AE689,"NOT FOUND"),LEFT(J689,FIND("-",J689,FIND("-",J689)+1))&amp;AE689))</f>
        <v>KRTS-APSU26-RETKRTSCUT5007</v>
      </c>
    </row>
    <row r="690" spans="1:34" ht="15.75" customHeight="1" x14ac:dyDescent="0.2">
      <c r="A690" s="4" t="s">
        <v>30</v>
      </c>
      <c r="B690" s="4" t="s">
        <v>928</v>
      </c>
      <c r="C690" s="4" t="s">
        <v>910</v>
      </c>
      <c r="D690" s="4" t="s">
        <v>579</v>
      </c>
      <c r="E690" s="4" t="s">
        <v>34</v>
      </c>
      <c r="F690" s="4" t="s">
        <v>35</v>
      </c>
      <c r="G690" s="4" t="s">
        <v>51</v>
      </c>
      <c r="H690" s="4" t="s">
        <v>589</v>
      </c>
      <c r="I690" s="4" t="s">
        <v>590</v>
      </c>
      <c r="J690" s="4" t="s">
        <v>591</v>
      </c>
      <c r="L690" s="4" t="s">
        <v>40</v>
      </c>
      <c r="M690" s="4">
        <v>1</v>
      </c>
      <c r="N690" s="4">
        <v>398</v>
      </c>
      <c r="O690" s="4">
        <v>398</v>
      </c>
      <c r="P690" s="4" t="s">
        <v>41</v>
      </c>
      <c r="Q690" s="4">
        <v>244.3</v>
      </c>
      <c r="R690" s="4">
        <v>244.3</v>
      </c>
      <c r="S690" s="4">
        <v>4861.57</v>
      </c>
      <c r="T690" s="4">
        <v>97231.4</v>
      </c>
      <c r="U690" s="4">
        <v>5</v>
      </c>
      <c r="V690" s="4" t="s">
        <v>42</v>
      </c>
      <c r="X690" s="7" t="str">
        <f t="shared" si="30"/>
        <v>441857089</v>
      </c>
      <c r="Y690" s="8" t="str">
        <f t="shared" si="31"/>
        <v>DC</v>
      </c>
      <c r="Z690" s="8">
        <f t="shared" si="32"/>
        <v>0</v>
      </c>
      <c r="AA690" s="8">
        <f t="shared" si="33"/>
        <v>0</v>
      </c>
      <c r="AB690" s="8">
        <f t="shared" si="34"/>
        <v>0</v>
      </c>
      <c r="AC690" s="8">
        <f t="shared" si="35"/>
        <v>398</v>
      </c>
      <c r="AD690" s="8">
        <f t="shared" si="36"/>
        <v>0</v>
      </c>
      <c r="AE690" s="9" t="str" cm="1">
        <f t="array" ref="AE690">IFERROR(_xlfn.XLOOKUP(H690,Sheet1!$G:$G,Sheet1!$F:$F),IFERROR(_xlfn.XLOOKUP(1,(--($X$2:$X$1074=X690))*(--ISNUMBER(MATCH($H$2:$H$1074,Sheet1!$G:$G,0))),_xlfn.XLOOKUP($H$2:$H$1074,Sheet1!$G:$G,Sheet1!$F:$F,"")),"NOT FOUND"))</f>
        <v>YETKRTSCUT5008</v>
      </c>
      <c r="AF690" s="10" t="str">
        <f t="shared" si="41"/>
        <v>BLACK</v>
      </c>
      <c r="AG690" s="11" t="str">
        <f t="shared" si="42"/>
        <v>Bangalore</v>
      </c>
      <c r="AH690" s="9" t="str">
        <f>IF(OR(J690="",AE690="",AE690="NOT FOUND"),"",IF(Y690="RP",IFERROR(LEFT(_xlfn.XLOOKUP(AE690,Sheet1!$F:$F,Sheet1!$W:$W),FIND("-",_xlfn.XLOOKUP(AE690,Sheet1!$F:$F,Sheet1!$W:$W),FIND("-",_xlfn.XLOOKUP(AE690,Sheet1!$F:$F,Sheet1!$W:$W))+1))&amp;AE690,"NOT FOUND"),LEFT(J690,FIND("-",J690,FIND("-",J690)+1))&amp;AE690))</f>
        <v>KRTS-APSU26-YETKRTSCUT5008</v>
      </c>
    </row>
    <row r="691" spans="1:34" ht="15.75" customHeight="1" x14ac:dyDescent="0.2">
      <c r="A691" s="4" t="s">
        <v>59</v>
      </c>
      <c r="B691" s="4" t="s">
        <v>929</v>
      </c>
      <c r="C691" s="4" t="s">
        <v>910</v>
      </c>
      <c r="D691" s="4" t="s">
        <v>579</v>
      </c>
      <c r="E691" s="4" t="s">
        <v>34</v>
      </c>
      <c r="F691" s="4" t="s">
        <v>35</v>
      </c>
      <c r="G691" s="4" t="s">
        <v>51</v>
      </c>
      <c r="H691" s="4" t="s">
        <v>589</v>
      </c>
      <c r="I691" s="4" t="s">
        <v>590</v>
      </c>
      <c r="J691" s="4" t="s">
        <v>591</v>
      </c>
      <c r="L691" s="4" t="s">
        <v>40</v>
      </c>
      <c r="M691" s="4">
        <v>1</v>
      </c>
      <c r="N691" s="4">
        <v>200</v>
      </c>
      <c r="O691" s="4">
        <v>200</v>
      </c>
      <c r="P691" s="4" t="s">
        <v>41</v>
      </c>
      <c r="Q691" s="4">
        <v>244.3</v>
      </c>
      <c r="R691" s="4">
        <v>244.3</v>
      </c>
      <c r="S691" s="4">
        <v>2443</v>
      </c>
      <c r="T691" s="4">
        <v>48860</v>
      </c>
      <c r="U691" s="4">
        <v>5</v>
      </c>
      <c r="V691" s="4" t="s">
        <v>42</v>
      </c>
      <c r="X691" s="7" t="str">
        <f t="shared" si="30"/>
        <v>441857089</v>
      </c>
      <c r="Y691" s="8" t="str">
        <f t="shared" si="31"/>
        <v>DC</v>
      </c>
      <c r="Z691" s="8">
        <f t="shared" si="32"/>
        <v>0</v>
      </c>
      <c r="AA691" s="8">
        <f t="shared" si="33"/>
        <v>0</v>
      </c>
      <c r="AB691" s="8">
        <f t="shared" si="34"/>
        <v>0</v>
      </c>
      <c r="AC691" s="8">
        <f t="shared" si="35"/>
        <v>200</v>
      </c>
      <c r="AD691" s="8">
        <f t="shared" si="36"/>
        <v>0</v>
      </c>
      <c r="AE691" s="9" t="str" cm="1">
        <f t="array" ref="AE691">IFERROR(_xlfn.XLOOKUP(H691,Sheet1!$G:$G,Sheet1!$F:$F),IFERROR(_xlfn.XLOOKUP(1,(--($X$2:$X$1074=X691))*(--ISNUMBER(MATCH($H$2:$H$1074,Sheet1!$G:$G,0))),_xlfn.XLOOKUP($H$2:$H$1074,Sheet1!$G:$G,Sheet1!$F:$F,"")),"NOT FOUND"))</f>
        <v>YETKRTSCUT5008</v>
      </c>
      <c r="AF691" s="10" t="str">
        <f t="shared" si="41"/>
        <v>BLACK</v>
      </c>
      <c r="AG691" s="11" t="str">
        <f t="shared" si="42"/>
        <v>JHAJJAR</v>
      </c>
      <c r="AH691" s="9" t="str">
        <f>IF(OR(J691="",AE691="",AE691="NOT FOUND"),"",IF(Y691="RP",IFERROR(LEFT(_xlfn.XLOOKUP(AE691,Sheet1!$F:$F,Sheet1!$W:$W),FIND("-",_xlfn.XLOOKUP(AE691,Sheet1!$F:$F,Sheet1!$W:$W),FIND("-",_xlfn.XLOOKUP(AE691,Sheet1!$F:$F,Sheet1!$W:$W))+1))&amp;AE691,"NOT FOUND"),LEFT(J691,FIND("-",J691,FIND("-",J691)+1))&amp;AE691))</f>
        <v>KRTS-APSU26-YETKRTSCUT5008</v>
      </c>
    </row>
    <row r="692" spans="1:34" ht="15.75" customHeight="1" x14ac:dyDescent="0.2">
      <c r="A692" s="4" t="s">
        <v>61</v>
      </c>
      <c r="B692" s="4" t="s">
        <v>930</v>
      </c>
      <c r="C692" s="4" t="s">
        <v>910</v>
      </c>
      <c r="D692" s="4" t="s">
        <v>579</v>
      </c>
      <c r="E692" s="4" t="s">
        <v>34</v>
      </c>
      <c r="F692" s="4" t="s">
        <v>35</v>
      </c>
      <c r="G692" s="4" t="s">
        <v>36</v>
      </c>
      <c r="H692" s="4" t="s">
        <v>580</v>
      </c>
      <c r="I692" s="4" t="s">
        <v>581</v>
      </c>
      <c r="J692" s="4" t="s">
        <v>582</v>
      </c>
      <c r="L692" s="4" t="s">
        <v>40</v>
      </c>
      <c r="M692" s="4">
        <v>1</v>
      </c>
      <c r="N692" s="4">
        <v>30</v>
      </c>
      <c r="O692" s="4">
        <v>30</v>
      </c>
      <c r="P692" s="4" t="s">
        <v>41</v>
      </c>
      <c r="Q692" s="4">
        <v>244.3</v>
      </c>
      <c r="R692" s="4">
        <v>244.3</v>
      </c>
      <c r="S692" s="4">
        <v>366.45</v>
      </c>
      <c r="T692" s="4">
        <v>7329</v>
      </c>
      <c r="U692" s="4">
        <v>5</v>
      </c>
      <c r="V692" s="4" t="s">
        <v>42</v>
      </c>
      <c r="X692" s="7" t="str">
        <f t="shared" si="30"/>
        <v>441857089</v>
      </c>
      <c r="Y692" s="8" t="str">
        <f t="shared" si="31"/>
        <v>DC</v>
      </c>
      <c r="Z692" s="8">
        <f t="shared" si="32"/>
        <v>30</v>
      </c>
      <c r="AA692" s="8">
        <f t="shared" si="33"/>
        <v>0</v>
      </c>
      <c r="AB692" s="8">
        <f t="shared" si="34"/>
        <v>0</v>
      </c>
      <c r="AC692" s="8">
        <f t="shared" si="35"/>
        <v>0</v>
      </c>
      <c r="AD692" s="8">
        <f t="shared" si="36"/>
        <v>0</v>
      </c>
      <c r="AE692" s="9" t="str" cm="1">
        <f t="array" ref="AE692">IFERROR(_xlfn.XLOOKUP(H692,Sheet1!$G:$G,Sheet1!$F:$F),IFERROR(_xlfn.XLOOKUP(1,(--($X$2:$X$1074=X692))*(--ISNUMBER(MATCH($H$2:$H$1074,Sheet1!$G:$G,0))),_xlfn.XLOOKUP($H$2:$H$1074,Sheet1!$G:$G,Sheet1!$F:$F,"")),"NOT FOUND"))</f>
        <v>YETKRTSCUT5008</v>
      </c>
      <c r="AF692" s="10" t="str">
        <f t="shared" si="41"/>
        <v>BLACK</v>
      </c>
      <c r="AG692" s="11" t="str">
        <f t="shared" si="42"/>
        <v>HARIPAL</v>
      </c>
      <c r="AH692" s="9" t="str">
        <f>IF(OR(J692="",AE692="",AE692="NOT FOUND"),"",IF(Y692="RP",IFERROR(LEFT(_xlfn.XLOOKUP(AE692,Sheet1!$F:$F,Sheet1!$W:$W),FIND("-",_xlfn.XLOOKUP(AE692,Sheet1!$F:$F,Sheet1!$W:$W),FIND("-",_xlfn.XLOOKUP(AE692,Sheet1!$F:$F,Sheet1!$W:$W))+1))&amp;AE692,"NOT FOUND"),LEFT(J692,FIND("-",J692,FIND("-",J692)+1))&amp;AE692))</f>
        <v>KRTS-APSU26-YETKRTSCUT5008</v>
      </c>
    </row>
    <row r="693" spans="1:34" ht="15.75" customHeight="1" x14ac:dyDescent="0.2">
      <c r="A693" s="4" t="s">
        <v>61</v>
      </c>
      <c r="B693" s="4" t="s">
        <v>930</v>
      </c>
      <c r="C693" s="4" t="s">
        <v>910</v>
      </c>
      <c r="D693" s="4" t="s">
        <v>579</v>
      </c>
      <c r="E693" s="4" t="s">
        <v>34</v>
      </c>
      <c r="F693" s="4" t="s">
        <v>35</v>
      </c>
      <c r="G693" s="4" t="s">
        <v>43</v>
      </c>
      <c r="H693" s="4" t="s">
        <v>583</v>
      </c>
      <c r="I693" s="4" t="s">
        <v>584</v>
      </c>
      <c r="J693" s="4" t="s">
        <v>585</v>
      </c>
      <c r="L693" s="4" t="s">
        <v>40</v>
      </c>
      <c r="M693" s="4">
        <v>1</v>
      </c>
      <c r="N693" s="4">
        <v>144</v>
      </c>
      <c r="O693" s="4">
        <v>144</v>
      </c>
      <c r="P693" s="4" t="s">
        <v>41</v>
      </c>
      <c r="Q693" s="4">
        <v>244.3</v>
      </c>
      <c r="R693" s="4">
        <v>244.3</v>
      </c>
      <c r="S693" s="4">
        <v>1758.96</v>
      </c>
      <c r="T693" s="4">
        <v>35179.199999999997</v>
      </c>
      <c r="U693" s="4">
        <v>5</v>
      </c>
      <c r="V693" s="4" t="s">
        <v>42</v>
      </c>
      <c r="X693" s="7" t="str">
        <f t="shared" si="30"/>
        <v>441857089</v>
      </c>
      <c r="Y693" s="8" t="str">
        <f t="shared" si="31"/>
        <v>DC</v>
      </c>
      <c r="Z693" s="8">
        <f t="shared" si="32"/>
        <v>0</v>
      </c>
      <c r="AA693" s="8">
        <f t="shared" si="33"/>
        <v>144</v>
      </c>
      <c r="AB693" s="8">
        <f t="shared" si="34"/>
        <v>0</v>
      </c>
      <c r="AC693" s="8">
        <f t="shared" si="35"/>
        <v>0</v>
      </c>
      <c r="AD693" s="8">
        <f t="shared" si="36"/>
        <v>0</v>
      </c>
      <c r="AE693" s="9" t="str" cm="1">
        <f t="array" ref="AE693">IFERROR(_xlfn.XLOOKUP(H693,Sheet1!$G:$G,Sheet1!$F:$F),IFERROR(_xlfn.XLOOKUP(1,(--($X$2:$X$1074=X693))*(--ISNUMBER(MATCH($H$2:$H$1074,Sheet1!$G:$G,0))),_xlfn.XLOOKUP($H$2:$H$1074,Sheet1!$G:$G,Sheet1!$F:$F,"")),"NOT FOUND"))</f>
        <v>YETKRTSCUT5008</v>
      </c>
      <c r="AF693" s="10" t="str">
        <f t="shared" si="41"/>
        <v>BLACK</v>
      </c>
      <c r="AG693" s="11" t="str">
        <f t="shared" si="42"/>
        <v>HARIPAL</v>
      </c>
      <c r="AH693" s="9" t="str">
        <f>IF(OR(J693="",AE693="",AE693="NOT FOUND"),"",IF(Y693="RP",IFERROR(LEFT(_xlfn.XLOOKUP(AE693,Sheet1!$F:$F,Sheet1!$W:$W),FIND("-",_xlfn.XLOOKUP(AE693,Sheet1!$F:$F,Sheet1!$W:$W),FIND("-",_xlfn.XLOOKUP(AE693,Sheet1!$F:$F,Sheet1!$W:$W))+1))&amp;AE693,"NOT FOUND"),LEFT(J693,FIND("-",J693,FIND("-",J693)+1))&amp;AE693))</f>
        <v>KRTS-APSU26-YETKRTSCUT5008</v>
      </c>
    </row>
    <row r="694" spans="1:34" ht="15.75" customHeight="1" x14ac:dyDescent="0.2">
      <c r="A694" s="4" t="s">
        <v>61</v>
      </c>
      <c r="B694" s="4" t="s">
        <v>930</v>
      </c>
      <c r="C694" s="4" t="s">
        <v>910</v>
      </c>
      <c r="D694" s="4" t="s">
        <v>579</v>
      </c>
      <c r="E694" s="4" t="s">
        <v>34</v>
      </c>
      <c r="F694" s="4" t="s">
        <v>35</v>
      </c>
      <c r="G694" s="4" t="s">
        <v>47</v>
      </c>
      <c r="H694" s="4" t="s">
        <v>586</v>
      </c>
      <c r="I694" s="4" t="s">
        <v>587</v>
      </c>
      <c r="J694" s="4" t="s">
        <v>588</v>
      </c>
      <c r="L694" s="4" t="s">
        <v>40</v>
      </c>
      <c r="M694" s="4">
        <v>1</v>
      </c>
      <c r="N694" s="4">
        <v>162</v>
      </c>
      <c r="O694" s="4">
        <v>162</v>
      </c>
      <c r="P694" s="4" t="s">
        <v>41</v>
      </c>
      <c r="Q694" s="4">
        <v>244.3</v>
      </c>
      <c r="R694" s="4">
        <v>244.3</v>
      </c>
      <c r="S694" s="4">
        <v>1978.83</v>
      </c>
      <c r="T694" s="4">
        <v>39576.6</v>
      </c>
      <c r="U694" s="4">
        <v>5</v>
      </c>
      <c r="V694" s="4" t="s">
        <v>42</v>
      </c>
      <c r="X694" s="7" t="str">
        <f t="shared" si="30"/>
        <v>441857089</v>
      </c>
      <c r="Y694" s="8" t="str">
        <f t="shared" si="31"/>
        <v>DC</v>
      </c>
      <c r="Z694" s="8">
        <f t="shared" si="32"/>
        <v>0</v>
      </c>
      <c r="AA694" s="8">
        <f t="shared" si="33"/>
        <v>0</v>
      </c>
      <c r="AB694" s="8">
        <f t="shared" si="34"/>
        <v>162</v>
      </c>
      <c r="AC694" s="8">
        <f t="shared" si="35"/>
        <v>0</v>
      </c>
      <c r="AD694" s="8">
        <f t="shared" si="36"/>
        <v>0</v>
      </c>
      <c r="AE694" s="9" t="str" cm="1">
        <f t="array" ref="AE694">IFERROR(_xlfn.XLOOKUP(H694,Sheet1!$G:$G,Sheet1!$F:$F),IFERROR(_xlfn.XLOOKUP(1,(--($X$2:$X$1074=X694))*(--ISNUMBER(MATCH($H$2:$H$1074,Sheet1!$G:$G,0))),_xlfn.XLOOKUP($H$2:$H$1074,Sheet1!$G:$G,Sheet1!$F:$F,"")),"NOT FOUND"))</f>
        <v>YETKRTSCUT5008</v>
      </c>
      <c r="AF694" s="10" t="str">
        <f t="shared" si="41"/>
        <v>BLACK</v>
      </c>
      <c r="AG694" s="11" t="str">
        <f t="shared" si="42"/>
        <v>HARIPAL</v>
      </c>
      <c r="AH694" s="9" t="str">
        <f>IF(OR(J694="",AE694="",AE694="NOT FOUND"),"",IF(Y694="RP",IFERROR(LEFT(_xlfn.XLOOKUP(AE694,Sheet1!$F:$F,Sheet1!$W:$W),FIND("-",_xlfn.XLOOKUP(AE694,Sheet1!$F:$F,Sheet1!$W:$W),FIND("-",_xlfn.XLOOKUP(AE694,Sheet1!$F:$F,Sheet1!$W:$W))+1))&amp;AE694,"NOT FOUND"),LEFT(J694,FIND("-",J694,FIND("-",J694)+1))&amp;AE694))</f>
        <v>KRTS-APSU26-YETKRTSCUT5008</v>
      </c>
    </row>
    <row r="695" spans="1:34" ht="15.75" customHeight="1" x14ac:dyDescent="0.2">
      <c r="A695" s="4" t="s">
        <v>61</v>
      </c>
      <c r="B695" s="4" t="s">
        <v>930</v>
      </c>
      <c r="C695" s="4" t="s">
        <v>910</v>
      </c>
      <c r="D695" s="4" t="s">
        <v>579</v>
      </c>
      <c r="E695" s="4" t="s">
        <v>34</v>
      </c>
      <c r="F695" s="4" t="s">
        <v>35</v>
      </c>
      <c r="G695" s="4" t="s">
        <v>51</v>
      </c>
      <c r="H695" s="4" t="s">
        <v>589</v>
      </c>
      <c r="I695" s="4" t="s">
        <v>590</v>
      </c>
      <c r="J695" s="4" t="s">
        <v>591</v>
      </c>
      <c r="L695" s="4" t="s">
        <v>40</v>
      </c>
      <c r="M695" s="4">
        <v>1</v>
      </c>
      <c r="N695" s="4">
        <v>189</v>
      </c>
      <c r="O695" s="4">
        <v>189</v>
      </c>
      <c r="P695" s="4" t="s">
        <v>41</v>
      </c>
      <c r="Q695" s="4">
        <v>244.3</v>
      </c>
      <c r="R695" s="4">
        <v>244.3</v>
      </c>
      <c r="S695" s="4">
        <v>2308.64</v>
      </c>
      <c r="T695" s="4">
        <v>46172.7</v>
      </c>
      <c r="U695" s="4">
        <v>5</v>
      </c>
      <c r="V695" s="4" t="s">
        <v>42</v>
      </c>
      <c r="X695" s="7" t="str">
        <f t="shared" si="30"/>
        <v>441857089</v>
      </c>
      <c r="Y695" s="8" t="str">
        <f t="shared" si="31"/>
        <v>DC</v>
      </c>
      <c r="Z695" s="8">
        <f t="shared" si="32"/>
        <v>0</v>
      </c>
      <c r="AA695" s="8">
        <f t="shared" si="33"/>
        <v>0</v>
      </c>
      <c r="AB695" s="8">
        <f t="shared" si="34"/>
        <v>0</v>
      </c>
      <c r="AC695" s="8">
        <f t="shared" si="35"/>
        <v>189</v>
      </c>
      <c r="AD695" s="8">
        <f t="shared" si="36"/>
        <v>0</v>
      </c>
      <c r="AE695" s="9" t="str" cm="1">
        <f t="array" ref="AE695">IFERROR(_xlfn.XLOOKUP(H695,Sheet1!$G:$G,Sheet1!$F:$F),IFERROR(_xlfn.XLOOKUP(1,(--($X$2:$X$1074=X695))*(--ISNUMBER(MATCH($H$2:$H$1074,Sheet1!$G:$G,0))),_xlfn.XLOOKUP($H$2:$H$1074,Sheet1!$G:$G,Sheet1!$F:$F,"")),"NOT FOUND"))</f>
        <v>YETKRTSCUT5008</v>
      </c>
      <c r="AF695" s="10" t="str">
        <f t="shared" si="41"/>
        <v>BLACK</v>
      </c>
      <c r="AG695" s="11" t="str">
        <f t="shared" si="42"/>
        <v>HARIPAL</v>
      </c>
      <c r="AH695" s="9" t="str">
        <f>IF(OR(J695="",AE695="",AE695="NOT FOUND"),"",IF(Y695="RP",IFERROR(LEFT(_xlfn.XLOOKUP(AE695,Sheet1!$F:$F,Sheet1!$W:$W),FIND("-",_xlfn.XLOOKUP(AE695,Sheet1!$F:$F,Sheet1!$W:$W),FIND("-",_xlfn.XLOOKUP(AE695,Sheet1!$F:$F,Sheet1!$W:$W))+1))&amp;AE695,"NOT FOUND"),LEFT(J695,FIND("-",J695,FIND("-",J695)+1))&amp;AE695))</f>
        <v>KRTS-APSU26-YETKRTSCUT5008</v>
      </c>
    </row>
    <row r="696" spans="1:34" ht="15.75" customHeight="1" x14ac:dyDescent="0.2">
      <c r="A696" s="4" t="s">
        <v>61</v>
      </c>
      <c r="B696" s="4" t="s">
        <v>930</v>
      </c>
      <c r="C696" s="4" t="s">
        <v>910</v>
      </c>
      <c r="D696" s="4" t="s">
        <v>579</v>
      </c>
      <c r="E696" s="4" t="s">
        <v>34</v>
      </c>
      <c r="F696" s="4" t="s">
        <v>35</v>
      </c>
      <c r="G696" s="4" t="s">
        <v>55</v>
      </c>
      <c r="H696" s="4" t="s">
        <v>592</v>
      </c>
      <c r="I696" s="4" t="s">
        <v>593</v>
      </c>
      <c r="J696" s="4" t="s">
        <v>594</v>
      </c>
      <c r="L696" s="4" t="s">
        <v>40</v>
      </c>
      <c r="M696" s="4">
        <v>1</v>
      </c>
      <c r="N696" s="4">
        <v>36</v>
      </c>
      <c r="O696" s="4">
        <v>36</v>
      </c>
      <c r="P696" s="4" t="s">
        <v>41</v>
      </c>
      <c r="Q696" s="4">
        <v>244.3</v>
      </c>
      <c r="R696" s="4">
        <v>244.3</v>
      </c>
      <c r="S696" s="4">
        <v>439.74</v>
      </c>
      <c r="T696" s="4">
        <v>8794.7999999999993</v>
      </c>
      <c r="U696" s="4">
        <v>5</v>
      </c>
      <c r="V696" s="4" t="s">
        <v>42</v>
      </c>
      <c r="X696" s="7" t="str">
        <f t="shared" si="30"/>
        <v>441857089</v>
      </c>
      <c r="Y696" s="8" t="str">
        <f t="shared" si="31"/>
        <v>DC</v>
      </c>
      <c r="Z696" s="8">
        <f t="shared" si="32"/>
        <v>0</v>
      </c>
      <c r="AA696" s="8">
        <f t="shared" si="33"/>
        <v>0</v>
      </c>
      <c r="AB696" s="8">
        <f t="shared" si="34"/>
        <v>0</v>
      </c>
      <c r="AC696" s="8">
        <f t="shared" si="35"/>
        <v>0</v>
      </c>
      <c r="AD696" s="8">
        <f t="shared" si="36"/>
        <v>36</v>
      </c>
      <c r="AE696" s="9" t="str" cm="1">
        <f t="array" ref="AE696">IFERROR(_xlfn.XLOOKUP(H696,Sheet1!$G:$G,Sheet1!$F:$F),IFERROR(_xlfn.XLOOKUP(1,(--($X$2:$X$1074=X696))*(--ISNUMBER(MATCH($H$2:$H$1074,Sheet1!$G:$G,0))),_xlfn.XLOOKUP($H$2:$H$1074,Sheet1!$G:$G,Sheet1!$F:$F,"")),"NOT FOUND"))</f>
        <v>YETKRTSCUT5008</v>
      </c>
      <c r="AF696" s="10" t="str">
        <f t="shared" si="41"/>
        <v>BLACK</v>
      </c>
      <c r="AG696" s="11" t="str">
        <f t="shared" si="42"/>
        <v>HARIPAL</v>
      </c>
      <c r="AH696" s="9" t="str">
        <f>IF(OR(J696="",AE696="",AE696="NOT FOUND"),"",IF(Y696="RP",IFERROR(LEFT(_xlfn.XLOOKUP(AE696,Sheet1!$F:$F,Sheet1!$W:$W),FIND("-",_xlfn.XLOOKUP(AE696,Sheet1!$F:$F,Sheet1!$W:$W),FIND("-",_xlfn.XLOOKUP(AE696,Sheet1!$F:$F,Sheet1!$W:$W))+1))&amp;AE696,"NOT FOUND"),LEFT(J696,FIND("-",J696,FIND("-",J696)+1))&amp;AE696))</f>
        <v>KRTS-APSU26-YETKRTSCUT5008</v>
      </c>
    </row>
    <row r="697" spans="1:34" ht="15.75" customHeight="1" x14ac:dyDescent="0.2">
      <c r="A697" s="4" t="s">
        <v>30</v>
      </c>
      <c r="B697" s="4" t="s">
        <v>931</v>
      </c>
      <c r="C697" s="4" t="s">
        <v>910</v>
      </c>
      <c r="D697" s="4" t="s">
        <v>598</v>
      </c>
      <c r="E697" s="4" t="s">
        <v>34</v>
      </c>
      <c r="F697" s="4" t="s">
        <v>35</v>
      </c>
      <c r="G697" s="4" t="s">
        <v>36</v>
      </c>
      <c r="H697" s="4" t="s">
        <v>932</v>
      </c>
      <c r="I697" s="4" t="s">
        <v>933</v>
      </c>
      <c r="J697" s="4" t="s">
        <v>934</v>
      </c>
      <c r="L697" s="4" t="s">
        <v>40</v>
      </c>
      <c r="M697" s="4">
        <v>1</v>
      </c>
      <c r="N697" s="4">
        <v>294</v>
      </c>
      <c r="O697" s="4">
        <v>294</v>
      </c>
      <c r="P697" s="4" t="s">
        <v>41</v>
      </c>
      <c r="Q697" s="4">
        <v>1621.5</v>
      </c>
      <c r="R697" s="4">
        <v>1621.5</v>
      </c>
      <c r="S697" s="4">
        <v>23836.05</v>
      </c>
      <c r="T697" s="4">
        <v>476721</v>
      </c>
      <c r="U697" s="4">
        <v>5</v>
      </c>
      <c r="V697" s="4" t="s">
        <v>42</v>
      </c>
      <c r="X697" s="7" t="str">
        <f t="shared" si="30"/>
        <v>441857193</v>
      </c>
      <c r="Y697" s="8" t="str">
        <f t="shared" si="31"/>
        <v>RP</v>
      </c>
      <c r="Z697" s="8">
        <f t="shared" si="32"/>
        <v>294</v>
      </c>
      <c r="AA697" s="8">
        <f t="shared" si="33"/>
        <v>294</v>
      </c>
      <c r="AB697" s="8">
        <f t="shared" si="34"/>
        <v>294</v>
      </c>
      <c r="AC697" s="8">
        <f t="shared" si="35"/>
        <v>294</v>
      </c>
      <c r="AD697" s="8">
        <f t="shared" si="36"/>
        <v>294</v>
      </c>
      <c r="AE697" s="9" t="str" cm="1">
        <f t="array" ref="AE697">IFERROR(_xlfn.XLOOKUP(H697,Sheet1!$G:$G,Sheet1!$F:$F),IFERROR(_xlfn.XLOOKUP(1,(--($X$2:$X$1074=X697))*(--ISNUMBER(MATCH($H$2:$H$1074,Sheet1!$G:$G,0))),_xlfn.XLOOKUP($H$2:$H$1074,Sheet1!$G:$G,Sheet1!$F:$F,"")),"NOT FOUND"))</f>
        <v>RETKRTSFUT4332</v>
      </c>
      <c r="AF697" s="10" t="str">
        <f t="shared" si="41"/>
        <v>LIME GREEN</v>
      </c>
      <c r="AG697" s="11" t="str">
        <f t="shared" si="42"/>
        <v>Bangalore</v>
      </c>
      <c r="AH697" s="9" t="str">
        <f>IF(OR(J697="",AE697="",AE697="NOT FOUND"),"",IF(Y697="RP",IFERROR(LEFT(_xlfn.XLOOKUP(AE697,Sheet1!$F:$F,Sheet1!$W:$W),FIND("-",_xlfn.XLOOKUP(AE697,Sheet1!$F:$F,Sheet1!$W:$W),FIND("-",_xlfn.XLOOKUP(AE697,Sheet1!$F:$F,Sheet1!$W:$W))+1))&amp;AE697,"NOT FOUND"),LEFT(J697,FIND("-",J697,FIND("-",J697)+1))&amp;AE697))</f>
        <v>KRTS-APSU26-RETKRTSFUT4332</v>
      </c>
    </row>
    <row r="698" spans="1:34" ht="15.75" customHeight="1" x14ac:dyDescent="0.2">
      <c r="A698" s="4" t="s">
        <v>30</v>
      </c>
      <c r="B698" s="4" t="s">
        <v>935</v>
      </c>
      <c r="C698" s="4" t="s">
        <v>910</v>
      </c>
      <c r="D698" s="4" t="s">
        <v>598</v>
      </c>
      <c r="E698" s="4" t="s">
        <v>34</v>
      </c>
      <c r="F698" s="4" t="s">
        <v>35</v>
      </c>
      <c r="G698" s="4" t="s">
        <v>36</v>
      </c>
      <c r="H698" s="4" t="s">
        <v>936</v>
      </c>
      <c r="I698" s="4" t="s">
        <v>937</v>
      </c>
      <c r="J698" s="4" t="s">
        <v>938</v>
      </c>
      <c r="L698" s="4" t="s">
        <v>40</v>
      </c>
      <c r="M698" s="4">
        <v>1</v>
      </c>
      <c r="N698" s="4">
        <v>359</v>
      </c>
      <c r="O698" s="4">
        <v>359</v>
      </c>
      <c r="P698" s="4" t="s">
        <v>41</v>
      </c>
      <c r="Q698" s="4">
        <v>1346.5</v>
      </c>
      <c r="R698" s="4">
        <v>1346.5</v>
      </c>
      <c r="S698" s="4">
        <v>24169.68</v>
      </c>
      <c r="T698" s="4">
        <v>483393.5</v>
      </c>
      <c r="U698" s="4">
        <v>5</v>
      </c>
      <c r="V698" s="4" t="s">
        <v>42</v>
      </c>
      <c r="X698" s="7" t="str">
        <f t="shared" si="30"/>
        <v>441857191</v>
      </c>
      <c r="Y698" s="8" t="str">
        <f t="shared" si="31"/>
        <v>RP</v>
      </c>
      <c r="Z698" s="8">
        <f t="shared" si="32"/>
        <v>359</v>
      </c>
      <c r="AA698" s="8">
        <f t="shared" si="33"/>
        <v>359</v>
      </c>
      <c r="AB698" s="8">
        <f t="shared" si="34"/>
        <v>359</v>
      </c>
      <c r="AC698" s="8">
        <f t="shared" si="35"/>
        <v>359</v>
      </c>
      <c r="AD698" s="8">
        <f t="shared" si="36"/>
        <v>359</v>
      </c>
      <c r="AE698" s="9" t="str" cm="1">
        <f t="array" ref="AE698">IFERROR(_xlfn.XLOOKUP(H698,Sheet1!$G:$G,Sheet1!$F:$F),IFERROR(_xlfn.XLOOKUP(1,(--($X$2:$X$1074=X698))*(--ISNUMBER(MATCH($H$2:$H$1074,Sheet1!$G:$G,0))),_xlfn.XLOOKUP($H$2:$H$1074,Sheet1!$G:$G,Sheet1!$F:$F,"")),"NOT FOUND"))</f>
        <v>RETKRTSFUT4330</v>
      </c>
      <c r="AF698" s="10" t="str">
        <f t="shared" si="41"/>
        <v>MAGENTA</v>
      </c>
      <c r="AG698" s="11" t="str">
        <f t="shared" si="42"/>
        <v>Bangalore</v>
      </c>
      <c r="AH698" s="9" t="str">
        <f>IF(OR(J698="",AE698="",AE698="NOT FOUND"),"",IF(Y698="RP",IFERROR(LEFT(_xlfn.XLOOKUP(AE698,Sheet1!$F:$F,Sheet1!$W:$W),FIND("-",_xlfn.XLOOKUP(AE698,Sheet1!$F:$F,Sheet1!$W:$W),FIND("-",_xlfn.XLOOKUP(AE698,Sheet1!$F:$F,Sheet1!$W:$W))+1))&amp;AE698,"NOT FOUND"),LEFT(J698,FIND("-",J698,FIND("-",J698)+1))&amp;AE698))</f>
        <v>KRTS-APSU26-RETKRTSFUT4330</v>
      </c>
    </row>
    <row r="699" spans="1:34" ht="15.75" customHeight="1" x14ac:dyDescent="0.2">
      <c r="A699" s="4" t="s">
        <v>30</v>
      </c>
      <c r="B699" s="4" t="s">
        <v>939</v>
      </c>
      <c r="C699" s="4" t="s">
        <v>910</v>
      </c>
      <c r="D699" s="4" t="s">
        <v>598</v>
      </c>
      <c r="E699" s="4" t="s">
        <v>34</v>
      </c>
      <c r="F699" s="4" t="s">
        <v>35</v>
      </c>
      <c r="G699" s="4" t="s">
        <v>36</v>
      </c>
      <c r="H699" s="4" t="s">
        <v>940</v>
      </c>
      <c r="I699" s="4" t="s">
        <v>941</v>
      </c>
      <c r="J699" s="4" t="s">
        <v>942</v>
      </c>
      <c r="L699" s="4" t="s">
        <v>40</v>
      </c>
      <c r="M699" s="4">
        <v>1</v>
      </c>
      <c r="N699" s="4">
        <v>359</v>
      </c>
      <c r="O699" s="4">
        <v>359</v>
      </c>
      <c r="P699" s="4" t="s">
        <v>41</v>
      </c>
      <c r="Q699" s="4">
        <v>1321.5</v>
      </c>
      <c r="R699" s="4">
        <v>1321.5</v>
      </c>
      <c r="S699" s="4">
        <v>23720.93</v>
      </c>
      <c r="T699" s="4">
        <v>474418.5</v>
      </c>
      <c r="U699" s="4">
        <v>5</v>
      </c>
      <c r="V699" s="4" t="s">
        <v>42</v>
      </c>
      <c r="X699" s="7" t="str">
        <f t="shared" si="30"/>
        <v>441857187</v>
      </c>
      <c r="Y699" s="8" t="str">
        <f t="shared" si="31"/>
        <v>RP</v>
      </c>
      <c r="Z699" s="8">
        <f t="shared" si="32"/>
        <v>359</v>
      </c>
      <c r="AA699" s="8">
        <f t="shared" si="33"/>
        <v>359</v>
      </c>
      <c r="AB699" s="8">
        <f t="shared" si="34"/>
        <v>359</v>
      </c>
      <c r="AC699" s="8">
        <f t="shared" si="35"/>
        <v>359</v>
      </c>
      <c r="AD699" s="8">
        <f t="shared" si="36"/>
        <v>359</v>
      </c>
      <c r="AE699" s="9" t="str" cm="1">
        <f t="array" ref="AE699">IFERROR(_xlfn.XLOOKUP(H699,Sheet1!$G:$G,Sheet1!$F:$F),IFERROR(_xlfn.XLOOKUP(1,(--($X$2:$X$1074=X699))*(--ISNUMBER(MATCH($H$2:$H$1074,Sheet1!$G:$G,0))),_xlfn.XLOOKUP($H$2:$H$1074,Sheet1!$G:$G,Sheet1!$F:$F,"")),"NOT FOUND"))</f>
        <v>RETKRTSFUT4316</v>
      </c>
      <c r="AF699" s="10" t="str">
        <f t="shared" si="41"/>
        <v>FUCHSIA</v>
      </c>
      <c r="AG699" s="11" t="str">
        <f t="shared" si="42"/>
        <v>Bangalore</v>
      </c>
      <c r="AH699" s="9" t="str">
        <f>IF(OR(J699="",AE699="",AE699="NOT FOUND"),"",IF(Y699="RP",IFERROR(LEFT(_xlfn.XLOOKUP(AE699,Sheet1!$F:$F,Sheet1!$W:$W),FIND("-",_xlfn.XLOOKUP(AE699,Sheet1!$F:$F,Sheet1!$W:$W),FIND("-",_xlfn.XLOOKUP(AE699,Sheet1!$F:$F,Sheet1!$W:$W))+1))&amp;AE699,"NOT FOUND"),LEFT(J699,FIND("-",J699,FIND("-",J699)+1))&amp;AE699))</f>
        <v>KRTS-APSU26-RETKRTSFUT4316</v>
      </c>
    </row>
    <row r="700" spans="1:34" ht="15.75" customHeight="1" x14ac:dyDescent="0.2">
      <c r="A700" s="4" t="s">
        <v>30</v>
      </c>
      <c r="B700" s="4" t="s">
        <v>943</v>
      </c>
      <c r="C700" s="4" t="s">
        <v>910</v>
      </c>
      <c r="D700" s="4" t="s">
        <v>598</v>
      </c>
      <c r="E700" s="4" t="s">
        <v>34</v>
      </c>
      <c r="F700" s="4" t="s">
        <v>35</v>
      </c>
      <c r="G700" s="4" t="s">
        <v>36</v>
      </c>
      <c r="H700" s="4" t="s">
        <v>944</v>
      </c>
      <c r="I700" s="4" t="s">
        <v>945</v>
      </c>
      <c r="J700" s="4" t="s">
        <v>946</v>
      </c>
      <c r="L700" s="4" t="s">
        <v>40</v>
      </c>
      <c r="M700" s="4">
        <v>1</v>
      </c>
      <c r="N700" s="4">
        <v>359</v>
      </c>
      <c r="O700" s="4">
        <v>359</v>
      </c>
      <c r="P700" s="4" t="s">
        <v>41</v>
      </c>
      <c r="Q700" s="4">
        <v>1346.5</v>
      </c>
      <c r="R700" s="4">
        <v>1346.5</v>
      </c>
      <c r="S700" s="4">
        <v>24169.68</v>
      </c>
      <c r="T700" s="4">
        <v>483393.5</v>
      </c>
      <c r="U700" s="4">
        <v>5</v>
      </c>
      <c r="V700" s="4" t="s">
        <v>42</v>
      </c>
      <c r="X700" s="7" t="str">
        <f t="shared" si="30"/>
        <v>441857188</v>
      </c>
      <c r="Y700" s="8" t="str">
        <f t="shared" si="31"/>
        <v>RP</v>
      </c>
      <c r="Z700" s="8">
        <f t="shared" si="32"/>
        <v>359</v>
      </c>
      <c r="AA700" s="8">
        <f t="shared" si="33"/>
        <v>359</v>
      </c>
      <c r="AB700" s="8">
        <f t="shared" si="34"/>
        <v>359</v>
      </c>
      <c r="AC700" s="8">
        <f t="shared" si="35"/>
        <v>359</v>
      </c>
      <c r="AD700" s="8">
        <f t="shared" si="36"/>
        <v>359</v>
      </c>
      <c r="AE700" s="9" t="str" cm="1">
        <f t="array" ref="AE700">IFERROR(_xlfn.XLOOKUP(H700,Sheet1!$G:$G,Sheet1!$F:$F),IFERROR(_xlfn.XLOOKUP(1,(--($X$2:$X$1074=X700))*(--ISNUMBER(MATCH($H$2:$H$1074,Sheet1!$G:$G,0))),_xlfn.XLOOKUP($H$2:$H$1074,Sheet1!$G:$G,Sheet1!$F:$F,"")),"NOT FOUND"))</f>
        <v>RETKRTSFUT4321</v>
      </c>
      <c r="AF700" s="10" t="str">
        <f t="shared" si="41"/>
        <v>LIME GREEN</v>
      </c>
      <c r="AG700" s="11" t="str">
        <f t="shared" si="42"/>
        <v>Bangalore</v>
      </c>
      <c r="AH700" s="9" t="str">
        <f>IF(OR(J700="",AE700="",AE700="NOT FOUND"),"",IF(Y700="RP",IFERROR(LEFT(_xlfn.XLOOKUP(AE700,Sheet1!$F:$F,Sheet1!$W:$W),FIND("-",_xlfn.XLOOKUP(AE700,Sheet1!$F:$F,Sheet1!$W:$W),FIND("-",_xlfn.XLOOKUP(AE700,Sheet1!$F:$F,Sheet1!$W:$W))+1))&amp;AE700,"NOT FOUND"),LEFT(J700,FIND("-",J700,FIND("-",J700)+1))&amp;AE700))</f>
        <v>KRTS-APSU26-RETKRTSFUT4321</v>
      </c>
    </row>
    <row r="701" spans="1:34" ht="15.75" customHeight="1" x14ac:dyDescent="0.2">
      <c r="A701" s="4" t="s">
        <v>30</v>
      </c>
      <c r="B701" s="4" t="s">
        <v>947</v>
      </c>
      <c r="C701" s="4" t="s">
        <v>910</v>
      </c>
      <c r="D701" s="4" t="s">
        <v>598</v>
      </c>
      <c r="E701" s="4" t="s">
        <v>34</v>
      </c>
      <c r="F701" s="4" t="s">
        <v>35</v>
      </c>
      <c r="G701" s="4" t="s">
        <v>36</v>
      </c>
      <c r="H701" s="4" t="s">
        <v>948</v>
      </c>
      <c r="I701" s="4" t="s">
        <v>949</v>
      </c>
      <c r="J701" s="4" t="s">
        <v>950</v>
      </c>
      <c r="L701" s="4" t="s">
        <v>40</v>
      </c>
      <c r="M701" s="4">
        <v>1</v>
      </c>
      <c r="N701" s="4">
        <v>359</v>
      </c>
      <c r="O701" s="4">
        <v>359</v>
      </c>
      <c r="P701" s="4" t="s">
        <v>41</v>
      </c>
      <c r="Q701" s="4">
        <v>1321.5</v>
      </c>
      <c r="R701" s="4">
        <v>1321.5</v>
      </c>
      <c r="S701" s="4">
        <v>23720.93</v>
      </c>
      <c r="T701" s="4">
        <v>474418.5</v>
      </c>
      <c r="U701" s="4">
        <v>5</v>
      </c>
      <c r="V701" s="4" t="s">
        <v>42</v>
      </c>
      <c r="X701" s="7" t="str">
        <f t="shared" si="30"/>
        <v>441857189</v>
      </c>
      <c r="Y701" s="8" t="str">
        <f t="shared" si="31"/>
        <v>RP</v>
      </c>
      <c r="Z701" s="8">
        <f t="shared" si="32"/>
        <v>359</v>
      </c>
      <c r="AA701" s="8">
        <f t="shared" si="33"/>
        <v>359</v>
      </c>
      <c r="AB701" s="8">
        <f t="shared" si="34"/>
        <v>359</v>
      </c>
      <c r="AC701" s="8">
        <f t="shared" si="35"/>
        <v>359</v>
      </c>
      <c r="AD701" s="8">
        <f t="shared" si="36"/>
        <v>359</v>
      </c>
      <c r="AE701" s="9" t="str" cm="1">
        <f t="array" ref="AE701">IFERROR(_xlfn.XLOOKUP(H701,Sheet1!$G:$G,Sheet1!$F:$F),IFERROR(_xlfn.XLOOKUP(1,(--($X$2:$X$1074=X701))*(--ISNUMBER(MATCH($H$2:$H$1074,Sheet1!$G:$G,0))),_xlfn.XLOOKUP($H$2:$H$1074,Sheet1!$G:$G,Sheet1!$F:$F,"")),"NOT FOUND"))</f>
        <v>RETKRTSFUT4322</v>
      </c>
      <c r="AF701" s="10" t="str">
        <f t="shared" si="41"/>
        <v>SKY BLUE</v>
      </c>
      <c r="AG701" s="11" t="str">
        <f t="shared" si="42"/>
        <v>Bangalore</v>
      </c>
      <c r="AH701" s="9" t="str">
        <f>IF(OR(J701="",AE701="",AE701="NOT FOUND"),"",IF(Y701="RP",IFERROR(LEFT(_xlfn.XLOOKUP(AE701,Sheet1!$F:$F,Sheet1!$W:$W),FIND("-",_xlfn.XLOOKUP(AE701,Sheet1!$F:$F,Sheet1!$W:$W),FIND("-",_xlfn.XLOOKUP(AE701,Sheet1!$F:$F,Sheet1!$W:$W))+1))&amp;AE701,"NOT FOUND"),LEFT(J701,FIND("-",J701,FIND("-",J701)+1))&amp;AE701))</f>
        <v>KRTS-APSU26-RETKRTSFUT4322</v>
      </c>
    </row>
    <row r="702" spans="1:34" ht="15.75" customHeight="1" x14ac:dyDescent="0.2">
      <c r="A702" s="4" t="s">
        <v>59</v>
      </c>
      <c r="B702" s="4" t="s">
        <v>951</v>
      </c>
      <c r="C702" s="4" t="s">
        <v>910</v>
      </c>
      <c r="D702" s="4" t="s">
        <v>598</v>
      </c>
      <c r="E702" s="4" t="s">
        <v>34</v>
      </c>
      <c r="F702" s="4" t="s">
        <v>35</v>
      </c>
      <c r="G702" s="4" t="s">
        <v>36</v>
      </c>
      <c r="H702" s="4" t="s">
        <v>932</v>
      </c>
      <c r="I702" s="4" t="s">
        <v>933</v>
      </c>
      <c r="J702" s="4" t="s">
        <v>934</v>
      </c>
      <c r="L702" s="4" t="s">
        <v>40</v>
      </c>
      <c r="M702" s="4">
        <v>1</v>
      </c>
      <c r="N702" s="4">
        <v>166</v>
      </c>
      <c r="O702" s="4">
        <v>166</v>
      </c>
      <c r="P702" s="4" t="s">
        <v>41</v>
      </c>
      <c r="Q702" s="4">
        <v>1621.5</v>
      </c>
      <c r="R702" s="4">
        <v>1621.5</v>
      </c>
      <c r="S702" s="4">
        <v>13458.45</v>
      </c>
      <c r="T702" s="4">
        <v>269169</v>
      </c>
      <c r="U702" s="4">
        <v>5</v>
      </c>
      <c r="V702" s="4" t="s">
        <v>42</v>
      </c>
      <c r="X702" s="7" t="str">
        <f t="shared" si="30"/>
        <v>441857193</v>
      </c>
      <c r="Y702" s="8" t="str">
        <f t="shared" si="31"/>
        <v>RP</v>
      </c>
      <c r="Z702" s="8">
        <f t="shared" si="32"/>
        <v>166</v>
      </c>
      <c r="AA702" s="8">
        <f t="shared" si="33"/>
        <v>166</v>
      </c>
      <c r="AB702" s="8">
        <f t="shared" si="34"/>
        <v>166</v>
      </c>
      <c r="AC702" s="8">
        <f t="shared" si="35"/>
        <v>166</v>
      </c>
      <c r="AD702" s="8">
        <f t="shared" si="36"/>
        <v>166</v>
      </c>
      <c r="AE702" s="9" t="str" cm="1">
        <f t="array" ref="AE702">IFERROR(_xlfn.XLOOKUP(H702,Sheet1!$G:$G,Sheet1!$F:$F),IFERROR(_xlfn.XLOOKUP(1,(--($X$2:$X$1074=X702))*(--ISNUMBER(MATCH($H$2:$H$1074,Sheet1!$G:$G,0))),_xlfn.XLOOKUP($H$2:$H$1074,Sheet1!$G:$G,Sheet1!$F:$F,"")),"NOT FOUND"))</f>
        <v>RETKRTSFUT4332</v>
      </c>
      <c r="AF702" s="10" t="str">
        <f t="shared" si="41"/>
        <v>LIME GREEN</v>
      </c>
      <c r="AG702" s="11" t="str">
        <f t="shared" si="42"/>
        <v>JHAJJAR</v>
      </c>
      <c r="AH702" s="9" t="str">
        <f>IF(OR(J702="",AE702="",AE702="NOT FOUND"),"",IF(Y702="RP",IFERROR(LEFT(_xlfn.XLOOKUP(AE702,Sheet1!$F:$F,Sheet1!$W:$W),FIND("-",_xlfn.XLOOKUP(AE702,Sheet1!$F:$F,Sheet1!$W:$W),FIND("-",_xlfn.XLOOKUP(AE702,Sheet1!$F:$F,Sheet1!$W:$W))+1))&amp;AE702,"NOT FOUND"),LEFT(J702,FIND("-",J702,FIND("-",J702)+1))&amp;AE702))</f>
        <v>KRTS-APSU26-RETKRTSFUT4332</v>
      </c>
    </row>
    <row r="703" spans="1:34" ht="15.75" customHeight="1" x14ac:dyDescent="0.2">
      <c r="A703" s="4" t="s">
        <v>59</v>
      </c>
      <c r="B703" s="4" t="s">
        <v>952</v>
      </c>
      <c r="C703" s="4" t="s">
        <v>910</v>
      </c>
      <c r="D703" s="4" t="s">
        <v>598</v>
      </c>
      <c r="E703" s="4" t="s">
        <v>34</v>
      </c>
      <c r="F703" s="4" t="s">
        <v>35</v>
      </c>
      <c r="G703" s="4" t="s">
        <v>36</v>
      </c>
      <c r="H703" s="4" t="s">
        <v>953</v>
      </c>
      <c r="I703" s="4" t="s">
        <v>954</v>
      </c>
      <c r="J703" s="4" t="s">
        <v>955</v>
      </c>
      <c r="L703" s="4" t="s">
        <v>40</v>
      </c>
      <c r="M703" s="4">
        <v>1</v>
      </c>
      <c r="N703" s="4">
        <v>203</v>
      </c>
      <c r="O703" s="4">
        <v>203</v>
      </c>
      <c r="P703" s="4" t="s">
        <v>41</v>
      </c>
      <c r="Q703" s="4">
        <v>1321.5</v>
      </c>
      <c r="R703" s="4">
        <v>1321.5</v>
      </c>
      <c r="S703" s="4">
        <v>13413.23</v>
      </c>
      <c r="T703" s="4">
        <v>268264.5</v>
      </c>
      <c r="U703" s="4">
        <v>5</v>
      </c>
      <c r="V703" s="4" t="s">
        <v>42</v>
      </c>
      <c r="X703" s="7" t="str">
        <f t="shared" si="30"/>
        <v>441857186</v>
      </c>
      <c r="Y703" s="8" t="str">
        <f t="shared" si="31"/>
        <v>RP</v>
      </c>
      <c r="Z703" s="8">
        <f t="shared" si="32"/>
        <v>203</v>
      </c>
      <c r="AA703" s="8">
        <f t="shared" si="33"/>
        <v>203</v>
      </c>
      <c r="AB703" s="8">
        <f t="shared" si="34"/>
        <v>203</v>
      </c>
      <c r="AC703" s="8">
        <f t="shared" si="35"/>
        <v>203</v>
      </c>
      <c r="AD703" s="8">
        <f t="shared" si="36"/>
        <v>203</v>
      </c>
      <c r="AE703" s="9" t="str" cm="1">
        <f t="array" ref="AE703">IFERROR(_xlfn.XLOOKUP(H703,Sheet1!$G:$G,Sheet1!$F:$F),IFERROR(_xlfn.XLOOKUP(1,(--($X$2:$X$1074=X703))*(--ISNUMBER(MATCH($H$2:$H$1074,Sheet1!$G:$G,0))),_xlfn.XLOOKUP($H$2:$H$1074,Sheet1!$G:$G,Sheet1!$F:$F,"")),"NOT FOUND"))</f>
        <v>RETKRTSFUT4315</v>
      </c>
      <c r="AF703" s="10" t="str">
        <f t="shared" si="41"/>
        <v>CREAM</v>
      </c>
      <c r="AG703" s="11" t="str">
        <f t="shared" si="42"/>
        <v>JHAJJAR</v>
      </c>
      <c r="AH703" s="9" t="str">
        <f>IF(OR(J703="",AE703="",AE703="NOT FOUND"),"",IF(Y703="RP",IFERROR(LEFT(_xlfn.XLOOKUP(AE703,Sheet1!$F:$F,Sheet1!$W:$W),FIND("-",_xlfn.XLOOKUP(AE703,Sheet1!$F:$F,Sheet1!$W:$W),FIND("-",_xlfn.XLOOKUP(AE703,Sheet1!$F:$F,Sheet1!$W:$W))+1))&amp;AE703,"NOT FOUND"),LEFT(J703,FIND("-",J703,FIND("-",J703)+1))&amp;AE703))</f>
        <v>KRTS-APSU26-RETKRTSFUT4315</v>
      </c>
    </row>
    <row r="704" spans="1:34" ht="15.75" customHeight="1" x14ac:dyDescent="0.2">
      <c r="A704" s="4" t="s">
        <v>59</v>
      </c>
      <c r="B704" s="4" t="s">
        <v>956</v>
      </c>
      <c r="C704" s="4" t="s">
        <v>910</v>
      </c>
      <c r="D704" s="4" t="s">
        <v>598</v>
      </c>
      <c r="E704" s="4" t="s">
        <v>34</v>
      </c>
      <c r="F704" s="4" t="s">
        <v>35</v>
      </c>
      <c r="G704" s="4" t="s">
        <v>36</v>
      </c>
      <c r="H704" s="4" t="s">
        <v>948</v>
      </c>
      <c r="I704" s="4" t="s">
        <v>949</v>
      </c>
      <c r="J704" s="4" t="s">
        <v>950</v>
      </c>
      <c r="L704" s="4" t="s">
        <v>40</v>
      </c>
      <c r="M704" s="4">
        <v>1</v>
      </c>
      <c r="N704" s="4">
        <v>203</v>
      </c>
      <c r="O704" s="4">
        <v>203</v>
      </c>
      <c r="P704" s="4" t="s">
        <v>41</v>
      </c>
      <c r="Q704" s="4">
        <v>1321.5</v>
      </c>
      <c r="R704" s="4">
        <v>1321.5</v>
      </c>
      <c r="S704" s="4">
        <v>13413.23</v>
      </c>
      <c r="T704" s="4">
        <v>268264.5</v>
      </c>
      <c r="U704" s="4">
        <v>5</v>
      </c>
      <c r="V704" s="4" t="s">
        <v>42</v>
      </c>
      <c r="X704" s="7" t="str">
        <f t="shared" si="30"/>
        <v>441857189</v>
      </c>
      <c r="Y704" s="8" t="str">
        <f t="shared" si="31"/>
        <v>RP</v>
      </c>
      <c r="Z704" s="8">
        <f t="shared" si="32"/>
        <v>203</v>
      </c>
      <c r="AA704" s="8">
        <f t="shared" si="33"/>
        <v>203</v>
      </c>
      <c r="AB704" s="8">
        <f t="shared" si="34"/>
        <v>203</v>
      </c>
      <c r="AC704" s="8">
        <f t="shared" si="35"/>
        <v>203</v>
      </c>
      <c r="AD704" s="8">
        <f t="shared" si="36"/>
        <v>203</v>
      </c>
      <c r="AE704" s="9" t="str" cm="1">
        <f t="array" ref="AE704">IFERROR(_xlfn.XLOOKUP(H704,Sheet1!$G:$G,Sheet1!$F:$F),IFERROR(_xlfn.XLOOKUP(1,(--($X$2:$X$1074=X704))*(--ISNUMBER(MATCH($H$2:$H$1074,Sheet1!$G:$G,0))),_xlfn.XLOOKUP($H$2:$H$1074,Sheet1!$G:$G,Sheet1!$F:$F,"")),"NOT FOUND"))</f>
        <v>RETKRTSFUT4322</v>
      </c>
      <c r="AF704" s="10" t="str">
        <f t="shared" si="41"/>
        <v>SKY BLUE</v>
      </c>
      <c r="AG704" s="11" t="str">
        <f t="shared" si="42"/>
        <v>JHAJJAR</v>
      </c>
      <c r="AH704" s="9" t="str">
        <f>IF(OR(J704="",AE704="",AE704="NOT FOUND"),"",IF(Y704="RP",IFERROR(LEFT(_xlfn.XLOOKUP(AE704,Sheet1!$F:$F,Sheet1!$W:$W),FIND("-",_xlfn.XLOOKUP(AE704,Sheet1!$F:$F,Sheet1!$W:$W),FIND("-",_xlfn.XLOOKUP(AE704,Sheet1!$F:$F,Sheet1!$W:$W))+1))&amp;AE704,"NOT FOUND"),LEFT(J704,FIND("-",J704,FIND("-",J704)+1))&amp;AE704))</f>
        <v>KRTS-APSU26-RETKRTSFUT4322</v>
      </c>
    </row>
    <row r="705" spans="1:34" ht="15.75" customHeight="1" x14ac:dyDescent="0.2">
      <c r="A705" s="4" t="s">
        <v>59</v>
      </c>
      <c r="B705" s="4" t="s">
        <v>957</v>
      </c>
      <c r="C705" s="4" t="s">
        <v>910</v>
      </c>
      <c r="D705" s="4" t="s">
        <v>598</v>
      </c>
      <c r="E705" s="4" t="s">
        <v>34</v>
      </c>
      <c r="F705" s="4" t="s">
        <v>35</v>
      </c>
      <c r="G705" s="4" t="s">
        <v>36</v>
      </c>
      <c r="H705" s="4" t="s">
        <v>958</v>
      </c>
      <c r="I705" s="4" t="s">
        <v>959</v>
      </c>
      <c r="J705" s="4" t="s">
        <v>960</v>
      </c>
      <c r="L705" s="4" t="s">
        <v>40</v>
      </c>
      <c r="M705" s="4">
        <v>1</v>
      </c>
      <c r="N705" s="4">
        <v>203</v>
      </c>
      <c r="O705" s="4">
        <v>203</v>
      </c>
      <c r="P705" s="4" t="s">
        <v>41</v>
      </c>
      <c r="Q705" s="4">
        <v>1371.5</v>
      </c>
      <c r="R705" s="4">
        <v>1371.5</v>
      </c>
      <c r="S705" s="4">
        <v>13920.73</v>
      </c>
      <c r="T705" s="4">
        <v>278414.5</v>
      </c>
      <c r="U705" s="4">
        <v>5</v>
      </c>
      <c r="V705" s="4" t="s">
        <v>42</v>
      </c>
      <c r="X705" s="7" t="str">
        <f t="shared" si="30"/>
        <v>441857184</v>
      </c>
      <c r="Y705" s="8" t="str">
        <f t="shared" si="31"/>
        <v>RP</v>
      </c>
      <c r="Z705" s="8">
        <f t="shared" si="32"/>
        <v>203</v>
      </c>
      <c r="AA705" s="8">
        <f t="shared" si="33"/>
        <v>203</v>
      </c>
      <c r="AB705" s="8">
        <f t="shared" si="34"/>
        <v>203</v>
      </c>
      <c r="AC705" s="8">
        <f t="shared" si="35"/>
        <v>203</v>
      </c>
      <c r="AD705" s="8">
        <f t="shared" si="36"/>
        <v>203</v>
      </c>
      <c r="AE705" s="9" t="str" cm="1">
        <f t="array" ref="AE705">IFERROR(_xlfn.XLOOKUP(H705,Sheet1!$G:$G,Sheet1!$F:$F),IFERROR(_xlfn.XLOOKUP(1,(--($X$2:$X$1074=X705))*(--ISNUMBER(MATCH($H$2:$H$1074,Sheet1!$G:$G,0))),_xlfn.XLOOKUP($H$2:$H$1074,Sheet1!$G:$G,Sheet1!$F:$F,"")),"NOT FOUND"))</f>
        <v>RETKRTSF04311</v>
      </c>
      <c r="AF705" s="10" t="str">
        <f t="shared" si="41"/>
        <v>CORAL</v>
      </c>
      <c r="AG705" s="11" t="str">
        <f t="shared" si="42"/>
        <v>JHAJJAR</v>
      </c>
      <c r="AH705" s="9" t="str">
        <f>IF(OR(J705="",AE705="",AE705="NOT FOUND"),"",IF(Y705="RP",IFERROR(LEFT(_xlfn.XLOOKUP(AE705,Sheet1!$F:$F,Sheet1!$W:$W),FIND("-",_xlfn.XLOOKUP(AE705,Sheet1!$F:$F,Sheet1!$W:$W),FIND("-",_xlfn.XLOOKUP(AE705,Sheet1!$F:$F,Sheet1!$W:$W))+1))&amp;AE705,"NOT FOUND"),LEFT(J705,FIND("-",J705,FIND("-",J705)+1))&amp;AE705))</f>
        <v>KRTS-APSU26-RETKRTSF04311</v>
      </c>
    </row>
    <row r="706" spans="1:34" ht="15.75" customHeight="1" x14ac:dyDescent="0.2">
      <c r="A706" s="4" t="s">
        <v>59</v>
      </c>
      <c r="B706" s="4" t="s">
        <v>961</v>
      </c>
      <c r="C706" s="4" t="s">
        <v>910</v>
      </c>
      <c r="D706" s="4" t="s">
        <v>598</v>
      </c>
      <c r="E706" s="4" t="s">
        <v>34</v>
      </c>
      <c r="F706" s="4" t="s">
        <v>35</v>
      </c>
      <c r="G706" s="4" t="s">
        <v>36</v>
      </c>
      <c r="H706" s="4" t="s">
        <v>940</v>
      </c>
      <c r="I706" s="4" t="s">
        <v>941</v>
      </c>
      <c r="J706" s="4" t="s">
        <v>942</v>
      </c>
      <c r="L706" s="4" t="s">
        <v>40</v>
      </c>
      <c r="M706" s="4">
        <v>1</v>
      </c>
      <c r="N706" s="4">
        <v>203</v>
      </c>
      <c r="O706" s="4">
        <v>203</v>
      </c>
      <c r="P706" s="4" t="s">
        <v>41</v>
      </c>
      <c r="Q706" s="4">
        <v>1321.5</v>
      </c>
      <c r="R706" s="4">
        <v>1321.5</v>
      </c>
      <c r="S706" s="4">
        <v>13413.23</v>
      </c>
      <c r="T706" s="4">
        <v>268264.5</v>
      </c>
      <c r="U706" s="4">
        <v>5</v>
      </c>
      <c r="V706" s="4" t="s">
        <v>42</v>
      </c>
      <c r="X706" s="7" t="str">
        <f t="shared" si="30"/>
        <v>441857187</v>
      </c>
      <c r="Y706" s="8" t="str">
        <f t="shared" si="31"/>
        <v>RP</v>
      </c>
      <c r="Z706" s="8">
        <f t="shared" si="32"/>
        <v>203</v>
      </c>
      <c r="AA706" s="8">
        <f t="shared" si="33"/>
        <v>203</v>
      </c>
      <c r="AB706" s="8">
        <f t="shared" si="34"/>
        <v>203</v>
      </c>
      <c r="AC706" s="8">
        <f t="shared" si="35"/>
        <v>203</v>
      </c>
      <c r="AD706" s="8">
        <f t="shared" si="36"/>
        <v>203</v>
      </c>
      <c r="AE706" s="9" t="str" cm="1">
        <f t="array" ref="AE706">IFERROR(_xlfn.XLOOKUP(H706,Sheet1!$G:$G,Sheet1!$F:$F),IFERROR(_xlfn.XLOOKUP(1,(--($X$2:$X$1074=X706))*(--ISNUMBER(MATCH($H$2:$H$1074,Sheet1!$G:$G,0))),_xlfn.XLOOKUP($H$2:$H$1074,Sheet1!$G:$G,Sheet1!$F:$F,"")),"NOT FOUND"))</f>
        <v>RETKRTSFUT4316</v>
      </c>
      <c r="AF706" s="10" t="str">
        <f t="shared" si="41"/>
        <v>FUCHSIA</v>
      </c>
      <c r="AG706" s="11" t="str">
        <f t="shared" si="42"/>
        <v>JHAJJAR</v>
      </c>
      <c r="AH706" s="9" t="str">
        <f>IF(OR(J706="",AE706="",AE706="NOT FOUND"),"",IF(Y706="RP",IFERROR(LEFT(_xlfn.XLOOKUP(AE706,Sheet1!$F:$F,Sheet1!$W:$W),FIND("-",_xlfn.XLOOKUP(AE706,Sheet1!$F:$F,Sheet1!$W:$W),FIND("-",_xlfn.XLOOKUP(AE706,Sheet1!$F:$F,Sheet1!$W:$W))+1))&amp;AE706,"NOT FOUND"),LEFT(J706,FIND("-",J706,FIND("-",J706)+1))&amp;AE706))</f>
        <v>KRTS-APSU26-RETKRTSFUT4316</v>
      </c>
    </row>
    <row r="707" spans="1:34" ht="15.75" customHeight="1" x14ac:dyDescent="0.2">
      <c r="A707" s="4" t="s">
        <v>59</v>
      </c>
      <c r="B707" s="4" t="s">
        <v>962</v>
      </c>
      <c r="C707" s="4" t="s">
        <v>910</v>
      </c>
      <c r="D707" s="4" t="s">
        <v>598</v>
      </c>
      <c r="E707" s="4" t="s">
        <v>34</v>
      </c>
      <c r="F707" s="4" t="s">
        <v>35</v>
      </c>
      <c r="G707" s="4" t="s">
        <v>36</v>
      </c>
      <c r="H707" s="4" t="s">
        <v>963</v>
      </c>
      <c r="I707" s="4" t="s">
        <v>964</v>
      </c>
      <c r="J707" s="4" t="s">
        <v>965</v>
      </c>
      <c r="L707" s="4" t="s">
        <v>40</v>
      </c>
      <c r="M707" s="4">
        <v>1</v>
      </c>
      <c r="N707" s="4">
        <v>203</v>
      </c>
      <c r="O707" s="4">
        <v>203</v>
      </c>
      <c r="P707" s="4" t="s">
        <v>41</v>
      </c>
      <c r="Q707" s="4">
        <v>1321.5</v>
      </c>
      <c r="R707" s="4">
        <v>1321.5</v>
      </c>
      <c r="S707" s="4">
        <v>13413.23</v>
      </c>
      <c r="T707" s="4">
        <v>268264.5</v>
      </c>
      <c r="U707" s="4">
        <v>5</v>
      </c>
      <c r="V707" s="4" t="s">
        <v>42</v>
      </c>
      <c r="X707" s="7" t="str">
        <f t="shared" si="30"/>
        <v>441857185</v>
      </c>
      <c r="Y707" s="8" t="str">
        <f t="shared" si="31"/>
        <v>RP</v>
      </c>
      <c r="Z707" s="8">
        <f t="shared" si="32"/>
        <v>203</v>
      </c>
      <c r="AA707" s="8">
        <f t="shared" si="33"/>
        <v>203</v>
      </c>
      <c r="AB707" s="8">
        <f t="shared" si="34"/>
        <v>203</v>
      </c>
      <c r="AC707" s="8">
        <f t="shared" si="35"/>
        <v>203</v>
      </c>
      <c r="AD707" s="8">
        <f t="shared" si="36"/>
        <v>203</v>
      </c>
      <c r="AE707" s="9" t="str" cm="1">
        <f t="array" ref="AE707">IFERROR(_xlfn.XLOOKUP(H707,Sheet1!$G:$G,Sheet1!$F:$F),IFERROR(_xlfn.XLOOKUP(1,(--($X$2:$X$1074=X707))*(--ISNUMBER(MATCH($H$2:$H$1074,Sheet1!$G:$G,0))),_xlfn.XLOOKUP($H$2:$H$1074,Sheet1!$G:$G,Sheet1!$F:$F,"")),"NOT FOUND"))</f>
        <v>RETKRTSFUT4314</v>
      </c>
      <c r="AF707" s="10" t="str">
        <f t="shared" ref="AF707:AF770" si="43">IFERROR(IF(ISNUMBER(SEARCH("(RP)",J707)),TRIM(SUBSTITUTE(MID(J707,10,LEN(J707)),"(RP)","")),TRIM(MID(J707,FIND(",",J707)+1,FIND(",",J707,FIND(",",J707)+1)-FIND(",",J707)-1))),"")</f>
        <v>BLUE</v>
      </c>
      <c r="AG707" s="11" t="str">
        <f t="shared" ref="AG707:AG770" si="44">IF(A707="SZAF","Bangalore",IF(A707="SAEX","JHAJJAR",IF(A707="S0EU","HARIPAL","")))</f>
        <v>JHAJJAR</v>
      </c>
      <c r="AH707" s="9" t="str">
        <f>IF(OR(J707="",AE707="",AE707="NOT FOUND"),"",IF(Y707="RP",IFERROR(LEFT(_xlfn.XLOOKUP(AE707,Sheet1!$F:$F,Sheet1!$W:$W),FIND("-",_xlfn.XLOOKUP(AE707,Sheet1!$F:$F,Sheet1!$W:$W),FIND("-",_xlfn.XLOOKUP(AE707,Sheet1!$F:$F,Sheet1!$W:$W))+1))&amp;AE707,"NOT FOUND"),LEFT(J707,FIND("-",J707,FIND("-",J707)+1))&amp;AE707))</f>
        <v>KRTS-APSU26-RETKRTSFUT4314</v>
      </c>
    </row>
    <row r="708" spans="1:34" ht="15.75" customHeight="1" x14ac:dyDescent="0.2">
      <c r="A708" s="4" t="s">
        <v>61</v>
      </c>
      <c r="B708" s="4" t="s">
        <v>966</v>
      </c>
      <c r="C708" s="4" t="s">
        <v>910</v>
      </c>
      <c r="D708" s="4" t="s">
        <v>598</v>
      </c>
      <c r="E708" s="4" t="s">
        <v>34</v>
      </c>
      <c r="F708" s="4" t="s">
        <v>35</v>
      </c>
      <c r="G708" s="4" t="s">
        <v>36</v>
      </c>
      <c r="H708" s="4" t="s">
        <v>967</v>
      </c>
      <c r="I708" s="4" t="s">
        <v>968</v>
      </c>
      <c r="J708" s="4" t="s">
        <v>969</v>
      </c>
      <c r="L708" s="4" t="s">
        <v>40</v>
      </c>
      <c r="M708" s="4">
        <v>1</v>
      </c>
      <c r="N708" s="4">
        <v>208</v>
      </c>
      <c r="O708" s="4">
        <v>208</v>
      </c>
      <c r="P708" s="4" t="s">
        <v>41</v>
      </c>
      <c r="Q708" s="4">
        <v>1321.5</v>
      </c>
      <c r="R708" s="4">
        <v>1321.5</v>
      </c>
      <c r="S708" s="4">
        <v>13743.6</v>
      </c>
      <c r="T708" s="4">
        <v>274872</v>
      </c>
      <c r="U708" s="4">
        <v>5</v>
      </c>
      <c r="V708" s="4" t="s">
        <v>42</v>
      </c>
      <c r="X708" s="7" t="str">
        <f t="shared" si="30"/>
        <v>441857192</v>
      </c>
      <c r="Y708" s="8" t="str">
        <f t="shared" si="31"/>
        <v>RP</v>
      </c>
      <c r="Z708" s="8">
        <f t="shared" si="32"/>
        <v>208</v>
      </c>
      <c r="AA708" s="8">
        <f t="shared" si="33"/>
        <v>208</v>
      </c>
      <c r="AB708" s="8">
        <f t="shared" si="34"/>
        <v>208</v>
      </c>
      <c r="AC708" s="8">
        <f t="shared" si="35"/>
        <v>208</v>
      </c>
      <c r="AD708" s="8">
        <f t="shared" si="36"/>
        <v>208</v>
      </c>
      <c r="AE708" s="9" t="str" cm="1">
        <f t="array" ref="AE708">IFERROR(_xlfn.XLOOKUP(H708,Sheet1!$G:$G,Sheet1!$F:$F),IFERROR(_xlfn.XLOOKUP(1,(--($X$2:$X$1074=X708))*(--ISNUMBER(MATCH($H$2:$H$1074,Sheet1!$G:$G,0))),_xlfn.XLOOKUP($H$2:$H$1074,Sheet1!$G:$G,Sheet1!$F:$F,"")),"NOT FOUND"))</f>
        <v>RETKRTSFUT4331</v>
      </c>
      <c r="AF708" s="10" t="str">
        <f t="shared" si="43"/>
        <v>LIME GREEN</v>
      </c>
      <c r="AG708" s="11" t="str">
        <f t="shared" si="44"/>
        <v>HARIPAL</v>
      </c>
      <c r="AH708" s="9" t="str">
        <f>IF(OR(J708="",AE708="",AE708="NOT FOUND"),"",IF(Y708="RP",IFERROR(LEFT(_xlfn.XLOOKUP(AE708,Sheet1!$F:$F,Sheet1!$W:$W),FIND("-",_xlfn.XLOOKUP(AE708,Sheet1!$F:$F,Sheet1!$W:$W),FIND("-",_xlfn.XLOOKUP(AE708,Sheet1!$F:$F,Sheet1!$W:$W))+1))&amp;AE708,"NOT FOUND"),LEFT(J708,FIND("-",J708,FIND("-",J708)+1))&amp;AE708))</f>
        <v>KRTS-APSU26-RETKRTSFUT4331</v>
      </c>
    </row>
    <row r="709" spans="1:34" ht="15.75" customHeight="1" x14ac:dyDescent="0.2">
      <c r="A709" s="4" t="s">
        <v>61</v>
      </c>
      <c r="B709" s="4" t="s">
        <v>970</v>
      </c>
      <c r="C709" s="4" t="s">
        <v>910</v>
      </c>
      <c r="D709" s="4" t="s">
        <v>598</v>
      </c>
      <c r="E709" s="4" t="s">
        <v>34</v>
      </c>
      <c r="F709" s="4" t="s">
        <v>35</v>
      </c>
      <c r="G709" s="4" t="s">
        <v>36</v>
      </c>
      <c r="H709" s="4" t="s">
        <v>940</v>
      </c>
      <c r="I709" s="4" t="s">
        <v>941</v>
      </c>
      <c r="J709" s="4" t="s">
        <v>942</v>
      </c>
      <c r="L709" s="4" t="s">
        <v>40</v>
      </c>
      <c r="M709" s="4">
        <v>1</v>
      </c>
      <c r="N709" s="4">
        <v>208</v>
      </c>
      <c r="O709" s="4">
        <v>208</v>
      </c>
      <c r="P709" s="4" t="s">
        <v>41</v>
      </c>
      <c r="Q709" s="4">
        <v>1321.5</v>
      </c>
      <c r="R709" s="4">
        <v>1321.5</v>
      </c>
      <c r="S709" s="4">
        <v>13743.6</v>
      </c>
      <c r="T709" s="4">
        <v>274872</v>
      </c>
      <c r="U709" s="4">
        <v>5</v>
      </c>
      <c r="V709" s="4" t="s">
        <v>42</v>
      </c>
      <c r="X709" s="7" t="str">
        <f t="shared" si="30"/>
        <v>441857187</v>
      </c>
      <c r="Y709" s="8" t="str">
        <f t="shared" si="31"/>
        <v>RP</v>
      </c>
      <c r="Z709" s="8">
        <f t="shared" si="32"/>
        <v>208</v>
      </c>
      <c r="AA709" s="8">
        <f t="shared" si="33"/>
        <v>208</v>
      </c>
      <c r="AB709" s="8">
        <f t="shared" si="34"/>
        <v>208</v>
      </c>
      <c r="AC709" s="8">
        <f t="shared" si="35"/>
        <v>208</v>
      </c>
      <c r="AD709" s="8">
        <f t="shared" si="36"/>
        <v>208</v>
      </c>
      <c r="AE709" s="9" t="str" cm="1">
        <f t="array" ref="AE709">IFERROR(_xlfn.XLOOKUP(H709,Sheet1!$G:$G,Sheet1!$F:$F),IFERROR(_xlfn.XLOOKUP(1,(--($X$2:$X$1074=X709))*(--ISNUMBER(MATCH($H$2:$H$1074,Sheet1!$G:$G,0))),_xlfn.XLOOKUP($H$2:$H$1074,Sheet1!$G:$G,Sheet1!$F:$F,"")),"NOT FOUND"))</f>
        <v>RETKRTSFUT4316</v>
      </c>
      <c r="AF709" s="10" t="str">
        <f t="shared" si="43"/>
        <v>FUCHSIA</v>
      </c>
      <c r="AG709" s="11" t="str">
        <f t="shared" si="44"/>
        <v>HARIPAL</v>
      </c>
      <c r="AH709" s="9" t="str">
        <f>IF(OR(J709="",AE709="",AE709="NOT FOUND"),"",IF(Y709="RP",IFERROR(LEFT(_xlfn.XLOOKUP(AE709,Sheet1!$F:$F,Sheet1!$W:$W),FIND("-",_xlfn.XLOOKUP(AE709,Sheet1!$F:$F,Sheet1!$W:$W),FIND("-",_xlfn.XLOOKUP(AE709,Sheet1!$F:$F,Sheet1!$W:$W))+1))&amp;AE709,"NOT FOUND"),LEFT(J709,FIND("-",J709,FIND("-",J709)+1))&amp;AE709))</f>
        <v>KRTS-APSU26-RETKRTSFUT4316</v>
      </c>
    </row>
    <row r="710" spans="1:34" ht="15.75" customHeight="1" x14ac:dyDescent="0.2">
      <c r="A710" s="4" t="s">
        <v>61</v>
      </c>
      <c r="B710" s="4" t="s">
        <v>971</v>
      </c>
      <c r="C710" s="4" t="s">
        <v>910</v>
      </c>
      <c r="D710" s="4" t="s">
        <v>598</v>
      </c>
      <c r="E710" s="4" t="s">
        <v>34</v>
      </c>
      <c r="F710" s="4" t="s">
        <v>35</v>
      </c>
      <c r="G710" s="4" t="s">
        <v>36</v>
      </c>
      <c r="H710" s="4" t="s">
        <v>972</v>
      </c>
      <c r="I710" s="4" t="s">
        <v>973</v>
      </c>
      <c r="J710" s="4" t="s">
        <v>974</v>
      </c>
      <c r="L710" s="4" t="s">
        <v>40</v>
      </c>
      <c r="M710" s="4">
        <v>1</v>
      </c>
      <c r="N710" s="4">
        <v>208</v>
      </c>
      <c r="O710" s="4">
        <v>208</v>
      </c>
      <c r="P710" s="4" t="s">
        <v>41</v>
      </c>
      <c r="Q710" s="4">
        <v>1396.5</v>
      </c>
      <c r="R710" s="4">
        <v>1396.5</v>
      </c>
      <c r="S710" s="4">
        <v>14523.6</v>
      </c>
      <c r="T710" s="4">
        <v>290472</v>
      </c>
      <c r="U710" s="4">
        <v>5</v>
      </c>
      <c r="V710" s="4" t="s">
        <v>42</v>
      </c>
      <c r="X710" s="7" t="str">
        <f t="shared" si="30"/>
        <v>441857190</v>
      </c>
      <c r="Y710" s="8" t="str">
        <f t="shared" si="31"/>
        <v>RP</v>
      </c>
      <c r="Z710" s="8">
        <f t="shared" si="32"/>
        <v>208</v>
      </c>
      <c r="AA710" s="8">
        <f t="shared" si="33"/>
        <v>208</v>
      </c>
      <c r="AB710" s="8">
        <f t="shared" si="34"/>
        <v>208</v>
      </c>
      <c r="AC710" s="8">
        <f t="shared" si="35"/>
        <v>208</v>
      </c>
      <c r="AD710" s="8">
        <f t="shared" si="36"/>
        <v>208</v>
      </c>
      <c r="AE710" s="9" t="str" cm="1">
        <f t="array" ref="AE710">IFERROR(_xlfn.XLOOKUP(H710,Sheet1!$G:$G,Sheet1!$F:$F),IFERROR(_xlfn.XLOOKUP(1,(--($X$2:$X$1074=X710))*(--ISNUMBER(MATCH($H$2:$H$1074,Sheet1!$G:$G,0))),_xlfn.XLOOKUP($H$2:$H$1074,Sheet1!$G:$G,Sheet1!$F:$F,"")),"NOT FOUND"))</f>
        <v>RETKRTSFUT4329</v>
      </c>
      <c r="AF710" s="10" t="str">
        <f t="shared" si="43"/>
        <v>GREEN</v>
      </c>
      <c r="AG710" s="11" t="str">
        <f t="shared" si="44"/>
        <v>HARIPAL</v>
      </c>
      <c r="AH710" s="9" t="str">
        <f>IF(OR(J710="",AE710="",AE710="NOT FOUND"),"",IF(Y710="RP",IFERROR(LEFT(_xlfn.XLOOKUP(AE710,Sheet1!$F:$F,Sheet1!$W:$W),FIND("-",_xlfn.XLOOKUP(AE710,Sheet1!$F:$F,Sheet1!$W:$W),FIND("-",_xlfn.XLOOKUP(AE710,Sheet1!$F:$F,Sheet1!$W:$W))+1))&amp;AE710,"NOT FOUND"),LEFT(J710,FIND("-",J710,FIND("-",J710)+1))&amp;AE710))</f>
        <v>KRTS-APSU26-RETKRTSFUT4329</v>
      </c>
    </row>
    <row r="711" spans="1:34" ht="15.75" customHeight="1" x14ac:dyDescent="0.2">
      <c r="A711" s="4" t="s">
        <v>61</v>
      </c>
      <c r="B711" s="4" t="s">
        <v>975</v>
      </c>
      <c r="C711" s="4" t="s">
        <v>910</v>
      </c>
      <c r="D711" s="4" t="s">
        <v>598</v>
      </c>
      <c r="E711" s="4" t="s">
        <v>34</v>
      </c>
      <c r="F711" s="4" t="s">
        <v>35</v>
      </c>
      <c r="G711" s="4" t="s">
        <v>36</v>
      </c>
      <c r="H711" s="4" t="s">
        <v>936</v>
      </c>
      <c r="I711" s="4" t="s">
        <v>937</v>
      </c>
      <c r="J711" s="4" t="s">
        <v>938</v>
      </c>
      <c r="L711" s="4" t="s">
        <v>40</v>
      </c>
      <c r="M711" s="4">
        <v>1</v>
      </c>
      <c r="N711" s="4">
        <v>208</v>
      </c>
      <c r="O711" s="4">
        <v>208</v>
      </c>
      <c r="P711" s="4" t="s">
        <v>41</v>
      </c>
      <c r="Q711" s="4">
        <v>1346.5</v>
      </c>
      <c r="R711" s="4">
        <v>1346.5</v>
      </c>
      <c r="S711" s="4">
        <v>14003.6</v>
      </c>
      <c r="T711" s="4">
        <v>280072</v>
      </c>
      <c r="U711" s="4">
        <v>5</v>
      </c>
      <c r="V711" s="4" t="s">
        <v>42</v>
      </c>
      <c r="X711" s="7" t="str">
        <f t="shared" si="30"/>
        <v>441857191</v>
      </c>
      <c r="Y711" s="8" t="str">
        <f t="shared" si="31"/>
        <v>RP</v>
      </c>
      <c r="Z711" s="8">
        <f t="shared" si="32"/>
        <v>208</v>
      </c>
      <c r="AA711" s="8">
        <f t="shared" si="33"/>
        <v>208</v>
      </c>
      <c r="AB711" s="8">
        <f t="shared" si="34"/>
        <v>208</v>
      </c>
      <c r="AC711" s="8">
        <f t="shared" si="35"/>
        <v>208</v>
      </c>
      <c r="AD711" s="8">
        <f t="shared" si="36"/>
        <v>208</v>
      </c>
      <c r="AE711" s="9" t="str" cm="1">
        <f t="array" ref="AE711">IFERROR(_xlfn.XLOOKUP(H711,Sheet1!$G:$G,Sheet1!$F:$F),IFERROR(_xlfn.XLOOKUP(1,(--($X$2:$X$1074=X711))*(--ISNUMBER(MATCH($H$2:$H$1074,Sheet1!$G:$G,0))),_xlfn.XLOOKUP($H$2:$H$1074,Sheet1!$G:$G,Sheet1!$F:$F,"")),"NOT FOUND"))</f>
        <v>RETKRTSFUT4330</v>
      </c>
      <c r="AF711" s="10" t="str">
        <f t="shared" si="43"/>
        <v>MAGENTA</v>
      </c>
      <c r="AG711" s="11" t="str">
        <f t="shared" si="44"/>
        <v>HARIPAL</v>
      </c>
      <c r="AH711" s="9" t="str">
        <f>IF(OR(J711="",AE711="",AE711="NOT FOUND"),"",IF(Y711="RP",IFERROR(LEFT(_xlfn.XLOOKUP(AE711,Sheet1!$F:$F,Sheet1!$W:$W),FIND("-",_xlfn.XLOOKUP(AE711,Sheet1!$F:$F,Sheet1!$W:$W),FIND("-",_xlfn.XLOOKUP(AE711,Sheet1!$F:$F,Sheet1!$W:$W))+1))&amp;AE711,"NOT FOUND"),LEFT(J711,FIND("-",J711,FIND("-",J711)+1))&amp;AE711))</f>
        <v>KRTS-APSU26-RETKRTSFUT4330</v>
      </c>
    </row>
    <row r="712" spans="1:34" ht="15.75" customHeight="1" x14ac:dyDescent="0.2">
      <c r="A712" s="4" t="s">
        <v>30</v>
      </c>
      <c r="B712" s="4" t="s">
        <v>976</v>
      </c>
      <c r="C712" s="4" t="s">
        <v>910</v>
      </c>
      <c r="D712" s="4" t="s">
        <v>598</v>
      </c>
      <c r="E712" s="4" t="s">
        <v>34</v>
      </c>
      <c r="F712" s="4" t="s">
        <v>35</v>
      </c>
      <c r="G712" s="4" t="s">
        <v>36</v>
      </c>
      <c r="H712" s="4" t="s">
        <v>967</v>
      </c>
      <c r="I712" s="4" t="s">
        <v>968</v>
      </c>
      <c r="J712" s="4" t="s">
        <v>969</v>
      </c>
      <c r="L712" s="4" t="s">
        <v>40</v>
      </c>
      <c r="M712" s="4">
        <v>1</v>
      </c>
      <c r="N712" s="4">
        <v>359</v>
      </c>
      <c r="O712" s="4">
        <v>359</v>
      </c>
      <c r="P712" s="4" t="s">
        <v>41</v>
      </c>
      <c r="Q712" s="4">
        <v>1321.5</v>
      </c>
      <c r="R712" s="4">
        <v>1321.5</v>
      </c>
      <c r="S712" s="4">
        <v>23720.93</v>
      </c>
      <c r="T712" s="4">
        <v>474418.5</v>
      </c>
      <c r="U712" s="4">
        <v>5</v>
      </c>
      <c r="V712" s="4" t="s">
        <v>42</v>
      </c>
      <c r="X712" s="7" t="str">
        <f t="shared" si="30"/>
        <v>441857192</v>
      </c>
      <c r="Y712" s="8" t="str">
        <f t="shared" si="31"/>
        <v>RP</v>
      </c>
      <c r="Z712" s="8">
        <f t="shared" si="32"/>
        <v>359</v>
      </c>
      <c r="AA712" s="8">
        <f t="shared" si="33"/>
        <v>359</v>
      </c>
      <c r="AB712" s="8">
        <f t="shared" si="34"/>
        <v>359</v>
      </c>
      <c r="AC712" s="8">
        <f t="shared" si="35"/>
        <v>359</v>
      </c>
      <c r="AD712" s="8">
        <f t="shared" si="36"/>
        <v>359</v>
      </c>
      <c r="AE712" s="9" t="str" cm="1">
        <f t="array" ref="AE712">IFERROR(_xlfn.XLOOKUP(H712,Sheet1!$G:$G,Sheet1!$F:$F),IFERROR(_xlfn.XLOOKUP(1,(--($X$2:$X$1074=X712))*(--ISNUMBER(MATCH($H$2:$H$1074,Sheet1!$G:$G,0))),_xlfn.XLOOKUP($H$2:$H$1074,Sheet1!$G:$G,Sheet1!$F:$F,"")),"NOT FOUND"))</f>
        <v>RETKRTSFUT4331</v>
      </c>
      <c r="AF712" s="10" t="str">
        <f t="shared" si="43"/>
        <v>LIME GREEN</v>
      </c>
      <c r="AG712" s="11" t="str">
        <f t="shared" si="44"/>
        <v>Bangalore</v>
      </c>
      <c r="AH712" s="9" t="str">
        <f>IF(OR(J712="",AE712="",AE712="NOT FOUND"),"",IF(Y712="RP",IFERROR(LEFT(_xlfn.XLOOKUP(AE712,Sheet1!$F:$F,Sheet1!$W:$W),FIND("-",_xlfn.XLOOKUP(AE712,Sheet1!$F:$F,Sheet1!$W:$W),FIND("-",_xlfn.XLOOKUP(AE712,Sheet1!$F:$F,Sheet1!$W:$W))+1))&amp;AE712,"NOT FOUND"),LEFT(J712,FIND("-",J712,FIND("-",J712)+1))&amp;AE712))</f>
        <v>KRTS-APSU26-RETKRTSFUT4331</v>
      </c>
    </row>
    <row r="713" spans="1:34" ht="15.75" customHeight="1" x14ac:dyDescent="0.2">
      <c r="A713" s="4" t="s">
        <v>59</v>
      </c>
      <c r="B713" s="4" t="s">
        <v>977</v>
      </c>
      <c r="C713" s="4" t="s">
        <v>910</v>
      </c>
      <c r="D713" s="4" t="s">
        <v>598</v>
      </c>
      <c r="E713" s="4" t="s">
        <v>34</v>
      </c>
      <c r="F713" s="4" t="s">
        <v>35</v>
      </c>
      <c r="G713" s="4" t="s">
        <v>36</v>
      </c>
      <c r="H713" s="4" t="s">
        <v>967</v>
      </c>
      <c r="I713" s="4" t="s">
        <v>968</v>
      </c>
      <c r="J713" s="4" t="s">
        <v>969</v>
      </c>
      <c r="L713" s="4" t="s">
        <v>40</v>
      </c>
      <c r="M713" s="4">
        <v>1</v>
      </c>
      <c r="N713" s="4">
        <v>203</v>
      </c>
      <c r="O713" s="4">
        <v>203</v>
      </c>
      <c r="P713" s="4" t="s">
        <v>41</v>
      </c>
      <c r="Q713" s="4">
        <v>1321.5</v>
      </c>
      <c r="R713" s="4">
        <v>1321.5</v>
      </c>
      <c r="S713" s="4">
        <v>13413.23</v>
      </c>
      <c r="T713" s="4">
        <v>268264.5</v>
      </c>
      <c r="U713" s="4">
        <v>5</v>
      </c>
      <c r="V713" s="4" t="s">
        <v>42</v>
      </c>
      <c r="X713" s="7" t="str">
        <f t="shared" si="30"/>
        <v>441857192</v>
      </c>
      <c r="Y713" s="8" t="str">
        <f t="shared" si="31"/>
        <v>RP</v>
      </c>
      <c r="Z713" s="8">
        <f t="shared" si="32"/>
        <v>203</v>
      </c>
      <c r="AA713" s="8">
        <f t="shared" si="33"/>
        <v>203</v>
      </c>
      <c r="AB713" s="8">
        <f t="shared" si="34"/>
        <v>203</v>
      </c>
      <c r="AC713" s="8">
        <f t="shared" si="35"/>
        <v>203</v>
      </c>
      <c r="AD713" s="8">
        <f t="shared" si="36"/>
        <v>203</v>
      </c>
      <c r="AE713" s="9" t="str" cm="1">
        <f t="array" ref="AE713">IFERROR(_xlfn.XLOOKUP(H713,Sheet1!$G:$G,Sheet1!$F:$F),IFERROR(_xlfn.XLOOKUP(1,(--($X$2:$X$1074=X713))*(--ISNUMBER(MATCH($H$2:$H$1074,Sheet1!$G:$G,0))),_xlfn.XLOOKUP($H$2:$H$1074,Sheet1!$G:$G,Sheet1!$F:$F,"")),"NOT FOUND"))</f>
        <v>RETKRTSFUT4331</v>
      </c>
      <c r="AF713" s="10" t="str">
        <f t="shared" si="43"/>
        <v>LIME GREEN</v>
      </c>
      <c r="AG713" s="11" t="str">
        <f t="shared" si="44"/>
        <v>JHAJJAR</v>
      </c>
      <c r="AH713" s="9" t="str">
        <f>IF(OR(J713="",AE713="",AE713="NOT FOUND"),"",IF(Y713="RP",IFERROR(LEFT(_xlfn.XLOOKUP(AE713,Sheet1!$F:$F,Sheet1!$W:$W),FIND("-",_xlfn.XLOOKUP(AE713,Sheet1!$F:$F,Sheet1!$W:$W),FIND("-",_xlfn.XLOOKUP(AE713,Sheet1!$F:$F,Sheet1!$W:$W))+1))&amp;AE713,"NOT FOUND"),LEFT(J713,FIND("-",J713,FIND("-",J713)+1))&amp;AE713))</f>
        <v>KRTS-APSU26-RETKRTSFUT4331</v>
      </c>
    </row>
    <row r="714" spans="1:34" ht="15.75" customHeight="1" x14ac:dyDescent="0.2">
      <c r="A714" s="4" t="s">
        <v>30</v>
      </c>
      <c r="B714" s="4" t="s">
        <v>978</v>
      </c>
      <c r="C714" s="4" t="s">
        <v>910</v>
      </c>
      <c r="D714" s="4" t="s">
        <v>598</v>
      </c>
      <c r="E714" s="4" t="s">
        <v>34</v>
      </c>
      <c r="F714" s="4" t="s">
        <v>35</v>
      </c>
      <c r="G714" s="4" t="s">
        <v>36</v>
      </c>
      <c r="H714" s="4" t="s">
        <v>953</v>
      </c>
      <c r="I714" s="4" t="s">
        <v>954</v>
      </c>
      <c r="J714" s="4" t="s">
        <v>955</v>
      </c>
      <c r="L714" s="4" t="s">
        <v>40</v>
      </c>
      <c r="M714" s="4">
        <v>1</v>
      </c>
      <c r="N714" s="4">
        <v>359</v>
      </c>
      <c r="O714" s="4">
        <v>359</v>
      </c>
      <c r="P714" s="4" t="s">
        <v>41</v>
      </c>
      <c r="Q714" s="4">
        <v>1321.5</v>
      </c>
      <c r="R714" s="4">
        <v>1321.5</v>
      </c>
      <c r="S714" s="4">
        <v>23720.93</v>
      </c>
      <c r="T714" s="4">
        <v>474418.5</v>
      </c>
      <c r="U714" s="4">
        <v>5</v>
      </c>
      <c r="V714" s="4" t="s">
        <v>42</v>
      </c>
      <c r="X714" s="7" t="str">
        <f t="shared" si="30"/>
        <v>441857186</v>
      </c>
      <c r="Y714" s="8" t="str">
        <f t="shared" si="31"/>
        <v>RP</v>
      </c>
      <c r="Z714" s="8">
        <f t="shared" si="32"/>
        <v>359</v>
      </c>
      <c r="AA714" s="8">
        <f t="shared" si="33"/>
        <v>359</v>
      </c>
      <c r="AB714" s="8">
        <f t="shared" si="34"/>
        <v>359</v>
      </c>
      <c r="AC714" s="8">
        <f t="shared" si="35"/>
        <v>359</v>
      </c>
      <c r="AD714" s="8">
        <f t="shared" si="36"/>
        <v>359</v>
      </c>
      <c r="AE714" s="9" t="str" cm="1">
        <f t="array" ref="AE714">IFERROR(_xlfn.XLOOKUP(H714,Sheet1!$G:$G,Sheet1!$F:$F),IFERROR(_xlfn.XLOOKUP(1,(--($X$2:$X$1074=X714))*(--ISNUMBER(MATCH($H$2:$H$1074,Sheet1!$G:$G,0))),_xlfn.XLOOKUP($H$2:$H$1074,Sheet1!$G:$G,Sheet1!$F:$F,"")),"NOT FOUND"))</f>
        <v>RETKRTSFUT4315</v>
      </c>
      <c r="AF714" s="10" t="str">
        <f t="shared" si="43"/>
        <v>CREAM</v>
      </c>
      <c r="AG714" s="11" t="str">
        <f t="shared" si="44"/>
        <v>Bangalore</v>
      </c>
      <c r="AH714" s="9" t="str">
        <f>IF(OR(J714="",AE714="",AE714="NOT FOUND"),"",IF(Y714="RP",IFERROR(LEFT(_xlfn.XLOOKUP(AE714,Sheet1!$F:$F,Sheet1!$W:$W),FIND("-",_xlfn.XLOOKUP(AE714,Sheet1!$F:$F,Sheet1!$W:$W),FIND("-",_xlfn.XLOOKUP(AE714,Sheet1!$F:$F,Sheet1!$W:$W))+1))&amp;AE714,"NOT FOUND"),LEFT(J714,FIND("-",J714,FIND("-",J714)+1))&amp;AE714))</f>
        <v>KRTS-APSU26-RETKRTSFUT4315</v>
      </c>
    </row>
    <row r="715" spans="1:34" ht="15.75" customHeight="1" x14ac:dyDescent="0.2">
      <c r="A715" s="4" t="s">
        <v>30</v>
      </c>
      <c r="B715" s="4" t="s">
        <v>979</v>
      </c>
      <c r="C715" s="4" t="s">
        <v>910</v>
      </c>
      <c r="D715" s="4" t="s">
        <v>598</v>
      </c>
      <c r="E715" s="4" t="s">
        <v>34</v>
      </c>
      <c r="F715" s="4" t="s">
        <v>35</v>
      </c>
      <c r="G715" s="4" t="s">
        <v>36</v>
      </c>
      <c r="H715" s="4" t="s">
        <v>972</v>
      </c>
      <c r="I715" s="4" t="s">
        <v>973</v>
      </c>
      <c r="J715" s="4" t="s">
        <v>974</v>
      </c>
      <c r="L715" s="4" t="s">
        <v>40</v>
      </c>
      <c r="M715" s="4">
        <v>1</v>
      </c>
      <c r="N715" s="4">
        <v>359</v>
      </c>
      <c r="O715" s="4">
        <v>359</v>
      </c>
      <c r="P715" s="4" t="s">
        <v>41</v>
      </c>
      <c r="Q715" s="4">
        <v>1396.5</v>
      </c>
      <c r="R715" s="4">
        <v>1396.5</v>
      </c>
      <c r="S715" s="4">
        <v>25067.18</v>
      </c>
      <c r="T715" s="4">
        <v>501343.5</v>
      </c>
      <c r="U715" s="4">
        <v>5</v>
      </c>
      <c r="V715" s="4" t="s">
        <v>42</v>
      </c>
      <c r="X715" s="7" t="str">
        <f t="shared" si="30"/>
        <v>441857190</v>
      </c>
      <c r="Y715" s="8" t="str">
        <f t="shared" si="31"/>
        <v>RP</v>
      </c>
      <c r="Z715" s="8">
        <f t="shared" si="32"/>
        <v>359</v>
      </c>
      <c r="AA715" s="8">
        <f t="shared" si="33"/>
        <v>359</v>
      </c>
      <c r="AB715" s="8">
        <f t="shared" si="34"/>
        <v>359</v>
      </c>
      <c r="AC715" s="8">
        <f t="shared" si="35"/>
        <v>359</v>
      </c>
      <c r="AD715" s="8">
        <f t="shared" si="36"/>
        <v>359</v>
      </c>
      <c r="AE715" s="9" t="str" cm="1">
        <f t="array" ref="AE715">IFERROR(_xlfn.XLOOKUP(H715,Sheet1!$G:$G,Sheet1!$F:$F),IFERROR(_xlfn.XLOOKUP(1,(--($X$2:$X$1074=X715))*(--ISNUMBER(MATCH($H$2:$H$1074,Sheet1!$G:$G,0))),_xlfn.XLOOKUP($H$2:$H$1074,Sheet1!$G:$G,Sheet1!$F:$F,"")),"NOT FOUND"))</f>
        <v>RETKRTSFUT4329</v>
      </c>
      <c r="AF715" s="10" t="str">
        <f t="shared" si="43"/>
        <v>GREEN</v>
      </c>
      <c r="AG715" s="11" t="str">
        <f t="shared" si="44"/>
        <v>Bangalore</v>
      </c>
      <c r="AH715" s="9" t="str">
        <f>IF(OR(J715="",AE715="",AE715="NOT FOUND"),"",IF(Y715="RP",IFERROR(LEFT(_xlfn.XLOOKUP(AE715,Sheet1!$F:$F,Sheet1!$W:$W),FIND("-",_xlfn.XLOOKUP(AE715,Sheet1!$F:$F,Sheet1!$W:$W),FIND("-",_xlfn.XLOOKUP(AE715,Sheet1!$F:$F,Sheet1!$W:$W))+1))&amp;AE715,"NOT FOUND"),LEFT(J715,FIND("-",J715,FIND("-",J715)+1))&amp;AE715))</f>
        <v>KRTS-APSU26-RETKRTSFUT4329</v>
      </c>
    </row>
    <row r="716" spans="1:34" ht="15.75" customHeight="1" x14ac:dyDescent="0.2">
      <c r="A716" s="4" t="s">
        <v>30</v>
      </c>
      <c r="B716" s="4" t="s">
        <v>980</v>
      </c>
      <c r="C716" s="4" t="s">
        <v>910</v>
      </c>
      <c r="D716" s="4" t="s">
        <v>598</v>
      </c>
      <c r="E716" s="4" t="s">
        <v>34</v>
      </c>
      <c r="F716" s="4" t="s">
        <v>35</v>
      </c>
      <c r="G716" s="4" t="s">
        <v>36</v>
      </c>
      <c r="H716" s="4" t="s">
        <v>963</v>
      </c>
      <c r="I716" s="4" t="s">
        <v>964</v>
      </c>
      <c r="J716" s="4" t="s">
        <v>965</v>
      </c>
      <c r="L716" s="4" t="s">
        <v>40</v>
      </c>
      <c r="M716" s="4">
        <v>1</v>
      </c>
      <c r="N716" s="4">
        <v>359</v>
      </c>
      <c r="O716" s="4">
        <v>359</v>
      </c>
      <c r="P716" s="4" t="s">
        <v>41</v>
      </c>
      <c r="Q716" s="4">
        <v>1321.5</v>
      </c>
      <c r="R716" s="4">
        <v>1321.5</v>
      </c>
      <c r="S716" s="4">
        <v>23720.93</v>
      </c>
      <c r="T716" s="4">
        <v>474418.5</v>
      </c>
      <c r="U716" s="4">
        <v>5</v>
      </c>
      <c r="V716" s="4" t="s">
        <v>42</v>
      </c>
      <c r="X716" s="7" t="str">
        <f t="shared" si="30"/>
        <v>441857185</v>
      </c>
      <c r="Y716" s="8" t="str">
        <f t="shared" si="31"/>
        <v>RP</v>
      </c>
      <c r="Z716" s="8">
        <f t="shared" si="32"/>
        <v>359</v>
      </c>
      <c r="AA716" s="8">
        <f t="shared" si="33"/>
        <v>359</v>
      </c>
      <c r="AB716" s="8">
        <f t="shared" si="34"/>
        <v>359</v>
      </c>
      <c r="AC716" s="8">
        <f t="shared" si="35"/>
        <v>359</v>
      </c>
      <c r="AD716" s="8">
        <f t="shared" si="36"/>
        <v>359</v>
      </c>
      <c r="AE716" s="9" t="str" cm="1">
        <f t="array" ref="AE716">IFERROR(_xlfn.XLOOKUP(H716,Sheet1!$G:$G,Sheet1!$F:$F),IFERROR(_xlfn.XLOOKUP(1,(--($X$2:$X$1074=X716))*(--ISNUMBER(MATCH($H$2:$H$1074,Sheet1!$G:$G,0))),_xlfn.XLOOKUP($H$2:$H$1074,Sheet1!$G:$G,Sheet1!$F:$F,"")),"NOT FOUND"))</f>
        <v>RETKRTSFUT4314</v>
      </c>
      <c r="AF716" s="10" t="str">
        <f t="shared" si="43"/>
        <v>BLUE</v>
      </c>
      <c r="AG716" s="11" t="str">
        <f t="shared" si="44"/>
        <v>Bangalore</v>
      </c>
      <c r="AH716" s="9" t="str">
        <f>IF(OR(J716="",AE716="",AE716="NOT FOUND"),"",IF(Y716="RP",IFERROR(LEFT(_xlfn.XLOOKUP(AE716,Sheet1!$F:$F,Sheet1!$W:$W),FIND("-",_xlfn.XLOOKUP(AE716,Sheet1!$F:$F,Sheet1!$W:$W),FIND("-",_xlfn.XLOOKUP(AE716,Sheet1!$F:$F,Sheet1!$W:$W))+1))&amp;AE716,"NOT FOUND"),LEFT(J716,FIND("-",J716,FIND("-",J716)+1))&amp;AE716))</f>
        <v>KRTS-APSU26-RETKRTSFUT4314</v>
      </c>
    </row>
    <row r="717" spans="1:34" ht="15.75" customHeight="1" x14ac:dyDescent="0.2">
      <c r="A717" s="4" t="s">
        <v>30</v>
      </c>
      <c r="B717" s="4" t="s">
        <v>981</v>
      </c>
      <c r="C717" s="4" t="s">
        <v>910</v>
      </c>
      <c r="D717" s="4" t="s">
        <v>598</v>
      </c>
      <c r="E717" s="4" t="s">
        <v>34</v>
      </c>
      <c r="F717" s="4" t="s">
        <v>35</v>
      </c>
      <c r="G717" s="4" t="s">
        <v>36</v>
      </c>
      <c r="H717" s="4" t="s">
        <v>958</v>
      </c>
      <c r="I717" s="4" t="s">
        <v>959</v>
      </c>
      <c r="J717" s="4" t="s">
        <v>960</v>
      </c>
      <c r="L717" s="4" t="s">
        <v>40</v>
      </c>
      <c r="M717" s="4">
        <v>1</v>
      </c>
      <c r="N717" s="4">
        <v>359</v>
      </c>
      <c r="O717" s="4">
        <v>359</v>
      </c>
      <c r="P717" s="4" t="s">
        <v>41</v>
      </c>
      <c r="Q717" s="4">
        <v>1371.5</v>
      </c>
      <c r="R717" s="4">
        <v>1371.5</v>
      </c>
      <c r="S717" s="4">
        <v>24618.43</v>
      </c>
      <c r="T717" s="4">
        <v>492368.5</v>
      </c>
      <c r="U717" s="4">
        <v>5</v>
      </c>
      <c r="V717" s="4" t="s">
        <v>42</v>
      </c>
      <c r="X717" s="7" t="str">
        <f t="shared" si="30"/>
        <v>441857184</v>
      </c>
      <c r="Y717" s="8" t="str">
        <f t="shared" si="31"/>
        <v>RP</v>
      </c>
      <c r="Z717" s="8">
        <f t="shared" si="32"/>
        <v>359</v>
      </c>
      <c r="AA717" s="8">
        <f t="shared" si="33"/>
        <v>359</v>
      </c>
      <c r="AB717" s="8">
        <f t="shared" si="34"/>
        <v>359</v>
      </c>
      <c r="AC717" s="8">
        <f t="shared" si="35"/>
        <v>359</v>
      </c>
      <c r="AD717" s="8">
        <f t="shared" si="36"/>
        <v>359</v>
      </c>
      <c r="AE717" s="9" t="str" cm="1">
        <f t="array" ref="AE717">IFERROR(_xlfn.XLOOKUP(H717,Sheet1!$G:$G,Sheet1!$F:$F),IFERROR(_xlfn.XLOOKUP(1,(--($X$2:$X$1074=X717))*(--ISNUMBER(MATCH($H$2:$H$1074,Sheet1!$G:$G,0))),_xlfn.XLOOKUP($H$2:$H$1074,Sheet1!$G:$G,Sheet1!$F:$F,"")),"NOT FOUND"))</f>
        <v>RETKRTSF04311</v>
      </c>
      <c r="AF717" s="10" t="str">
        <f t="shared" si="43"/>
        <v>CORAL</v>
      </c>
      <c r="AG717" s="11" t="str">
        <f t="shared" si="44"/>
        <v>Bangalore</v>
      </c>
      <c r="AH717" s="9" t="str">
        <f>IF(OR(J717="",AE717="",AE717="NOT FOUND"),"",IF(Y717="RP",IFERROR(LEFT(_xlfn.XLOOKUP(AE717,Sheet1!$F:$F,Sheet1!$W:$W),FIND("-",_xlfn.XLOOKUP(AE717,Sheet1!$F:$F,Sheet1!$W:$W),FIND("-",_xlfn.XLOOKUP(AE717,Sheet1!$F:$F,Sheet1!$W:$W))+1))&amp;AE717,"NOT FOUND"),LEFT(J717,FIND("-",J717,FIND("-",J717)+1))&amp;AE717))</f>
        <v>KRTS-APSU26-RETKRTSF04311</v>
      </c>
    </row>
    <row r="718" spans="1:34" ht="15.75" customHeight="1" x14ac:dyDescent="0.2">
      <c r="A718" s="4" t="s">
        <v>30</v>
      </c>
      <c r="B718" s="4" t="s">
        <v>982</v>
      </c>
      <c r="C718" s="4" t="s">
        <v>910</v>
      </c>
      <c r="D718" s="4" t="s">
        <v>598</v>
      </c>
      <c r="E718" s="4" t="s">
        <v>34</v>
      </c>
      <c r="F718" s="4" t="s">
        <v>35</v>
      </c>
      <c r="G718" s="4" t="s">
        <v>36</v>
      </c>
      <c r="H718" s="4" t="s">
        <v>983</v>
      </c>
      <c r="I718" s="4" t="s">
        <v>984</v>
      </c>
      <c r="J718" s="4" t="s">
        <v>985</v>
      </c>
      <c r="L718" s="4" t="s">
        <v>40</v>
      </c>
      <c r="M718" s="4">
        <v>1</v>
      </c>
      <c r="N718" s="4">
        <v>359</v>
      </c>
      <c r="O718" s="4">
        <v>359</v>
      </c>
      <c r="P718" s="4" t="s">
        <v>41</v>
      </c>
      <c r="Q718" s="4">
        <v>1371.5</v>
      </c>
      <c r="R718" s="4">
        <v>1371.5</v>
      </c>
      <c r="S718" s="4">
        <v>24618.43</v>
      </c>
      <c r="T718" s="4">
        <v>492368.5</v>
      </c>
      <c r="U718" s="4">
        <v>5</v>
      </c>
      <c r="V718" s="4" t="s">
        <v>42</v>
      </c>
      <c r="X718" s="7" t="str">
        <f t="shared" si="30"/>
        <v>441857183</v>
      </c>
      <c r="Y718" s="8" t="str">
        <f t="shared" si="31"/>
        <v>RP</v>
      </c>
      <c r="Z718" s="8">
        <f t="shared" si="32"/>
        <v>359</v>
      </c>
      <c r="AA718" s="8">
        <f t="shared" si="33"/>
        <v>359</v>
      </c>
      <c r="AB718" s="8">
        <f t="shared" si="34"/>
        <v>359</v>
      </c>
      <c r="AC718" s="8">
        <f t="shared" si="35"/>
        <v>359</v>
      </c>
      <c r="AD718" s="8">
        <f t="shared" si="36"/>
        <v>359</v>
      </c>
      <c r="AE718" s="9" t="str" cm="1">
        <f t="array" ref="AE718">IFERROR(_xlfn.XLOOKUP(H718,Sheet1!$G:$G,Sheet1!$F:$F),IFERROR(_xlfn.XLOOKUP(1,(--($X$2:$X$1074=X718))*(--ISNUMBER(MATCH($H$2:$H$1074,Sheet1!$G:$G,0))),_xlfn.XLOOKUP($H$2:$H$1074,Sheet1!$G:$G,Sheet1!$F:$F,"")),"NOT FOUND"))</f>
        <v>RETKRTSF04310</v>
      </c>
      <c r="AF718" s="10" t="str">
        <f t="shared" si="43"/>
        <v>LT. PINK</v>
      </c>
      <c r="AG718" s="11" t="str">
        <f t="shared" si="44"/>
        <v>Bangalore</v>
      </c>
      <c r="AH718" s="9" t="str">
        <f>IF(OR(J718="",AE718="",AE718="NOT FOUND"),"",IF(Y718="RP",IFERROR(LEFT(_xlfn.XLOOKUP(AE718,Sheet1!$F:$F,Sheet1!$W:$W),FIND("-",_xlfn.XLOOKUP(AE718,Sheet1!$F:$F,Sheet1!$W:$W),FIND("-",_xlfn.XLOOKUP(AE718,Sheet1!$F:$F,Sheet1!$W:$W))+1))&amp;AE718,"NOT FOUND"),LEFT(J718,FIND("-",J718,FIND("-",J718)+1))&amp;AE718))</f>
        <v>KRTS-APSU26-RETKRTSF04310</v>
      </c>
    </row>
    <row r="719" spans="1:34" ht="15.75" customHeight="1" x14ac:dyDescent="0.2">
      <c r="A719" s="4" t="s">
        <v>59</v>
      </c>
      <c r="B719" s="4" t="s">
        <v>986</v>
      </c>
      <c r="C719" s="4" t="s">
        <v>910</v>
      </c>
      <c r="D719" s="4" t="s">
        <v>598</v>
      </c>
      <c r="E719" s="4" t="s">
        <v>34</v>
      </c>
      <c r="F719" s="4" t="s">
        <v>35</v>
      </c>
      <c r="G719" s="4" t="s">
        <v>36</v>
      </c>
      <c r="H719" s="4" t="s">
        <v>936</v>
      </c>
      <c r="I719" s="4" t="s">
        <v>937</v>
      </c>
      <c r="J719" s="4" t="s">
        <v>938</v>
      </c>
      <c r="L719" s="4" t="s">
        <v>40</v>
      </c>
      <c r="M719" s="4">
        <v>1</v>
      </c>
      <c r="N719" s="4">
        <v>203</v>
      </c>
      <c r="O719" s="4">
        <v>203</v>
      </c>
      <c r="P719" s="4" t="s">
        <v>41</v>
      </c>
      <c r="Q719" s="4">
        <v>1346.5</v>
      </c>
      <c r="R719" s="4">
        <v>1346.5</v>
      </c>
      <c r="S719" s="4">
        <v>13666.98</v>
      </c>
      <c r="T719" s="4">
        <v>273339.5</v>
      </c>
      <c r="U719" s="4">
        <v>5</v>
      </c>
      <c r="V719" s="4" t="s">
        <v>42</v>
      </c>
      <c r="X719" s="7" t="str">
        <f t="shared" si="30"/>
        <v>441857191</v>
      </c>
      <c r="Y719" s="8" t="str">
        <f t="shared" si="31"/>
        <v>RP</v>
      </c>
      <c r="Z719" s="8">
        <f t="shared" si="32"/>
        <v>203</v>
      </c>
      <c r="AA719" s="8">
        <f t="shared" si="33"/>
        <v>203</v>
      </c>
      <c r="AB719" s="8">
        <f t="shared" si="34"/>
        <v>203</v>
      </c>
      <c r="AC719" s="8">
        <f t="shared" si="35"/>
        <v>203</v>
      </c>
      <c r="AD719" s="8">
        <f t="shared" si="36"/>
        <v>203</v>
      </c>
      <c r="AE719" s="9" t="str" cm="1">
        <f t="array" ref="AE719">IFERROR(_xlfn.XLOOKUP(H719,Sheet1!$G:$G,Sheet1!$F:$F),IFERROR(_xlfn.XLOOKUP(1,(--($X$2:$X$1074=X719))*(--ISNUMBER(MATCH($H$2:$H$1074,Sheet1!$G:$G,0))),_xlfn.XLOOKUP($H$2:$H$1074,Sheet1!$G:$G,Sheet1!$F:$F,"")),"NOT FOUND"))</f>
        <v>RETKRTSFUT4330</v>
      </c>
      <c r="AF719" s="10" t="str">
        <f t="shared" si="43"/>
        <v>MAGENTA</v>
      </c>
      <c r="AG719" s="11" t="str">
        <f t="shared" si="44"/>
        <v>JHAJJAR</v>
      </c>
      <c r="AH719" s="9" t="str">
        <f>IF(OR(J719="",AE719="",AE719="NOT FOUND"),"",IF(Y719="RP",IFERROR(LEFT(_xlfn.XLOOKUP(AE719,Sheet1!$F:$F,Sheet1!$W:$W),FIND("-",_xlfn.XLOOKUP(AE719,Sheet1!$F:$F,Sheet1!$W:$W),FIND("-",_xlfn.XLOOKUP(AE719,Sheet1!$F:$F,Sheet1!$W:$W))+1))&amp;AE719,"NOT FOUND"),LEFT(J719,FIND("-",J719,FIND("-",J719)+1))&amp;AE719))</f>
        <v>KRTS-APSU26-RETKRTSFUT4330</v>
      </c>
    </row>
    <row r="720" spans="1:34" ht="15.75" customHeight="1" x14ac:dyDescent="0.2">
      <c r="A720" s="4" t="s">
        <v>59</v>
      </c>
      <c r="B720" s="4" t="s">
        <v>987</v>
      </c>
      <c r="C720" s="4" t="s">
        <v>910</v>
      </c>
      <c r="D720" s="4" t="s">
        <v>598</v>
      </c>
      <c r="E720" s="4" t="s">
        <v>34</v>
      </c>
      <c r="F720" s="4" t="s">
        <v>35</v>
      </c>
      <c r="G720" s="4" t="s">
        <v>36</v>
      </c>
      <c r="H720" s="4" t="s">
        <v>972</v>
      </c>
      <c r="I720" s="4" t="s">
        <v>973</v>
      </c>
      <c r="J720" s="4" t="s">
        <v>974</v>
      </c>
      <c r="L720" s="4" t="s">
        <v>40</v>
      </c>
      <c r="M720" s="4">
        <v>1</v>
      </c>
      <c r="N720" s="4">
        <v>203</v>
      </c>
      <c r="O720" s="4">
        <v>203</v>
      </c>
      <c r="P720" s="4" t="s">
        <v>41</v>
      </c>
      <c r="Q720" s="4">
        <v>1396.5</v>
      </c>
      <c r="R720" s="4">
        <v>1396.5</v>
      </c>
      <c r="S720" s="4">
        <v>14174.48</v>
      </c>
      <c r="T720" s="4">
        <v>283489.5</v>
      </c>
      <c r="U720" s="4">
        <v>5</v>
      </c>
      <c r="V720" s="4" t="s">
        <v>42</v>
      </c>
      <c r="X720" s="7" t="str">
        <f t="shared" si="30"/>
        <v>441857190</v>
      </c>
      <c r="Y720" s="8" t="str">
        <f t="shared" si="31"/>
        <v>RP</v>
      </c>
      <c r="Z720" s="8">
        <f t="shared" si="32"/>
        <v>203</v>
      </c>
      <c r="AA720" s="8">
        <f t="shared" si="33"/>
        <v>203</v>
      </c>
      <c r="AB720" s="8">
        <f t="shared" si="34"/>
        <v>203</v>
      </c>
      <c r="AC720" s="8">
        <f t="shared" si="35"/>
        <v>203</v>
      </c>
      <c r="AD720" s="8">
        <f t="shared" si="36"/>
        <v>203</v>
      </c>
      <c r="AE720" s="9" t="str" cm="1">
        <f t="array" ref="AE720">IFERROR(_xlfn.XLOOKUP(H720,Sheet1!$G:$G,Sheet1!$F:$F),IFERROR(_xlfn.XLOOKUP(1,(--($X$2:$X$1074=X720))*(--ISNUMBER(MATCH($H$2:$H$1074,Sheet1!$G:$G,0))),_xlfn.XLOOKUP($H$2:$H$1074,Sheet1!$G:$G,Sheet1!$F:$F,"")),"NOT FOUND"))</f>
        <v>RETKRTSFUT4329</v>
      </c>
      <c r="AF720" s="10" t="str">
        <f t="shared" si="43"/>
        <v>GREEN</v>
      </c>
      <c r="AG720" s="11" t="str">
        <f t="shared" si="44"/>
        <v>JHAJJAR</v>
      </c>
      <c r="AH720" s="9" t="str">
        <f>IF(OR(J720="",AE720="",AE720="NOT FOUND"),"",IF(Y720="RP",IFERROR(LEFT(_xlfn.XLOOKUP(AE720,Sheet1!$F:$F,Sheet1!$W:$W),FIND("-",_xlfn.XLOOKUP(AE720,Sheet1!$F:$F,Sheet1!$W:$W),FIND("-",_xlfn.XLOOKUP(AE720,Sheet1!$F:$F,Sheet1!$W:$W))+1))&amp;AE720,"NOT FOUND"),LEFT(J720,FIND("-",J720,FIND("-",J720)+1))&amp;AE720))</f>
        <v>KRTS-APSU26-RETKRTSFUT4329</v>
      </c>
    </row>
    <row r="721" spans="1:34" ht="15.75" customHeight="1" x14ac:dyDescent="0.2">
      <c r="A721" s="4" t="s">
        <v>61</v>
      </c>
      <c r="B721" s="4" t="s">
        <v>988</v>
      </c>
      <c r="C721" s="4" t="s">
        <v>910</v>
      </c>
      <c r="D721" s="4" t="s">
        <v>598</v>
      </c>
      <c r="E721" s="4" t="s">
        <v>34</v>
      </c>
      <c r="F721" s="4" t="s">
        <v>35</v>
      </c>
      <c r="G721" s="4" t="s">
        <v>36</v>
      </c>
      <c r="H721" s="4" t="s">
        <v>932</v>
      </c>
      <c r="I721" s="4" t="s">
        <v>933</v>
      </c>
      <c r="J721" s="4" t="s">
        <v>934</v>
      </c>
      <c r="L721" s="4" t="s">
        <v>40</v>
      </c>
      <c r="M721" s="4">
        <v>1</v>
      </c>
      <c r="N721" s="4">
        <v>170</v>
      </c>
      <c r="O721" s="4">
        <v>170</v>
      </c>
      <c r="P721" s="4" t="s">
        <v>41</v>
      </c>
      <c r="Q721" s="4">
        <v>1621.5</v>
      </c>
      <c r="R721" s="4">
        <v>1621.5</v>
      </c>
      <c r="S721" s="4">
        <v>13782.75</v>
      </c>
      <c r="T721" s="4">
        <v>275655</v>
      </c>
      <c r="U721" s="4">
        <v>5</v>
      </c>
      <c r="V721" s="4" t="s">
        <v>42</v>
      </c>
      <c r="X721" s="7" t="str">
        <f t="shared" si="30"/>
        <v>441857193</v>
      </c>
      <c r="Y721" s="8" t="str">
        <f t="shared" si="31"/>
        <v>RP</v>
      </c>
      <c r="Z721" s="8">
        <f t="shared" si="32"/>
        <v>170</v>
      </c>
      <c r="AA721" s="8">
        <f t="shared" si="33"/>
        <v>170</v>
      </c>
      <c r="AB721" s="8">
        <f t="shared" si="34"/>
        <v>170</v>
      </c>
      <c r="AC721" s="8">
        <f t="shared" si="35"/>
        <v>170</v>
      </c>
      <c r="AD721" s="8">
        <f t="shared" si="36"/>
        <v>170</v>
      </c>
      <c r="AE721" s="9" t="str" cm="1">
        <f t="array" ref="AE721">IFERROR(_xlfn.XLOOKUP(H721,Sheet1!$G:$G,Sheet1!$F:$F),IFERROR(_xlfn.XLOOKUP(1,(--($X$2:$X$1074=X721))*(--ISNUMBER(MATCH($H$2:$H$1074,Sheet1!$G:$G,0))),_xlfn.XLOOKUP($H$2:$H$1074,Sheet1!$G:$G,Sheet1!$F:$F,"")),"NOT FOUND"))</f>
        <v>RETKRTSFUT4332</v>
      </c>
      <c r="AF721" s="10" t="str">
        <f t="shared" si="43"/>
        <v>LIME GREEN</v>
      </c>
      <c r="AG721" s="11" t="str">
        <f t="shared" si="44"/>
        <v>HARIPAL</v>
      </c>
      <c r="AH721" s="9" t="str">
        <f>IF(OR(J721="",AE721="",AE721="NOT FOUND"),"",IF(Y721="RP",IFERROR(LEFT(_xlfn.XLOOKUP(AE721,Sheet1!$F:$F,Sheet1!$W:$W),FIND("-",_xlfn.XLOOKUP(AE721,Sheet1!$F:$F,Sheet1!$W:$W),FIND("-",_xlfn.XLOOKUP(AE721,Sheet1!$F:$F,Sheet1!$W:$W))+1))&amp;AE721,"NOT FOUND"),LEFT(J721,FIND("-",J721,FIND("-",J721)+1))&amp;AE721))</f>
        <v>KRTS-APSU26-RETKRTSFUT4332</v>
      </c>
    </row>
    <row r="722" spans="1:34" ht="15.75" customHeight="1" x14ac:dyDescent="0.2">
      <c r="A722" s="4" t="s">
        <v>59</v>
      </c>
      <c r="B722" s="4" t="s">
        <v>989</v>
      </c>
      <c r="C722" s="4" t="s">
        <v>910</v>
      </c>
      <c r="D722" s="4" t="s">
        <v>598</v>
      </c>
      <c r="E722" s="4" t="s">
        <v>34</v>
      </c>
      <c r="F722" s="4" t="s">
        <v>35</v>
      </c>
      <c r="G722" s="4" t="s">
        <v>36</v>
      </c>
      <c r="H722" s="4" t="s">
        <v>944</v>
      </c>
      <c r="I722" s="4" t="s">
        <v>945</v>
      </c>
      <c r="J722" s="4" t="s">
        <v>946</v>
      </c>
      <c r="L722" s="4" t="s">
        <v>40</v>
      </c>
      <c r="M722" s="4">
        <v>1</v>
      </c>
      <c r="N722" s="4">
        <v>203</v>
      </c>
      <c r="O722" s="4">
        <v>203</v>
      </c>
      <c r="P722" s="4" t="s">
        <v>41</v>
      </c>
      <c r="Q722" s="4">
        <v>1346.5</v>
      </c>
      <c r="R722" s="4">
        <v>1346.5</v>
      </c>
      <c r="S722" s="4">
        <v>13666.98</v>
      </c>
      <c r="T722" s="4">
        <v>273339.5</v>
      </c>
      <c r="U722" s="4">
        <v>5</v>
      </c>
      <c r="V722" s="4" t="s">
        <v>42</v>
      </c>
      <c r="X722" s="7" t="str">
        <f t="shared" si="30"/>
        <v>441857188</v>
      </c>
      <c r="Y722" s="8" t="str">
        <f t="shared" si="31"/>
        <v>RP</v>
      </c>
      <c r="Z722" s="8">
        <f t="shared" si="32"/>
        <v>203</v>
      </c>
      <c r="AA722" s="8">
        <f t="shared" si="33"/>
        <v>203</v>
      </c>
      <c r="AB722" s="8">
        <f t="shared" si="34"/>
        <v>203</v>
      </c>
      <c r="AC722" s="8">
        <f t="shared" si="35"/>
        <v>203</v>
      </c>
      <c r="AD722" s="8">
        <f t="shared" si="36"/>
        <v>203</v>
      </c>
      <c r="AE722" s="9" t="str" cm="1">
        <f t="array" ref="AE722">IFERROR(_xlfn.XLOOKUP(H722,Sheet1!$G:$G,Sheet1!$F:$F),IFERROR(_xlfn.XLOOKUP(1,(--($X$2:$X$1074=X722))*(--ISNUMBER(MATCH($H$2:$H$1074,Sheet1!$G:$G,0))),_xlfn.XLOOKUP($H$2:$H$1074,Sheet1!$G:$G,Sheet1!$F:$F,"")),"NOT FOUND"))</f>
        <v>RETKRTSFUT4321</v>
      </c>
      <c r="AF722" s="10" t="str">
        <f t="shared" si="43"/>
        <v>LIME GREEN</v>
      </c>
      <c r="AG722" s="11" t="str">
        <f t="shared" si="44"/>
        <v>JHAJJAR</v>
      </c>
      <c r="AH722" s="9" t="str">
        <f>IF(OR(J722="",AE722="",AE722="NOT FOUND"),"",IF(Y722="RP",IFERROR(LEFT(_xlfn.XLOOKUP(AE722,Sheet1!$F:$F,Sheet1!$W:$W),FIND("-",_xlfn.XLOOKUP(AE722,Sheet1!$F:$F,Sheet1!$W:$W),FIND("-",_xlfn.XLOOKUP(AE722,Sheet1!$F:$F,Sheet1!$W:$W))+1))&amp;AE722,"NOT FOUND"),LEFT(J722,FIND("-",J722,FIND("-",J722)+1))&amp;AE722))</f>
        <v>KRTS-APSU26-RETKRTSFUT4321</v>
      </c>
    </row>
    <row r="723" spans="1:34" ht="15.75" customHeight="1" x14ac:dyDescent="0.2">
      <c r="A723" s="4" t="s">
        <v>59</v>
      </c>
      <c r="B723" s="4" t="s">
        <v>990</v>
      </c>
      <c r="C723" s="4" t="s">
        <v>910</v>
      </c>
      <c r="D723" s="4" t="s">
        <v>598</v>
      </c>
      <c r="E723" s="4" t="s">
        <v>34</v>
      </c>
      <c r="F723" s="4" t="s">
        <v>35</v>
      </c>
      <c r="G723" s="4" t="s">
        <v>36</v>
      </c>
      <c r="H723" s="4" t="s">
        <v>983</v>
      </c>
      <c r="I723" s="4" t="s">
        <v>984</v>
      </c>
      <c r="J723" s="4" t="s">
        <v>985</v>
      </c>
      <c r="L723" s="4" t="s">
        <v>40</v>
      </c>
      <c r="M723" s="4">
        <v>1</v>
      </c>
      <c r="N723" s="4">
        <v>203</v>
      </c>
      <c r="O723" s="4">
        <v>203</v>
      </c>
      <c r="P723" s="4" t="s">
        <v>41</v>
      </c>
      <c r="Q723" s="4">
        <v>1371.5</v>
      </c>
      <c r="R723" s="4">
        <v>1371.5</v>
      </c>
      <c r="S723" s="4">
        <v>13920.73</v>
      </c>
      <c r="T723" s="4">
        <v>278414.5</v>
      </c>
      <c r="U723" s="4">
        <v>5</v>
      </c>
      <c r="V723" s="4" t="s">
        <v>42</v>
      </c>
      <c r="X723" s="7" t="str">
        <f t="shared" si="30"/>
        <v>441857183</v>
      </c>
      <c r="Y723" s="8" t="str">
        <f t="shared" si="31"/>
        <v>RP</v>
      </c>
      <c r="Z723" s="8">
        <f t="shared" si="32"/>
        <v>203</v>
      </c>
      <c r="AA723" s="8">
        <f t="shared" si="33"/>
        <v>203</v>
      </c>
      <c r="AB723" s="8">
        <f t="shared" si="34"/>
        <v>203</v>
      </c>
      <c r="AC723" s="8">
        <f t="shared" si="35"/>
        <v>203</v>
      </c>
      <c r="AD723" s="8">
        <f t="shared" si="36"/>
        <v>203</v>
      </c>
      <c r="AE723" s="9" t="str" cm="1">
        <f t="array" ref="AE723">IFERROR(_xlfn.XLOOKUP(H723,Sheet1!$G:$G,Sheet1!$F:$F),IFERROR(_xlfn.XLOOKUP(1,(--($X$2:$X$1074=X723))*(--ISNUMBER(MATCH($H$2:$H$1074,Sheet1!$G:$G,0))),_xlfn.XLOOKUP($H$2:$H$1074,Sheet1!$G:$G,Sheet1!$F:$F,"")),"NOT FOUND"))</f>
        <v>RETKRTSF04310</v>
      </c>
      <c r="AF723" s="10" t="str">
        <f t="shared" si="43"/>
        <v>LT. PINK</v>
      </c>
      <c r="AG723" s="11" t="str">
        <f t="shared" si="44"/>
        <v>JHAJJAR</v>
      </c>
      <c r="AH723" s="9" t="str">
        <f>IF(OR(J723="",AE723="",AE723="NOT FOUND"),"",IF(Y723="RP",IFERROR(LEFT(_xlfn.XLOOKUP(AE723,Sheet1!$F:$F,Sheet1!$W:$W),FIND("-",_xlfn.XLOOKUP(AE723,Sheet1!$F:$F,Sheet1!$W:$W),FIND("-",_xlfn.XLOOKUP(AE723,Sheet1!$F:$F,Sheet1!$W:$W))+1))&amp;AE723,"NOT FOUND"),LEFT(J723,FIND("-",J723,FIND("-",J723)+1))&amp;AE723))</f>
        <v>KRTS-APSU26-RETKRTSF04310</v>
      </c>
    </row>
    <row r="724" spans="1:34" ht="15.75" customHeight="1" x14ac:dyDescent="0.2">
      <c r="A724" s="4" t="s">
        <v>61</v>
      </c>
      <c r="B724" s="4" t="s">
        <v>991</v>
      </c>
      <c r="C724" s="4" t="s">
        <v>910</v>
      </c>
      <c r="D724" s="4" t="s">
        <v>598</v>
      </c>
      <c r="E724" s="4" t="s">
        <v>34</v>
      </c>
      <c r="F724" s="4" t="s">
        <v>35</v>
      </c>
      <c r="G724" s="4" t="s">
        <v>36</v>
      </c>
      <c r="H724" s="4" t="s">
        <v>953</v>
      </c>
      <c r="I724" s="4" t="s">
        <v>954</v>
      </c>
      <c r="J724" s="4" t="s">
        <v>955</v>
      </c>
      <c r="L724" s="4" t="s">
        <v>40</v>
      </c>
      <c r="M724" s="4">
        <v>1</v>
      </c>
      <c r="N724" s="4">
        <v>208</v>
      </c>
      <c r="O724" s="4">
        <v>208</v>
      </c>
      <c r="P724" s="4" t="s">
        <v>41</v>
      </c>
      <c r="Q724" s="4">
        <v>1321.5</v>
      </c>
      <c r="R724" s="4">
        <v>1321.5</v>
      </c>
      <c r="S724" s="4">
        <v>13743.6</v>
      </c>
      <c r="T724" s="4">
        <v>274872</v>
      </c>
      <c r="U724" s="4">
        <v>5</v>
      </c>
      <c r="V724" s="4" t="s">
        <v>42</v>
      </c>
      <c r="X724" s="7" t="str">
        <f t="shared" si="30"/>
        <v>441857186</v>
      </c>
      <c r="Y724" s="8" t="str">
        <f t="shared" si="31"/>
        <v>RP</v>
      </c>
      <c r="Z724" s="8">
        <f t="shared" si="32"/>
        <v>208</v>
      </c>
      <c r="AA724" s="8">
        <f t="shared" si="33"/>
        <v>208</v>
      </c>
      <c r="AB724" s="8">
        <f t="shared" si="34"/>
        <v>208</v>
      </c>
      <c r="AC724" s="8">
        <f t="shared" si="35"/>
        <v>208</v>
      </c>
      <c r="AD724" s="8">
        <f t="shared" si="36"/>
        <v>208</v>
      </c>
      <c r="AE724" s="9" t="str" cm="1">
        <f t="array" ref="AE724">IFERROR(_xlfn.XLOOKUP(H724,Sheet1!$G:$G,Sheet1!$F:$F),IFERROR(_xlfn.XLOOKUP(1,(--($X$2:$X$1074=X724))*(--ISNUMBER(MATCH($H$2:$H$1074,Sheet1!$G:$G,0))),_xlfn.XLOOKUP($H$2:$H$1074,Sheet1!$G:$G,Sheet1!$F:$F,"")),"NOT FOUND"))</f>
        <v>RETKRTSFUT4315</v>
      </c>
      <c r="AF724" s="10" t="str">
        <f t="shared" si="43"/>
        <v>CREAM</v>
      </c>
      <c r="AG724" s="11" t="str">
        <f t="shared" si="44"/>
        <v>HARIPAL</v>
      </c>
      <c r="AH724" s="9" t="str">
        <f>IF(OR(J724="",AE724="",AE724="NOT FOUND"),"",IF(Y724="RP",IFERROR(LEFT(_xlfn.XLOOKUP(AE724,Sheet1!$F:$F,Sheet1!$W:$W),FIND("-",_xlfn.XLOOKUP(AE724,Sheet1!$F:$F,Sheet1!$W:$W),FIND("-",_xlfn.XLOOKUP(AE724,Sheet1!$F:$F,Sheet1!$W:$W))+1))&amp;AE724,"NOT FOUND"),LEFT(J724,FIND("-",J724,FIND("-",J724)+1))&amp;AE724))</f>
        <v>KRTS-APSU26-RETKRTSFUT4315</v>
      </c>
    </row>
    <row r="725" spans="1:34" ht="15.75" customHeight="1" x14ac:dyDescent="0.2">
      <c r="A725" s="4" t="s">
        <v>61</v>
      </c>
      <c r="B725" s="4" t="s">
        <v>992</v>
      </c>
      <c r="C725" s="4" t="s">
        <v>910</v>
      </c>
      <c r="D725" s="4" t="s">
        <v>598</v>
      </c>
      <c r="E725" s="4" t="s">
        <v>34</v>
      </c>
      <c r="F725" s="4" t="s">
        <v>35</v>
      </c>
      <c r="G725" s="4" t="s">
        <v>36</v>
      </c>
      <c r="H725" s="4" t="s">
        <v>983</v>
      </c>
      <c r="I725" s="4" t="s">
        <v>984</v>
      </c>
      <c r="J725" s="4" t="s">
        <v>985</v>
      </c>
      <c r="L725" s="4" t="s">
        <v>40</v>
      </c>
      <c r="M725" s="4">
        <v>1</v>
      </c>
      <c r="N725" s="4">
        <v>208</v>
      </c>
      <c r="O725" s="4">
        <v>208</v>
      </c>
      <c r="P725" s="4" t="s">
        <v>41</v>
      </c>
      <c r="Q725" s="4">
        <v>1371.5</v>
      </c>
      <c r="R725" s="4">
        <v>1371.5</v>
      </c>
      <c r="S725" s="4">
        <v>14263.6</v>
      </c>
      <c r="T725" s="4">
        <v>285272</v>
      </c>
      <c r="U725" s="4">
        <v>5</v>
      </c>
      <c r="V725" s="4" t="s">
        <v>42</v>
      </c>
      <c r="X725" s="7" t="str">
        <f t="shared" si="30"/>
        <v>441857183</v>
      </c>
      <c r="Y725" s="8" t="str">
        <f t="shared" si="31"/>
        <v>RP</v>
      </c>
      <c r="Z725" s="8">
        <f t="shared" si="32"/>
        <v>208</v>
      </c>
      <c r="AA725" s="8">
        <f t="shared" si="33"/>
        <v>208</v>
      </c>
      <c r="AB725" s="8">
        <f t="shared" si="34"/>
        <v>208</v>
      </c>
      <c r="AC725" s="8">
        <f t="shared" si="35"/>
        <v>208</v>
      </c>
      <c r="AD725" s="8">
        <f t="shared" si="36"/>
        <v>208</v>
      </c>
      <c r="AE725" s="9" t="str" cm="1">
        <f t="array" ref="AE725">IFERROR(_xlfn.XLOOKUP(H725,Sheet1!$G:$G,Sheet1!$F:$F),IFERROR(_xlfn.XLOOKUP(1,(--($X$2:$X$1074=X725))*(--ISNUMBER(MATCH($H$2:$H$1074,Sheet1!$G:$G,0))),_xlfn.XLOOKUP($H$2:$H$1074,Sheet1!$G:$G,Sheet1!$F:$F,"")),"NOT FOUND"))</f>
        <v>RETKRTSF04310</v>
      </c>
      <c r="AF725" s="10" t="str">
        <f t="shared" si="43"/>
        <v>LT. PINK</v>
      </c>
      <c r="AG725" s="11" t="str">
        <f t="shared" si="44"/>
        <v>HARIPAL</v>
      </c>
      <c r="AH725" s="9" t="str">
        <f>IF(OR(J725="",AE725="",AE725="NOT FOUND"),"",IF(Y725="RP",IFERROR(LEFT(_xlfn.XLOOKUP(AE725,Sheet1!$F:$F,Sheet1!$W:$W),FIND("-",_xlfn.XLOOKUP(AE725,Sheet1!$F:$F,Sheet1!$W:$W),FIND("-",_xlfn.XLOOKUP(AE725,Sheet1!$F:$F,Sheet1!$W:$W))+1))&amp;AE725,"NOT FOUND"),LEFT(J725,FIND("-",J725,FIND("-",J725)+1))&amp;AE725))</f>
        <v>KRTS-APSU26-RETKRTSF04310</v>
      </c>
    </row>
    <row r="726" spans="1:34" ht="15.75" customHeight="1" x14ac:dyDescent="0.2">
      <c r="A726" s="4" t="s">
        <v>61</v>
      </c>
      <c r="B726" s="4" t="s">
        <v>993</v>
      </c>
      <c r="C726" s="4" t="s">
        <v>910</v>
      </c>
      <c r="D726" s="4" t="s">
        <v>598</v>
      </c>
      <c r="E726" s="4" t="s">
        <v>34</v>
      </c>
      <c r="F726" s="4" t="s">
        <v>35</v>
      </c>
      <c r="G726" s="4" t="s">
        <v>36</v>
      </c>
      <c r="H726" s="4" t="s">
        <v>948</v>
      </c>
      <c r="I726" s="4" t="s">
        <v>949</v>
      </c>
      <c r="J726" s="4" t="s">
        <v>950</v>
      </c>
      <c r="L726" s="4" t="s">
        <v>40</v>
      </c>
      <c r="M726" s="4">
        <v>1</v>
      </c>
      <c r="N726" s="4">
        <v>208</v>
      </c>
      <c r="O726" s="4">
        <v>208</v>
      </c>
      <c r="P726" s="4" t="s">
        <v>41</v>
      </c>
      <c r="Q726" s="4">
        <v>1321.5</v>
      </c>
      <c r="R726" s="4">
        <v>1321.5</v>
      </c>
      <c r="S726" s="4">
        <v>13743.6</v>
      </c>
      <c r="T726" s="4">
        <v>274872</v>
      </c>
      <c r="U726" s="4">
        <v>5</v>
      </c>
      <c r="V726" s="4" t="s">
        <v>42</v>
      </c>
      <c r="X726" s="7" t="str">
        <f t="shared" si="30"/>
        <v>441857189</v>
      </c>
      <c r="Y726" s="8" t="str">
        <f t="shared" si="31"/>
        <v>RP</v>
      </c>
      <c r="Z726" s="8">
        <f t="shared" si="32"/>
        <v>208</v>
      </c>
      <c r="AA726" s="8">
        <f t="shared" si="33"/>
        <v>208</v>
      </c>
      <c r="AB726" s="8">
        <f t="shared" si="34"/>
        <v>208</v>
      </c>
      <c r="AC726" s="8">
        <f t="shared" si="35"/>
        <v>208</v>
      </c>
      <c r="AD726" s="8">
        <f t="shared" si="36"/>
        <v>208</v>
      </c>
      <c r="AE726" s="9" t="str" cm="1">
        <f t="array" ref="AE726">IFERROR(_xlfn.XLOOKUP(H726,Sheet1!$G:$G,Sheet1!$F:$F),IFERROR(_xlfn.XLOOKUP(1,(--($X$2:$X$1074=X726))*(--ISNUMBER(MATCH($H$2:$H$1074,Sheet1!$G:$G,0))),_xlfn.XLOOKUP($H$2:$H$1074,Sheet1!$G:$G,Sheet1!$F:$F,"")),"NOT FOUND"))</f>
        <v>RETKRTSFUT4322</v>
      </c>
      <c r="AF726" s="10" t="str">
        <f t="shared" si="43"/>
        <v>SKY BLUE</v>
      </c>
      <c r="AG726" s="11" t="str">
        <f t="shared" si="44"/>
        <v>HARIPAL</v>
      </c>
      <c r="AH726" s="9" t="str">
        <f>IF(OR(J726="",AE726="",AE726="NOT FOUND"),"",IF(Y726="RP",IFERROR(LEFT(_xlfn.XLOOKUP(AE726,Sheet1!$F:$F,Sheet1!$W:$W),FIND("-",_xlfn.XLOOKUP(AE726,Sheet1!$F:$F,Sheet1!$W:$W),FIND("-",_xlfn.XLOOKUP(AE726,Sheet1!$F:$F,Sheet1!$W:$W))+1))&amp;AE726,"NOT FOUND"),LEFT(J726,FIND("-",J726,FIND("-",J726)+1))&amp;AE726))</f>
        <v>KRTS-APSU26-RETKRTSFUT4322</v>
      </c>
    </row>
    <row r="727" spans="1:34" ht="15.75" customHeight="1" x14ac:dyDescent="0.2">
      <c r="A727" s="4" t="s">
        <v>61</v>
      </c>
      <c r="B727" s="4" t="s">
        <v>994</v>
      </c>
      <c r="C727" s="4" t="s">
        <v>910</v>
      </c>
      <c r="D727" s="4" t="s">
        <v>598</v>
      </c>
      <c r="E727" s="4" t="s">
        <v>34</v>
      </c>
      <c r="F727" s="4" t="s">
        <v>35</v>
      </c>
      <c r="G727" s="4" t="s">
        <v>36</v>
      </c>
      <c r="H727" s="4" t="s">
        <v>963</v>
      </c>
      <c r="I727" s="4" t="s">
        <v>964</v>
      </c>
      <c r="J727" s="4" t="s">
        <v>965</v>
      </c>
      <c r="L727" s="4" t="s">
        <v>40</v>
      </c>
      <c r="M727" s="4">
        <v>1</v>
      </c>
      <c r="N727" s="4">
        <v>208</v>
      </c>
      <c r="O727" s="4">
        <v>208</v>
      </c>
      <c r="P727" s="4" t="s">
        <v>41</v>
      </c>
      <c r="Q727" s="4">
        <v>1321.5</v>
      </c>
      <c r="R727" s="4">
        <v>1321.5</v>
      </c>
      <c r="S727" s="4">
        <v>13743.6</v>
      </c>
      <c r="T727" s="4">
        <v>274872</v>
      </c>
      <c r="U727" s="4">
        <v>5</v>
      </c>
      <c r="V727" s="4" t="s">
        <v>42</v>
      </c>
      <c r="X727" s="7" t="str">
        <f t="shared" si="30"/>
        <v>441857185</v>
      </c>
      <c r="Y727" s="8" t="str">
        <f t="shared" si="31"/>
        <v>RP</v>
      </c>
      <c r="Z727" s="8">
        <f t="shared" si="32"/>
        <v>208</v>
      </c>
      <c r="AA727" s="8">
        <f t="shared" si="33"/>
        <v>208</v>
      </c>
      <c r="AB727" s="8">
        <f t="shared" si="34"/>
        <v>208</v>
      </c>
      <c r="AC727" s="8">
        <f t="shared" si="35"/>
        <v>208</v>
      </c>
      <c r="AD727" s="8">
        <f t="shared" si="36"/>
        <v>208</v>
      </c>
      <c r="AE727" s="9" t="str" cm="1">
        <f t="array" ref="AE727">IFERROR(_xlfn.XLOOKUP(H727,Sheet1!$G:$G,Sheet1!$F:$F),IFERROR(_xlfn.XLOOKUP(1,(--($X$2:$X$1074=X727))*(--ISNUMBER(MATCH($H$2:$H$1074,Sheet1!$G:$G,0))),_xlfn.XLOOKUP($H$2:$H$1074,Sheet1!$G:$G,Sheet1!$F:$F,"")),"NOT FOUND"))</f>
        <v>RETKRTSFUT4314</v>
      </c>
      <c r="AF727" s="10" t="str">
        <f t="shared" si="43"/>
        <v>BLUE</v>
      </c>
      <c r="AG727" s="11" t="str">
        <f t="shared" si="44"/>
        <v>HARIPAL</v>
      </c>
      <c r="AH727" s="9" t="str">
        <f>IF(OR(J727="",AE727="",AE727="NOT FOUND"),"",IF(Y727="RP",IFERROR(LEFT(_xlfn.XLOOKUP(AE727,Sheet1!$F:$F,Sheet1!$W:$W),FIND("-",_xlfn.XLOOKUP(AE727,Sheet1!$F:$F,Sheet1!$W:$W),FIND("-",_xlfn.XLOOKUP(AE727,Sheet1!$F:$F,Sheet1!$W:$W))+1))&amp;AE727,"NOT FOUND"),LEFT(J727,FIND("-",J727,FIND("-",J727)+1))&amp;AE727))</f>
        <v>KRTS-APSU26-RETKRTSFUT4314</v>
      </c>
    </row>
    <row r="728" spans="1:34" ht="15.75" customHeight="1" x14ac:dyDescent="0.2">
      <c r="A728" s="4" t="s">
        <v>61</v>
      </c>
      <c r="B728" s="4" t="s">
        <v>995</v>
      </c>
      <c r="C728" s="4" t="s">
        <v>910</v>
      </c>
      <c r="D728" s="4" t="s">
        <v>598</v>
      </c>
      <c r="E728" s="4" t="s">
        <v>34</v>
      </c>
      <c r="F728" s="4" t="s">
        <v>35</v>
      </c>
      <c r="G728" s="4" t="s">
        <v>36</v>
      </c>
      <c r="H728" s="4" t="s">
        <v>944</v>
      </c>
      <c r="I728" s="4" t="s">
        <v>945</v>
      </c>
      <c r="J728" s="4" t="s">
        <v>946</v>
      </c>
      <c r="L728" s="4" t="s">
        <v>40</v>
      </c>
      <c r="M728" s="4">
        <v>1</v>
      </c>
      <c r="N728" s="4">
        <v>208</v>
      </c>
      <c r="O728" s="4">
        <v>208</v>
      </c>
      <c r="P728" s="4" t="s">
        <v>41</v>
      </c>
      <c r="Q728" s="4">
        <v>1346.5</v>
      </c>
      <c r="R728" s="4">
        <v>1346.5</v>
      </c>
      <c r="S728" s="4">
        <v>14003.6</v>
      </c>
      <c r="T728" s="4">
        <v>280072</v>
      </c>
      <c r="U728" s="4">
        <v>5</v>
      </c>
      <c r="V728" s="4" t="s">
        <v>42</v>
      </c>
      <c r="X728" s="7" t="str">
        <f t="shared" si="30"/>
        <v>441857188</v>
      </c>
      <c r="Y728" s="8" t="str">
        <f t="shared" si="31"/>
        <v>RP</v>
      </c>
      <c r="Z728" s="8">
        <f t="shared" si="32"/>
        <v>208</v>
      </c>
      <c r="AA728" s="8">
        <f t="shared" si="33"/>
        <v>208</v>
      </c>
      <c r="AB728" s="8">
        <f t="shared" si="34"/>
        <v>208</v>
      </c>
      <c r="AC728" s="8">
        <f t="shared" si="35"/>
        <v>208</v>
      </c>
      <c r="AD728" s="8">
        <f t="shared" si="36"/>
        <v>208</v>
      </c>
      <c r="AE728" s="9" t="str" cm="1">
        <f t="array" ref="AE728">IFERROR(_xlfn.XLOOKUP(H728,Sheet1!$G:$G,Sheet1!$F:$F),IFERROR(_xlfn.XLOOKUP(1,(--($X$2:$X$1074=X728))*(--ISNUMBER(MATCH($H$2:$H$1074,Sheet1!$G:$G,0))),_xlfn.XLOOKUP($H$2:$H$1074,Sheet1!$G:$G,Sheet1!$F:$F,"")),"NOT FOUND"))</f>
        <v>RETKRTSFUT4321</v>
      </c>
      <c r="AF728" s="10" t="str">
        <f t="shared" si="43"/>
        <v>LIME GREEN</v>
      </c>
      <c r="AG728" s="11" t="str">
        <f t="shared" si="44"/>
        <v>HARIPAL</v>
      </c>
      <c r="AH728" s="9" t="str">
        <f>IF(OR(J728="",AE728="",AE728="NOT FOUND"),"",IF(Y728="RP",IFERROR(LEFT(_xlfn.XLOOKUP(AE728,Sheet1!$F:$F,Sheet1!$W:$W),FIND("-",_xlfn.XLOOKUP(AE728,Sheet1!$F:$F,Sheet1!$W:$W),FIND("-",_xlfn.XLOOKUP(AE728,Sheet1!$F:$F,Sheet1!$W:$W))+1))&amp;AE728,"NOT FOUND"),LEFT(J728,FIND("-",J728,FIND("-",J728)+1))&amp;AE728))</f>
        <v>KRTS-APSU26-RETKRTSFUT4321</v>
      </c>
    </row>
    <row r="729" spans="1:34" ht="15.75" customHeight="1" x14ac:dyDescent="0.2">
      <c r="A729" s="4" t="s">
        <v>61</v>
      </c>
      <c r="B729" s="4" t="s">
        <v>996</v>
      </c>
      <c r="C729" s="4" t="s">
        <v>910</v>
      </c>
      <c r="D729" s="4" t="s">
        <v>598</v>
      </c>
      <c r="E729" s="4" t="s">
        <v>34</v>
      </c>
      <c r="F729" s="4" t="s">
        <v>35</v>
      </c>
      <c r="G729" s="4" t="s">
        <v>36</v>
      </c>
      <c r="H729" s="4" t="s">
        <v>958</v>
      </c>
      <c r="I729" s="4" t="s">
        <v>959</v>
      </c>
      <c r="J729" s="4" t="s">
        <v>960</v>
      </c>
      <c r="L729" s="4" t="s">
        <v>40</v>
      </c>
      <c r="M729" s="4">
        <v>1</v>
      </c>
      <c r="N729" s="4">
        <v>208</v>
      </c>
      <c r="O729" s="4">
        <v>208</v>
      </c>
      <c r="P729" s="4" t="s">
        <v>41</v>
      </c>
      <c r="Q729" s="4">
        <v>1371.5</v>
      </c>
      <c r="R729" s="4">
        <v>1371.5</v>
      </c>
      <c r="S729" s="4">
        <v>14263.6</v>
      </c>
      <c r="T729" s="4">
        <v>285272</v>
      </c>
      <c r="U729" s="4">
        <v>5</v>
      </c>
      <c r="V729" s="4" t="s">
        <v>42</v>
      </c>
      <c r="X729" s="7" t="str">
        <f t="shared" si="30"/>
        <v>441857184</v>
      </c>
      <c r="Y729" s="8" t="str">
        <f t="shared" si="31"/>
        <v>RP</v>
      </c>
      <c r="Z729" s="8">
        <f t="shared" si="32"/>
        <v>208</v>
      </c>
      <c r="AA729" s="8">
        <f t="shared" si="33"/>
        <v>208</v>
      </c>
      <c r="AB729" s="8">
        <f t="shared" si="34"/>
        <v>208</v>
      </c>
      <c r="AC729" s="8">
        <f t="shared" si="35"/>
        <v>208</v>
      </c>
      <c r="AD729" s="8">
        <f t="shared" si="36"/>
        <v>208</v>
      </c>
      <c r="AE729" s="9" t="str" cm="1">
        <f t="array" ref="AE729">IFERROR(_xlfn.XLOOKUP(H729,Sheet1!$G:$G,Sheet1!$F:$F),IFERROR(_xlfn.XLOOKUP(1,(--($X$2:$X$1074=X729))*(--ISNUMBER(MATCH($H$2:$H$1074,Sheet1!$G:$G,0))),_xlfn.XLOOKUP($H$2:$H$1074,Sheet1!$G:$G,Sheet1!$F:$F,"")),"NOT FOUND"))</f>
        <v>RETKRTSF04311</v>
      </c>
      <c r="AF729" s="10" t="str">
        <f t="shared" si="43"/>
        <v>CORAL</v>
      </c>
      <c r="AG729" s="11" t="str">
        <f t="shared" si="44"/>
        <v>HARIPAL</v>
      </c>
      <c r="AH729" s="9" t="str">
        <f>IF(OR(J729="",AE729="",AE729="NOT FOUND"),"",IF(Y729="RP",IFERROR(LEFT(_xlfn.XLOOKUP(AE729,Sheet1!$F:$F,Sheet1!$W:$W),FIND("-",_xlfn.XLOOKUP(AE729,Sheet1!$F:$F,Sheet1!$W:$W),FIND("-",_xlfn.XLOOKUP(AE729,Sheet1!$F:$F,Sheet1!$W:$W))+1))&amp;AE729,"NOT FOUND"),LEFT(J729,FIND("-",J729,FIND("-",J729)+1))&amp;AE729))</f>
        <v>KRTS-APSU26-RETKRTSF04311</v>
      </c>
    </row>
    <row r="730" spans="1:34" ht="15.75" customHeight="1" x14ac:dyDescent="0.2">
      <c r="A730" s="4" t="s">
        <v>30</v>
      </c>
      <c r="B730" s="4" t="s">
        <v>997</v>
      </c>
      <c r="C730" s="4" t="s">
        <v>910</v>
      </c>
      <c r="D730" s="4" t="s">
        <v>998</v>
      </c>
      <c r="E730" s="4" t="s">
        <v>34</v>
      </c>
      <c r="F730" s="4" t="s">
        <v>35</v>
      </c>
      <c r="G730" s="4" t="s">
        <v>43</v>
      </c>
      <c r="H730" s="4" t="s">
        <v>999</v>
      </c>
      <c r="I730" s="4" t="s">
        <v>1000</v>
      </c>
      <c r="J730" s="4" t="s">
        <v>1001</v>
      </c>
      <c r="L730" s="4" t="s">
        <v>40</v>
      </c>
      <c r="M730" s="4">
        <v>1</v>
      </c>
      <c r="N730" s="4">
        <v>97</v>
      </c>
      <c r="O730" s="4">
        <v>97</v>
      </c>
      <c r="P730" s="4" t="s">
        <v>41</v>
      </c>
      <c r="Q730" s="4">
        <v>514.29999999999995</v>
      </c>
      <c r="R730" s="4">
        <v>514.29999999999995</v>
      </c>
      <c r="S730" s="4">
        <v>2494.36</v>
      </c>
      <c r="T730" s="4">
        <v>49887.1</v>
      </c>
      <c r="U730" s="4">
        <v>5</v>
      </c>
      <c r="V730" s="4" t="s">
        <v>42</v>
      </c>
      <c r="X730" s="7" t="str">
        <f t="shared" si="30"/>
        <v>441856924</v>
      </c>
      <c r="Y730" s="8" t="str">
        <f t="shared" si="31"/>
        <v>DC</v>
      </c>
      <c r="Z730" s="8">
        <f t="shared" si="32"/>
        <v>0</v>
      </c>
      <c r="AA730" s="8">
        <f t="shared" si="33"/>
        <v>97</v>
      </c>
      <c r="AB730" s="8">
        <f t="shared" si="34"/>
        <v>0</v>
      </c>
      <c r="AC730" s="8">
        <f t="shared" si="35"/>
        <v>0</v>
      </c>
      <c r="AD730" s="8">
        <f t="shared" si="36"/>
        <v>0</v>
      </c>
      <c r="AE730" s="9" t="str" cm="1">
        <f t="array" ref="AE730">IFERROR(_xlfn.XLOOKUP(H730,Sheet1!$G:$G,Sheet1!$F:$F),IFERROR(_xlfn.XLOOKUP(1,(--($X$2:$X$1074=X730))*(--ISNUMBER(MATCH($H$2:$H$1074,Sheet1!$G:$G,0))),_xlfn.XLOOKUP($H$2:$H$1074,Sheet1!$G:$G,Sheet1!$F:$F,"")),"NOT FOUND"))</f>
        <v>RETCRDSFUT4340</v>
      </c>
      <c r="AF730" s="10" t="str">
        <f t="shared" si="43"/>
        <v>BLACK</v>
      </c>
      <c r="AG730" s="11" t="str">
        <f t="shared" si="44"/>
        <v>Bangalore</v>
      </c>
      <c r="AH730" s="9" t="str">
        <f>IF(OR(J730="",AE730="",AE730="NOT FOUND"),"",IF(Y730="RP",IFERROR(LEFT(_xlfn.XLOOKUP(AE730,Sheet1!$F:$F,Sheet1!$W:$W),FIND("-",_xlfn.XLOOKUP(AE730,Sheet1!$F:$F,Sheet1!$W:$W),FIND("-",_xlfn.XLOOKUP(AE730,Sheet1!$F:$F,Sheet1!$W:$W))+1))&amp;AE730,"NOT FOUND"),LEFT(J730,FIND("-",J730,FIND("-",J730)+1))&amp;AE730))</f>
        <v>SKD-APSU26-RETCRDSFUT4340</v>
      </c>
    </row>
    <row r="731" spans="1:34" ht="15.75" customHeight="1" x14ac:dyDescent="0.2">
      <c r="A731" s="4" t="s">
        <v>30</v>
      </c>
      <c r="B731" s="4" t="s">
        <v>997</v>
      </c>
      <c r="C731" s="4" t="s">
        <v>910</v>
      </c>
      <c r="D731" s="4" t="s">
        <v>998</v>
      </c>
      <c r="E731" s="4" t="s">
        <v>34</v>
      </c>
      <c r="F731" s="4" t="s">
        <v>35</v>
      </c>
      <c r="G731" s="4" t="s">
        <v>47</v>
      </c>
      <c r="H731" s="4" t="s">
        <v>1002</v>
      </c>
      <c r="I731" s="4" t="s">
        <v>1003</v>
      </c>
      <c r="J731" s="4" t="s">
        <v>1004</v>
      </c>
      <c r="L731" s="4" t="s">
        <v>40</v>
      </c>
      <c r="M731" s="4">
        <v>1</v>
      </c>
      <c r="N731" s="4">
        <v>115</v>
      </c>
      <c r="O731" s="4">
        <v>115</v>
      </c>
      <c r="P731" s="4" t="s">
        <v>41</v>
      </c>
      <c r="Q731" s="4">
        <v>514.29999999999995</v>
      </c>
      <c r="R731" s="4">
        <v>514.29999999999995</v>
      </c>
      <c r="S731" s="4">
        <v>2957.23</v>
      </c>
      <c r="T731" s="4">
        <v>59144.5</v>
      </c>
      <c r="U731" s="4">
        <v>5</v>
      </c>
      <c r="V731" s="4" t="s">
        <v>42</v>
      </c>
      <c r="X731" s="7" t="str">
        <f t="shared" si="30"/>
        <v>441856924</v>
      </c>
      <c r="Y731" s="8" t="str">
        <f t="shared" si="31"/>
        <v>DC</v>
      </c>
      <c r="Z731" s="8">
        <f t="shared" si="32"/>
        <v>0</v>
      </c>
      <c r="AA731" s="8">
        <f t="shared" si="33"/>
        <v>0</v>
      </c>
      <c r="AB731" s="8">
        <f t="shared" si="34"/>
        <v>115</v>
      </c>
      <c r="AC731" s="8">
        <f t="shared" si="35"/>
        <v>0</v>
      </c>
      <c r="AD731" s="8">
        <f t="shared" si="36"/>
        <v>0</v>
      </c>
      <c r="AE731" s="9" t="str" cm="1">
        <f t="array" ref="AE731">IFERROR(_xlfn.XLOOKUP(H731,Sheet1!$G:$G,Sheet1!$F:$F),IFERROR(_xlfn.XLOOKUP(1,(--($X$2:$X$1074=X731))*(--ISNUMBER(MATCH($H$2:$H$1074,Sheet1!$G:$G,0))),_xlfn.XLOOKUP($H$2:$H$1074,Sheet1!$G:$G,Sheet1!$F:$F,"")),"NOT FOUND"))</f>
        <v>RETCRDSFUT4340</v>
      </c>
      <c r="AF731" s="10" t="str">
        <f t="shared" si="43"/>
        <v>BLACK</v>
      </c>
      <c r="AG731" s="11" t="str">
        <f t="shared" si="44"/>
        <v>Bangalore</v>
      </c>
      <c r="AH731" s="9" t="str">
        <f>IF(OR(J731="",AE731="",AE731="NOT FOUND"),"",IF(Y731="RP",IFERROR(LEFT(_xlfn.XLOOKUP(AE731,Sheet1!$F:$F,Sheet1!$W:$W),FIND("-",_xlfn.XLOOKUP(AE731,Sheet1!$F:$F,Sheet1!$W:$W),FIND("-",_xlfn.XLOOKUP(AE731,Sheet1!$F:$F,Sheet1!$W:$W))+1))&amp;AE731,"NOT FOUND"),LEFT(J731,FIND("-",J731,FIND("-",J731)+1))&amp;AE731))</f>
        <v>SKD-APSU26-RETCRDSFUT4340</v>
      </c>
    </row>
    <row r="732" spans="1:34" ht="15.75" customHeight="1" x14ac:dyDescent="0.2">
      <c r="A732" s="4" t="s">
        <v>30</v>
      </c>
      <c r="B732" s="4" t="s">
        <v>997</v>
      </c>
      <c r="C732" s="4" t="s">
        <v>910</v>
      </c>
      <c r="D732" s="4" t="s">
        <v>998</v>
      </c>
      <c r="E732" s="4" t="s">
        <v>34</v>
      </c>
      <c r="F732" s="4" t="s">
        <v>35</v>
      </c>
      <c r="G732" s="4" t="s">
        <v>51</v>
      </c>
      <c r="H732" s="4" t="s">
        <v>1005</v>
      </c>
      <c r="I732" s="4" t="s">
        <v>1006</v>
      </c>
      <c r="J732" s="4" t="s">
        <v>1007</v>
      </c>
      <c r="L732" s="4" t="s">
        <v>40</v>
      </c>
      <c r="M732" s="4">
        <v>1</v>
      </c>
      <c r="N732" s="4">
        <v>100</v>
      </c>
      <c r="O732" s="4">
        <v>100</v>
      </c>
      <c r="P732" s="4" t="s">
        <v>41</v>
      </c>
      <c r="Q732" s="4">
        <v>514.29999999999995</v>
      </c>
      <c r="R732" s="4">
        <v>514.29999999999995</v>
      </c>
      <c r="S732" s="4">
        <v>2571.5</v>
      </c>
      <c r="T732" s="4">
        <v>51430</v>
      </c>
      <c r="U732" s="4">
        <v>5</v>
      </c>
      <c r="V732" s="4" t="s">
        <v>42</v>
      </c>
      <c r="X732" s="7" t="str">
        <f t="shared" si="30"/>
        <v>441856924</v>
      </c>
      <c r="Y732" s="8" t="str">
        <f t="shared" si="31"/>
        <v>DC</v>
      </c>
      <c r="Z732" s="8">
        <f t="shared" si="32"/>
        <v>0</v>
      </c>
      <c r="AA732" s="8">
        <f t="shared" si="33"/>
        <v>0</v>
      </c>
      <c r="AB732" s="8">
        <f t="shared" si="34"/>
        <v>0</v>
      </c>
      <c r="AC732" s="8">
        <f t="shared" si="35"/>
        <v>100</v>
      </c>
      <c r="AD732" s="8">
        <f t="shared" si="36"/>
        <v>0</v>
      </c>
      <c r="AE732" s="9" t="str" cm="1">
        <f t="array" ref="AE732">IFERROR(_xlfn.XLOOKUP(H732,Sheet1!$G:$G,Sheet1!$F:$F),IFERROR(_xlfn.XLOOKUP(1,(--($X$2:$X$1074=X732))*(--ISNUMBER(MATCH($H$2:$H$1074,Sheet1!$G:$G,0))),_xlfn.XLOOKUP($H$2:$H$1074,Sheet1!$G:$G,Sheet1!$F:$F,"")),"NOT FOUND"))</f>
        <v>RETCRDSFUT4340</v>
      </c>
      <c r="AF732" s="10" t="str">
        <f t="shared" si="43"/>
        <v>BLACK</v>
      </c>
      <c r="AG732" s="11" t="str">
        <f t="shared" si="44"/>
        <v>Bangalore</v>
      </c>
      <c r="AH732" s="9" t="str">
        <f>IF(OR(J732="",AE732="",AE732="NOT FOUND"),"",IF(Y732="RP",IFERROR(LEFT(_xlfn.XLOOKUP(AE732,Sheet1!$F:$F,Sheet1!$W:$W),FIND("-",_xlfn.XLOOKUP(AE732,Sheet1!$F:$F,Sheet1!$W:$W),FIND("-",_xlfn.XLOOKUP(AE732,Sheet1!$F:$F,Sheet1!$W:$W))+1))&amp;AE732,"NOT FOUND"),LEFT(J732,FIND("-",J732,FIND("-",J732)+1))&amp;AE732))</f>
        <v>SKD-APSU26-RETCRDSFUT4340</v>
      </c>
    </row>
    <row r="733" spans="1:34" ht="15.75" customHeight="1" x14ac:dyDescent="0.2">
      <c r="A733" s="4" t="s">
        <v>30</v>
      </c>
      <c r="B733" s="4" t="s">
        <v>997</v>
      </c>
      <c r="C733" s="4" t="s">
        <v>910</v>
      </c>
      <c r="D733" s="4" t="s">
        <v>998</v>
      </c>
      <c r="E733" s="4" t="s">
        <v>34</v>
      </c>
      <c r="F733" s="4" t="s">
        <v>35</v>
      </c>
      <c r="G733" s="4" t="s">
        <v>55</v>
      </c>
      <c r="H733" s="4" t="s">
        <v>1008</v>
      </c>
      <c r="I733" s="4" t="s">
        <v>1009</v>
      </c>
      <c r="J733" s="4" t="s">
        <v>1010</v>
      </c>
      <c r="L733" s="4" t="s">
        <v>40</v>
      </c>
      <c r="M733" s="4">
        <v>1</v>
      </c>
      <c r="N733" s="4">
        <v>30</v>
      </c>
      <c r="O733" s="4">
        <v>30</v>
      </c>
      <c r="P733" s="4" t="s">
        <v>41</v>
      </c>
      <c r="Q733" s="4">
        <v>514.29999999999995</v>
      </c>
      <c r="R733" s="4">
        <v>514.29999999999995</v>
      </c>
      <c r="S733" s="4">
        <v>771.45</v>
      </c>
      <c r="T733" s="4">
        <v>15429</v>
      </c>
      <c r="U733" s="4">
        <v>5</v>
      </c>
      <c r="V733" s="4" t="s">
        <v>42</v>
      </c>
      <c r="X733" s="7" t="str">
        <f t="shared" si="30"/>
        <v>441856924</v>
      </c>
      <c r="Y733" s="8" t="str">
        <f t="shared" si="31"/>
        <v>DC</v>
      </c>
      <c r="Z733" s="8">
        <f t="shared" si="32"/>
        <v>0</v>
      </c>
      <c r="AA733" s="8">
        <f t="shared" si="33"/>
        <v>0</v>
      </c>
      <c r="AB733" s="8">
        <f t="shared" si="34"/>
        <v>0</v>
      </c>
      <c r="AC733" s="8">
        <f t="shared" si="35"/>
        <v>0</v>
      </c>
      <c r="AD733" s="8">
        <f t="shared" si="36"/>
        <v>30</v>
      </c>
      <c r="AE733" s="9" t="str" cm="1">
        <f t="array" ref="AE733">IFERROR(_xlfn.XLOOKUP(H733,Sheet1!$G:$G,Sheet1!$F:$F),IFERROR(_xlfn.XLOOKUP(1,(--($X$2:$X$1074=X733))*(--ISNUMBER(MATCH($H$2:$H$1074,Sheet1!$G:$G,0))),_xlfn.XLOOKUP($H$2:$H$1074,Sheet1!$G:$G,Sheet1!$F:$F,"")),"NOT FOUND"))</f>
        <v>RETCRDSFUT4340</v>
      </c>
      <c r="AF733" s="10" t="str">
        <f t="shared" si="43"/>
        <v>BLACK</v>
      </c>
      <c r="AG733" s="11" t="str">
        <f t="shared" si="44"/>
        <v>Bangalore</v>
      </c>
      <c r="AH733" s="9" t="str">
        <f>IF(OR(J733="",AE733="",AE733="NOT FOUND"),"",IF(Y733="RP",IFERROR(LEFT(_xlfn.XLOOKUP(AE733,Sheet1!$F:$F,Sheet1!$W:$W),FIND("-",_xlfn.XLOOKUP(AE733,Sheet1!$F:$F,Sheet1!$W:$W),FIND("-",_xlfn.XLOOKUP(AE733,Sheet1!$F:$F,Sheet1!$W:$W))+1))&amp;AE733,"NOT FOUND"),LEFT(J733,FIND("-",J733,FIND("-",J733)+1))&amp;AE733))</f>
        <v>SKD-APSU26-RETCRDSFUT4340</v>
      </c>
    </row>
    <row r="734" spans="1:34" ht="15.75" customHeight="1" x14ac:dyDescent="0.2">
      <c r="A734" s="4" t="s">
        <v>59</v>
      </c>
      <c r="B734" s="4" t="s">
        <v>1011</v>
      </c>
      <c r="C734" s="4" t="s">
        <v>910</v>
      </c>
      <c r="D734" s="4" t="s">
        <v>998</v>
      </c>
      <c r="E734" s="4" t="s">
        <v>34</v>
      </c>
      <c r="F734" s="4" t="s">
        <v>35</v>
      </c>
      <c r="G734" s="4" t="s">
        <v>36</v>
      </c>
      <c r="H734" s="4" t="s">
        <v>1012</v>
      </c>
      <c r="I734" s="4" t="s">
        <v>1013</v>
      </c>
      <c r="J734" s="4" t="s">
        <v>1014</v>
      </c>
      <c r="L734" s="4" t="s">
        <v>40</v>
      </c>
      <c r="M734" s="4">
        <v>1</v>
      </c>
      <c r="N734" s="4">
        <v>30</v>
      </c>
      <c r="O734" s="4">
        <v>30</v>
      </c>
      <c r="P734" s="4" t="s">
        <v>41</v>
      </c>
      <c r="Q734" s="4">
        <v>514.29999999999995</v>
      </c>
      <c r="R734" s="4">
        <v>514.29999999999995</v>
      </c>
      <c r="S734" s="4">
        <v>771.45</v>
      </c>
      <c r="T734" s="4">
        <v>15429</v>
      </c>
      <c r="U734" s="4">
        <v>5</v>
      </c>
      <c r="V734" s="4" t="s">
        <v>42</v>
      </c>
      <c r="X734" s="7" t="str">
        <f t="shared" si="30"/>
        <v>441856924</v>
      </c>
      <c r="Y734" s="8" t="str">
        <f t="shared" si="31"/>
        <v>DC</v>
      </c>
      <c r="Z734" s="8">
        <f t="shared" si="32"/>
        <v>30</v>
      </c>
      <c r="AA734" s="8">
        <f t="shared" si="33"/>
        <v>0</v>
      </c>
      <c r="AB734" s="8">
        <f t="shared" si="34"/>
        <v>0</v>
      </c>
      <c r="AC734" s="8">
        <f t="shared" si="35"/>
        <v>0</v>
      </c>
      <c r="AD734" s="8">
        <f t="shared" si="36"/>
        <v>0</v>
      </c>
      <c r="AE734" s="9" t="str" cm="1">
        <f t="array" ref="AE734">IFERROR(_xlfn.XLOOKUP(H734,Sheet1!$G:$G,Sheet1!$F:$F),IFERROR(_xlfn.XLOOKUP(1,(--($X$2:$X$1074=X734))*(--ISNUMBER(MATCH($H$2:$H$1074,Sheet1!$G:$G,0))),_xlfn.XLOOKUP($H$2:$H$1074,Sheet1!$G:$G,Sheet1!$F:$F,"")),"NOT FOUND"))</f>
        <v>RETCRDSFUT4340</v>
      </c>
      <c r="AF734" s="10" t="str">
        <f t="shared" si="43"/>
        <v>BLACK</v>
      </c>
      <c r="AG734" s="11" t="str">
        <f t="shared" si="44"/>
        <v>JHAJJAR</v>
      </c>
      <c r="AH734" s="9" t="str">
        <f>IF(OR(J734="",AE734="",AE734="NOT FOUND"),"",IF(Y734="RP",IFERROR(LEFT(_xlfn.XLOOKUP(AE734,Sheet1!$F:$F,Sheet1!$W:$W),FIND("-",_xlfn.XLOOKUP(AE734,Sheet1!$F:$F,Sheet1!$W:$W),FIND("-",_xlfn.XLOOKUP(AE734,Sheet1!$F:$F,Sheet1!$W:$W))+1))&amp;AE734,"NOT FOUND"),LEFT(J734,FIND("-",J734,FIND("-",J734)+1))&amp;AE734))</f>
        <v>SKD-APSU26-RETCRDSFUT4340</v>
      </c>
    </row>
    <row r="735" spans="1:34" ht="15.75" customHeight="1" x14ac:dyDescent="0.2">
      <c r="A735" s="4" t="s">
        <v>61</v>
      </c>
      <c r="B735" s="4" t="s">
        <v>1015</v>
      </c>
      <c r="C735" s="4" t="s">
        <v>910</v>
      </c>
      <c r="D735" s="4" t="s">
        <v>998</v>
      </c>
      <c r="E735" s="4" t="s">
        <v>34</v>
      </c>
      <c r="F735" s="4" t="s">
        <v>35</v>
      </c>
      <c r="G735" s="4" t="s">
        <v>36</v>
      </c>
      <c r="H735" s="4" t="s">
        <v>1012</v>
      </c>
      <c r="I735" s="4" t="s">
        <v>1013</v>
      </c>
      <c r="J735" s="4" t="s">
        <v>1014</v>
      </c>
      <c r="L735" s="4" t="s">
        <v>40</v>
      </c>
      <c r="M735" s="4">
        <v>1</v>
      </c>
      <c r="N735" s="4">
        <v>30</v>
      </c>
      <c r="O735" s="4">
        <v>30</v>
      </c>
      <c r="P735" s="4" t="s">
        <v>41</v>
      </c>
      <c r="Q735" s="4">
        <v>514.29999999999995</v>
      </c>
      <c r="R735" s="4">
        <v>514.29999999999995</v>
      </c>
      <c r="S735" s="4">
        <v>771.45</v>
      </c>
      <c r="T735" s="4">
        <v>15429</v>
      </c>
      <c r="U735" s="4">
        <v>5</v>
      </c>
      <c r="V735" s="4" t="s">
        <v>42</v>
      </c>
      <c r="X735" s="7" t="str">
        <f t="shared" si="30"/>
        <v>441856924</v>
      </c>
      <c r="Y735" s="8" t="str">
        <f t="shared" si="31"/>
        <v>DC</v>
      </c>
      <c r="Z735" s="8">
        <f t="shared" si="32"/>
        <v>30</v>
      </c>
      <c r="AA735" s="8">
        <f t="shared" si="33"/>
        <v>0</v>
      </c>
      <c r="AB735" s="8">
        <f t="shared" si="34"/>
        <v>0</v>
      </c>
      <c r="AC735" s="8">
        <f t="shared" si="35"/>
        <v>0</v>
      </c>
      <c r="AD735" s="8">
        <f t="shared" si="36"/>
        <v>0</v>
      </c>
      <c r="AE735" s="9" t="str" cm="1">
        <f t="array" ref="AE735">IFERROR(_xlfn.XLOOKUP(H735,Sheet1!$G:$G,Sheet1!$F:$F),IFERROR(_xlfn.XLOOKUP(1,(--($X$2:$X$1074=X735))*(--ISNUMBER(MATCH($H$2:$H$1074,Sheet1!$G:$G,0))),_xlfn.XLOOKUP($H$2:$H$1074,Sheet1!$G:$G,Sheet1!$F:$F,"")),"NOT FOUND"))</f>
        <v>RETCRDSFUT4340</v>
      </c>
      <c r="AF735" s="10" t="str">
        <f t="shared" si="43"/>
        <v>BLACK</v>
      </c>
      <c r="AG735" s="11" t="str">
        <f t="shared" si="44"/>
        <v>HARIPAL</v>
      </c>
      <c r="AH735" s="9" t="str">
        <f>IF(OR(J735="",AE735="",AE735="NOT FOUND"),"",IF(Y735="RP",IFERROR(LEFT(_xlfn.XLOOKUP(AE735,Sheet1!$F:$F,Sheet1!$W:$W),FIND("-",_xlfn.XLOOKUP(AE735,Sheet1!$F:$F,Sheet1!$W:$W),FIND("-",_xlfn.XLOOKUP(AE735,Sheet1!$F:$F,Sheet1!$W:$W))+1))&amp;AE735,"NOT FOUND"),LEFT(J735,FIND("-",J735,FIND("-",J735)+1))&amp;AE735))</f>
        <v>SKD-APSU26-RETCRDSFUT4340</v>
      </c>
    </row>
    <row r="736" spans="1:34" ht="15.75" customHeight="1" x14ac:dyDescent="0.2">
      <c r="A736" s="4" t="s">
        <v>61</v>
      </c>
      <c r="B736" s="4" t="s">
        <v>1015</v>
      </c>
      <c r="C736" s="4" t="s">
        <v>910</v>
      </c>
      <c r="D736" s="4" t="s">
        <v>998</v>
      </c>
      <c r="E736" s="4" t="s">
        <v>34</v>
      </c>
      <c r="F736" s="4" t="s">
        <v>35</v>
      </c>
      <c r="G736" s="4" t="s">
        <v>43</v>
      </c>
      <c r="H736" s="4" t="s">
        <v>999</v>
      </c>
      <c r="I736" s="4" t="s">
        <v>1000</v>
      </c>
      <c r="J736" s="4" t="s">
        <v>1001</v>
      </c>
      <c r="L736" s="4" t="s">
        <v>40</v>
      </c>
      <c r="M736" s="4">
        <v>1</v>
      </c>
      <c r="N736" s="4">
        <v>56</v>
      </c>
      <c r="O736" s="4">
        <v>56</v>
      </c>
      <c r="P736" s="4" t="s">
        <v>41</v>
      </c>
      <c r="Q736" s="4">
        <v>514.29999999999995</v>
      </c>
      <c r="R736" s="4">
        <v>514.29999999999995</v>
      </c>
      <c r="S736" s="4">
        <v>1440.04</v>
      </c>
      <c r="T736" s="4">
        <v>28800.799999999999</v>
      </c>
      <c r="U736" s="4">
        <v>5</v>
      </c>
      <c r="V736" s="4" t="s">
        <v>42</v>
      </c>
      <c r="X736" s="7" t="str">
        <f t="shared" si="30"/>
        <v>441856924</v>
      </c>
      <c r="Y736" s="8" t="str">
        <f t="shared" si="31"/>
        <v>DC</v>
      </c>
      <c r="Z736" s="8">
        <f t="shared" si="32"/>
        <v>0</v>
      </c>
      <c r="AA736" s="8">
        <f t="shared" si="33"/>
        <v>56</v>
      </c>
      <c r="AB736" s="8">
        <f t="shared" si="34"/>
        <v>0</v>
      </c>
      <c r="AC736" s="8">
        <f t="shared" si="35"/>
        <v>0</v>
      </c>
      <c r="AD736" s="8">
        <f t="shared" si="36"/>
        <v>0</v>
      </c>
      <c r="AE736" s="9" t="str" cm="1">
        <f t="array" ref="AE736">IFERROR(_xlfn.XLOOKUP(H736,Sheet1!$G:$G,Sheet1!$F:$F),IFERROR(_xlfn.XLOOKUP(1,(--($X$2:$X$1074=X736))*(--ISNUMBER(MATCH($H$2:$H$1074,Sheet1!$G:$G,0))),_xlfn.XLOOKUP($H$2:$H$1074,Sheet1!$G:$G,Sheet1!$F:$F,"")),"NOT FOUND"))</f>
        <v>RETCRDSFUT4340</v>
      </c>
      <c r="AF736" s="10" t="str">
        <f t="shared" si="43"/>
        <v>BLACK</v>
      </c>
      <c r="AG736" s="11" t="str">
        <f t="shared" si="44"/>
        <v>HARIPAL</v>
      </c>
      <c r="AH736" s="9" t="str">
        <f>IF(OR(J736="",AE736="",AE736="NOT FOUND"),"",IF(Y736="RP",IFERROR(LEFT(_xlfn.XLOOKUP(AE736,Sheet1!$F:$F,Sheet1!$W:$W),FIND("-",_xlfn.XLOOKUP(AE736,Sheet1!$F:$F,Sheet1!$W:$W),FIND("-",_xlfn.XLOOKUP(AE736,Sheet1!$F:$F,Sheet1!$W:$W))+1))&amp;AE736,"NOT FOUND"),LEFT(J736,FIND("-",J736,FIND("-",J736)+1))&amp;AE736))</f>
        <v>SKD-APSU26-RETCRDSFUT4340</v>
      </c>
    </row>
    <row r="737" spans="1:34" ht="15.75" customHeight="1" x14ac:dyDescent="0.2">
      <c r="A737" s="4" t="s">
        <v>61</v>
      </c>
      <c r="B737" s="4" t="s">
        <v>1015</v>
      </c>
      <c r="C737" s="4" t="s">
        <v>910</v>
      </c>
      <c r="D737" s="4" t="s">
        <v>998</v>
      </c>
      <c r="E737" s="4" t="s">
        <v>34</v>
      </c>
      <c r="F737" s="4" t="s">
        <v>35</v>
      </c>
      <c r="G737" s="4" t="s">
        <v>47</v>
      </c>
      <c r="H737" s="4" t="s">
        <v>1002</v>
      </c>
      <c r="I737" s="4" t="s">
        <v>1003</v>
      </c>
      <c r="J737" s="4" t="s">
        <v>1004</v>
      </c>
      <c r="L737" s="4" t="s">
        <v>40</v>
      </c>
      <c r="M737" s="4">
        <v>1</v>
      </c>
      <c r="N737" s="4">
        <v>66</v>
      </c>
      <c r="O737" s="4">
        <v>66</v>
      </c>
      <c r="P737" s="4" t="s">
        <v>41</v>
      </c>
      <c r="Q737" s="4">
        <v>514.29999999999995</v>
      </c>
      <c r="R737" s="4">
        <v>514.29999999999995</v>
      </c>
      <c r="S737" s="4">
        <v>1697.19</v>
      </c>
      <c r="T737" s="4">
        <v>33943.800000000003</v>
      </c>
      <c r="U737" s="4">
        <v>5</v>
      </c>
      <c r="V737" s="4" t="s">
        <v>42</v>
      </c>
      <c r="X737" s="7" t="str">
        <f t="shared" si="30"/>
        <v>441856924</v>
      </c>
      <c r="Y737" s="8" t="str">
        <f t="shared" si="31"/>
        <v>DC</v>
      </c>
      <c r="Z737" s="8">
        <f t="shared" si="32"/>
        <v>0</v>
      </c>
      <c r="AA737" s="8">
        <f t="shared" si="33"/>
        <v>0</v>
      </c>
      <c r="AB737" s="8">
        <f t="shared" si="34"/>
        <v>66</v>
      </c>
      <c r="AC737" s="8">
        <f t="shared" si="35"/>
        <v>0</v>
      </c>
      <c r="AD737" s="8">
        <f t="shared" si="36"/>
        <v>0</v>
      </c>
      <c r="AE737" s="9" t="str" cm="1">
        <f t="array" ref="AE737">IFERROR(_xlfn.XLOOKUP(H737,Sheet1!$G:$G,Sheet1!$F:$F),IFERROR(_xlfn.XLOOKUP(1,(--($X$2:$X$1074=X737))*(--ISNUMBER(MATCH($H$2:$H$1074,Sheet1!$G:$G,0))),_xlfn.XLOOKUP($H$2:$H$1074,Sheet1!$G:$G,Sheet1!$F:$F,"")),"NOT FOUND"))</f>
        <v>RETCRDSFUT4340</v>
      </c>
      <c r="AF737" s="10" t="str">
        <f t="shared" si="43"/>
        <v>BLACK</v>
      </c>
      <c r="AG737" s="11" t="str">
        <f t="shared" si="44"/>
        <v>HARIPAL</v>
      </c>
      <c r="AH737" s="9" t="str">
        <f>IF(OR(J737="",AE737="",AE737="NOT FOUND"),"",IF(Y737="RP",IFERROR(LEFT(_xlfn.XLOOKUP(AE737,Sheet1!$F:$F,Sheet1!$W:$W),FIND("-",_xlfn.XLOOKUP(AE737,Sheet1!$F:$F,Sheet1!$W:$W),FIND("-",_xlfn.XLOOKUP(AE737,Sheet1!$F:$F,Sheet1!$W:$W))+1))&amp;AE737,"NOT FOUND"),LEFT(J737,FIND("-",J737,FIND("-",J737)+1))&amp;AE737))</f>
        <v>SKD-APSU26-RETCRDSFUT4340</v>
      </c>
    </row>
    <row r="738" spans="1:34" ht="15.75" customHeight="1" x14ac:dyDescent="0.2">
      <c r="A738" s="4" t="s">
        <v>61</v>
      </c>
      <c r="B738" s="4" t="s">
        <v>1015</v>
      </c>
      <c r="C738" s="4" t="s">
        <v>910</v>
      </c>
      <c r="D738" s="4" t="s">
        <v>998</v>
      </c>
      <c r="E738" s="4" t="s">
        <v>34</v>
      </c>
      <c r="F738" s="4" t="s">
        <v>35</v>
      </c>
      <c r="G738" s="4" t="s">
        <v>51</v>
      </c>
      <c r="H738" s="4" t="s">
        <v>1005</v>
      </c>
      <c r="I738" s="4" t="s">
        <v>1006</v>
      </c>
      <c r="J738" s="4" t="s">
        <v>1007</v>
      </c>
      <c r="L738" s="4" t="s">
        <v>40</v>
      </c>
      <c r="M738" s="4">
        <v>1</v>
      </c>
      <c r="N738" s="4">
        <v>58</v>
      </c>
      <c r="O738" s="4">
        <v>58</v>
      </c>
      <c r="P738" s="4" t="s">
        <v>41</v>
      </c>
      <c r="Q738" s="4">
        <v>514.29999999999995</v>
      </c>
      <c r="R738" s="4">
        <v>514.29999999999995</v>
      </c>
      <c r="S738" s="4">
        <v>1491.47</v>
      </c>
      <c r="T738" s="4">
        <v>29829.4</v>
      </c>
      <c r="U738" s="4">
        <v>5</v>
      </c>
      <c r="V738" s="4" t="s">
        <v>42</v>
      </c>
      <c r="X738" s="7" t="str">
        <f t="shared" si="30"/>
        <v>441856924</v>
      </c>
      <c r="Y738" s="8" t="str">
        <f t="shared" si="31"/>
        <v>DC</v>
      </c>
      <c r="Z738" s="8">
        <f t="shared" si="32"/>
        <v>0</v>
      </c>
      <c r="AA738" s="8">
        <f t="shared" si="33"/>
        <v>0</v>
      </c>
      <c r="AB738" s="8">
        <f t="shared" si="34"/>
        <v>0</v>
      </c>
      <c r="AC738" s="8">
        <f t="shared" si="35"/>
        <v>58</v>
      </c>
      <c r="AD738" s="8">
        <f t="shared" si="36"/>
        <v>0</v>
      </c>
      <c r="AE738" s="9" t="str" cm="1">
        <f t="array" ref="AE738">IFERROR(_xlfn.XLOOKUP(H738,Sheet1!$G:$G,Sheet1!$F:$F),IFERROR(_xlfn.XLOOKUP(1,(--($X$2:$X$1074=X738))*(--ISNUMBER(MATCH($H$2:$H$1074,Sheet1!$G:$G,0))),_xlfn.XLOOKUP($H$2:$H$1074,Sheet1!$G:$G,Sheet1!$F:$F,"")),"NOT FOUND"))</f>
        <v>RETCRDSFUT4340</v>
      </c>
      <c r="AF738" s="10" t="str">
        <f t="shared" si="43"/>
        <v>BLACK</v>
      </c>
      <c r="AG738" s="11" t="str">
        <f t="shared" si="44"/>
        <v>HARIPAL</v>
      </c>
      <c r="AH738" s="9" t="str">
        <f>IF(OR(J738="",AE738="",AE738="NOT FOUND"),"",IF(Y738="RP",IFERROR(LEFT(_xlfn.XLOOKUP(AE738,Sheet1!$F:$F,Sheet1!$W:$W),FIND("-",_xlfn.XLOOKUP(AE738,Sheet1!$F:$F,Sheet1!$W:$W),FIND("-",_xlfn.XLOOKUP(AE738,Sheet1!$F:$F,Sheet1!$W:$W))+1))&amp;AE738,"NOT FOUND"),LEFT(J738,FIND("-",J738,FIND("-",J738)+1))&amp;AE738))</f>
        <v>SKD-APSU26-RETCRDSFUT4340</v>
      </c>
    </row>
    <row r="739" spans="1:34" ht="15.75" customHeight="1" x14ac:dyDescent="0.2">
      <c r="A739" s="4" t="s">
        <v>61</v>
      </c>
      <c r="B739" s="4" t="s">
        <v>1015</v>
      </c>
      <c r="C739" s="4" t="s">
        <v>910</v>
      </c>
      <c r="D739" s="4" t="s">
        <v>998</v>
      </c>
      <c r="E739" s="4" t="s">
        <v>34</v>
      </c>
      <c r="F739" s="4" t="s">
        <v>35</v>
      </c>
      <c r="G739" s="4" t="s">
        <v>55</v>
      </c>
      <c r="H739" s="4" t="s">
        <v>1008</v>
      </c>
      <c r="I739" s="4" t="s">
        <v>1009</v>
      </c>
      <c r="J739" s="4" t="s">
        <v>1010</v>
      </c>
      <c r="L739" s="4" t="s">
        <v>40</v>
      </c>
      <c r="M739" s="4">
        <v>1</v>
      </c>
      <c r="N739" s="4">
        <v>30</v>
      </c>
      <c r="O739" s="4">
        <v>30</v>
      </c>
      <c r="P739" s="4" t="s">
        <v>41</v>
      </c>
      <c r="Q739" s="4">
        <v>514.29999999999995</v>
      </c>
      <c r="R739" s="4">
        <v>514.29999999999995</v>
      </c>
      <c r="S739" s="4">
        <v>771.45</v>
      </c>
      <c r="T739" s="4">
        <v>15429</v>
      </c>
      <c r="U739" s="4">
        <v>5</v>
      </c>
      <c r="V739" s="4" t="s">
        <v>42</v>
      </c>
      <c r="X739" s="7" t="str">
        <f t="shared" si="30"/>
        <v>441856924</v>
      </c>
      <c r="Y739" s="8" t="str">
        <f t="shared" si="31"/>
        <v>DC</v>
      </c>
      <c r="Z739" s="8">
        <f t="shared" si="32"/>
        <v>0</v>
      </c>
      <c r="AA739" s="8">
        <f t="shared" si="33"/>
        <v>0</v>
      </c>
      <c r="AB739" s="8">
        <f t="shared" si="34"/>
        <v>0</v>
      </c>
      <c r="AC739" s="8">
        <f t="shared" si="35"/>
        <v>0</v>
      </c>
      <c r="AD739" s="8">
        <f t="shared" si="36"/>
        <v>30</v>
      </c>
      <c r="AE739" s="9" t="str" cm="1">
        <f t="array" ref="AE739">IFERROR(_xlfn.XLOOKUP(H739,Sheet1!$G:$G,Sheet1!$F:$F),IFERROR(_xlfn.XLOOKUP(1,(--($X$2:$X$1074=X739))*(--ISNUMBER(MATCH($H$2:$H$1074,Sheet1!$G:$G,0))),_xlfn.XLOOKUP($H$2:$H$1074,Sheet1!$G:$G,Sheet1!$F:$F,"")),"NOT FOUND"))</f>
        <v>RETCRDSFUT4340</v>
      </c>
      <c r="AF739" s="10" t="str">
        <f t="shared" si="43"/>
        <v>BLACK</v>
      </c>
      <c r="AG739" s="11" t="str">
        <f t="shared" si="44"/>
        <v>HARIPAL</v>
      </c>
      <c r="AH739" s="9" t="str">
        <f>IF(OR(J739="",AE739="",AE739="NOT FOUND"),"",IF(Y739="RP",IFERROR(LEFT(_xlfn.XLOOKUP(AE739,Sheet1!$F:$F,Sheet1!$W:$W),FIND("-",_xlfn.XLOOKUP(AE739,Sheet1!$F:$F,Sheet1!$W:$W),FIND("-",_xlfn.XLOOKUP(AE739,Sheet1!$F:$F,Sheet1!$W:$W))+1))&amp;AE739,"NOT FOUND"),LEFT(J739,FIND("-",J739,FIND("-",J739)+1))&amp;AE739))</f>
        <v>SKD-APSU26-RETCRDSFUT4340</v>
      </c>
    </row>
    <row r="740" spans="1:34" ht="15.75" customHeight="1" x14ac:dyDescent="0.2">
      <c r="A740" s="4" t="s">
        <v>30</v>
      </c>
      <c r="B740" s="4" t="s">
        <v>1016</v>
      </c>
      <c r="C740" s="4" t="s">
        <v>1017</v>
      </c>
      <c r="D740" s="4" t="s">
        <v>998</v>
      </c>
      <c r="E740" s="4" t="s">
        <v>34</v>
      </c>
      <c r="F740" s="4" t="s">
        <v>35</v>
      </c>
      <c r="G740" s="4" t="s">
        <v>36</v>
      </c>
      <c r="H740" s="4" t="s">
        <v>1018</v>
      </c>
      <c r="I740" s="4" t="s">
        <v>1019</v>
      </c>
      <c r="J740" s="4" t="s">
        <v>1020</v>
      </c>
      <c r="L740" s="4" t="s">
        <v>40</v>
      </c>
      <c r="M740" s="4">
        <v>1</v>
      </c>
      <c r="N740" s="4">
        <v>30</v>
      </c>
      <c r="O740" s="4">
        <v>30</v>
      </c>
      <c r="P740" s="4" t="s">
        <v>41</v>
      </c>
      <c r="Q740" s="4">
        <v>234.3</v>
      </c>
      <c r="R740" s="4">
        <v>234.3</v>
      </c>
      <c r="S740" s="4">
        <v>351.45</v>
      </c>
      <c r="T740" s="4">
        <v>7029</v>
      </c>
      <c r="U740" s="4">
        <v>5</v>
      </c>
      <c r="V740" s="4" t="s">
        <v>42</v>
      </c>
      <c r="X740" s="7" t="str">
        <f t="shared" si="30"/>
        <v>441853990</v>
      </c>
      <c r="Y740" s="8" t="str">
        <f t="shared" si="31"/>
        <v>DC</v>
      </c>
      <c r="Z740" s="8">
        <f t="shared" si="32"/>
        <v>30</v>
      </c>
      <c r="AA740" s="8">
        <f t="shared" si="33"/>
        <v>0</v>
      </c>
      <c r="AB740" s="8">
        <f t="shared" si="34"/>
        <v>0</v>
      </c>
      <c r="AC740" s="8">
        <f t="shared" si="35"/>
        <v>0</v>
      </c>
      <c r="AD740" s="8">
        <f t="shared" si="36"/>
        <v>0</v>
      </c>
      <c r="AE740" s="9" t="str" cm="1">
        <f t="array" ref="AE740">IFERROR(_xlfn.XLOOKUP(H740,Sheet1!$G:$G,Sheet1!$F:$F),IFERROR(_xlfn.XLOOKUP(1,(--($X$2:$X$1074=X740))*(--ISNUMBER(MATCH($H$2:$H$1074,Sheet1!$G:$G,0))),_xlfn.XLOOKUP($H$2:$H$1074,Sheet1!$G:$G,Sheet1!$F:$F,"")),"NOT FOUND"))</f>
        <v>YETKRTSCUT5009</v>
      </c>
      <c r="AF740" s="10" t="str">
        <f t="shared" si="43"/>
        <v>PEACH</v>
      </c>
      <c r="AG740" s="11" t="str">
        <f t="shared" si="44"/>
        <v>Bangalore</v>
      </c>
      <c r="AH740" s="9" t="str">
        <f>IF(OR(J740="",AE740="",AE740="NOT FOUND"),"",IF(Y740="RP",IFERROR(LEFT(_xlfn.XLOOKUP(AE740,Sheet1!$F:$F,Sheet1!$W:$W),FIND("-",_xlfn.XLOOKUP(AE740,Sheet1!$F:$F,Sheet1!$W:$W),FIND("-",_xlfn.XLOOKUP(AE740,Sheet1!$F:$F,Sheet1!$W:$W))+1))&amp;AE740,"NOT FOUND"),LEFT(J740,FIND("-",J740,FIND("-",J740)+1))&amp;AE740))</f>
        <v>KRTS-APSU26-YETKRTSCUT5009</v>
      </c>
    </row>
    <row r="741" spans="1:34" ht="15.75" customHeight="1" x14ac:dyDescent="0.2">
      <c r="A741" s="4" t="s">
        <v>30</v>
      </c>
      <c r="B741" s="4" t="s">
        <v>1016</v>
      </c>
      <c r="C741" s="4" t="s">
        <v>1017</v>
      </c>
      <c r="D741" s="4" t="s">
        <v>998</v>
      </c>
      <c r="E741" s="4" t="s">
        <v>34</v>
      </c>
      <c r="F741" s="4" t="s">
        <v>35</v>
      </c>
      <c r="G741" s="4" t="s">
        <v>43</v>
      </c>
      <c r="H741" s="4" t="s">
        <v>1021</v>
      </c>
      <c r="I741" s="4" t="s">
        <v>1022</v>
      </c>
      <c r="J741" s="4" t="s">
        <v>1023</v>
      </c>
      <c r="L741" s="4" t="s">
        <v>40</v>
      </c>
      <c r="M741" s="4">
        <v>1</v>
      </c>
      <c r="N741" s="4">
        <v>339</v>
      </c>
      <c r="O741" s="4">
        <v>339</v>
      </c>
      <c r="P741" s="4" t="s">
        <v>41</v>
      </c>
      <c r="Q741" s="4">
        <v>234.3</v>
      </c>
      <c r="R741" s="4">
        <v>234.3</v>
      </c>
      <c r="S741" s="4">
        <v>3971.39</v>
      </c>
      <c r="T741" s="4">
        <v>79427.7</v>
      </c>
      <c r="U741" s="4">
        <v>5</v>
      </c>
      <c r="V741" s="4" t="s">
        <v>42</v>
      </c>
      <c r="X741" s="7" t="str">
        <f t="shared" si="30"/>
        <v>441853990</v>
      </c>
      <c r="Y741" s="8" t="str">
        <f t="shared" si="31"/>
        <v>DC</v>
      </c>
      <c r="Z741" s="8">
        <f t="shared" si="32"/>
        <v>0</v>
      </c>
      <c r="AA741" s="8">
        <f t="shared" si="33"/>
        <v>339</v>
      </c>
      <c r="AB741" s="8">
        <f t="shared" si="34"/>
        <v>0</v>
      </c>
      <c r="AC741" s="8">
        <f t="shared" si="35"/>
        <v>0</v>
      </c>
      <c r="AD741" s="8">
        <f t="shared" si="36"/>
        <v>0</v>
      </c>
      <c r="AE741" s="9" t="str" cm="1">
        <f t="array" ref="AE741">IFERROR(_xlfn.XLOOKUP(H741,Sheet1!$G:$G,Sheet1!$F:$F),IFERROR(_xlfn.XLOOKUP(1,(--($X$2:$X$1074=X741))*(--ISNUMBER(MATCH($H$2:$H$1074,Sheet1!$G:$G,0))),_xlfn.XLOOKUP($H$2:$H$1074,Sheet1!$G:$G,Sheet1!$F:$F,"")),"NOT FOUND"))</f>
        <v>YETKRTSCUT5009</v>
      </c>
      <c r="AF741" s="10" t="str">
        <f t="shared" si="43"/>
        <v>PEACH</v>
      </c>
      <c r="AG741" s="11" t="str">
        <f t="shared" si="44"/>
        <v>Bangalore</v>
      </c>
      <c r="AH741" s="9" t="str">
        <f>IF(OR(J741="",AE741="",AE741="NOT FOUND"),"",IF(Y741="RP",IFERROR(LEFT(_xlfn.XLOOKUP(AE741,Sheet1!$F:$F,Sheet1!$W:$W),FIND("-",_xlfn.XLOOKUP(AE741,Sheet1!$F:$F,Sheet1!$W:$W),FIND("-",_xlfn.XLOOKUP(AE741,Sheet1!$F:$F,Sheet1!$W:$W))+1))&amp;AE741,"NOT FOUND"),LEFT(J741,FIND("-",J741,FIND("-",J741)+1))&amp;AE741))</f>
        <v>KRTS-APSU26-YETKRTSCUT5009</v>
      </c>
    </row>
    <row r="742" spans="1:34" ht="15.75" customHeight="1" x14ac:dyDescent="0.2">
      <c r="A742" s="4" t="s">
        <v>30</v>
      </c>
      <c r="B742" s="4" t="s">
        <v>1016</v>
      </c>
      <c r="C742" s="4" t="s">
        <v>1017</v>
      </c>
      <c r="D742" s="4" t="s">
        <v>998</v>
      </c>
      <c r="E742" s="4" t="s">
        <v>34</v>
      </c>
      <c r="F742" s="4" t="s">
        <v>35</v>
      </c>
      <c r="G742" s="4" t="s">
        <v>47</v>
      </c>
      <c r="H742" s="4" t="s">
        <v>1024</v>
      </c>
      <c r="I742" s="4" t="s">
        <v>1025</v>
      </c>
      <c r="J742" s="4" t="s">
        <v>1026</v>
      </c>
      <c r="L742" s="4" t="s">
        <v>40</v>
      </c>
      <c r="M742" s="4">
        <v>1</v>
      </c>
      <c r="N742" s="4">
        <v>382</v>
      </c>
      <c r="O742" s="4">
        <v>382</v>
      </c>
      <c r="P742" s="4" t="s">
        <v>41</v>
      </c>
      <c r="Q742" s="4">
        <v>234.3</v>
      </c>
      <c r="R742" s="4">
        <v>234.3</v>
      </c>
      <c r="S742" s="4">
        <v>4475.13</v>
      </c>
      <c r="T742" s="4">
        <v>89502.6</v>
      </c>
      <c r="U742" s="4">
        <v>5</v>
      </c>
      <c r="V742" s="4" t="s">
        <v>42</v>
      </c>
      <c r="X742" s="7" t="str">
        <f t="shared" si="30"/>
        <v>441853990</v>
      </c>
      <c r="Y742" s="8" t="str">
        <f t="shared" si="31"/>
        <v>DC</v>
      </c>
      <c r="Z742" s="8">
        <f t="shared" si="32"/>
        <v>0</v>
      </c>
      <c r="AA742" s="8">
        <f t="shared" si="33"/>
        <v>0</v>
      </c>
      <c r="AB742" s="8">
        <f t="shared" si="34"/>
        <v>382</v>
      </c>
      <c r="AC742" s="8">
        <f t="shared" si="35"/>
        <v>0</v>
      </c>
      <c r="AD742" s="8">
        <f t="shared" si="36"/>
        <v>0</v>
      </c>
      <c r="AE742" s="9" t="str" cm="1">
        <f t="array" ref="AE742">IFERROR(_xlfn.XLOOKUP(H742,Sheet1!$G:$G,Sheet1!$F:$F),IFERROR(_xlfn.XLOOKUP(1,(--($X$2:$X$1074=X742))*(--ISNUMBER(MATCH($H$2:$H$1074,Sheet1!$G:$G,0))),_xlfn.XLOOKUP($H$2:$H$1074,Sheet1!$G:$G,Sheet1!$F:$F,"")),"NOT FOUND"))</f>
        <v>YETKRTSCUT5009</v>
      </c>
      <c r="AF742" s="10" t="str">
        <f t="shared" si="43"/>
        <v>PEACH</v>
      </c>
      <c r="AG742" s="11" t="str">
        <f t="shared" si="44"/>
        <v>Bangalore</v>
      </c>
      <c r="AH742" s="9" t="str">
        <f>IF(OR(J742="",AE742="",AE742="NOT FOUND"),"",IF(Y742="RP",IFERROR(LEFT(_xlfn.XLOOKUP(AE742,Sheet1!$F:$F,Sheet1!$W:$W),FIND("-",_xlfn.XLOOKUP(AE742,Sheet1!$F:$F,Sheet1!$W:$W),FIND("-",_xlfn.XLOOKUP(AE742,Sheet1!$F:$F,Sheet1!$W:$W))+1))&amp;AE742,"NOT FOUND"),LEFT(J742,FIND("-",J742,FIND("-",J742)+1))&amp;AE742))</f>
        <v>KRTS-APSU26-YETKRTSCUT5009</v>
      </c>
    </row>
    <row r="743" spans="1:34" ht="15.75" customHeight="1" x14ac:dyDescent="0.2">
      <c r="A743" s="4" t="s">
        <v>30</v>
      </c>
      <c r="B743" s="4" t="s">
        <v>1016</v>
      </c>
      <c r="C743" s="4" t="s">
        <v>1017</v>
      </c>
      <c r="D743" s="4" t="s">
        <v>998</v>
      </c>
      <c r="E743" s="4" t="s">
        <v>34</v>
      </c>
      <c r="F743" s="4" t="s">
        <v>35</v>
      </c>
      <c r="G743" s="4" t="s">
        <v>51</v>
      </c>
      <c r="H743" s="4" t="s">
        <v>1027</v>
      </c>
      <c r="I743" s="4" t="s">
        <v>1028</v>
      </c>
      <c r="J743" s="4" t="s">
        <v>1029</v>
      </c>
      <c r="L743" s="4" t="s">
        <v>40</v>
      </c>
      <c r="M743" s="4">
        <v>1</v>
      </c>
      <c r="N743" s="4">
        <v>445</v>
      </c>
      <c r="O743" s="4">
        <v>445</v>
      </c>
      <c r="P743" s="4" t="s">
        <v>41</v>
      </c>
      <c r="Q743" s="4">
        <v>234.3</v>
      </c>
      <c r="R743" s="4">
        <v>234.3</v>
      </c>
      <c r="S743" s="4">
        <v>5213.18</v>
      </c>
      <c r="T743" s="4">
        <v>104263.5</v>
      </c>
      <c r="U743" s="4">
        <v>5</v>
      </c>
      <c r="V743" s="4" t="s">
        <v>42</v>
      </c>
      <c r="X743" s="7" t="str">
        <f t="shared" si="30"/>
        <v>441853990</v>
      </c>
      <c r="Y743" s="8" t="str">
        <f t="shared" si="31"/>
        <v>DC</v>
      </c>
      <c r="Z743" s="8">
        <f t="shared" si="32"/>
        <v>0</v>
      </c>
      <c r="AA743" s="8">
        <f t="shared" si="33"/>
        <v>0</v>
      </c>
      <c r="AB743" s="8">
        <f t="shared" si="34"/>
        <v>0</v>
      </c>
      <c r="AC743" s="8">
        <f t="shared" si="35"/>
        <v>445</v>
      </c>
      <c r="AD743" s="8">
        <f t="shared" si="36"/>
        <v>0</v>
      </c>
      <c r="AE743" s="9" t="str" cm="1">
        <f t="array" ref="AE743">IFERROR(_xlfn.XLOOKUP(H743,Sheet1!$G:$G,Sheet1!$F:$F),IFERROR(_xlfn.XLOOKUP(1,(--($X$2:$X$1074=X743))*(--ISNUMBER(MATCH($H$2:$H$1074,Sheet1!$G:$G,0))),_xlfn.XLOOKUP($H$2:$H$1074,Sheet1!$G:$G,Sheet1!$F:$F,"")),"NOT FOUND"))</f>
        <v>YETKRTSCUT5009</v>
      </c>
      <c r="AF743" s="10" t="str">
        <f t="shared" si="43"/>
        <v>PEACH</v>
      </c>
      <c r="AG743" s="11" t="str">
        <f t="shared" si="44"/>
        <v>Bangalore</v>
      </c>
      <c r="AH743" s="9" t="str">
        <f>IF(OR(J743="",AE743="",AE743="NOT FOUND"),"",IF(Y743="RP",IFERROR(LEFT(_xlfn.XLOOKUP(AE743,Sheet1!$F:$F,Sheet1!$W:$W),FIND("-",_xlfn.XLOOKUP(AE743,Sheet1!$F:$F,Sheet1!$W:$W),FIND("-",_xlfn.XLOOKUP(AE743,Sheet1!$F:$F,Sheet1!$W:$W))+1))&amp;AE743,"NOT FOUND"),LEFT(J743,FIND("-",J743,FIND("-",J743)+1))&amp;AE743))</f>
        <v>KRTS-APSU26-YETKRTSCUT5009</v>
      </c>
    </row>
    <row r="744" spans="1:34" ht="15.75" customHeight="1" x14ac:dyDescent="0.2">
      <c r="A744" s="4" t="s">
        <v>30</v>
      </c>
      <c r="B744" s="4" t="s">
        <v>1016</v>
      </c>
      <c r="C744" s="4" t="s">
        <v>1017</v>
      </c>
      <c r="D744" s="4" t="s">
        <v>998</v>
      </c>
      <c r="E744" s="4" t="s">
        <v>34</v>
      </c>
      <c r="F744" s="4" t="s">
        <v>35</v>
      </c>
      <c r="G744" s="4" t="s">
        <v>55</v>
      </c>
      <c r="H744" s="4" t="s">
        <v>1030</v>
      </c>
      <c r="I744" s="4" t="s">
        <v>1031</v>
      </c>
      <c r="J744" s="4" t="s">
        <v>1032</v>
      </c>
      <c r="L744" s="4" t="s">
        <v>40</v>
      </c>
      <c r="M744" s="4">
        <v>1</v>
      </c>
      <c r="N744" s="4">
        <v>84</v>
      </c>
      <c r="O744" s="4">
        <v>84</v>
      </c>
      <c r="P744" s="4" t="s">
        <v>41</v>
      </c>
      <c r="Q744" s="4">
        <v>234.3</v>
      </c>
      <c r="R744" s="4">
        <v>234.3</v>
      </c>
      <c r="S744" s="4">
        <v>984.06</v>
      </c>
      <c r="T744" s="4">
        <v>19681.2</v>
      </c>
      <c r="U744" s="4">
        <v>5</v>
      </c>
      <c r="V744" s="4" t="s">
        <v>42</v>
      </c>
      <c r="X744" s="7" t="str">
        <f t="shared" si="30"/>
        <v>441853990</v>
      </c>
      <c r="Y744" s="8" t="str">
        <f t="shared" si="31"/>
        <v>DC</v>
      </c>
      <c r="Z744" s="8">
        <f t="shared" si="32"/>
        <v>0</v>
      </c>
      <c r="AA744" s="8">
        <f t="shared" si="33"/>
        <v>0</v>
      </c>
      <c r="AB744" s="8">
        <f t="shared" si="34"/>
        <v>0</v>
      </c>
      <c r="AC744" s="8">
        <f t="shared" si="35"/>
        <v>0</v>
      </c>
      <c r="AD744" s="8">
        <f t="shared" si="36"/>
        <v>84</v>
      </c>
      <c r="AE744" s="9" t="str" cm="1">
        <f t="array" ref="AE744">IFERROR(_xlfn.XLOOKUP(H744,Sheet1!$G:$G,Sheet1!$F:$F),IFERROR(_xlfn.XLOOKUP(1,(--($X$2:$X$1074=X744))*(--ISNUMBER(MATCH($H$2:$H$1074,Sheet1!$G:$G,0))),_xlfn.XLOOKUP($H$2:$H$1074,Sheet1!$G:$G,Sheet1!$F:$F,"")),"NOT FOUND"))</f>
        <v>YETKRTSCUT5009</v>
      </c>
      <c r="AF744" s="10" t="str">
        <f t="shared" si="43"/>
        <v>PEACH</v>
      </c>
      <c r="AG744" s="11" t="str">
        <f t="shared" si="44"/>
        <v>Bangalore</v>
      </c>
      <c r="AH744" s="9" t="str">
        <f>IF(OR(J744="",AE744="",AE744="NOT FOUND"),"",IF(Y744="RP",IFERROR(LEFT(_xlfn.XLOOKUP(AE744,Sheet1!$F:$F,Sheet1!$W:$W),FIND("-",_xlfn.XLOOKUP(AE744,Sheet1!$F:$F,Sheet1!$W:$W),FIND("-",_xlfn.XLOOKUP(AE744,Sheet1!$F:$F,Sheet1!$W:$W))+1))&amp;AE744,"NOT FOUND"),LEFT(J744,FIND("-",J744,FIND("-",J744)+1))&amp;AE744))</f>
        <v>KRTS-APSU26-YETKRTSCUT5009</v>
      </c>
    </row>
    <row r="745" spans="1:34" ht="15.75" customHeight="1" x14ac:dyDescent="0.2">
      <c r="A745" s="4" t="s">
        <v>30</v>
      </c>
      <c r="B745" s="4" t="s">
        <v>1033</v>
      </c>
      <c r="C745" s="4" t="s">
        <v>1017</v>
      </c>
      <c r="D745" s="4" t="s">
        <v>998</v>
      </c>
      <c r="E745" s="4" t="s">
        <v>34</v>
      </c>
      <c r="F745" s="4" t="s">
        <v>35</v>
      </c>
      <c r="G745" s="4" t="s">
        <v>43</v>
      </c>
      <c r="H745" s="4" t="s">
        <v>1034</v>
      </c>
      <c r="I745" s="4" t="s">
        <v>1035</v>
      </c>
      <c r="J745" s="4" t="s">
        <v>1036</v>
      </c>
      <c r="L745" s="4" t="s">
        <v>40</v>
      </c>
      <c r="M745" s="4">
        <v>1</v>
      </c>
      <c r="N745" s="4">
        <v>339</v>
      </c>
      <c r="O745" s="4">
        <v>339</v>
      </c>
      <c r="P745" s="4" t="s">
        <v>41</v>
      </c>
      <c r="Q745" s="4">
        <v>234.3</v>
      </c>
      <c r="R745" s="4">
        <v>234.3</v>
      </c>
      <c r="S745" s="4">
        <v>3971.39</v>
      </c>
      <c r="T745" s="4">
        <v>79427.7</v>
      </c>
      <c r="U745" s="4">
        <v>5</v>
      </c>
      <c r="V745" s="4" t="s">
        <v>42</v>
      </c>
      <c r="X745" s="7" t="str">
        <f t="shared" si="30"/>
        <v>441853990</v>
      </c>
      <c r="Y745" s="8" t="str">
        <f t="shared" si="31"/>
        <v>DC</v>
      </c>
      <c r="Z745" s="8">
        <f t="shared" si="32"/>
        <v>0</v>
      </c>
      <c r="AA745" s="8">
        <f t="shared" si="33"/>
        <v>339</v>
      </c>
      <c r="AB745" s="8">
        <f t="shared" si="34"/>
        <v>0</v>
      </c>
      <c r="AC745" s="8">
        <f t="shared" si="35"/>
        <v>0</v>
      </c>
      <c r="AD745" s="8">
        <f t="shared" si="36"/>
        <v>0</v>
      </c>
      <c r="AE745" s="9" t="str" cm="1">
        <f t="array" ref="AE745">IFERROR(_xlfn.XLOOKUP(H745,Sheet1!$G:$G,Sheet1!$F:$F),IFERROR(_xlfn.XLOOKUP(1,(--($X$2:$X$1074=X745))*(--ISNUMBER(MATCH($H$2:$H$1074,Sheet1!$G:$G,0))),_xlfn.XLOOKUP($H$2:$H$1074,Sheet1!$G:$G,Sheet1!$F:$F,"")),"NOT FOUND"))</f>
        <v>YETKRTSCUT5009</v>
      </c>
      <c r="AF745" s="10" t="str">
        <f t="shared" si="43"/>
        <v>MINT</v>
      </c>
      <c r="AG745" s="11" t="str">
        <f t="shared" si="44"/>
        <v>Bangalore</v>
      </c>
      <c r="AH745" s="9" t="str">
        <f>IF(OR(J745="",AE745="",AE745="NOT FOUND"),"",IF(Y745="RP",IFERROR(LEFT(_xlfn.XLOOKUP(AE745,Sheet1!$F:$F,Sheet1!$W:$W),FIND("-",_xlfn.XLOOKUP(AE745,Sheet1!$F:$F,Sheet1!$W:$W),FIND("-",_xlfn.XLOOKUP(AE745,Sheet1!$F:$F,Sheet1!$W:$W))+1))&amp;AE745,"NOT FOUND"),LEFT(J745,FIND("-",J745,FIND("-",J745)+1))&amp;AE745))</f>
        <v>KRTS-APSU26-YETKRTSCUT5009</v>
      </c>
    </row>
    <row r="746" spans="1:34" ht="15.75" customHeight="1" x14ac:dyDescent="0.2">
      <c r="A746" s="4" t="s">
        <v>30</v>
      </c>
      <c r="B746" s="4" t="s">
        <v>1033</v>
      </c>
      <c r="C746" s="4" t="s">
        <v>1017</v>
      </c>
      <c r="D746" s="4" t="s">
        <v>998</v>
      </c>
      <c r="E746" s="4" t="s">
        <v>34</v>
      </c>
      <c r="F746" s="4" t="s">
        <v>35</v>
      </c>
      <c r="G746" s="4" t="s">
        <v>47</v>
      </c>
      <c r="H746" s="4" t="s">
        <v>1037</v>
      </c>
      <c r="I746" s="4" t="s">
        <v>1038</v>
      </c>
      <c r="J746" s="4" t="s">
        <v>1039</v>
      </c>
      <c r="L746" s="4" t="s">
        <v>40</v>
      </c>
      <c r="M746" s="4">
        <v>1</v>
      </c>
      <c r="N746" s="4">
        <v>382</v>
      </c>
      <c r="O746" s="4">
        <v>382</v>
      </c>
      <c r="P746" s="4" t="s">
        <v>41</v>
      </c>
      <c r="Q746" s="4">
        <v>234.3</v>
      </c>
      <c r="R746" s="4">
        <v>234.3</v>
      </c>
      <c r="S746" s="4">
        <v>4475.13</v>
      </c>
      <c r="T746" s="4">
        <v>89502.6</v>
      </c>
      <c r="U746" s="4">
        <v>5</v>
      </c>
      <c r="V746" s="4" t="s">
        <v>42</v>
      </c>
      <c r="X746" s="7" t="str">
        <f t="shared" si="30"/>
        <v>441853990</v>
      </c>
      <c r="Y746" s="8" t="str">
        <f t="shared" si="31"/>
        <v>DC</v>
      </c>
      <c r="Z746" s="8">
        <f t="shared" si="32"/>
        <v>0</v>
      </c>
      <c r="AA746" s="8">
        <f t="shared" si="33"/>
        <v>0</v>
      </c>
      <c r="AB746" s="8">
        <f t="shared" si="34"/>
        <v>382</v>
      </c>
      <c r="AC746" s="8">
        <f t="shared" si="35"/>
        <v>0</v>
      </c>
      <c r="AD746" s="8">
        <f t="shared" si="36"/>
        <v>0</v>
      </c>
      <c r="AE746" s="9" t="str" cm="1">
        <f t="array" ref="AE746">IFERROR(_xlfn.XLOOKUP(H746,Sheet1!$G:$G,Sheet1!$F:$F),IFERROR(_xlfn.XLOOKUP(1,(--($X$2:$X$1074=X746))*(--ISNUMBER(MATCH($H$2:$H$1074,Sheet1!$G:$G,0))),_xlfn.XLOOKUP($H$2:$H$1074,Sheet1!$G:$G,Sheet1!$F:$F,"")),"NOT FOUND"))</f>
        <v>YETKRTSCUT5009</v>
      </c>
      <c r="AF746" s="10" t="str">
        <f t="shared" si="43"/>
        <v>MINT</v>
      </c>
      <c r="AG746" s="11" t="str">
        <f t="shared" si="44"/>
        <v>Bangalore</v>
      </c>
      <c r="AH746" s="9" t="str">
        <f>IF(OR(J746="",AE746="",AE746="NOT FOUND"),"",IF(Y746="RP",IFERROR(LEFT(_xlfn.XLOOKUP(AE746,Sheet1!$F:$F,Sheet1!$W:$W),FIND("-",_xlfn.XLOOKUP(AE746,Sheet1!$F:$F,Sheet1!$W:$W),FIND("-",_xlfn.XLOOKUP(AE746,Sheet1!$F:$F,Sheet1!$W:$W))+1))&amp;AE746,"NOT FOUND"),LEFT(J746,FIND("-",J746,FIND("-",J746)+1))&amp;AE746))</f>
        <v>KRTS-APSU26-YETKRTSCUT5009</v>
      </c>
    </row>
    <row r="747" spans="1:34" ht="15.75" customHeight="1" x14ac:dyDescent="0.2">
      <c r="A747" s="4" t="s">
        <v>30</v>
      </c>
      <c r="B747" s="4" t="s">
        <v>1033</v>
      </c>
      <c r="C747" s="4" t="s">
        <v>1017</v>
      </c>
      <c r="D747" s="4" t="s">
        <v>998</v>
      </c>
      <c r="E747" s="4" t="s">
        <v>34</v>
      </c>
      <c r="F747" s="4" t="s">
        <v>35</v>
      </c>
      <c r="G747" s="4" t="s">
        <v>51</v>
      </c>
      <c r="H747" s="4" t="s">
        <v>1040</v>
      </c>
      <c r="I747" s="4" t="s">
        <v>1041</v>
      </c>
      <c r="J747" s="4" t="s">
        <v>1042</v>
      </c>
      <c r="L747" s="4" t="s">
        <v>40</v>
      </c>
      <c r="M747" s="4">
        <v>1</v>
      </c>
      <c r="N747" s="4">
        <v>445</v>
      </c>
      <c r="O747" s="4">
        <v>445</v>
      </c>
      <c r="P747" s="4" t="s">
        <v>41</v>
      </c>
      <c r="Q747" s="4">
        <v>234.3</v>
      </c>
      <c r="R747" s="4">
        <v>234.3</v>
      </c>
      <c r="S747" s="4">
        <v>5213.18</v>
      </c>
      <c r="T747" s="4">
        <v>104263.5</v>
      </c>
      <c r="U747" s="4">
        <v>5</v>
      </c>
      <c r="V747" s="4" t="s">
        <v>42</v>
      </c>
      <c r="X747" s="7" t="str">
        <f t="shared" si="30"/>
        <v>441853990</v>
      </c>
      <c r="Y747" s="8" t="str">
        <f t="shared" si="31"/>
        <v>DC</v>
      </c>
      <c r="Z747" s="8">
        <f t="shared" si="32"/>
        <v>0</v>
      </c>
      <c r="AA747" s="8">
        <f t="shared" si="33"/>
        <v>0</v>
      </c>
      <c r="AB747" s="8">
        <f t="shared" si="34"/>
        <v>0</v>
      </c>
      <c r="AC747" s="8">
        <f t="shared" si="35"/>
        <v>445</v>
      </c>
      <c r="AD747" s="8">
        <f t="shared" si="36"/>
        <v>0</v>
      </c>
      <c r="AE747" s="9" t="str" cm="1">
        <f t="array" ref="AE747">IFERROR(_xlfn.XLOOKUP(H747,Sheet1!$G:$G,Sheet1!$F:$F),IFERROR(_xlfn.XLOOKUP(1,(--($X$2:$X$1074=X747))*(--ISNUMBER(MATCH($H$2:$H$1074,Sheet1!$G:$G,0))),_xlfn.XLOOKUP($H$2:$H$1074,Sheet1!$G:$G,Sheet1!$F:$F,"")),"NOT FOUND"))</f>
        <v>YETKRTSCUT5009</v>
      </c>
      <c r="AF747" s="10" t="str">
        <f t="shared" si="43"/>
        <v>MINT</v>
      </c>
      <c r="AG747" s="11" t="str">
        <f t="shared" si="44"/>
        <v>Bangalore</v>
      </c>
      <c r="AH747" s="9" t="str">
        <f>IF(OR(J747="",AE747="",AE747="NOT FOUND"),"",IF(Y747="RP",IFERROR(LEFT(_xlfn.XLOOKUP(AE747,Sheet1!$F:$F,Sheet1!$W:$W),FIND("-",_xlfn.XLOOKUP(AE747,Sheet1!$F:$F,Sheet1!$W:$W),FIND("-",_xlfn.XLOOKUP(AE747,Sheet1!$F:$F,Sheet1!$W:$W))+1))&amp;AE747,"NOT FOUND"),LEFT(J747,FIND("-",J747,FIND("-",J747)+1))&amp;AE747))</f>
        <v>KRTS-APSU26-YETKRTSCUT5009</v>
      </c>
    </row>
    <row r="748" spans="1:34" ht="15.75" customHeight="1" x14ac:dyDescent="0.2">
      <c r="A748" s="4" t="s">
        <v>30</v>
      </c>
      <c r="B748" s="4" t="s">
        <v>1033</v>
      </c>
      <c r="C748" s="4" t="s">
        <v>1017</v>
      </c>
      <c r="D748" s="4" t="s">
        <v>998</v>
      </c>
      <c r="E748" s="4" t="s">
        <v>34</v>
      </c>
      <c r="F748" s="4" t="s">
        <v>35</v>
      </c>
      <c r="G748" s="4" t="s">
        <v>55</v>
      </c>
      <c r="H748" s="4" t="s">
        <v>1043</v>
      </c>
      <c r="I748" s="4" t="s">
        <v>1044</v>
      </c>
      <c r="J748" s="4" t="s">
        <v>1045</v>
      </c>
      <c r="L748" s="4" t="s">
        <v>40</v>
      </c>
      <c r="M748" s="4">
        <v>1</v>
      </c>
      <c r="N748" s="4">
        <v>84</v>
      </c>
      <c r="O748" s="4">
        <v>84</v>
      </c>
      <c r="P748" s="4" t="s">
        <v>41</v>
      </c>
      <c r="Q748" s="4">
        <v>234.3</v>
      </c>
      <c r="R748" s="4">
        <v>234.3</v>
      </c>
      <c r="S748" s="4">
        <v>984.06</v>
      </c>
      <c r="T748" s="4">
        <v>19681.2</v>
      </c>
      <c r="U748" s="4">
        <v>5</v>
      </c>
      <c r="V748" s="4" t="s">
        <v>42</v>
      </c>
      <c r="X748" s="7" t="str">
        <f t="shared" si="30"/>
        <v>441853990</v>
      </c>
      <c r="Y748" s="8" t="str">
        <f t="shared" si="31"/>
        <v>DC</v>
      </c>
      <c r="Z748" s="8">
        <f t="shared" si="32"/>
        <v>0</v>
      </c>
      <c r="AA748" s="8">
        <f t="shared" si="33"/>
        <v>0</v>
      </c>
      <c r="AB748" s="8">
        <f t="shared" si="34"/>
        <v>0</v>
      </c>
      <c r="AC748" s="8">
        <f t="shared" si="35"/>
        <v>0</v>
      </c>
      <c r="AD748" s="8">
        <f t="shared" si="36"/>
        <v>84</v>
      </c>
      <c r="AE748" s="9" t="str" cm="1">
        <f t="array" ref="AE748">IFERROR(_xlfn.XLOOKUP(H748,Sheet1!$G:$G,Sheet1!$F:$F),IFERROR(_xlfn.XLOOKUP(1,(--($X$2:$X$1074=X748))*(--ISNUMBER(MATCH($H$2:$H$1074,Sheet1!$G:$G,0))),_xlfn.XLOOKUP($H$2:$H$1074,Sheet1!$G:$G,Sheet1!$F:$F,"")),"NOT FOUND"))</f>
        <v>YETKRTSCUT5009</v>
      </c>
      <c r="AF748" s="10" t="str">
        <f t="shared" si="43"/>
        <v>MINT</v>
      </c>
      <c r="AG748" s="11" t="str">
        <f t="shared" si="44"/>
        <v>Bangalore</v>
      </c>
      <c r="AH748" s="9" t="str">
        <f>IF(OR(J748="",AE748="",AE748="NOT FOUND"),"",IF(Y748="RP",IFERROR(LEFT(_xlfn.XLOOKUP(AE748,Sheet1!$F:$F,Sheet1!$W:$W),FIND("-",_xlfn.XLOOKUP(AE748,Sheet1!$F:$F,Sheet1!$W:$W),FIND("-",_xlfn.XLOOKUP(AE748,Sheet1!$F:$F,Sheet1!$W:$W))+1))&amp;AE748,"NOT FOUND"),LEFT(J748,FIND("-",J748,FIND("-",J748)+1))&amp;AE748))</f>
        <v>KRTS-APSU26-YETKRTSCUT5009</v>
      </c>
    </row>
    <row r="749" spans="1:34" ht="15.75" customHeight="1" x14ac:dyDescent="0.2">
      <c r="A749" s="4" t="s">
        <v>30</v>
      </c>
      <c r="B749" s="4" t="s">
        <v>1046</v>
      </c>
      <c r="C749" s="4" t="s">
        <v>1017</v>
      </c>
      <c r="D749" s="4" t="s">
        <v>998</v>
      </c>
      <c r="E749" s="4" t="s">
        <v>34</v>
      </c>
      <c r="F749" s="4" t="s">
        <v>35</v>
      </c>
      <c r="G749" s="4" t="s">
        <v>36</v>
      </c>
      <c r="H749" s="4" t="s">
        <v>1047</v>
      </c>
      <c r="I749" s="4" t="s">
        <v>1048</v>
      </c>
      <c r="J749" s="4" t="s">
        <v>1049</v>
      </c>
      <c r="L749" s="4" t="s">
        <v>40</v>
      </c>
      <c r="M749" s="4">
        <v>1</v>
      </c>
      <c r="N749" s="4">
        <v>30</v>
      </c>
      <c r="O749" s="4">
        <v>30</v>
      </c>
      <c r="P749" s="4" t="s">
        <v>41</v>
      </c>
      <c r="Q749" s="4">
        <v>234.3</v>
      </c>
      <c r="R749" s="4">
        <v>234.3</v>
      </c>
      <c r="S749" s="4">
        <v>351.45</v>
      </c>
      <c r="T749" s="4">
        <v>7029</v>
      </c>
      <c r="U749" s="4">
        <v>5</v>
      </c>
      <c r="V749" s="4" t="s">
        <v>42</v>
      </c>
      <c r="X749" s="7" t="str">
        <f t="shared" si="30"/>
        <v>441853990</v>
      </c>
      <c r="Y749" s="8" t="str">
        <f t="shared" si="31"/>
        <v>DC</v>
      </c>
      <c r="Z749" s="8">
        <f t="shared" si="32"/>
        <v>30</v>
      </c>
      <c r="AA749" s="8">
        <f t="shared" si="33"/>
        <v>0</v>
      </c>
      <c r="AB749" s="8">
        <f t="shared" si="34"/>
        <v>0</v>
      </c>
      <c r="AC749" s="8">
        <f t="shared" si="35"/>
        <v>0</v>
      </c>
      <c r="AD749" s="8">
        <f t="shared" si="36"/>
        <v>0</v>
      </c>
      <c r="AE749" s="9" t="str" cm="1">
        <f t="array" ref="AE749">IFERROR(_xlfn.XLOOKUP(H749,Sheet1!$G:$G,Sheet1!$F:$F),IFERROR(_xlfn.XLOOKUP(1,(--($X$2:$X$1074=X749))*(--ISNUMBER(MATCH($H$2:$H$1074,Sheet1!$G:$G,0))),_xlfn.XLOOKUP($H$2:$H$1074,Sheet1!$G:$G,Sheet1!$F:$F,"")),"NOT FOUND"))</f>
        <v>YETKRTSCUT5009</v>
      </c>
      <c r="AF749" s="10" t="str">
        <f t="shared" si="43"/>
        <v>LT. YELLOW</v>
      </c>
      <c r="AG749" s="11" t="str">
        <f t="shared" si="44"/>
        <v>Bangalore</v>
      </c>
      <c r="AH749" s="9" t="str">
        <f>IF(OR(J749="",AE749="",AE749="NOT FOUND"),"",IF(Y749="RP",IFERROR(LEFT(_xlfn.XLOOKUP(AE749,Sheet1!$F:$F,Sheet1!$W:$W),FIND("-",_xlfn.XLOOKUP(AE749,Sheet1!$F:$F,Sheet1!$W:$W),FIND("-",_xlfn.XLOOKUP(AE749,Sheet1!$F:$F,Sheet1!$W:$W))+1))&amp;AE749,"NOT FOUND"),LEFT(J749,FIND("-",J749,FIND("-",J749)+1))&amp;AE749))</f>
        <v>KRTS-APSU26-YETKRTSCUT5009</v>
      </c>
    </row>
    <row r="750" spans="1:34" ht="15.75" customHeight="1" x14ac:dyDescent="0.2">
      <c r="A750" s="4" t="s">
        <v>30</v>
      </c>
      <c r="B750" s="4" t="s">
        <v>1046</v>
      </c>
      <c r="C750" s="4" t="s">
        <v>1017</v>
      </c>
      <c r="D750" s="4" t="s">
        <v>998</v>
      </c>
      <c r="E750" s="4" t="s">
        <v>34</v>
      </c>
      <c r="F750" s="4" t="s">
        <v>35</v>
      </c>
      <c r="G750" s="4" t="s">
        <v>43</v>
      </c>
      <c r="H750" s="4" t="s">
        <v>1050</v>
      </c>
      <c r="I750" s="4" t="s">
        <v>1051</v>
      </c>
      <c r="J750" s="4" t="s">
        <v>1052</v>
      </c>
      <c r="L750" s="4" t="s">
        <v>40</v>
      </c>
      <c r="M750" s="4">
        <v>1</v>
      </c>
      <c r="N750" s="4">
        <v>339</v>
      </c>
      <c r="O750" s="4">
        <v>339</v>
      </c>
      <c r="P750" s="4" t="s">
        <v>41</v>
      </c>
      <c r="Q750" s="4">
        <v>234.3</v>
      </c>
      <c r="R750" s="4">
        <v>234.3</v>
      </c>
      <c r="S750" s="4">
        <v>3971.39</v>
      </c>
      <c r="T750" s="4">
        <v>79427.7</v>
      </c>
      <c r="U750" s="4">
        <v>5</v>
      </c>
      <c r="V750" s="4" t="s">
        <v>42</v>
      </c>
      <c r="X750" s="7" t="str">
        <f t="shared" si="30"/>
        <v>441853990</v>
      </c>
      <c r="Y750" s="8" t="str">
        <f t="shared" si="31"/>
        <v>DC</v>
      </c>
      <c r="Z750" s="8">
        <f t="shared" si="32"/>
        <v>0</v>
      </c>
      <c r="AA750" s="8">
        <f t="shared" si="33"/>
        <v>339</v>
      </c>
      <c r="AB750" s="8">
        <f t="shared" si="34"/>
        <v>0</v>
      </c>
      <c r="AC750" s="8">
        <f t="shared" si="35"/>
        <v>0</v>
      </c>
      <c r="AD750" s="8">
        <f t="shared" si="36"/>
        <v>0</v>
      </c>
      <c r="AE750" s="9" t="str" cm="1">
        <f t="array" ref="AE750">IFERROR(_xlfn.XLOOKUP(H750,Sheet1!$G:$G,Sheet1!$F:$F),IFERROR(_xlfn.XLOOKUP(1,(--($X$2:$X$1074=X750))*(--ISNUMBER(MATCH($H$2:$H$1074,Sheet1!$G:$G,0))),_xlfn.XLOOKUP($H$2:$H$1074,Sheet1!$G:$G,Sheet1!$F:$F,"")),"NOT FOUND"))</f>
        <v>YETKRTSCUT5009</v>
      </c>
      <c r="AF750" s="10" t="str">
        <f t="shared" si="43"/>
        <v>LT. YELLOW</v>
      </c>
      <c r="AG750" s="11" t="str">
        <f t="shared" si="44"/>
        <v>Bangalore</v>
      </c>
      <c r="AH750" s="9" t="str">
        <f>IF(OR(J750="",AE750="",AE750="NOT FOUND"),"",IF(Y750="RP",IFERROR(LEFT(_xlfn.XLOOKUP(AE750,Sheet1!$F:$F,Sheet1!$W:$W),FIND("-",_xlfn.XLOOKUP(AE750,Sheet1!$F:$F,Sheet1!$W:$W),FIND("-",_xlfn.XLOOKUP(AE750,Sheet1!$F:$F,Sheet1!$W:$W))+1))&amp;AE750,"NOT FOUND"),LEFT(J750,FIND("-",J750,FIND("-",J750)+1))&amp;AE750))</f>
        <v>KRTS-APSU26-YETKRTSCUT5009</v>
      </c>
    </row>
    <row r="751" spans="1:34" ht="15.75" customHeight="1" x14ac:dyDescent="0.2">
      <c r="A751" s="4" t="s">
        <v>30</v>
      </c>
      <c r="B751" s="4" t="s">
        <v>1046</v>
      </c>
      <c r="C751" s="4" t="s">
        <v>1017</v>
      </c>
      <c r="D751" s="4" t="s">
        <v>998</v>
      </c>
      <c r="E751" s="4" t="s">
        <v>34</v>
      </c>
      <c r="F751" s="4" t="s">
        <v>35</v>
      </c>
      <c r="G751" s="4" t="s">
        <v>47</v>
      </c>
      <c r="H751" s="4" t="s">
        <v>1053</v>
      </c>
      <c r="I751" s="4" t="s">
        <v>1054</v>
      </c>
      <c r="J751" s="4" t="s">
        <v>1055</v>
      </c>
      <c r="L751" s="4" t="s">
        <v>40</v>
      </c>
      <c r="M751" s="4">
        <v>1</v>
      </c>
      <c r="N751" s="4">
        <v>382</v>
      </c>
      <c r="O751" s="4">
        <v>382</v>
      </c>
      <c r="P751" s="4" t="s">
        <v>41</v>
      </c>
      <c r="Q751" s="4">
        <v>234.3</v>
      </c>
      <c r="R751" s="4">
        <v>234.3</v>
      </c>
      <c r="S751" s="4">
        <v>4475.13</v>
      </c>
      <c r="T751" s="4">
        <v>89502.6</v>
      </c>
      <c r="U751" s="4">
        <v>5</v>
      </c>
      <c r="V751" s="4" t="s">
        <v>42</v>
      </c>
      <c r="X751" s="7" t="str">
        <f t="shared" si="30"/>
        <v>441853990</v>
      </c>
      <c r="Y751" s="8" t="str">
        <f t="shared" si="31"/>
        <v>DC</v>
      </c>
      <c r="Z751" s="8">
        <f t="shared" si="32"/>
        <v>0</v>
      </c>
      <c r="AA751" s="8">
        <f t="shared" si="33"/>
        <v>0</v>
      </c>
      <c r="AB751" s="8">
        <f t="shared" si="34"/>
        <v>382</v>
      </c>
      <c r="AC751" s="8">
        <f t="shared" si="35"/>
        <v>0</v>
      </c>
      <c r="AD751" s="8">
        <f t="shared" si="36"/>
        <v>0</v>
      </c>
      <c r="AE751" s="9" t="str" cm="1">
        <f t="array" ref="AE751">IFERROR(_xlfn.XLOOKUP(H751,Sheet1!$G:$G,Sheet1!$F:$F),IFERROR(_xlfn.XLOOKUP(1,(--($X$2:$X$1074=X751))*(--ISNUMBER(MATCH($H$2:$H$1074,Sheet1!$G:$G,0))),_xlfn.XLOOKUP($H$2:$H$1074,Sheet1!$G:$G,Sheet1!$F:$F,"")),"NOT FOUND"))</f>
        <v>YETKRTSCUT5009</v>
      </c>
      <c r="AF751" s="10" t="str">
        <f t="shared" si="43"/>
        <v>LT. YELLOW</v>
      </c>
      <c r="AG751" s="11" t="str">
        <f t="shared" si="44"/>
        <v>Bangalore</v>
      </c>
      <c r="AH751" s="9" t="str">
        <f>IF(OR(J751="",AE751="",AE751="NOT FOUND"),"",IF(Y751="RP",IFERROR(LEFT(_xlfn.XLOOKUP(AE751,Sheet1!$F:$F,Sheet1!$W:$W),FIND("-",_xlfn.XLOOKUP(AE751,Sheet1!$F:$F,Sheet1!$W:$W),FIND("-",_xlfn.XLOOKUP(AE751,Sheet1!$F:$F,Sheet1!$W:$W))+1))&amp;AE751,"NOT FOUND"),LEFT(J751,FIND("-",J751,FIND("-",J751)+1))&amp;AE751))</f>
        <v>KRTS-APSU26-YETKRTSCUT5009</v>
      </c>
    </row>
    <row r="752" spans="1:34" ht="15.75" customHeight="1" x14ac:dyDescent="0.2">
      <c r="A752" s="4" t="s">
        <v>30</v>
      </c>
      <c r="B752" s="4" t="s">
        <v>1046</v>
      </c>
      <c r="C752" s="4" t="s">
        <v>1017</v>
      </c>
      <c r="D752" s="4" t="s">
        <v>998</v>
      </c>
      <c r="E752" s="4" t="s">
        <v>34</v>
      </c>
      <c r="F752" s="4" t="s">
        <v>35</v>
      </c>
      <c r="G752" s="4" t="s">
        <v>51</v>
      </c>
      <c r="H752" s="4" t="s">
        <v>1056</v>
      </c>
      <c r="I752" s="4" t="s">
        <v>1057</v>
      </c>
      <c r="J752" s="4" t="s">
        <v>1058</v>
      </c>
      <c r="L752" s="4" t="s">
        <v>40</v>
      </c>
      <c r="M752" s="4">
        <v>1</v>
      </c>
      <c r="N752" s="4">
        <v>445</v>
      </c>
      <c r="O752" s="4">
        <v>445</v>
      </c>
      <c r="P752" s="4" t="s">
        <v>41</v>
      </c>
      <c r="Q752" s="4">
        <v>234.3</v>
      </c>
      <c r="R752" s="4">
        <v>234.3</v>
      </c>
      <c r="S752" s="4">
        <v>5213.18</v>
      </c>
      <c r="T752" s="4">
        <v>104263.5</v>
      </c>
      <c r="U752" s="4">
        <v>5</v>
      </c>
      <c r="V752" s="4" t="s">
        <v>42</v>
      </c>
      <c r="X752" s="7" t="str">
        <f t="shared" si="30"/>
        <v>441853990</v>
      </c>
      <c r="Y752" s="8" t="str">
        <f t="shared" si="31"/>
        <v>DC</v>
      </c>
      <c r="Z752" s="8">
        <f t="shared" si="32"/>
        <v>0</v>
      </c>
      <c r="AA752" s="8">
        <f t="shared" si="33"/>
        <v>0</v>
      </c>
      <c r="AB752" s="8">
        <f t="shared" si="34"/>
        <v>0</v>
      </c>
      <c r="AC752" s="8">
        <f t="shared" si="35"/>
        <v>445</v>
      </c>
      <c r="AD752" s="8">
        <f t="shared" si="36"/>
        <v>0</v>
      </c>
      <c r="AE752" s="9" t="str" cm="1">
        <f t="array" ref="AE752">IFERROR(_xlfn.XLOOKUP(H752,Sheet1!$G:$G,Sheet1!$F:$F),IFERROR(_xlfn.XLOOKUP(1,(--($X$2:$X$1074=X752))*(--ISNUMBER(MATCH($H$2:$H$1074,Sheet1!$G:$G,0))),_xlfn.XLOOKUP($H$2:$H$1074,Sheet1!$G:$G,Sheet1!$F:$F,"")),"NOT FOUND"))</f>
        <v>YETKRTSCUT5009</v>
      </c>
      <c r="AF752" s="10" t="str">
        <f t="shared" si="43"/>
        <v>LT. YELLOW</v>
      </c>
      <c r="AG752" s="11" t="str">
        <f t="shared" si="44"/>
        <v>Bangalore</v>
      </c>
      <c r="AH752" s="9" t="str">
        <f>IF(OR(J752="",AE752="",AE752="NOT FOUND"),"",IF(Y752="RP",IFERROR(LEFT(_xlfn.XLOOKUP(AE752,Sheet1!$F:$F,Sheet1!$W:$W),FIND("-",_xlfn.XLOOKUP(AE752,Sheet1!$F:$F,Sheet1!$W:$W),FIND("-",_xlfn.XLOOKUP(AE752,Sheet1!$F:$F,Sheet1!$W:$W))+1))&amp;AE752,"NOT FOUND"),LEFT(J752,FIND("-",J752,FIND("-",J752)+1))&amp;AE752))</f>
        <v>KRTS-APSU26-YETKRTSCUT5009</v>
      </c>
    </row>
    <row r="753" spans="1:34" ht="15.75" customHeight="1" x14ac:dyDescent="0.2">
      <c r="A753" s="4" t="s">
        <v>30</v>
      </c>
      <c r="B753" s="4" t="s">
        <v>1046</v>
      </c>
      <c r="C753" s="4" t="s">
        <v>1017</v>
      </c>
      <c r="D753" s="4" t="s">
        <v>998</v>
      </c>
      <c r="E753" s="4" t="s">
        <v>34</v>
      </c>
      <c r="F753" s="4" t="s">
        <v>35</v>
      </c>
      <c r="G753" s="4" t="s">
        <v>55</v>
      </c>
      <c r="H753" s="4" t="s">
        <v>1059</v>
      </c>
      <c r="I753" s="4" t="s">
        <v>1060</v>
      </c>
      <c r="J753" s="4" t="s">
        <v>1061</v>
      </c>
      <c r="L753" s="4" t="s">
        <v>40</v>
      </c>
      <c r="M753" s="4">
        <v>1</v>
      </c>
      <c r="N753" s="4">
        <v>84</v>
      </c>
      <c r="O753" s="4">
        <v>84</v>
      </c>
      <c r="P753" s="4" t="s">
        <v>41</v>
      </c>
      <c r="Q753" s="4">
        <v>234.3</v>
      </c>
      <c r="R753" s="4">
        <v>234.3</v>
      </c>
      <c r="S753" s="4">
        <v>984.06</v>
      </c>
      <c r="T753" s="4">
        <v>19681.2</v>
      </c>
      <c r="U753" s="4">
        <v>5</v>
      </c>
      <c r="V753" s="4" t="s">
        <v>42</v>
      </c>
      <c r="X753" s="7" t="str">
        <f t="shared" si="30"/>
        <v>441853990</v>
      </c>
      <c r="Y753" s="8" t="str">
        <f t="shared" si="31"/>
        <v>DC</v>
      </c>
      <c r="Z753" s="8">
        <f t="shared" si="32"/>
        <v>0</v>
      </c>
      <c r="AA753" s="8">
        <f t="shared" si="33"/>
        <v>0</v>
      </c>
      <c r="AB753" s="8">
        <f t="shared" si="34"/>
        <v>0</v>
      </c>
      <c r="AC753" s="8">
        <f t="shared" si="35"/>
        <v>0</v>
      </c>
      <c r="AD753" s="8">
        <f t="shared" si="36"/>
        <v>84</v>
      </c>
      <c r="AE753" s="9" t="str" cm="1">
        <f t="array" ref="AE753">IFERROR(_xlfn.XLOOKUP(H753,Sheet1!$G:$G,Sheet1!$F:$F),IFERROR(_xlfn.XLOOKUP(1,(--($X$2:$X$1074=X753))*(--ISNUMBER(MATCH($H$2:$H$1074,Sheet1!$G:$G,0))),_xlfn.XLOOKUP($H$2:$H$1074,Sheet1!$G:$G,Sheet1!$F:$F,"")),"NOT FOUND"))</f>
        <v>YETKRTSCUT5009</v>
      </c>
      <c r="AF753" s="10" t="str">
        <f t="shared" si="43"/>
        <v>LT. YELLOW</v>
      </c>
      <c r="AG753" s="11" t="str">
        <f t="shared" si="44"/>
        <v>Bangalore</v>
      </c>
      <c r="AH753" s="9" t="str">
        <f>IF(OR(J753="",AE753="",AE753="NOT FOUND"),"",IF(Y753="RP",IFERROR(LEFT(_xlfn.XLOOKUP(AE753,Sheet1!$F:$F,Sheet1!$W:$W),FIND("-",_xlfn.XLOOKUP(AE753,Sheet1!$F:$F,Sheet1!$W:$W),FIND("-",_xlfn.XLOOKUP(AE753,Sheet1!$F:$F,Sheet1!$W:$W))+1))&amp;AE753,"NOT FOUND"),LEFT(J753,FIND("-",J753,FIND("-",J753)+1))&amp;AE753))</f>
        <v>KRTS-APSU26-YETKRTSCUT5009</v>
      </c>
    </row>
    <row r="754" spans="1:34" ht="15.75" customHeight="1" x14ac:dyDescent="0.2">
      <c r="A754" s="4" t="s">
        <v>30</v>
      </c>
      <c r="B754" s="4" t="s">
        <v>1062</v>
      </c>
      <c r="C754" s="4" t="s">
        <v>1017</v>
      </c>
      <c r="D754" s="4" t="s">
        <v>998</v>
      </c>
      <c r="E754" s="4" t="s">
        <v>34</v>
      </c>
      <c r="F754" s="4" t="s">
        <v>35</v>
      </c>
      <c r="G754" s="4" t="s">
        <v>36</v>
      </c>
      <c r="H754" s="4" t="s">
        <v>1063</v>
      </c>
      <c r="I754" s="4" t="s">
        <v>1064</v>
      </c>
      <c r="J754" s="4" t="s">
        <v>1065</v>
      </c>
      <c r="L754" s="4" t="s">
        <v>40</v>
      </c>
      <c r="M754" s="4">
        <v>1</v>
      </c>
      <c r="N754" s="4">
        <v>30</v>
      </c>
      <c r="O754" s="4">
        <v>30</v>
      </c>
      <c r="P754" s="4" t="s">
        <v>41</v>
      </c>
      <c r="Q754" s="4">
        <v>234.3</v>
      </c>
      <c r="R754" s="4">
        <v>234.3</v>
      </c>
      <c r="S754" s="4">
        <v>351.45</v>
      </c>
      <c r="T754" s="4">
        <v>7029</v>
      </c>
      <c r="U754" s="4">
        <v>5</v>
      </c>
      <c r="V754" s="4" t="s">
        <v>42</v>
      </c>
      <c r="X754" s="7" t="str">
        <f t="shared" si="30"/>
        <v>441853990</v>
      </c>
      <c r="Y754" s="8" t="str">
        <f t="shared" si="31"/>
        <v>DC</v>
      </c>
      <c r="Z754" s="8">
        <f t="shared" si="32"/>
        <v>30</v>
      </c>
      <c r="AA754" s="8">
        <f t="shared" si="33"/>
        <v>0</v>
      </c>
      <c r="AB754" s="8">
        <f t="shared" si="34"/>
        <v>0</v>
      </c>
      <c r="AC754" s="8">
        <f t="shared" si="35"/>
        <v>0</v>
      </c>
      <c r="AD754" s="8">
        <f t="shared" si="36"/>
        <v>0</v>
      </c>
      <c r="AE754" s="9" t="str" cm="1">
        <f t="array" ref="AE754">IFERROR(_xlfn.XLOOKUP(H754,Sheet1!$G:$G,Sheet1!$F:$F),IFERROR(_xlfn.XLOOKUP(1,(--($X$2:$X$1074=X754))*(--ISNUMBER(MATCH($H$2:$H$1074,Sheet1!$G:$G,0))),_xlfn.XLOOKUP($H$2:$H$1074,Sheet1!$G:$G,Sheet1!$F:$F,"")),"NOT FOUND"))</f>
        <v>YETKRTSCUT5009</v>
      </c>
      <c r="AF754" s="10" t="str">
        <f t="shared" si="43"/>
        <v>CREAM</v>
      </c>
      <c r="AG754" s="11" t="str">
        <f t="shared" si="44"/>
        <v>Bangalore</v>
      </c>
      <c r="AH754" s="9" t="str">
        <f>IF(OR(J754="",AE754="",AE754="NOT FOUND"),"",IF(Y754="RP",IFERROR(LEFT(_xlfn.XLOOKUP(AE754,Sheet1!$F:$F,Sheet1!$W:$W),FIND("-",_xlfn.XLOOKUP(AE754,Sheet1!$F:$F,Sheet1!$W:$W),FIND("-",_xlfn.XLOOKUP(AE754,Sheet1!$F:$F,Sheet1!$W:$W))+1))&amp;AE754,"NOT FOUND"),LEFT(J754,FIND("-",J754,FIND("-",J754)+1))&amp;AE754))</f>
        <v>KRTS-APSU26-YETKRTSCUT5009</v>
      </c>
    </row>
    <row r="755" spans="1:34" ht="15.75" customHeight="1" x14ac:dyDescent="0.2">
      <c r="A755" s="4" t="s">
        <v>30</v>
      </c>
      <c r="B755" s="4" t="s">
        <v>1062</v>
      </c>
      <c r="C755" s="4" t="s">
        <v>1017</v>
      </c>
      <c r="D755" s="4" t="s">
        <v>998</v>
      </c>
      <c r="E755" s="4" t="s">
        <v>34</v>
      </c>
      <c r="F755" s="4" t="s">
        <v>35</v>
      </c>
      <c r="G755" s="4" t="s">
        <v>43</v>
      </c>
      <c r="H755" s="4" t="s">
        <v>1066</v>
      </c>
      <c r="I755" s="4" t="s">
        <v>1067</v>
      </c>
      <c r="J755" s="4" t="s">
        <v>1068</v>
      </c>
      <c r="L755" s="4" t="s">
        <v>40</v>
      </c>
      <c r="M755" s="4">
        <v>1</v>
      </c>
      <c r="N755" s="4">
        <v>339</v>
      </c>
      <c r="O755" s="4">
        <v>339</v>
      </c>
      <c r="P755" s="4" t="s">
        <v>41</v>
      </c>
      <c r="Q755" s="4">
        <v>234.3</v>
      </c>
      <c r="R755" s="4">
        <v>234.3</v>
      </c>
      <c r="S755" s="4">
        <v>3971.39</v>
      </c>
      <c r="T755" s="4">
        <v>79427.7</v>
      </c>
      <c r="U755" s="4">
        <v>5</v>
      </c>
      <c r="V755" s="4" t="s">
        <v>42</v>
      </c>
      <c r="X755" s="7" t="str">
        <f t="shared" si="30"/>
        <v>441853990</v>
      </c>
      <c r="Y755" s="8" t="str">
        <f t="shared" si="31"/>
        <v>DC</v>
      </c>
      <c r="Z755" s="8">
        <f t="shared" si="32"/>
        <v>0</v>
      </c>
      <c r="AA755" s="8">
        <f t="shared" si="33"/>
        <v>339</v>
      </c>
      <c r="AB755" s="8">
        <f t="shared" si="34"/>
        <v>0</v>
      </c>
      <c r="AC755" s="8">
        <f t="shared" si="35"/>
        <v>0</v>
      </c>
      <c r="AD755" s="8">
        <f t="shared" si="36"/>
        <v>0</v>
      </c>
      <c r="AE755" s="9" t="str" cm="1">
        <f t="array" ref="AE755">IFERROR(_xlfn.XLOOKUP(H755,Sheet1!$G:$G,Sheet1!$F:$F),IFERROR(_xlfn.XLOOKUP(1,(--($X$2:$X$1074=X755))*(--ISNUMBER(MATCH($H$2:$H$1074,Sheet1!$G:$G,0))),_xlfn.XLOOKUP($H$2:$H$1074,Sheet1!$G:$G,Sheet1!$F:$F,"")),"NOT FOUND"))</f>
        <v>YETKRTSCUT5009</v>
      </c>
      <c r="AF755" s="10" t="str">
        <f t="shared" si="43"/>
        <v>CREAM</v>
      </c>
      <c r="AG755" s="11" t="str">
        <f t="shared" si="44"/>
        <v>Bangalore</v>
      </c>
      <c r="AH755" s="9" t="str">
        <f>IF(OR(J755="",AE755="",AE755="NOT FOUND"),"",IF(Y755="RP",IFERROR(LEFT(_xlfn.XLOOKUP(AE755,Sheet1!$F:$F,Sheet1!$W:$W),FIND("-",_xlfn.XLOOKUP(AE755,Sheet1!$F:$F,Sheet1!$W:$W),FIND("-",_xlfn.XLOOKUP(AE755,Sheet1!$F:$F,Sheet1!$W:$W))+1))&amp;AE755,"NOT FOUND"),LEFT(J755,FIND("-",J755,FIND("-",J755)+1))&amp;AE755))</f>
        <v>KRTS-APSU26-YETKRTSCUT5009</v>
      </c>
    </row>
    <row r="756" spans="1:34" ht="15.75" customHeight="1" x14ac:dyDescent="0.2">
      <c r="A756" s="4" t="s">
        <v>30</v>
      </c>
      <c r="B756" s="4" t="s">
        <v>1062</v>
      </c>
      <c r="C756" s="4" t="s">
        <v>1017</v>
      </c>
      <c r="D756" s="4" t="s">
        <v>998</v>
      </c>
      <c r="E756" s="4" t="s">
        <v>34</v>
      </c>
      <c r="F756" s="4" t="s">
        <v>35</v>
      </c>
      <c r="G756" s="4" t="s">
        <v>47</v>
      </c>
      <c r="H756" s="4" t="s">
        <v>1069</v>
      </c>
      <c r="I756" s="4" t="s">
        <v>1070</v>
      </c>
      <c r="J756" s="4" t="s">
        <v>1071</v>
      </c>
      <c r="L756" s="4" t="s">
        <v>40</v>
      </c>
      <c r="M756" s="4">
        <v>1</v>
      </c>
      <c r="N756" s="4">
        <v>382</v>
      </c>
      <c r="O756" s="4">
        <v>382</v>
      </c>
      <c r="P756" s="4" t="s">
        <v>41</v>
      </c>
      <c r="Q756" s="4">
        <v>234.3</v>
      </c>
      <c r="R756" s="4">
        <v>234.3</v>
      </c>
      <c r="S756" s="4">
        <v>4475.13</v>
      </c>
      <c r="T756" s="4">
        <v>89502.6</v>
      </c>
      <c r="U756" s="4">
        <v>5</v>
      </c>
      <c r="V756" s="4" t="s">
        <v>42</v>
      </c>
      <c r="X756" s="7" t="str">
        <f t="shared" si="30"/>
        <v>441853990</v>
      </c>
      <c r="Y756" s="8" t="str">
        <f t="shared" si="31"/>
        <v>DC</v>
      </c>
      <c r="Z756" s="8">
        <f t="shared" si="32"/>
        <v>0</v>
      </c>
      <c r="AA756" s="8">
        <f t="shared" si="33"/>
        <v>0</v>
      </c>
      <c r="AB756" s="8">
        <f t="shared" si="34"/>
        <v>382</v>
      </c>
      <c r="AC756" s="8">
        <f t="shared" si="35"/>
        <v>0</v>
      </c>
      <c r="AD756" s="8">
        <f t="shared" si="36"/>
        <v>0</v>
      </c>
      <c r="AE756" s="9" t="str" cm="1">
        <f t="array" ref="AE756">IFERROR(_xlfn.XLOOKUP(H756,Sheet1!$G:$G,Sheet1!$F:$F),IFERROR(_xlfn.XLOOKUP(1,(--($X$2:$X$1074=X756))*(--ISNUMBER(MATCH($H$2:$H$1074,Sheet1!$G:$G,0))),_xlfn.XLOOKUP($H$2:$H$1074,Sheet1!$G:$G,Sheet1!$F:$F,"")),"NOT FOUND"))</f>
        <v>YETKRTSCUT5009</v>
      </c>
      <c r="AF756" s="10" t="str">
        <f t="shared" si="43"/>
        <v>CREAM</v>
      </c>
      <c r="AG756" s="11" t="str">
        <f t="shared" si="44"/>
        <v>Bangalore</v>
      </c>
      <c r="AH756" s="9" t="str">
        <f>IF(OR(J756="",AE756="",AE756="NOT FOUND"),"",IF(Y756="RP",IFERROR(LEFT(_xlfn.XLOOKUP(AE756,Sheet1!$F:$F,Sheet1!$W:$W),FIND("-",_xlfn.XLOOKUP(AE756,Sheet1!$F:$F,Sheet1!$W:$W),FIND("-",_xlfn.XLOOKUP(AE756,Sheet1!$F:$F,Sheet1!$W:$W))+1))&amp;AE756,"NOT FOUND"),LEFT(J756,FIND("-",J756,FIND("-",J756)+1))&amp;AE756))</f>
        <v>KRTS-APSU26-YETKRTSCUT5009</v>
      </c>
    </row>
    <row r="757" spans="1:34" ht="15.75" customHeight="1" x14ac:dyDescent="0.2">
      <c r="A757" s="4" t="s">
        <v>30</v>
      </c>
      <c r="B757" s="4" t="s">
        <v>1062</v>
      </c>
      <c r="C757" s="4" t="s">
        <v>1017</v>
      </c>
      <c r="D757" s="4" t="s">
        <v>998</v>
      </c>
      <c r="E757" s="4" t="s">
        <v>34</v>
      </c>
      <c r="F757" s="4" t="s">
        <v>35</v>
      </c>
      <c r="G757" s="4" t="s">
        <v>51</v>
      </c>
      <c r="H757" s="4" t="s">
        <v>1072</v>
      </c>
      <c r="I757" s="4" t="s">
        <v>1073</v>
      </c>
      <c r="J757" s="4" t="s">
        <v>1074</v>
      </c>
      <c r="L757" s="4" t="s">
        <v>40</v>
      </c>
      <c r="M757" s="4">
        <v>1</v>
      </c>
      <c r="N757" s="4">
        <v>445</v>
      </c>
      <c r="O757" s="4">
        <v>445</v>
      </c>
      <c r="P757" s="4" t="s">
        <v>41</v>
      </c>
      <c r="Q757" s="4">
        <v>234.3</v>
      </c>
      <c r="R757" s="4">
        <v>234.3</v>
      </c>
      <c r="S757" s="4">
        <v>5213.18</v>
      </c>
      <c r="T757" s="4">
        <v>104263.5</v>
      </c>
      <c r="U757" s="4">
        <v>5</v>
      </c>
      <c r="V757" s="4" t="s">
        <v>42</v>
      </c>
      <c r="X757" s="7" t="str">
        <f t="shared" si="30"/>
        <v>441853990</v>
      </c>
      <c r="Y757" s="8" t="str">
        <f t="shared" si="31"/>
        <v>DC</v>
      </c>
      <c r="Z757" s="8">
        <f t="shared" si="32"/>
        <v>0</v>
      </c>
      <c r="AA757" s="8">
        <f t="shared" si="33"/>
        <v>0</v>
      </c>
      <c r="AB757" s="8">
        <f t="shared" si="34"/>
        <v>0</v>
      </c>
      <c r="AC757" s="8">
        <f t="shared" si="35"/>
        <v>445</v>
      </c>
      <c r="AD757" s="8">
        <f t="shared" si="36"/>
        <v>0</v>
      </c>
      <c r="AE757" s="9" t="str" cm="1">
        <f t="array" ref="AE757">IFERROR(_xlfn.XLOOKUP(H757,Sheet1!$G:$G,Sheet1!$F:$F),IFERROR(_xlfn.XLOOKUP(1,(--($X$2:$X$1074=X757))*(--ISNUMBER(MATCH($H$2:$H$1074,Sheet1!$G:$G,0))),_xlfn.XLOOKUP($H$2:$H$1074,Sheet1!$G:$G,Sheet1!$F:$F,"")),"NOT FOUND"))</f>
        <v>YETKRTSCUT5009</v>
      </c>
      <c r="AF757" s="10" t="str">
        <f t="shared" si="43"/>
        <v>CREAM</v>
      </c>
      <c r="AG757" s="11" t="str">
        <f t="shared" si="44"/>
        <v>Bangalore</v>
      </c>
      <c r="AH757" s="9" t="str">
        <f>IF(OR(J757="",AE757="",AE757="NOT FOUND"),"",IF(Y757="RP",IFERROR(LEFT(_xlfn.XLOOKUP(AE757,Sheet1!$F:$F,Sheet1!$W:$W),FIND("-",_xlfn.XLOOKUP(AE757,Sheet1!$F:$F,Sheet1!$W:$W),FIND("-",_xlfn.XLOOKUP(AE757,Sheet1!$F:$F,Sheet1!$W:$W))+1))&amp;AE757,"NOT FOUND"),LEFT(J757,FIND("-",J757,FIND("-",J757)+1))&amp;AE757))</f>
        <v>KRTS-APSU26-YETKRTSCUT5009</v>
      </c>
    </row>
    <row r="758" spans="1:34" ht="15.75" customHeight="1" x14ac:dyDescent="0.2">
      <c r="A758" s="4" t="s">
        <v>30</v>
      </c>
      <c r="B758" s="4" t="s">
        <v>1062</v>
      </c>
      <c r="C758" s="4" t="s">
        <v>1017</v>
      </c>
      <c r="D758" s="4" t="s">
        <v>998</v>
      </c>
      <c r="E758" s="4" t="s">
        <v>34</v>
      </c>
      <c r="F758" s="4" t="s">
        <v>35</v>
      </c>
      <c r="G758" s="4" t="s">
        <v>55</v>
      </c>
      <c r="H758" s="4" t="s">
        <v>1075</v>
      </c>
      <c r="I758" s="4" t="s">
        <v>1076</v>
      </c>
      <c r="J758" s="4" t="s">
        <v>1077</v>
      </c>
      <c r="L758" s="4" t="s">
        <v>40</v>
      </c>
      <c r="M758" s="4">
        <v>1</v>
      </c>
      <c r="N758" s="4">
        <v>84</v>
      </c>
      <c r="O758" s="4">
        <v>84</v>
      </c>
      <c r="P758" s="4" t="s">
        <v>41</v>
      </c>
      <c r="Q758" s="4">
        <v>234.3</v>
      </c>
      <c r="R758" s="4">
        <v>234.3</v>
      </c>
      <c r="S758" s="4">
        <v>984.06</v>
      </c>
      <c r="T758" s="4">
        <v>19681.2</v>
      </c>
      <c r="U758" s="4">
        <v>5</v>
      </c>
      <c r="V758" s="4" t="s">
        <v>42</v>
      </c>
      <c r="X758" s="7" t="str">
        <f t="shared" si="30"/>
        <v>441853990</v>
      </c>
      <c r="Y758" s="8" t="str">
        <f t="shared" si="31"/>
        <v>DC</v>
      </c>
      <c r="Z758" s="8">
        <f t="shared" si="32"/>
        <v>0</v>
      </c>
      <c r="AA758" s="8">
        <f t="shared" si="33"/>
        <v>0</v>
      </c>
      <c r="AB758" s="8">
        <f t="shared" si="34"/>
        <v>0</v>
      </c>
      <c r="AC758" s="8">
        <f t="shared" si="35"/>
        <v>0</v>
      </c>
      <c r="AD758" s="8">
        <f t="shared" si="36"/>
        <v>84</v>
      </c>
      <c r="AE758" s="9" t="str" cm="1">
        <f t="array" ref="AE758">IFERROR(_xlfn.XLOOKUP(H758,Sheet1!$G:$G,Sheet1!$F:$F),IFERROR(_xlfn.XLOOKUP(1,(--($X$2:$X$1074=X758))*(--ISNUMBER(MATCH($H$2:$H$1074,Sheet1!$G:$G,0))),_xlfn.XLOOKUP($H$2:$H$1074,Sheet1!$G:$G,Sheet1!$F:$F,"")),"NOT FOUND"))</f>
        <v>YETKRTSCUT5009</v>
      </c>
      <c r="AF758" s="10" t="str">
        <f t="shared" si="43"/>
        <v>CREAM</v>
      </c>
      <c r="AG758" s="11" t="str">
        <f t="shared" si="44"/>
        <v>Bangalore</v>
      </c>
      <c r="AH758" s="9" t="str">
        <f>IF(OR(J758="",AE758="",AE758="NOT FOUND"),"",IF(Y758="RP",IFERROR(LEFT(_xlfn.XLOOKUP(AE758,Sheet1!$F:$F,Sheet1!$W:$W),FIND("-",_xlfn.XLOOKUP(AE758,Sheet1!$F:$F,Sheet1!$W:$W),FIND("-",_xlfn.XLOOKUP(AE758,Sheet1!$F:$F,Sheet1!$W:$W))+1))&amp;AE758,"NOT FOUND"),LEFT(J758,FIND("-",J758,FIND("-",J758)+1))&amp;AE758))</f>
        <v>KRTS-APSU26-YETKRTSCUT5009</v>
      </c>
    </row>
    <row r="759" spans="1:34" ht="15.75" customHeight="1" x14ac:dyDescent="0.2">
      <c r="A759" s="4" t="s">
        <v>59</v>
      </c>
      <c r="B759" s="4" t="s">
        <v>1078</v>
      </c>
      <c r="C759" s="4" t="s">
        <v>1017</v>
      </c>
      <c r="D759" s="4" t="s">
        <v>998</v>
      </c>
      <c r="E759" s="4" t="s">
        <v>34</v>
      </c>
      <c r="F759" s="4" t="s">
        <v>35</v>
      </c>
      <c r="G759" s="4" t="s">
        <v>36</v>
      </c>
      <c r="H759" s="4" t="s">
        <v>1018</v>
      </c>
      <c r="I759" s="4" t="s">
        <v>1019</v>
      </c>
      <c r="J759" s="4" t="s">
        <v>1020</v>
      </c>
      <c r="L759" s="4" t="s">
        <v>40</v>
      </c>
      <c r="M759" s="4">
        <v>1</v>
      </c>
      <c r="N759" s="4">
        <v>30</v>
      </c>
      <c r="O759" s="4">
        <v>30</v>
      </c>
      <c r="P759" s="4" t="s">
        <v>41</v>
      </c>
      <c r="Q759" s="4">
        <v>234.3</v>
      </c>
      <c r="R759" s="4">
        <v>234.3</v>
      </c>
      <c r="S759" s="4">
        <v>351.45</v>
      </c>
      <c r="T759" s="4">
        <v>7029</v>
      </c>
      <c r="U759" s="4">
        <v>5</v>
      </c>
      <c r="V759" s="4" t="s">
        <v>42</v>
      </c>
      <c r="X759" s="7" t="str">
        <f t="shared" si="30"/>
        <v>441853990</v>
      </c>
      <c r="Y759" s="8" t="str">
        <f t="shared" si="31"/>
        <v>DC</v>
      </c>
      <c r="Z759" s="8">
        <f t="shared" si="32"/>
        <v>30</v>
      </c>
      <c r="AA759" s="8">
        <f t="shared" si="33"/>
        <v>0</v>
      </c>
      <c r="AB759" s="8">
        <f t="shared" si="34"/>
        <v>0</v>
      </c>
      <c r="AC759" s="8">
        <f t="shared" si="35"/>
        <v>0</v>
      </c>
      <c r="AD759" s="8">
        <f t="shared" si="36"/>
        <v>0</v>
      </c>
      <c r="AE759" s="9" t="str" cm="1">
        <f t="array" ref="AE759">IFERROR(_xlfn.XLOOKUP(H759,Sheet1!$G:$G,Sheet1!$F:$F),IFERROR(_xlfn.XLOOKUP(1,(--($X$2:$X$1074=X759))*(--ISNUMBER(MATCH($H$2:$H$1074,Sheet1!$G:$G,0))),_xlfn.XLOOKUP($H$2:$H$1074,Sheet1!$G:$G,Sheet1!$F:$F,"")),"NOT FOUND"))</f>
        <v>YETKRTSCUT5009</v>
      </c>
      <c r="AF759" s="10" t="str">
        <f t="shared" si="43"/>
        <v>PEACH</v>
      </c>
      <c r="AG759" s="11" t="str">
        <f t="shared" si="44"/>
        <v>JHAJJAR</v>
      </c>
      <c r="AH759" s="9" t="str">
        <f>IF(OR(J759="",AE759="",AE759="NOT FOUND"),"",IF(Y759="RP",IFERROR(LEFT(_xlfn.XLOOKUP(AE759,Sheet1!$F:$F,Sheet1!$W:$W),FIND("-",_xlfn.XLOOKUP(AE759,Sheet1!$F:$F,Sheet1!$W:$W),FIND("-",_xlfn.XLOOKUP(AE759,Sheet1!$F:$F,Sheet1!$W:$W))+1))&amp;AE759,"NOT FOUND"),LEFT(J759,FIND("-",J759,FIND("-",J759)+1))&amp;AE759))</f>
        <v>KRTS-APSU26-YETKRTSCUT5009</v>
      </c>
    </row>
    <row r="760" spans="1:34" ht="15.75" customHeight="1" x14ac:dyDescent="0.2">
      <c r="A760" s="4" t="s">
        <v>59</v>
      </c>
      <c r="B760" s="4" t="s">
        <v>1078</v>
      </c>
      <c r="C760" s="4" t="s">
        <v>1017</v>
      </c>
      <c r="D760" s="4" t="s">
        <v>998</v>
      </c>
      <c r="E760" s="4" t="s">
        <v>34</v>
      </c>
      <c r="F760" s="4" t="s">
        <v>35</v>
      </c>
      <c r="G760" s="4" t="s">
        <v>43</v>
      </c>
      <c r="H760" s="4" t="s">
        <v>1021</v>
      </c>
      <c r="I760" s="4" t="s">
        <v>1022</v>
      </c>
      <c r="J760" s="4" t="s">
        <v>1023</v>
      </c>
      <c r="L760" s="4" t="s">
        <v>40</v>
      </c>
      <c r="M760" s="4">
        <v>1</v>
      </c>
      <c r="N760" s="4">
        <v>170</v>
      </c>
      <c r="O760" s="4">
        <v>170</v>
      </c>
      <c r="P760" s="4" t="s">
        <v>41</v>
      </c>
      <c r="Q760" s="4">
        <v>234.3</v>
      </c>
      <c r="R760" s="4">
        <v>234.3</v>
      </c>
      <c r="S760" s="4">
        <v>1991.55</v>
      </c>
      <c r="T760" s="4">
        <v>39831</v>
      </c>
      <c r="U760" s="4">
        <v>5</v>
      </c>
      <c r="V760" s="4" t="s">
        <v>42</v>
      </c>
      <c r="X760" s="7" t="str">
        <f t="shared" si="30"/>
        <v>441853990</v>
      </c>
      <c r="Y760" s="8" t="str">
        <f t="shared" si="31"/>
        <v>DC</v>
      </c>
      <c r="Z760" s="8">
        <f t="shared" si="32"/>
        <v>0</v>
      </c>
      <c r="AA760" s="8">
        <f t="shared" si="33"/>
        <v>170</v>
      </c>
      <c r="AB760" s="8">
        <f t="shared" si="34"/>
        <v>0</v>
      </c>
      <c r="AC760" s="8">
        <f t="shared" si="35"/>
        <v>0</v>
      </c>
      <c r="AD760" s="8">
        <f t="shared" si="36"/>
        <v>0</v>
      </c>
      <c r="AE760" s="9" t="str" cm="1">
        <f t="array" ref="AE760">IFERROR(_xlfn.XLOOKUP(H760,Sheet1!$G:$G,Sheet1!$F:$F),IFERROR(_xlfn.XLOOKUP(1,(--($X$2:$X$1074=X760))*(--ISNUMBER(MATCH($H$2:$H$1074,Sheet1!$G:$G,0))),_xlfn.XLOOKUP($H$2:$H$1074,Sheet1!$G:$G,Sheet1!$F:$F,"")),"NOT FOUND"))</f>
        <v>YETKRTSCUT5009</v>
      </c>
      <c r="AF760" s="10" t="str">
        <f t="shared" si="43"/>
        <v>PEACH</v>
      </c>
      <c r="AG760" s="11" t="str">
        <f t="shared" si="44"/>
        <v>JHAJJAR</v>
      </c>
      <c r="AH760" s="9" t="str">
        <f>IF(OR(J760="",AE760="",AE760="NOT FOUND"),"",IF(Y760="RP",IFERROR(LEFT(_xlfn.XLOOKUP(AE760,Sheet1!$F:$F,Sheet1!$W:$W),FIND("-",_xlfn.XLOOKUP(AE760,Sheet1!$F:$F,Sheet1!$W:$W),FIND("-",_xlfn.XLOOKUP(AE760,Sheet1!$F:$F,Sheet1!$W:$W))+1))&amp;AE760,"NOT FOUND"),LEFT(J760,FIND("-",J760,FIND("-",J760)+1))&amp;AE760))</f>
        <v>KRTS-APSU26-YETKRTSCUT5009</v>
      </c>
    </row>
    <row r="761" spans="1:34" ht="15.75" customHeight="1" x14ac:dyDescent="0.2">
      <c r="A761" s="4" t="s">
        <v>59</v>
      </c>
      <c r="B761" s="4" t="s">
        <v>1078</v>
      </c>
      <c r="C761" s="4" t="s">
        <v>1017</v>
      </c>
      <c r="D761" s="4" t="s">
        <v>998</v>
      </c>
      <c r="E761" s="4" t="s">
        <v>34</v>
      </c>
      <c r="F761" s="4" t="s">
        <v>35</v>
      </c>
      <c r="G761" s="4" t="s">
        <v>47</v>
      </c>
      <c r="H761" s="4" t="s">
        <v>1024</v>
      </c>
      <c r="I761" s="4" t="s">
        <v>1025</v>
      </c>
      <c r="J761" s="4" t="s">
        <v>1026</v>
      </c>
      <c r="L761" s="4" t="s">
        <v>40</v>
      </c>
      <c r="M761" s="4">
        <v>1</v>
      </c>
      <c r="N761" s="4">
        <v>192</v>
      </c>
      <c r="O761" s="4">
        <v>192</v>
      </c>
      <c r="P761" s="4" t="s">
        <v>41</v>
      </c>
      <c r="Q761" s="4">
        <v>234.3</v>
      </c>
      <c r="R761" s="4">
        <v>234.3</v>
      </c>
      <c r="S761" s="4">
        <v>2249.2800000000002</v>
      </c>
      <c r="T761" s="4">
        <v>44985.599999999999</v>
      </c>
      <c r="U761" s="4">
        <v>5</v>
      </c>
      <c r="V761" s="4" t="s">
        <v>42</v>
      </c>
      <c r="X761" s="7" t="str">
        <f t="shared" si="30"/>
        <v>441853990</v>
      </c>
      <c r="Y761" s="8" t="str">
        <f t="shared" si="31"/>
        <v>DC</v>
      </c>
      <c r="Z761" s="8">
        <f t="shared" si="32"/>
        <v>0</v>
      </c>
      <c r="AA761" s="8">
        <f t="shared" si="33"/>
        <v>0</v>
      </c>
      <c r="AB761" s="8">
        <f t="shared" si="34"/>
        <v>192</v>
      </c>
      <c r="AC761" s="8">
        <f t="shared" si="35"/>
        <v>0</v>
      </c>
      <c r="AD761" s="8">
        <f t="shared" si="36"/>
        <v>0</v>
      </c>
      <c r="AE761" s="9" t="str" cm="1">
        <f t="array" ref="AE761">IFERROR(_xlfn.XLOOKUP(H761,Sheet1!$G:$G,Sheet1!$F:$F),IFERROR(_xlfn.XLOOKUP(1,(--($X$2:$X$1074=X761))*(--ISNUMBER(MATCH($H$2:$H$1074,Sheet1!$G:$G,0))),_xlfn.XLOOKUP($H$2:$H$1074,Sheet1!$G:$G,Sheet1!$F:$F,"")),"NOT FOUND"))</f>
        <v>YETKRTSCUT5009</v>
      </c>
      <c r="AF761" s="10" t="str">
        <f t="shared" si="43"/>
        <v>PEACH</v>
      </c>
      <c r="AG761" s="11" t="str">
        <f t="shared" si="44"/>
        <v>JHAJJAR</v>
      </c>
      <c r="AH761" s="9" t="str">
        <f>IF(OR(J761="",AE761="",AE761="NOT FOUND"),"",IF(Y761="RP",IFERROR(LEFT(_xlfn.XLOOKUP(AE761,Sheet1!$F:$F,Sheet1!$W:$W),FIND("-",_xlfn.XLOOKUP(AE761,Sheet1!$F:$F,Sheet1!$W:$W),FIND("-",_xlfn.XLOOKUP(AE761,Sheet1!$F:$F,Sheet1!$W:$W))+1))&amp;AE761,"NOT FOUND"),LEFT(J761,FIND("-",J761,FIND("-",J761)+1))&amp;AE761))</f>
        <v>KRTS-APSU26-YETKRTSCUT5009</v>
      </c>
    </row>
    <row r="762" spans="1:34" ht="15.75" customHeight="1" x14ac:dyDescent="0.2">
      <c r="A762" s="4" t="s">
        <v>59</v>
      </c>
      <c r="B762" s="4" t="s">
        <v>1078</v>
      </c>
      <c r="C762" s="4" t="s">
        <v>1017</v>
      </c>
      <c r="D762" s="4" t="s">
        <v>998</v>
      </c>
      <c r="E762" s="4" t="s">
        <v>34</v>
      </c>
      <c r="F762" s="4" t="s">
        <v>35</v>
      </c>
      <c r="G762" s="4" t="s">
        <v>51</v>
      </c>
      <c r="H762" s="4" t="s">
        <v>1027</v>
      </c>
      <c r="I762" s="4" t="s">
        <v>1028</v>
      </c>
      <c r="J762" s="4" t="s">
        <v>1029</v>
      </c>
      <c r="L762" s="4" t="s">
        <v>40</v>
      </c>
      <c r="M762" s="4">
        <v>1</v>
      </c>
      <c r="N762" s="4">
        <v>224</v>
      </c>
      <c r="O762" s="4">
        <v>224</v>
      </c>
      <c r="P762" s="4" t="s">
        <v>41</v>
      </c>
      <c r="Q762" s="4">
        <v>234.3</v>
      </c>
      <c r="R762" s="4">
        <v>234.3</v>
      </c>
      <c r="S762" s="4">
        <v>2624.16</v>
      </c>
      <c r="T762" s="4">
        <v>52483.199999999997</v>
      </c>
      <c r="U762" s="4">
        <v>5</v>
      </c>
      <c r="V762" s="4" t="s">
        <v>42</v>
      </c>
      <c r="X762" s="7" t="str">
        <f t="shared" si="30"/>
        <v>441853990</v>
      </c>
      <c r="Y762" s="8" t="str">
        <f t="shared" si="31"/>
        <v>DC</v>
      </c>
      <c r="Z762" s="8">
        <f t="shared" si="32"/>
        <v>0</v>
      </c>
      <c r="AA762" s="8">
        <f t="shared" si="33"/>
        <v>0</v>
      </c>
      <c r="AB762" s="8">
        <f t="shared" si="34"/>
        <v>0</v>
      </c>
      <c r="AC762" s="8">
        <f t="shared" si="35"/>
        <v>224</v>
      </c>
      <c r="AD762" s="8">
        <f t="shared" si="36"/>
        <v>0</v>
      </c>
      <c r="AE762" s="9" t="str" cm="1">
        <f t="array" ref="AE762">IFERROR(_xlfn.XLOOKUP(H762,Sheet1!$G:$G,Sheet1!$F:$F),IFERROR(_xlfn.XLOOKUP(1,(--($X$2:$X$1074=X762))*(--ISNUMBER(MATCH($H$2:$H$1074,Sheet1!$G:$G,0))),_xlfn.XLOOKUP($H$2:$H$1074,Sheet1!$G:$G,Sheet1!$F:$F,"")),"NOT FOUND"))</f>
        <v>YETKRTSCUT5009</v>
      </c>
      <c r="AF762" s="10" t="str">
        <f t="shared" si="43"/>
        <v>PEACH</v>
      </c>
      <c r="AG762" s="11" t="str">
        <f t="shared" si="44"/>
        <v>JHAJJAR</v>
      </c>
      <c r="AH762" s="9" t="str">
        <f>IF(OR(J762="",AE762="",AE762="NOT FOUND"),"",IF(Y762="RP",IFERROR(LEFT(_xlfn.XLOOKUP(AE762,Sheet1!$F:$F,Sheet1!$W:$W),FIND("-",_xlfn.XLOOKUP(AE762,Sheet1!$F:$F,Sheet1!$W:$W),FIND("-",_xlfn.XLOOKUP(AE762,Sheet1!$F:$F,Sheet1!$W:$W))+1))&amp;AE762,"NOT FOUND"),LEFT(J762,FIND("-",J762,FIND("-",J762)+1))&amp;AE762))</f>
        <v>KRTS-APSU26-YETKRTSCUT5009</v>
      </c>
    </row>
    <row r="763" spans="1:34" ht="15.75" customHeight="1" x14ac:dyDescent="0.2">
      <c r="A763" s="4" t="s">
        <v>59</v>
      </c>
      <c r="B763" s="4" t="s">
        <v>1078</v>
      </c>
      <c r="C763" s="4" t="s">
        <v>1017</v>
      </c>
      <c r="D763" s="4" t="s">
        <v>998</v>
      </c>
      <c r="E763" s="4" t="s">
        <v>34</v>
      </c>
      <c r="F763" s="4" t="s">
        <v>35</v>
      </c>
      <c r="G763" s="4" t="s">
        <v>55</v>
      </c>
      <c r="H763" s="4" t="s">
        <v>1030</v>
      </c>
      <c r="I763" s="4" t="s">
        <v>1031</v>
      </c>
      <c r="J763" s="4" t="s">
        <v>1032</v>
      </c>
      <c r="L763" s="4" t="s">
        <v>40</v>
      </c>
      <c r="M763" s="4">
        <v>1</v>
      </c>
      <c r="N763" s="4">
        <v>42</v>
      </c>
      <c r="O763" s="4">
        <v>42</v>
      </c>
      <c r="P763" s="4" t="s">
        <v>41</v>
      </c>
      <c r="Q763" s="4">
        <v>234.3</v>
      </c>
      <c r="R763" s="4">
        <v>234.3</v>
      </c>
      <c r="S763" s="4">
        <v>492.03</v>
      </c>
      <c r="T763" s="4">
        <v>9840.6</v>
      </c>
      <c r="U763" s="4">
        <v>5</v>
      </c>
      <c r="V763" s="4" t="s">
        <v>42</v>
      </c>
      <c r="X763" s="7" t="str">
        <f t="shared" si="30"/>
        <v>441853990</v>
      </c>
      <c r="Y763" s="8" t="str">
        <f t="shared" si="31"/>
        <v>DC</v>
      </c>
      <c r="Z763" s="8">
        <f t="shared" si="32"/>
        <v>0</v>
      </c>
      <c r="AA763" s="8">
        <f t="shared" si="33"/>
        <v>0</v>
      </c>
      <c r="AB763" s="8">
        <f t="shared" si="34"/>
        <v>0</v>
      </c>
      <c r="AC763" s="8">
        <f t="shared" si="35"/>
        <v>0</v>
      </c>
      <c r="AD763" s="8">
        <f t="shared" si="36"/>
        <v>42</v>
      </c>
      <c r="AE763" s="9" t="str" cm="1">
        <f t="array" ref="AE763">IFERROR(_xlfn.XLOOKUP(H763,Sheet1!$G:$G,Sheet1!$F:$F),IFERROR(_xlfn.XLOOKUP(1,(--($X$2:$X$1074=X763))*(--ISNUMBER(MATCH($H$2:$H$1074,Sheet1!$G:$G,0))),_xlfn.XLOOKUP($H$2:$H$1074,Sheet1!$G:$G,Sheet1!$F:$F,"")),"NOT FOUND"))</f>
        <v>YETKRTSCUT5009</v>
      </c>
      <c r="AF763" s="10" t="str">
        <f t="shared" si="43"/>
        <v>PEACH</v>
      </c>
      <c r="AG763" s="11" t="str">
        <f t="shared" si="44"/>
        <v>JHAJJAR</v>
      </c>
      <c r="AH763" s="9" t="str">
        <f>IF(OR(J763="",AE763="",AE763="NOT FOUND"),"",IF(Y763="RP",IFERROR(LEFT(_xlfn.XLOOKUP(AE763,Sheet1!$F:$F,Sheet1!$W:$W),FIND("-",_xlfn.XLOOKUP(AE763,Sheet1!$F:$F,Sheet1!$W:$W),FIND("-",_xlfn.XLOOKUP(AE763,Sheet1!$F:$F,Sheet1!$W:$W))+1))&amp;AE763,"NOT FOUND"),LEFT(J763,FIND("-",J763,FIND("-",J763)+1))&amp;AE763))</f>
        <v>KRTS-APSU26-YETKRTSCUT5009</v>
      </c>
    </row>
    <row r="764" spans="1:34" ht="15.75" customHeight="1" x14ac:dyDescent="0.2">
      <c r="A764" s="4" t="s">
        <v>30</v>
      </c>
      <c r="B764" s="4" t="s">
        <v>1079</v>
      </c>
      <c r="C764" s="4" t="s">
        <v>1017</v>
      </c>
      <c r="D764" s="4" t="s">
        <v>998</v>
      </c>
      <c r="E764" s="4" t="s">
        <v>34</v>
      </c>
      <c r="F764" s="4" t="s">
        <v>35</v>
      </c>
      <c r="G764" s="4" t="s">
        <v>36</v>
      </c>
      <c r="H764" s="4" t="s">
        <v>1080</v>
      </c>
      <c r="I764" s="4" t="s">
        <v>1081</v>
      </c>
      <c r="J764" s="4" t="s">
        <v>1082</v>
      </c>
      <c r="L764" s="4" t="s">
        <v>40</v>
      </c>
      <c r="M764" s="4">
        <v>1</v>
      </c>
      <c r="N764" s="4">
        <v>30</v>
      </c>
      <c r="O764" s="4">
        <v>30</v>
      </c>
      <c r="P764" s="4" t="s">
        <v>41</v>
      </c>
      <c r="Q764" s="4">
        <v>234.3</v>
      </c>
      <c r="R764" s="4">
        <v>234.3</v>
      </c>
      <c r="S764" s="4">
        <v>351.45</v>
      </c>
      <c r="T764" s="4">
        <v>7029</v>
      </c>
      <c r="U764" s="4">
        <v>5</v>
      </c>
      <c r="V764" s="4" t="s">
        <v>42</v>
      </c>
      <c r="X764" s="7" t="str">
        <f t="shared" si="30"/>
        <v>441853990</v>
      </c>
      <c r="Y764" s="8" t="str">
        <f t="shared" si="31"/>
        <v>DC</v>
      </c>
      <c r="Z764" s="8">
        <f t="shared" si="32"/>
        <v>30</v>
      </c>
      <c r="AA764" s="8">
        <f t="shared" si="33"/>
        <v>0</v>
      </c>
      <c r="AB764" s="8">
        <f t="shared" si="34"/>
        <v>0</v>
      </c>
      <c r="AC764" s="8">
        <f t="shared" si="35"/>
        <v>0</v>
      </c>
      <c r="AD764" s="8">
        <f t="shared" si="36"/>
        <v>0</v>
      </c>
      <c r="AE764" s="9" t="str" cm="1">
        <f t="array" ref="AE764">IFERROR(_xlfn.XLOOKUP(H764,Sheet1!$G:$G,Sheet1!$F:$F),IFERROR(_xlfn.XLOOKUP(1,(--($X$2:$X$1074=X764))*(--ISNUMBER(MATCH($H$2:$H$1074,Sheet1!$G:$G,0))),_xlfn.XLOOKUP($H$2:$H$1074,Sheet1!$G:$G,Sheet1!$F:$F,"")),"NOT FOUND"))</f>
        <v>YETKRTSCUT5009</v>
      </c>
      <c r="AF764" s="10" t="str">
        <f t="shared" si="43"/>
        <v>BLUE</v>
      </c>
      <c r="AG764" s="11" t="str">
        <f t="shared" si="44"/>
        <v>Bangalore</v>
      </c>
      <c r="AH764" s="9" t="str">
        <f>IF(OR(J764="",AE764="",AE764="NOT FOUND"),"",IF(Y764="RP",IFERROR(LEFT(_xlfn.XLOOKUP(AE764,Sheet1!$F:$F,Sheet1!$W:$W),FIND("-",_xlfn.XLOOKUP(AE764,Sheet1!$F:$F,Sheet1!$W:$W),FIND("-",_xlfn.XLOOKUP(AE764,Sheet1!$F:$F,Sheet1!$W:$W))+1))&amp;AE764,"NOT FOUND"),LEFT(J764,FIND("-",J764,FIND("-",J764)+1))&amp;AE764))</f>
        <v>KRTS-APSU26-YETKRTSCUT5009</v>
      </c>
    </row>
    <row r="765" spans="1:34" ht="15.75" customHeight="1" x14ac:dyDescent="0.2">
      <c r="A765" s="4" t="s">
        <v>30</v>
      </c>
      <c r="B765" s="4" t="s">
        <v>1079</v>
      </c>
      <c r="C765" s="4" t="s">
        <v>1017</v>
      </c>
      <c r="D765" s="4" t="s">
        <v>998</v>
      </c>
      <c r="E765" s="4" t="s">
        <v>34</v>
      </c>
      <c r="F765" s="4" t="s">
        <v>35</v>
      </c>
      <c r="G765" s="4" t="s">
        <v>43</v>
      </c>
      <c r="H765" s="4" t="s">
        <v>1083</v>
      </c>
      <c r="I765" s="4" t="s">
        <v>1084</v>
      </c>
      <c r="J765" s="4" t="s">
        <v>1085</v>
      </c>
      <c r="L765" s="4" t="s">
        <v>40</v>
      </c>
      <c r="M765" s="4">
        <v>1</v>
      </c>
      <c r="N765" s="4">
        <v>339</v>
      </c>
      <c r="O765" s="4">
        <v>339</v>
      </c>
      <c r="P765" s="4" t="s">
        <v>41</v>
      </c>
      <c r="Q765" s="4">
        <v>234.3</v>
      </c>
      <c r="R765" s="4">
        <v>234.3</v>
      </c>
      <c r="S765" s="4">
        <v>3971.39</v>
      </c>
      <c r="T765" s="4">
        <v>79427.7</v>
      </c>
      <c r="U765" s="4">
        <v>5</v>
      </c>
      <c r="V765" s="4" t="s">
        <v>42</v>
      </c>
      <c r="X765" s="7" t="str">
        <f t="shared" si="30"/>
        <v>441853990</v>
      </c>
      <c r="Y765" s="8" t="str">
        <f t="shared" si="31"/>
        <v>DC</v>
      </c>
      <c r="Z765" s="8">
        <f t="shared" si="32"/>
        <v>0</v>
      </c>
      <c r="AA765" s="8">
        <f t="shared" si="33"/>
        <v>339</v>
      </c>
      <c r="AB765" s="8">
        <f t="shared" si="34"/>
        <v>0</v>
      </c>
      <c r="AC765" s="8">
        <f t="shared" si="35"/>
        <v>0</v>
      </c>
      <c r="AD765" s="8">
        <f t="shared" si="36"/>
        <v>0</v>
      </c>
      <c r="AE765" s="9" t="str" cm="1">
        <f t="array" ref="AE765">IFERROR(_xlfn.XLOOKUP(H765,Sheet1!$G:$G,Sheet1!$F:$F),IFERROR(_xlfn.XLOOKUP(1,(--($X$2:$X$1074=X765))*(--ISNUMBER(MATCH($H$2:$H$1074,Sheet1!$G:$G,0))),_xlfn.XLOOKUP($H$2:$H$1074,Sheet1!$G:$G,Sheet1!$F:$F,"")),"NOT FOUND"))</f>
        <v>YETKRTSCUT5009</v>
      </c>
      <c r="AF765" s="10" t="str">
        <f t="shared" si="43"/>
        <v>BLUE</v>
      </c>
      <c r="AG765" s="11" t="str">
        <f t="shared" si="44"/>
        <v>Bangalore</v>
      </c>
      <c r="AH765" s="9" t="str">
        <f>IF(OR(J765="",AE765="",AE765="NOT FOUND"),"",IF(Y765="RP",IFERROR(LEFT(_xlfn.XLOOKUP(AE765,Sheet1!$F:$F,Sheet1!$W:$W),FIND("-",_xlfn.XLOOKUP(AE765,Sheet1!$F:$F,Sheet1!$W:$W),FIND("-",_xlfn.XLOOKUP(AE765,Sheet1!$F:$F,Sheet1!$W:$W))+1))&amp;AE765,"NOT FOUND"),LEFT(J765,FIND("-",J765,FIND("-",J765)+1))&amp;AE765))</f>
        <v>KRTS-APSU26-YETKRTSCUT5009</v>
      </c>
    </row>
    <row r="766" spans="1:34" ht="15.75" customHeight="1" x14ac:dyDescent="0.2">
      <c r="A766" s="4" t="s">
        <v>30</v>
      </c>
      <c r="B766" s="4" t="s">
        <v>1079</v>
      </c>
      <c r="C766" s="4" t="s">
        <v>1017</v>
      </c>
      <c r="D766" s="4" t="s">
        <v>998</v>
      </c>
      <c r="E766" s="4" t="s">
        <v>34</v>
      </c>
      <c r="F766" s="4" t="s">
        <v>35</v>
      </c>
      <c r="G766" s="4" t="s">
        <v>47</v>
      </c>
      <c r="H766" s="4" t="s">
        <v>1086</v>
      </c>
      <c r="I766" s="4" t="s">
        <v>1087</v>
      </c>
      <c r="J766" s="4" t="s">
        <v>1088</v>
      </c>
      <c r="L766" s="4" t="s">
        <v>40</v>
      </c>
      <c r="M766" s="4">
        <v>1</v>
      </c>
      <c r="N766" s="4">
        <v>382</v>
      </c>
      <c r="O766" s="4">
        <v>382</v>
      </c>
      <c r="P766" s="4" t="s">
        <v>41</v>
      </c>
      <c r="Q766" s="4">
        <v>234.3</v>
      </c>
      <c r="R766" s="4">
        <v>234.3</v>
      </c>
      <c r="S766" s="4">
        <v>4475.13</v>
      </c>
      <c r="T766" s="4">
        <v>89502.6</v>
      </c>
      <c r="U766" s="4">
        <v>5</v>
      </c>
      <c r="V766" s="4" t="s">
        <v>42</v>
      </c>
      <c r="X766" s="7" t="str">
        <f t="shared" si="30"/>
        <v>441853990</v>
      </c>
      <c r="Y766" s="8" t="str">
        <f t="shared" si="31"/>
        <v>DC</v>
      </c>
      <c r="Z766" s="8">
        <f t="shared" si="32"/>
        <v>0</v>
      </c>
      <c r="AA766" s="8">
        <f t="shared" si="33"/>
        <v>0</v>
      </c>
      <c r="AB766" s="8">
        <f t="shared" si="34"/>
        <v>382</v>
      </c>
      <c r="AC766" s="8">
        <f t="shared" si="35"/>
        <v>0</v>
      </c>
      <c r="AD766" s="8">
        <f t="shared" si="36"/>
        <v>0</v>
      </c>
      <c r="AE766" s="9" t="str" cm="1">
        <f t="array" ref="AE766">IFERROR(_xlfn.XLOOKUP(H766,Sheet1!$G:$G,Sheet1!$F:$F),IFERROR(_xlfn.XLOOKUP(1,(--($X$2:$X$1074=X766))*(--ISNUMBER(MATCH($H$2:$H$1074,Sheet1!$G:$G,0))),_xlfn.XLOOKUP($H$2:$H$1074,Sheet1!$G:$G,Sheet1!$F:$F,"")),"NOT FOUND"))</f>
        <v>YETKRTSCUT5009</v>
      </c>
      <c r="AF766" s="10" t="str">
        <f t="shared" si="43"/>
        <v>BLUE</v>
      </c>
      <c r="AG766" s="11" t="str">
        <f t="shared" si="44"/>
        <v>Bangalore</v>
      </c>
      <c r="AH766" s="9" t="str">
        <f>IF(OR(J766="",AE766="",AE766="NOT FOUND"),"",IF(Y766="RP",IFERROR(LEFT(_xlfn.XLOOKUP(AE766,Sheet1!$F:$F,Sheet1!$W:$W),FIND("-",_xlfn.XLOOKUP(AE766,Sheet1!$F:$F,Sheet1!$W:$W),FIND("-",_xlfn.XLOOKUP(AE766,Sheet1!$F:$F,Sheet1!$W:$W))+1))&amp;AE766,"NOT FOUND"),LEFT(J766,FIND("-",J766,FIND("-",J766)+1))&amp;AE766))</f>
        <v>KRTS-APSU26-YETKRTSCUT5009</v>
      </c>
    </row>
    <row r="767" spans="1:34" ht="15.75" customHeight="1" x14ac:dyDescent="0.2">
      <c r="A767" s="4" t="s">
        <v>30</v>
      </c>
      <c r="B767" s="4" t="s">
        <v>1079</v>
      </c>
      <c r="C767" s="4" t="s">
        <v>1017</v>
      </c>
      <c r="D767" s="4" t="s">
        <v>998</v>
      </c>
      <c r="E767" s="4" t="s">
        <v>34</v>
      </c>
      <c r="F767" s="4" t="s">
        <v>35</v>
      </c>
      <c r="G767" s="4" t="s">
        <v>51</v>
      </c>
      <c r="H767" s="4" t="s">
        <v>1089</v>
      </c>
      <c r="I767" s="4" t="s">
        <v>1090</v>
      </c>
      <c r="J767" s="4" t="s">
        <v>1091</v>
      </c>
      <c r="L767" s="4" t="s">
        <v>40</v>
      </c>
      <c r="M767" s="4">
        <v>1</v>
      </c>
      <c r="N767" s="4">
        <v>445</v>
      </c>
      <c r="O767" s="4">
        <v>445</v>
      </c>
      <c r="P767" s="4" t="s">
        <v>41</v>
      </c>
      <c r="Q767" s="4">
        <v>234.3</v>
      </c>
      <c r="R767" s="4">
        <v>234.3</v>
      </c>
      <c r="S767" s="4">
        <v>5213.18</v>
      </c>
      <c r="T767" s="4">
        <v>104263.5</v>
      </c>
      <c r="U767" s="4">
        <v>5</v>
      </c>
      <c r="V767" s="4" t="s">
        <v>42</v>
      </c>
      <c r="X767" s="7" t="str">
        <f t="shared" ref="X767:X1021" si="45">IF(ISNUMBER(VALUE(LEFT(J767,1))),LEFT(J767,MIN(IFERROR(FIND("A",UPPER(J767)),LEN(J767)+1),IFERROR(FIND("B",UPPER(J767)),LEN(J767)+1),IFERROR(FIND("C",UPPER(J767)),LEN(J767)+1),IFERROR(FIND("D",UPPER(J767)),LEN(J767)+1),IFERROR(FIND("E",UPPER(J767)),LEN(J767)+1),IFERROR(FIND("F",UPPER(J767)),LEN(J767)+1),IFERROR(FIND("G",UPPER(J767)),LEN(J767)+1),IFERROR(FIND("H",UPPER(J767)),LEN(J767)+1),IFERROR(FIND("I",UPPER(J767)),LEN(J767)+1),IFERROR(FIND("J",UPPER(J767)),LEN(J767)+1),IFERROR(FIND("K",UPPER(J767)),LEN(J767)+1),IFERROR(FIND("L",UPPER(J767)),LEN(J767)+1),IFERROR(FIND("M",UPPER(J767)),LEN(J767)+1),IFERROR(FIND("N",UPPER(J767)),LEN(J767)+1),IFERROR(FIND("O",UPPER(J767)),LEN(J767)+1),IFERROR(FIND("P",UPPER(J767)),LEN(J767)+1),IFERROR(FIND("Q",UPPER(J767)),LEN(J767)+1),IFERROR(FIND("R",UPPER(J767)),LEN(J767)+1),IFERROR(FIND("S",UPPER(J767)),LEN(J767)+1),IFERROR(FIND("T",UPPER(J767)),LEN(J767)+1),IFERROR(FIND("U",UPPER(J767)),LEN(J767)+1),IFERROR(FIND("V",UPPER(J767)),LEN(J767)+1),IFERROR(FIND("W",UPPER(J767)),LEN(J767)+1),IFERROR(FIND("X",UPPER(J767)),LEN(J767)+1),IFERROR(FIND("Y",UPPER(J767)),LEN(J767)+1),IFERROR(FIND("Z",UPPER(J767)),LEN(J767)+1))-1),LEFT(TEXT(I767,"0"),LEN(TEXT(I767,"0"))-3))</f>
        <v>441853990</v>
      </c>
      <c r="Y767" s="8" t="str">
        <f t="shared" ref="Y767:Y1021" si="46">IF(ISNUMBER(SEARCH("(RP)",J767)),"RP","DC")</f>
        <v>DC</v>
      </c>
      <c r="Z767" s="8">
        <f t="shared" ref="Z767:Z1021" si="47">IF(ISNUMBER(SEARCH("(RP)",J767)),O767,IF(RIGHT(TRIM(J767),3)=", S",O767,0))</f>
        <v>0</v>
      </c>
      <c r="AA767" s="8">
        <f t="shared" ref="AA767:AA1021" si="48">IF(ISNUMBER(SEARCH("(RP)",J767)),O767,IF(RIGHT(TRIM(J767),3)=", M",O767,0))</f>
        <v>0</v>
      </c>
      <c r="AB767" s="8">
        <f t="shared" ref="AB767:AB1021" si="49">IF(ISNUMBER(SEARCH("(RP)",J767)),O767,IF(RIGHT(TRIM(J767),3)=", L",O767,0))</f>
        <v>0</v>
      </c>
      <c r="AC767" s="8">
        <f t="shared" ref="AC767:AC1021" si="50">IF(ISNUMBER(SEARCH("(RP)",J767)),O767,IF(RIGHT(TRIM(J767),4)=", XL",O767,0))</f>
        <v>445</v>
      </c>
      <c r="AD767" s="8">
        <f t="shared" ref="AD767:AD1021" si="51">IF(ISNUMBER(SEARCH("(RP)",J767)),O767,IF(OR(RIGHT(TRIM(J767),5)=", XXL",RIGHT(TRIM(J767),5)=", 2XL"),O767,0))</f>
        <v>0</v>
      </c>
      <c r="AE767" s="9" t="str" cm="1">
        <f t="array" ref="AE767">IFERROR(_xlfn.XLOOKUP(H767,Sheet1!$G:$G,Sheet1!$F:$F),IFERROR(_xlfn.XLOOKUP(1,(--($X$2:$X$1074=X767))*(--ISNUMBER(MATCH($H$2:$H$1074,Sheet1!$G:$G,0))),_xlfn.XLOOKUP($H$2:$H$1074,Sheet1!$G:$G,Sheet1!$F:$F,"")),"NOT FOUND"))</f>
        <v>YETKRTSCUT5009</v>
      </c>
      <c r="AF767" s="10" t="str">
        <f t="shared" si="43"/>
        <v>BLUE</v>
      </c>
      <c r="AG767" s="11" t="str">
        <f t="shared" si="44"/>
        <v>Bangalore</v>
      </c>
      <c r="AH767" s="9" t="str">
        <f>IF(OR(J767="",AE767="",AE767="NOT FOUND"),"",IF(Y767="RP",IFERROR(LEFT(_xlfn.XLOOKUP(AE767,Sheet1!$F:$F,Sheet1!$W:$W),FIND("-",_xlfn.XLOOKUP(AE767,Sheet1!$F:$F,Sheet1!$W:$W),FIND("-",_xlfn.XLOOKUP(AE767,Sheet1!$F:$F,Sheet1!$W:$W))+1))&amp;AE767,"NOT FOUND"),LEFT(J767,FIND("-",J767,FIND("-",J767)+1))&amp;AE767))</f>
        <v>KRTS-APSU26-YETKRTSCUT5009</v>
      </c>
    </row>
    <row r="768" spans="1:34" ht="15.75" customHeight="1" x14ac:dyDescent="0.2">
      <c r="A768" s="4" t="s">
        <v>30</v>
      </c>
      <c r="B768" s="4" t="s">
        <v>1079</v>
      </c>
      <c r="C768" s="4" t="s">
        <v>1017</v>
      </c>
      <c r="D768" s="4" t="s">
        <v>998</v>
      </c>
      <c r="E768" s="4" t="s">
        <v>34</v>
      </c>
      <c r="F768" s="4" t="s">
        <v>35</v>
      </c>
      <c r="G768" s="4" t="s">
        <v>55</v>
      </c>
      <c r="H768" s="4" t="s">
        <v>1092</v>
      </c>
      <c r="I768" s="4" t="s">
        <v>1093</v>
      </c>
      <c r="J768" s="4" t="s">
        <v>1094</v>
      </c>
      <c r="L768" s="4" t="s">
        <v>40</v>
      </c>
      <c r="M768" s="4">
        <v>1</v>
      </c>
      <c r="N768" s="4">
        <v>84</v>
      </c>
      <c r="O768" s="4">
        <v>84</v>
      </c>
      <c r="P768" s="4" t="s">
        <v>41</v>
      </c>
      <c r="Q768" s="4">
        <v>234.3</v>
      </c>
      <c r="R768" s="4">
        <v>234.3</v>
      </c>
      <c r="S768" s="4">
        <v>984.06</v>
      </c>
      <c r="T768" s="4">
        <v>19681.2</v>
      </c>
      <c r="U768" s="4">
        <v>5</v>
      </c>
      <c r="V768" s="4" t="s">
        <v>42</v>
      </c>
      <c r="X768" s="7" t="str">
        <f t="shared" si="45"/>
        <v>441853990</v>
      </c>
      <c r="Y768" s="8" t="str">
        <f t="shared" si="46"/>
        <v>DC</v>
      </c>
      <c r="Z768" s="8">
        <f t="shared" si="47"/>
        <v>0</v>
      </c>
      <c r="AA768" s="8">
        <f t="shared" si="48"/>
        <v>0</v>
      </c>
      <c r="AB768" s="8">
        <f t="shared" si="49"/>
        <v>0</v>
      </c>
      <c r="AC768" s="8">
        <f t="shared" si="50"/>
        <v>0</v>
      </c>
      <c r="AD768" s="8">
        <f t="shared" si="51"/>
        <v>84</v>
      </c>
      <c r="AE768" s="9" t="str" cm="1">
        <f t="array" ref="AE768">IFERROR(_xlfn.XLOOKUP(H768,Sheet1!$G:$G,Sheet1!$F:$F),IFERROR(_xlfn.XLOOKUP(1,(--($X$2:$X$1074=X768))*(--ISNUMBER(MATCH($H$2:$H$1074,Sheet1!$G:$G,0))),_xlfn.XLOOKUP($H$2:$H$1074,Sheet1!$G:$G,Sheet1!$F:$F,"")),"NOT FOUND"))</f>
        <v>YETKRTSCUT5009</v>
      </c>
      <c r="AF768" s="10" t="str">
        <f t="shared" si="43"/>
        <v>BLUE</v>
      </c>
      <c r="AG768" s="11" t="str">
        <f t="shared" si="44"/>
        <v>Bangalore</v>
      </c>
      <c r="AH768" s="9" t="str">
        <f>IF(OR(J768="",AE768="",AE768="NOT FOUND"),"",IF(Y768="RP",IFERROR(LEFT(_xlfn.XLOOKUP(AE768,Sheet1!$F:$F,Sheet1!$W:$W),FIND("-",_xlfn.XLOOKUP(AE768,Sheet1!$F:$F,Sheet1!$W:$W),FIND("-",_xlfn.XLOOKUP(AE768,Sheet1!$F:$F,Sheet1!$W:$W))+1))&amp;AE768,"NOT FOUND"),LEFT(J768,FIND("-",J768,FIND("-",J768)+1))&amp;AE768))</f>
        <v>KRTS-APSU26-YETKRTSCUT5009</v>
      </c>
    </row>
    <row r="769" spans="1:34" ht="15.75" customHeight="1" x14ac:dyDescent="0.2">
      <c r="A769" s="4" t="s">
        <v>59</v>
      </c>
      <c r="B769" s="4" t="s">
        <v>1095</v>
      </c>
      <c r="C769" s="4" t="s">
        <v>1017</v>
      </c>
      <c r="D769" s="4" t="s">
        <v>998</v>
      </c>
      <c r="E769" s="4" t="s">
        <v>34</v>
      </c>
      <c r="F769" s="4" t="s">
        <v>35</v>
      </c>
      <c r="G769" s="4" t="s">
        <v>43</v>
      </c>
      <c r="H769" s="4" t="s">
        <v>1034</v>
      </c>
      <c r="I769" s="4" t="s">
        <v>1035</v>
      </c>
      <c r="J769" s="4" t="s">
        <v>1036</v>
      </c>
      <c r="L769" s="4" t="s">
        <v>40</v>
      </c>
      <c r="M769" s="4">
        <v>1</v>
      </c>
      <c r="N769" s="4">
        <v>170</v>
      </c>
      <c r="O769" s="4">
        <v>170</v>
      </c>
      <c r="P769" s="4" t="s">
        <v>41</v>
      </c>
      <c r="Q769" s="4">
        <v>234.3</v>
      </c>
      <c r="R769" s="4">
        <v>234.3</v>
      </c>
      <c r="S769" s="4">
        <v>1991.55</v>
      </c>
      <c r="T769" s="4">
        <v>39831</v>
      </c>
      <c r="U769" s="4">
        <v>5</v>
      </c>
      <c r="V769" s="4" t="s">
        <v>42</v>
      </c>
      <c r="X769" s="7" t="str">
        <f t="shared" si="45"/>
        <v>441853990</v>
      </c>
      <c r="Y769" s="8" t="str">
        <f t="shared" si="46"/>
        <v>DC</v>
      </c>
      <c r="Z769" s="8">
        <f t="shared" si="47"/>
        <v>0</v>
      </c>
      <c r="AA769" s="8">
        <f t="shared" si="48"/>
        <v>170</v>
      </c>
      <c r="AB769" s="8">
        <f t="shared" si="49"/>
        <v>0</v>
      </c>
      <c r="AC769" s="8">
        <f t="shared" si="50"/>
        <v>0</v>
      </c>
      <c r="AD769" s="8">
        <f t="shared" si="51"/>
        <v>0</v>
      </c>
      <c r="AE769" s="9" t="str" cm="1">
        <f t="array" ref="AE769">IFERROR(_xlfn.XLOOKUP(H769,Sheet1!$G:$G,Sheet1!$F:$F),IFERROR(_xlfn.XLOOKUP(1,(--($X$2:$X$1074=X769))*(--ISNUMBER(MATCH($H$2:$H$1074,Sheet1!$G:$G,0))),_xlfn.XLOOKUP($H$2:$H$1074,Sheet1!$G:$G,Sheet1!$F:$F,"")),"NOT FOUND"))</f>
        <v>YETKRTSCUT5009</v>
      </c>
      <c r="AF769" s="10" t="str">
        <f t="shared" si="43"/>
        <v>MINT</v>
      </c>
      <c r="AG769" s="11" t="str">
        <f t="shared" si="44"/>
        <v>JHAJJAR</v>
      </c>
      <c r="AH769" s="9" t="str">
        <f>IF(OR(J769="",AE769="",AE769="NOT FOUND"),"",IF(Y769="RP",IFERROR(LEFT(_xlfn.XLOOKUP(AE769,Sheet1!$F:$F,Sheet1!$W:$W),FIND("-",_xlfn.XLOOKUP(AE769,Sheet1!$F:$F,Sheet1!$W:$W),FIND("-",_xlfn.XLOOKUP(AE769,Sheet1!$F:$F,Sheet1!$W:$W))+1))&amp;AE769,"NOT FOUND"),LEFT(J769,FIND("-",J769,FIND("-",J769)+1))&amp;AE769))</f>
        <v>KRTS-APSU26-YETKRTSCUT5009</v>
      </c>
    </row>
    <row r="770" spans="1:34" ht="15.75" customHeight="1" x14ac:dyDescent="0.2">
      <c r="A770" s="4" t="s">
        <v>59</v>
      </c>
      <c r="B770" s="4" t="s">
        <v>1096</v>
      </c>
      <c r="C770" s="4" t="s">
        <v>1017</v>
      </c>
      <c r="D770" s="4" t="s">
        <v>998</v>
      </c>
      <c r="E770" s="4" t="s">
        <v>34</v>
      </c>
      <c r="F770" s="4" t="s">
        <v>35</v>
      </c>
      <c r="G770" s="4" t="s">
        <v>36</v>
      </c>
      <c r="H770" s="4" t="s">
        <v>1047</v>
      </c>
      <c r="I770" s="4" t="s">
        <v>1048</v>
      </c>
      <c r="J770" s="4" t="s">
        <v>1049</v>
      </c>
      <c r="L770" s="4" t="s">
        <v>40</v>
      </c>
      <c r="M770" s="4">
        <v>1</v>
      </c>
      <c r="N770" s="4">
        <v>30</v>
      </c>
      <c r="O770" s="4">
        <v>30</v>
      </c>
      <c r="P770" s="4" t="s">
        <v>41</v>
      </c>
      <c r="Q770" s="4">
        <v>234.3</v>
      </c>
      <c r="R770" s="4">
        <v>234.3</v>
      </c>
      <c r="S770" s="4">
        <v>351.45</v>
      </c>
      <c r="T770" s="4">
        <v>7029</v>
      </c>
      <c r="U770" s="4">
        <v>5</v>
      </c>
      <c r="V770" s="4" t="s">
        <v>42</v>
      </c>
      <c r="X770" s="7" t="str">
        <f t="shared" si="45"/>
        <v>441853990</v>
      </c>
      <c r="Y770" s="8" t="str">
        <f t="shared" si="46"/>
        <v>DC</v>
      </c>
      <c r="Z770" s="8">
        <f t="shared" si="47"/>
        <v>30</v>
      </c>
      <c r="AA770" s="8">
        <f t="shared" si="48"/>
        <v>0</v>
      </c>
      <c r="AB770" s="8">
        <f t="shared" si="49"/>
        <v>0</v>
      </c>
      <c r="AC770" s="8">
        <f t="shared" si="50"/>
        <v>0</v>
      </c>
      <c r="AD770" s="8">
        <f t="shared" si="51"/>
        <v>0</v>
      </c>
      <c r="AE770" s="9" t="str" cm="1">
        <f t="array" ref="AE770">IFERROR(_xlfn.XLOOKUP(H770,Sheet1!$G:$G,Sheet1!$F:$F),IFERROR(_xlfn.XLOOKUP(1,(--($X$2:$X$1074=X770))*(--ISNUMBER(MATCH($H$2:$H$1074,Sheet1!$G:$G,0))),_xlfn.XLOOKUP($H$2:$H$1074,Sheet1!$G:$G,Sheet1!$F:$F,"")),"NOT FOUND"))</f>
        <v>YETKRTSCUT5009</v>
      </c>
      <c r="AF770" s="10" t="str">
        <f t="shared" si="43"/>
        <v>LT. YELLOW</v>
      </c>
      <c r="AG770" s="11" t="str">
        <f t="shared" si="44"/>
        <v>JHAJJAR</v>
      </c>
      <c r="AH770" s="9" t="str">
        <f>IF(OR(J770="",AE770="",AE770="NOT FOUND"),"",IF(Y770="RP",IFERROR(LEFT(_xlfn.XLOOKUP(AE770,Sheet1!$F:$F,Sheet1!$W:$W),FIND("-",_xlfn.XLOOKUP(AE770,Sheet1!$F:$F,Sheet1!$W:$W),FIND("-",_xlfn.XLOOKUP(AE770,Sheet1!$F:$F,Sheet1!$W:$W))+1))&amp;AE770,"NOT FOUND"),LEFT(J770,FIND("-",J770,FIND("-",J770)+1))&amp;AE770))</f>
        <v>KRTS-APSU26-YETKRTSCUT5009</v>
      </c>
    </row>
    <row r="771" spans="1:34" ht="15.75" customHeight="1" x14ac:dyDescent="0.2">
      <c r="A771" s="4" t="s">
        <v>59</v>
      </c>
      <c r="B771" s="4" t="s">
        <v>1096</v>
      </c>
      <c r="C771" s="4" t="s">
        <v>1017</v>
      </c>
      <c r="D771" s="4" t="s">
        <v>998</v>
      </c>
      <c r="E771" s="4" t="s">
        <v>34</v>
      </c>
      <c r="F771" s="4" t="s">
        <v>35</v>
      </c>
      <c r="G771" s="4" t="s">
        <v>43</v>
      </c>
      <c r="H771" s="4" t="s">
        <v>1050</v>
      </c>
      <c r="I771" s="4" t="s">
        <v>1051</v>
      </c>
      <c r="J771" s="4" t="s">
        <v>1052</v>
      </c>
      <c r="L771" s="4" t="s">
        <v>40</v>
      </c>
      <c r="M771" s="4">
        <v>1</v>
      </c>
      <c r="N771" s="4">
        <v>170</v>
      </c>
      <c r="O771" s="4">
        <v>170</v>
      </c>
      <c r="P771" s="4" t="s">
        <v>41</v>
      </c>
      <c r="Q771" s="4">
        <v>234.3</v>
      </c>
      <c r="R771" s="4">
        <v>234.3</v>
      </c>
      <c r="S771" s="4">
        <v>1991.55</v>
      </c>
      <c r="T771" s="4">
        <v>39831</v>
      </c>
      <c r="U771" s="4">
        <v>5</v>
      </c>
      <c r="V771" s="4" t="s">
        <v>42</v>
      </c>
      <c r="X771" s="7" t="str">
        <f t="shared" si="45"/>
        <v>441853990</v>
      </c>
      <c r="Y771" s="8" t="str">
        <f t="shared" si="46"/>
        <v>DC</v>
      </c>
      <c r="Z771" s="8">
        <f t="shared" si="47"/>
        <v>0</v>
      </c>
      <c r="AA771" s="8">
        <f t="shared" si="48"/>
        <v>170</v>
      </c>
      <c r="AB771" s="8">
        <f t="shared" si="49"/>
        <v>0</v>
      </c>
      <c r="AC771" s="8">
        <f t="shared" si="50"/>
        <v>0</v>
      </c>
      <c r="AD771" s="8">
        <f t="shared" si="51"/>
        <v>0</v>
      </c>
      <c r="AE771" s="9" t="str" cm="1">
        <f t="array" ref="AE771">IFERROR(_xlfn.XLOOKUP(H771,Sheet1!$G:$G,Sheet1!$F:$F),IFERROR(_xlfn.XLOOKUP(1,(--($X$2:$X$1074=X771))*(--ISNUMBER(MATCH($H$2:$H$1074,Sheet1!$G:$G,0))),_xlfn.XLOOKUP($H$2:$H$1074,Sheet1!$G:$G,Sheet1!$F:$F,"")),"NOT FOUND"))</f>
        <v>YETKRTSCUT5009</v>
      </c>
      <c r="AF771" s="10" t="str">
        <f t="shared" ref="AF771:AF834" si="52">IFERROR(IF(ISNUMBER(SEARCH("(RP)",J771)),TRIM(SUBSTITUTE(MID(J771,10,LEN(J771)),"(RP)","")),TRIM(MID(J771,FIND(",",J771)+1,FIND(",",J771,FIND(",",J771)+1)-FIND(",",J771)-1))),"")</f>
        <v>LT. YELLOW</v>
      </c>
      <c r="AG771" s="11" t="str">
        <f t="shared" ref="AG771:AG834" si="53">IF(A771="SZAF","Bangalore",IF(A771="SAEX","JHAJJAR",IF(A771="S0EU","HARIPAL","")))</f>
        <v>JHAJJAR</v>
      </c>
      <c r="AH771" s="9" t="str">
        <f>IF(OR(J771="",AE771="",AE771="NOT FOUND"),"",IF(Y771="RP",IFERROR(LEFT(_xlfn.XLOOKUP(AE771,Sheet1!$F:$F,Sheet1!$W:$W),FIND("-",_xlfn.XLOOKUP(AE771,Sheet1!$F:$F,Sheet1!$W:$W),FIND("-",_xlfn.XLOOKUP(AE771,Sheet1!$F:$F,Sheet1!$W:$W))+1))&amp;AE771,"NOT FOUND"),LEFT(J771,FIND("-",J771,FIND("-",J771)+1))&amp;AE771))</f>
        <v>KRTS-APSU26-YETKRTSCUT5009</v>
      </c>
    </row>
    <row r="772" spans="1:34" ht="15.75" customHeight="1" x14ac:dyDescent="0.2">
      <c r="A772" s="4" t="s">
        <v>59</v>
      </c>
      <c r="B772" s="4" t="s">
        <v>1096</v>
      </c>
      <c r="C772" s="4" t="s">
        <v>1017</v>
      </c>
      <c r="D772" s="4" t="s">
        <v>998</v>
      </c>
      <c r="E772" s="4" t="s">
        <v>34</v>
      </c>
      <c r="F772" s="4" t="s">
        <v>35</v>
      </c>
      <c r="G772" s="4" t="s">
        <v>47</v>
      </c>
      <c r="H772" s="4" t="s">
        <v>1053</v>
      </c>
      <c r="I772" s="4" t="s">
        <v>1054</v>
      </c>
      <c r="J772" s="4" t="s">
        <v>1055</v>
      </c>
      <c r="L772" s="4" t="s">
        <v>40</v>
      </c>
      <c r="M772" s="4">
        <v>1</v>
      </c>
      <c r="N772" s="4">
        <v>192</v>
      </c>
      <c r="O772" s="4">
        <v>192</v>
      </c>
      <c r="P772" s="4" t="s">
        <v>41</v>
      </c>
      <c r="Q772" s="4">
        <v>234.3</v>
      </c>
      <c r="R772" s="4">
        <v>234.3</v>
      </c>
      <c r="S772" s="4">
        <v>2249.2800000000002</v>
      </c>
      <c r="T772" s="4">
        <v>44985.599999999999</v>
      </c>
      <c r="U772" s="4">
        <v>5</v>
      </c>
      <c r="V772" s="4" t="s">
        <v>42</v>
      </c>
      <c r="X772" s="7" t="str">
        <f t="shared" si="45"/>
        <v>441853990</v>
      </c>
      <c r="Y772" s="8" t="str">
        <f t="shared" si="46"/>
        <v>DC</v>
      </c>
      <c r="Z772" s="8">
        <f t="shared" si="47"/>
        <v>0</v>
      </c>
      <c r="AA772" s="8">
        <f t="shared" si="48"/>
        <v>0</v>
      </c>
      <c r="AB772" s="8">
        <f t="shared" si="49"/>
        <v>192</v>
      </c>
      <c r="AC772" s="8">
        <f t="shared" si="50"/>
        <v>0</v>
      </c>
      <c r="AD772" s="8">
        <f t="shared" si="51"/>
        <v>0</v>
      </c>
      <c r="AE772" s="9" t="str" cm="1">
        <f t="array" ref="AE772">IFERROR(_xlfn.XLOOKUP(H772,Sheet1!$G:$G,Sheet1!$F:$F),IFERROR(_xlfn.XLOOKUP(1,(--($X$2:$X$1074=X772))*(--ISNUMBER(MATCH($H$2:$H$1074,Sheet1!$G:$G,0))),_xlfn.XLOOKUP($H$2:$H$1074,Sheet1!$G:$G,Sheet1!$F:$F,"")),"NOT FOUND"))</f>
        <v>YETKRTSCUT5009</v>
      </c>
      <c r="AF772" s="10" t="str">
        <f t="shared" si="52"/>
        <v>LT. YELLOW</v>
      </c>
      <c r="AG772" s="11" t="str">
        <f t="shared" si="53"/>
        <v>JHAJJAR</v>
      </c>
      <c r="AH772" s="9" t="str">
        <f>IF(OR(J772="",AE772="",AE772="NOT FOUND"),"",IF(Y772="RP",IFERROR(LEFT(_xlfn.XLOOKUP(AE772,Sheet1!$F:$F,Sheet1!$W:$W),FIND("-",_xlfn.XLOOKUP(AE772,Sheet1!$F:$F,Sheet1!$W:$W),FIND("-",_xlfn.XLOOKUP(AE772,Sheet1!$F:$F,Sheet1!$W:$W))+1))&amp;AE772,"NOT FOUND"),LEFT(J772,FIND("-",J772,FIND("-",J772)+1))&amp;AE772))</f>
        <v>KRTS-APSU26-YETKRTSCUT5009</v>
      </c>
    </row>
    <row r="773" spans="1:34" ht="15.75" customHeight="1" x14ac:dyDescent="0.2">
      <c r="A773" s="4" t="s">
        <v>59</v>
      </c>
      <c r="B773" s="4" t="s">
        <v>1096</v>
      </c>
      <c r="C773" s="4" t="s">
        <v>1017</v>
      </c>
      <c r="D773" s="4" t="s">
        <v>998</v>
      </c>
      <c r="E773" s="4" t="s">
        <v>34</v>
      </c>
      <c r="F773" s="4" t="s">
        <v>35</v>
      </c>
      <c r="G773" s="4" t="s">
        <v>51</v>
      </c>
      <c r="H773" s="4" t="s">
        <v>1056</v>
      </c>
      <c r="I773" s="4" t="s">
        <v>1057</v>
      </c>
      <c r="J773" s="4" t="s">
        <v>1058</v>
      </c>
      <c r="L773" s="4" t="s">
        <v>40</v>
      </c>
      <c r="M773" s="4">
        <v>1</v>
      </c>
      <c r="N773" s="4">
        <v>224</v>
      </c>
      <c r="O773" s="4">
        <v>224</v>
      </c>
      <c r="P773" s="4" t="s">
        <v>41</v>
      </c>
      <c r="Q773" s="4">
        <v>234.3</v>
      </c>
      <c r="R773" s="4">
        <v>234.3</v>
      </c>
      <c r="S773" s="4">
        <v>2624.16</v>
      </c>
      <c r="T773" s="4">
        <v>52483.199999999997</v>
      </c>
      <c r="U773" s="4">
        <v>5</v>
      </c>
      <c r="V773" s="4" t="s">
        <v>42</v>
      </c>
      <c r="X773" s="7" t="str">
        <f t="shared" si="45"/>
        <v>441853990</v>
      </c>
      <c r="Y773" s="8" t="str">
        <f t="shared" si="46"/>
        <v>DC</v>
      </c>
      <c r="Z773" s="8">
        <f t="shared" si="47"/>
        <v>0</v>
      </c>
      <c r="AA773" s="8">
        <f t="shared" si="48"/>
        <v>0</v>
      </c>
      <c r="AB773" s="8">
        <f t="shared" si="49"/>
        <v>0</v>
      </c>
      <c r="AC773" s="8">
        <f t="shared" si="50"/>
        <v>224</v>
      </c>
      <c r="AD773" s="8">
        <f t="shared" si="51"/>
        <v>0</v>
      </c>
      <c r="AE773" s="9" t="str" cm="1">
        <f t="array" ref="AE773">IFERROR(_xlfn.XLOOKUP(H773,Sheet1!$G:$G,Sheet1!$F:$F),IFERROR(_xlfn.XLOOKUP(1,(--($X$2:$X$1074=X773))*(--ISNUMBER(MATCH($H$2:$H$1074,Sheet1!$G:$G,0))),_xlfn.XLOOKUP($H$2:$H$1074,Sheet1!$G:$G,Sheet1!$F:$F,"")),"NOT FOUND"))</f>
        <v>YETKRTSCUT5009</v>
      </c>
      <c r="AF773" s="10" t="str">
        <f t="shared" si="52"/>
        <v>LT. YELLOW</v>
      </c>
      <c r="AG773" s="11" t="str">
        <f t="shared" si="53"/>
        <v>JHAJJAR</v>
      </c>
      <c r="AH773" s="9" t="str">
        <f>IF(OR(J773="",AE773="",AE773="NOT FOUND"),"",IF(Y773="RP",IFERROR(LEFT(_xlfn.XLOOKUP(AE773,Sheet1!$F:$F,Sheet1!$W:$W),FIND("-",_xlfn.XLOOKUP(AE773,Sheet1!$F:$F,Sheet1!$W:$W),FIND("-",_xlfn.XLOOKUP(AE773,Sheet1!$F:$F,Sheet1!$W:$W))+1))&amp;AE773,"NOT FOUND"),LEFT(J773,FIND("-",J773,FIND("-",J773)+1))&amp;AE773))</f>
        <v>KRTS-APSU26-YETKRTSCUT5009</v>
      </c>
    </row>
    <row r="774" spans="1:34" ht="15.75" customHeight="1" x14ac:dyDescent="0.2">
      <c r="A774" s="4" t="s">
        <v>59</v>
      </c>
      <c r="B774" s="4" t="s">
        <v>1096</v>
      </c>
      <c r="C774" s="4" t="s">
        <v>1017</v>
      </c>
      <c r="D774" s="4" t="s">
        <v>998</v>
      </c>
      <c r="E774" s="4" t="s">
        <v>34</v>
      </c>
      <c r="F774" s="4" t="s">
        <v>35</v>
      </c>
      <c r="G774" s="4" t="s">
        <v>55</v>
      </c>
      <c r="H774" s="4" t="s">
        <v>1059</v>
      </c>
      <c r="I774" s="4" t="s">
        <v>1060</v>
      </c>
      <c r="J774" s="4" t="s">
        <v>1061</v>
      </c>
      <c r="L774" s="4" t="s">
        <v>40</v>
      </c>
      <c r="M774" s="4">
        <v>1</v>
      </c>
      <c r="N774" s="4">
        <v>42</v>
      </c>
      <c r="O774" s="4">
        <v>42</v>
      </c>
      <c r="P774" s="4" t="s">
        <v>41</v>
      </c>
      <c r="Q774" s="4">
        <v>234.3</v>
      </c>
      <c r="R774" s="4">
        <v>234.3</v>
      </c>
      <c r="S774" s="4">
        <v>492.03</v>
      </c>
      <c r="T774" s="4">
        <v>9840.6</v>
      </c>
      <c r="U774" s="4">
        <v>5</v>
      </c>
      <c r="V774" s="4" t="s">
        <v>42</v>
      </c>
      <c r="X774" s="7" t="str">
        <f t="shared" si="45"/>
        <v>441853990</v>
      </c>
      <c r="Y774" s="8" t="str">
        <f t="shared" si="46"/>
        <v>DC</v>
      </c>
      <c r="Z774" s="8">
        <f t="shared" si="47"/>
        <v>0</v>
      </c>
      <c r="AA774" s="8">
        <f t="shared" si="48"/>
        <v>0</v>
      </c>
      <c r="AB774" s="8">
        <f t="shared" si="49"/>
        <v>0</v>
      </c>
      <c r="AC774" s="8">
        <f t="shared" si="50"/>
        <v>0</v>
      </c>
      <c r="AD774" s="8">
        <f t="shared" si="51"/>
        <v>42</v>
      </c>
      <c r="AE774" s="9" t="str" cm="1">
        <f t="array" ref="AE774">IFERROR(_xlfn.XLOOKUP(H774,Sheet1!$G:$G,Sheet1!$F:$F),IFERROR(_xlfn.XLOOKUP(1,(--($X$2:$X$1074=X774))*(--ISNUMBER(MATCH($H$2:$H$1074,Sheet1!$G:$G,0))),_xlfn.XLOOKUP($H$2:$H$1074,Sheet1!$G:$G,Sheet1!$F:$F,"")),"NOT FOUND"))</f>
        <v>YETKRTSCUT5009</v>
      </c>
      <c r="AF774" s="10" t="str">
        <f t="shared" si="52"/>
        <v>LT. YELLOW</v>
      </c>
      <c r="AG774" s="11" t="str">
        <f t="shared" si="53"/>
        <v>JHAJJAR</v>
      </c>
      <c r="AH774" s="9" t="str">
        <f>IF(OR(J774="",AE774="",AE774="NOT FOUND"),"",IF(Y774="RP",IFERROR(LEFT(_xlfn.XLOOKUP(AE774,Sheet1!$F:$F,Sheet1!$W:$W),FIND("-",_xlfn.XLOOKUP(AE774,Sheet1!$F:$F,Sheet1!$W:$W),FIND("-",_xlfn.XLOOKUP(AE774,Sheet1!$F:$F,Sheet1!$W:$W))+1))&amp;AE774,"NOT FOUND"),LEFT(J774,FIND("-",J774,FIND("-",J774)+1))&amp;AE774))</f>
        <v>KRTS-APSU26-YETKRTSCUT5009</v>
      </c>
    </row>
    <row r="775" spans="1:34" ht="15.75" customHeight="1" x14ac:dyDescent="0.2">
      <c r="A775" s="4" t="s">
        <v>59</v>
      </c>
      <c r="B775" s="4" t="s">
        <v>1097</v>
      </c>
      <c r="C775" s="4" t="s">
        <v>1017</v>
      </c>
      <c r="D775" s="4" t="s">
        <v>998</v>
      </c>
      <c r="E775" s="4" t="s">
        <v>34</v>
      </c>
      <c r="F775" s="4" t="s">
        <v>35</v>
      </c>
      <c r="G775" s="4" t="s">
        <v>36</v>
      </c>
      <c r="H775" s="4" t="s">
        <v>1063</v>
      </c>
      <c r="I775" s="4" t="s">
        <v>1064</v>
      </c>
      <c r="J775" s="4" t="s">
        <v>1065</v>
      </c>
      <c r="L775" s="4" t="s">
        <v>40</v>
      </c>
      <c r="M775" s="4">
        <v>1</v>
      </c>
      <c r="N775" s="4">
        <v>30</v>
      </c>
      <c r="O775" s="4">
        <v>30</v>
      </c>
      <c r="P775" s="4" t="s">
        <v>41</v>
      </c>
      <c r="Q775" s="4">
        <v>234.3</v>
      </c>
      <c r="R775" s="4">
        <v>234.3</v>
      </c>
      <c r="S775" s="4">
        <v>351.45</v>
      </c>
      <c r="T775" s="4">
        <v>7029</v>
      </c>
      <c r="U775" s="4">
        <v>5</v>
      </c>
      <c r="V775" s="4" t="s">
        <v>42</v>
      </c>
      <c r="X775" s="7" t="str">
        <f t="shared" si="45"/>
        <v>441853990</v>
      </c>
      <c r="Y775" s="8" t="str">
        <f t="shared" si="46"/>
        <v>DC</v>
      </c>
      <c r="Z775" s="8">
        <f t="shared" si="47"/>
        <v>30</v>
      </c>
      <c r="AA775" s="8">
        <f t="shared" si="48"/>
        <v>0</v>
      </c>
      <c r="AB775" s="8">
        <f t="shared" si="49"/>
        <v>0</v>
      </c>
      <c r="AC775" s="8">
        <f t="shared" si="50"/>
        <v>0</v>
      </c>
      <c r="AD775" s="8">
        <f t="shared" si="51"/>
        <v>0</v>
      </c>
      <c r="AE775" s="9" t="str" cm="1">
        <f t="array" ref="AE775">IFERROR(_xlfn.XLOOKUP(H775,Sheet1!$G:$G,Sheet1!$F:$F),IFERROR(_xlfn.XLOOKUP(1,(--($X$2:$X$1074=X775))*(--ISNUMBER(MATCH($H$2:$H$1074,Sheet1!$G:$G,0))),_xlfn.XLOOKUP($H$2:$H$1074,Sheet1!$G:$G,Sheet1!$F:$F,"")),"NOT FOUND"))</f>
        <v>YETKRTSCUT5009</v>
      </c>
      <c r="AF775" s="10" t="str">
        <f t="shared" si="52"/>
        <v>CREAM</v>
      </c>
      <c r="AG775" s="11" t="str">
        <f t="shared" si="53"/>
        <v>JHAJJAR</v>
      </c>
      <c r="AH775" s="9" t="str">
        <f>IF(OR(J775="",AE775="",AE775="NOT FOUND"),"",IF(Y775="RP",IFERROR(LEFT(_xlfn.XLOOKUP(AE775,Sheet1!$F:$F,Sheet1!$W:$W),FIND("-",_xlfn.XLOOKUP(AE775,Sheet1!$F:$F,Sheet1!$W:$W),FIND("-",_xlfn.XLOOKUP(AE775,Sheet1!$F:$F,Sheet1!$W:$W))+1))&amp;AE775,"NOT FOUND"),LEFT(J775,FIND("-",J775,FIND("-",J775)+1))&amp;AE775))</f>
        <v>KRTS-APSU26-YETKRTSCUT5009</v>
      </c>
    </row>
    <row r="776" spans="1:34" ht="15.75" customHeight="1" x14ac:dyDescent="0.2">
      <c r="A776" s="4" t="s">
        <v>59</v>
      </c>
      <c r="B776" s="4" t="s">
        <v>1097</v>
      </c>
      <c r="C776" s="4" t="s">
        <v>1017</v>
      </c>
      <c r="D776" s="4" t="s">
        <v>998</v>
      </c>
      <c r="E776" s="4" t="s">
        <v>34</v>
      </c>
      <c r="F776" s="4" t="s">
        <v>35</v>
      </c>
      <c r="G776" s="4" t="s">
        <v>43</v>
      </c>
      <c r="H776" s="4" t="s">
        <v>1066</v>
      </c>
      <c r="I776" s="4" t="s">
        <v>1067</v>
      </c>
      <c r="J776" s="4" t="s">
        <v>1068</v>
      </c>
      <c r="L776" s="4" t="s">
        <v>40</v>
      </c>
      <c r="M776" s="4">
        <v>1</v>
      </c>
      <c r="N776" s="4">
        <v>170</v>
      </c>
      <c r="O776" s="4">
        <v>170</v>
      </c>
      <c r="P776" s="4" t="s">
        <v>41</v>
      </c>
      <c r="Q776" s="4">
        <v>234.3</v>
      </c>
      <c r="R776" s="4">
        <v>234.3</v>
      </c>
      <c r="S776" s="4">
        <v>1991.55</v>
      </c>
      <c r="T776" s="4">
        <v>39831</v>
      </c>
      <c r="U776" s="4">
        <v>5</v>
      </c>
      <c r="V776" s="4" t="s">
        <v>42</v>
      </c>
      <c r="X776" s="7" t="str">
        <f t="shared" si="45"/>
        <v>441853990</v>
      </c>
      <c r="Y776" s="8" t="str">
        <f t="shared" si="46"/>
        <v>DC</v>
      </c>
      <c r="Z776" s="8">
        <f t="shared" si="47"/>
        <v>0</v>
      </c>
      <c r="AA776" s="8">
        <f t="shared" si="48"/>
        <v>170</v>
      </c>
      <c r="AB776" s="8">
        <f t="shared" si="49"/>
        <v>0</v>
      </c>
      <c r="AC776" s="8">
        <f t="shared" si="50"/>
        <v>0</v>
      </c>
      <c r="AD776" s="8">
        <f t="shared" si="51"/>
        <v>0</v>
      </c>
      <c r="AE776" s="9" t="str" cm="1">
        <f t="array" ref="AE776">IFERROR(_xlfn.XLOOKUP(H776,Sheet1!$G:$G,Sheet1!$F:$F),IFERROR(_xlfn.XLOOKUP(1,(--($X$2:$X$1074=X776))*(--ISNUMBER(MATCH($H$2:$H$1074,Sheet1!$G:$G,0))),_xlfn.XLOOKUP($H$2:$H$1074,Sheet1!$G:$G,Sheet1!$F:$F,"")),"NOT FOUND"))</f>
        <v>YETKRTSCUT5009</v>
      </c>
      <c r="AF776" s="10" t="str">
        <f t="shared" si="52"/>
        <v>CREAM</v>
      </c>
      <c r="AG776" s="11" t="str">
        <f t="shared" si="53"/>
        <v>JHAJJAR</v>
      </c>
      <c r="AH776" s="9" t="str">
        <f>IF(OR(J776="",AE776="",AE776="NOT FOUND"),"",IF(Y776="RP",IFERROR(LEFT(_xlfn.XLOOKUP(AE776,Sheet1!$F:$F,Sheet1!$W:$W),FIND("-",_xlfn.XLOOKUP(AE776,Sheet1!$F:$F,Sheet1!$W:$W),FIND("-",_xlfn.XLOOKUP(AE776,Sheet1!$F:$F,Sheet1!$W:$W))+1))&amp;AE776,"NOT FOUND"),LEFT(J776,FIND("-",J776,FIND("-",J776)+1))&amp;AE776))</f>
        <v>KRTS-APSU26-YETKRTSCUT5009</v>
      </c>
    </row>
    <row r="777" spans="1:34" ht="15.75" customHeight="1" x14ac:dyDescent="0.2">
      <c r="A777" s="4" t="s">
        <v>59</v>
      </c>
      <c r="B777" s="4" t="s">
        <v>1097</v>
      </c>
      <c r="C777" s="4" t="s">
        <v>1017</v>
      </c>
      <c r="D777" s="4" t="s">
        <v>998</v>
      </c>
      <c r="E777" s="4" t="s">
        <v>34</v>
      </c>
      <c r="F777" s="4" t="s">
        <v>35</v>
      </c>
      <c r="G777" s="4" t="s">
        <v>47</v>
      </c>
      <c r="H777" s="4" t="s">
        <v>1069</v>
      </c>
      <c r="I777" s="4" t="s">
        <v>1070</v>
      </c>
      <c r="J777" s="4" t="s">
        <v>1071</v>
      </c>
      <c r="L777" s="4" t="s">
        <v>40</v>
      </c>
      <c r="M777" s="4">
        <v>1</v>
      </c>
      <c r="N777" s="4">
        <v>192</v>
      </c>
      <c r="O777" s="4">
        <v>192</v>
      </c>
      <c r="P777" s="4" t="s">
        <v>41</v>
      </c>
      <c r="Q777" s="4">
        <v>234.3</v>
      </c>
      <c r="R777" s="4">
        <v>234.3</v>
      </c>
      <c r="S777" s="4">
        <v>2249.2800000000002</v>
      </c>
      <c r="T777" s="4">
        <v>44985.599999999999</v>
      </c>
      <c r="U777" s="4">
        <v>5</v>
      </c>
      <c r="V777" s="4" t="s">
        <v>42</v>
      </c>
      <c r="X777" s="7" t="str">
        <f t="shared" si="45"/>
        <v>441853990</v>
      </c>
      <c r="Y777" s="8" t="str">
        <f t="shared" si="46"/>
        <v>DC</v>
      </c>
      <c r="Z777" s="8">
        <f t="shared" si="47"/>
        <v>0</v>
      </c>
      <c r="AA777" s="8">
        <f t="shared" si="48"/>
        <v>0</v>
      </c>
      <c r="AB777" s="8">
        <f t="shared" si="49"/>
        <v>192</v>
      </c>
      <c r="AC777" s="8">
        <f t="shared" si="50"/>
        <v>0</v>
      </c>
      <c r="AD777" s="8">
        <f t="shared" si="51"/>
        <v>0</v>
      </c>
      <c r="AE777" s="9" t="str" cm="1">
        <f t="array" ref="AE777">IFERROR(_xlfn.XLOOKUP(H777,Sheet1!$G:$G,Sheet1!$F:$F),IFERROR(_xlfn.XLOOKUP(1,(--($X$2:$X$1074=X777))*(--ISNUMBER(MATCH($H$2:$H$1074,Sheet1!$G:$G,0))),_xlfn.XLOOKUP($H$2:$H$1074,Sheet1!$G:$G,Sheet1!$F:$F,"")),"NOT FOUND"))</f>
        <v>YETKRTSCUT5009</v>
      </c>
      <c r="AF777" s="10" t="str">
        <f t="shared" si="52"/>
        <v>CREAM</v>
      </c>
      <c r="AG777" s="11" t="str">
        <f t="shared" si="53"/>
        <v>JHAJJAR</v>
      </c>
      <c r="AH777" s="9" t="str">
        <f>IF(OR(J777="",AE777="",AE777="NOT FOUND"),"",IF(Y777="RP",IFERROR(LEFT(_xlfn.XLOOKUP(AE777,Sheet1!$F:$F,Sheet1!$W:$W),FIND("-",_xlfn.XLOOKUP(AE777,Sheet1!$F:$F,Sheet1!$W:$W),FIND("-",_xlfn.XLOOKUP(AE777,Sheet1!$F:$F,Sheet1!$W:$W))+1))&amp;AE777,"NOT FOUND"),LEFT(J777,FIND("-",J777,FIND("-",J777)+1))&amp;AE777))</f>
        <v>KRTS-APSU26-YETKRTSCUT5009</v>
      </c>
    </row>
    <row r="778" spans="1:34" ht="15.75" customHeight="1" x14ac:dyDescent="0.2">
      <c r="A778" s="4" t="s">
        <v>59</v>
      </c>
      <c r="B778" s="4" t="s">
        <v>1097</v>
      </c>
      <c r="C778" s="4" t="s">
        <v>1017</v>
      </c>
      <c r="D778" s="4" t="s">
        <v>998</v>
      </c>
      <c r="E778" s="4" t="s">
        <v>34</v>
      </c>
      <c r="F778" s="4" t="s">
        <v>35</v>
      </c>
      <c r="G778" s="4" t="s">
        <v>51</v>
      </c>
      <c r="H778" s="4" t="s">
        <v>1072</v>
      </c>
      <c r="I778" s="4" t="s">
        <v>1073</v>
      </c>
      <c r="J778" s="4" t="s">
        <v>1074</v>
      </c>
      <c r="L778" s="4" t="s">
        <v>40</v>
      </c>
      <c r="M778" s="4">
        <v>1</v>
      </c>
      <c r="N778" s="4">
        <v>224</v>
      </c>
      <c r="O778" s="4">
        <v>224</v>
      </c>
      <c r="P778" s="4" t="s">
        <v>41</v>
      </c>
      <c r="Q778" s="4">
        <v>234.3</v>
      </c>
      <c r="R778" s="4">
        <v>234.3</v>
      </c>
      <c r="S778" s="4">
        <v>2624.16</v>
      </c>
      <c r="T778" s="4">
        <v>52483.199999999997</v>
      </c>
      <c r="U778" s="4">
        <v>5</v>
      </c>
      <c r="V778" s="4" t="s">
        <v>42</v>
      </c>
      <c r="X778" s="7" t="str">
        <f t="shared" si="45"/>
        <v>441853990</v>
      </c>
      <c r="Y778" s="8" t="str">
        <f t="shared" si="46"/>
        <v>DC</v>
      </c>
      <c r="Z778" s="8">
        <f t="shared" si="47"/>
        <v>0</v>
      </c>
      <c r="AA778" s="8">
        <f t="shared" si="48"/>
        <v>0</v>
      </c>
      <c r="AB778" s="8">
        <f t="shared" si="49"/>
        <v>0</v>
      </c>
      <c r="AC778" s="8">
        <f t="shared" si="50"/>
        <v>224</v>
      </c>
      <c r="AD778" s="8">
        <f t="shared" si="51"/>
        <v>0</v>
      </c>
      <c r="AE778" s="9" t="str" cm="1">
        <f t="array" ref="AE778">IFERROR(_xlfn.XLOOKUP(H778,Sheet1!$G:$G,Sheet1!$F:$F),IFERROR(_xlfn.XLOOKUP(1,(--($X$2:$X$1074=X778))*(--ISNUMBER(MATCH($H$2:$H$1074,Sheet1!$G:$G,0))),_xlfn.XLOOKUP($H$2:$H$1074,Sheet1!$G:$G,Sheet1!$F:$F,"")),"NOT FOUND"))</f>
        <v>YETKRTSCUT5009</v>
      </c>
      <c r="AF778" s="10" t="str">
        <f t="shared" si="52"/>
        <v>CREAM</v>
      </c>
      <c r="AG778" s="11" t="str">
        <f t="shared" si="53"/>
        <v>JHAJJAR</v>
      </c>
      <c r="AH778" s="9" t="str">
        <f>IF(OR(J778="",AE778="",AE778="NOT FOUND"),"",IF(Y778="RP",IFERROR(LEFT(_xlfn.XLOOKUP(AE778,Sheet1!$F:$F,Sheet1!$W:$W),FIND("-",_xlfn.XLOOKUP(AE778,Sheet1!$F:$F,Sheet1!$W:$W),FIND("-",_xlfn.XLOOKUP(AE778,Sheet1!$F:$F,Sheet1!$W:$W))+1))&amp;AE778,"NOT FOUND"),LEFT(J778,FIND("-",J778,FIND("-",J778)+1))&amp;AE778))</f>
        <v>KRTS-APSU26-YETKRTSCUT5009</v>
      </c>
    </row>
    <row r="779" spans="1:34" ht="15.75" customHeight="1" x14ac:dyDescent="0.2">
      <c r="A779" s="4" t="s">
        <v>59</v>
      </c>
      <c r="B779" s="4" t="s">
        <v>1097</v>
      </c>
      <c r="C779" s="4" t="s">
        <v>1017</v>
      </c>
      <c r="D779" s="4" t="s">
        <v>998</v>
      </c>
      <c r="E779" s="4" t="s">
        <v>34</v>
      </c>
      <c r="F779" s="4" t="s">
        <v>35</v>
      </c>
      <c r="G779" s="4" t="s">
        <v>55</v>
      </c>
      <c r="H779" s="4" t="s">
        <v>1075</v>
      </c>
      <c r="I779" s="4" t="s">
        <v>1076</v>
      </c>
      <c r="J779" s="4" t="s">
        <v>1077</v>
      </c>
      <c r="L779" s="4" t="s">
        <v>40</v>
      </c>
      <c r="M779" s="4">
        <v>1</v>
      </c>
      <c r="N779" s="4">
        <v>42</v>
      </c>
      <c r="O779" s="4">
        <v>42</v>
      </c>
      <c r="P779" s="4" t="s">
        <v>41</v>
      </c>
      <c r="Q779" s="4">
        <v>234.3</v>
      </c>
      <c r="R779" s="4">
        <v>234.3</v>
      </c>
      <c r="S779" s="4">
        <v>492.03</v>
      </c>
      <c r="T779" s="4">
        <v>9840.6</v>
      </c>
      <c r="U779" s="4">
        <v>5</v>
      </c>
      <c r="V779" s="4" t="s">
        <v>42</v>
      </c>
      <c r="X779" s="7" t="str">
        <f t="shared" si="45"/>
        <v>441853990</v>
      </c>
      <c r="Y779" s="8" t="str">
        <f t="shared" si="46"/>
        <v>DC</v>
      </c>
      <c r="Z779" s="8">
        <f t="shared" si="47"/>
        <v>0</v>
      </c>
      <c r="AA779" s="8">
        <f t="shared" si="48"/>
        <v>0</v>
      </c>
      <c r="AB779" s="8">
        <f t="shared" si="49"/>
        <v>0</v>
      </c>
      <c r="AC779" s="8">
        <f t="shared" si="50"/>
        <v>0</v>
      </c>
      <c r="AD779" s="8">
        <f t="shared" si="51"/>
        <v>42</v>
      </c>
      <c r="AE779" s="9" t="str" cm="1">
        <f t="array" ref="AE779">IFERROR(_xlfn.XLOOKUP(H779,Sheet1!$G:$G,Sheet1!$F:$F),IFERROR(_xlfn.XLOOKUP(1,(--($X$2:$X$1074=X779))*(--ISNUMBER(MATCH($H$2:$H$1074,Sheet1!$G:$G,0))),_xlfn.XLOOKUP($H$2:$H$1074,Sheet1!$G:$G,Sheet1!$F:$F,"")),"NOT FOUND"))</f>
        <v>YETKRTSCUT5009</v>
      </c>
      <c r="AF779" s="10" t="str">
        <f t="shared" si="52"/>
        <v>CREAM</v>
      </c>
      <c r="AG779" s="11" t="str">
        <f t="shared" si="53"/>
        <v>JHAJJAR</v>
      </c>
      <c r="AH779" s="9" t="str">
        <f>IF(OR(J779="",AE779="",AE779="NOT FOUND"),"",IF(Y779="RP",IFERROR(LEFT(_xlfn.XLOOKUP(AE779,Sheet1!$F:$F,Sheet1!$W:$W),FIND("-",_xlfn.XLOOKUP(AE779,Sheet1!$F:$F,Sheet1!$W:$W),FIND("-",_xlfn.XLOOKUP(AE779,Sheet1!$F:$F,Sheet1!$W:$W))+1))&amp;AE779,"NOT FOUND"),LEFT(J779,FIND("-",J779,FIND("-",J779)+1))&amp;AE779))</f>
        <v>KRTS-APSU26-YETKRTSCUT5009</v>
      </c>
    </row>
    <row r="780" spans="1:34" ht="15.75" customHeight="1" x14ac:dyDescent="0.2">
      <c r="A780" s="4" t="s">
        <v>61</v>
      </c>
      <c r="B780" s="4" t="s">
        <v>1098</v>
      </c>
      <c r="C780" s="4" t="s">
        <v>1017</v>
      </c>
      <c r="D780" s="4" t="s">
        <v>998</v>
      </c>
      <c r="E780" s="4" t="s">
        <v>34</v>
      </c>
      <c r="F780" s="4" t="s">
        <v>35</v>
      </c>
      <c r="G780" s="4" t="s">
        <v>36</v>
      </c>
      <c r="H780" s="4" t="s">
        <v>1018</v>
      </c>
      <c r="I780" s="4" t="s">
        <v>1019</v>
      </c>
      <c r="J780" s="4" t="s">
        <v>1020</v>
      </c>
      <c r="L780" s="4" t="s">
        <v>40</v>
      </c>
      <c r="M780" s="4">
        <v>1</v>
      </c>
      <c r="N780" s="4">
        <v>30</v>
      </c>
      <c r="O780" s="4">
        <v>30</v>
      </c>
      <c r="P780" s="4" t="s">
        <v>41</v>
      </c>
      <c r="Q780" s="4">
        <v>234.3</v>
      </c>
      <c r="R780" s="4">
        <v>234.3</v>
      </c>
      <c r="S780" s="4">
        <v>351.45</v>
      </c>
      <c r="T780" s="4">
        <v>7029</v>
      </c>
      <c r="U780" s="4">
        <v>5</v>
      </c>
      <c r="V780" s="4" t="s">
        <v>42</v>
      </c>
      <c r="X780" s="7" t="str">
        <f t="shared" si="45"/>
        <v>441853990</v>
      </c>
      <c r="Y780" s="8" t="str">
        <f t="shared" si="46"/>
        <v>DC</v>
      </c>
      <c r="Z780" s="8">
        <f t="shared" si="47"/>
        <v>30</v>
      </c>
      <c r="AA780" s="8">
        <f t="shared" si="48"/>
        <v>0</v>
      </c>
      <c r="AB780" s="8">
        <f t="shared" si="49"/>
        <v>0</v>
      </c>
      <c r="AC780" s="8">
        <f t="shared" si="50"/>
        <v>0</v>
      </c>
      <c r="AD780" s="8">
        <f t="shared" si="51"/>
        <v>0</v>
      </c>
      <c r="AE780" s="9" t="str" cm="1">
        <f t="array" ref="AE780">IFERROR(_xlfn.XLOOKUP(H780,Sheet1!$G:$G,Sheet1!$F:$F),IFERROR(_xlfn.XLOOKUP(1,(--($X$2:$X$1074=X780))*(--ISNUMBER(MATCH($H$2:$H$1074,Sheet1!$G:$G,0))),_xlfn.XLOOKUP($H$2:$H$1074,Sheet1!$G:$G,Sheet1!$F:$F,"")),"NOT FOUND"))</f>
        <v>YETKRTSCUT5009</v>
      </c>
      <c r="AF780" s="10" t="str">
        <f t="shared" si="52"/>
        <v>PEACH</v>
      </c>
      <c r="AG780" s="11" t="str">
        <f t="shared" si="53"/>
        <v>HARIPAL</v>
      </c>
      <c r="AH780" s="9" t="str">
        <f>IF(OR(J780="",AE780="",AE780="NOT FOUND"),"",IF(Y780="RP",IFERROR(LEFT(_xlfn.XLOOKUP(AE780,Sheet1!$F:$F,Sheet1!$W:$W),FIND("-",_xlfn.XLOOKUP(AE780,Sheet1!$F:$F,Sheet1!$W:$W),FIND("-",_xlfn.XLOOKUP(AE780,Sheet1!$F:$F,Sheet1!$W:$W))+1))&amp;AE780,"NOT FOUND"),LEFT(J780,FIND("-",J780,FIND("-",J780)+1))&amp;AE780))</f>
        <v>KRTS-APSU26-YETKRTSCUT5009</v>
      </c>
    </row>
    <row r="781" spans="1:34" ht="15.75" customHeight="1" x14ac:dyDescent="0.2">
      <c r="A781" s="4" t="s">
        <v>61</v>
      </c>
      <c r="B781" s="4" t="s">
        <v>1098</v>
      </c>
      <c r="C781" s="4" t="s">
        <v>1017</v>
      </c>
      <c r="D781" s="4" t="s">
        <v>998</v>
      </c>
      <c r="E781" s="4" t="s">
        <v>34</v>
      </c>
      <c r="F781" s="4" t="s">
        <v>35</v>
      </c>
      <c r="G781" s="4" t="s">
        <v>43</v>
      </c>
      <c r="H781" s="4" t="s">
        <v>1021</v>
      </c>
      <c r="I781" s="4" t="s">
        <v>1022</v>
      </c>
      <c r="J781" s="4" t="s">
        <v>1023</v>
      </c>
      <c r="L781" s="4" t="s">
        <v>40</v>
      </c>
      <c r="M781" s="4">
        <v>1</v>
      </c>
      <c r="N781" s="4">
        <v>161</v>
      </c>
      <c r="O781" s="4">
        <v>161</v>
      </c>
      <c r="P781" s="4" t="s">
        <v>41</v>
      </c>
      <c r="Q781" s="4">
        <v>234.3</v>
      </c>
      <c r="R781" s="4">
        <v>234.3</v>
      </c>
      <c r="S781" s="4">
        <v>1886.12</v>
      </c>
      <c r="T781" s="4">
        <v>37722.300000000003</v>
      </c>
      <c r="U781" s="4">
        <v>5</v>
      </c>
      <c r="V781" s="4" t="s">
        <v>42</v>
      </c>
      <c r="X781" s="7" t="str">
        <f t="shared" si="45"/>
        <v>441853990</v>
      </c>
      <c r="Y781" s="8" t="str">
        <f t="shared" si="46"/>
        <v>DC</v>
      </c>
      <c r="Z781" s="8">
        <f t="shared" si="47"/>
        <v>0</v>
      </c>
      <c r="AA781" s="8">
        <f t="shared" si="48"/>
        <v>161</v>
      </c>
      <c r="AB781" s="8">
        <f t="shared" si="49"/>
        <v>0</v>
      </c>
      <c r="AC781" s="8">
        <f t="shared" si="50"/>
        <v>0</v>
      </c>
      <c r="AD781" s="8">
        <f t="shared" si="51"/>
        <v>0</v>
      </c>
      <c r="AE781" s="9" t="str" cm="1">
        <f t="array" ref="AE781">IFERROR(_xlfn.XLOOKUP(H781,Sheet1!$G:$G,Sheet1!$F:$F),IFERROR(_xlfn.XLOOKUP(1,(--($X$2:$X$1074=X781))*(--ISNUMBER(MATCH($H$2:$H$1074,Sheet1!$G:$G,0))),_xlfn.XLOOKUP($H$2:$H$1074,Sheet1!$G:$G,Sheet1!$F:$F,"")),"NOT FOUND"))</f>
        <v>YETKRTSCUT5009</v>
      </c>
      <c r="AF781" s="10" t="str">
        <f t="shared" si="52"/>
        <v>PEACH</v>
      </c>
      <c r="AG781" s="11" t="str">
        <f t="shared" si="53"/>
        <v>HARIPAL</v>
      </c>
      <c r="AH781" s="9" t="str">
        <f>IF(OR(J781="",AE781="",AE781="NOT FOUND"),"",IF(Y781="RP",IFERROR(LEFT(_xlfn.XLOOKUP(AE781,Sheet1!$F:$F,Sheet1!$W:$W),FIND("-",_xlfn.XLOOKUP(AE781,Sheet1!$F:$F,Sheet1!$W:$W),FIND("-",_xlfn.XLOOKUP(AE781,Sheet1!$F:$F,Sheet1!$W:$W))+1))&amp;AE781,"NOT FOUND"),LEFT(J781,FIND("-",J781,FIND("-",J781)+1))&amp;AE781))</f>
        <v>KRTS-APSU26-YETKRTSCUT5009</v>
      </c>
    </row>
    <row r="782" spans="1:34" ht="15.75" customHeight="1" x14ac:dyDescent="0.2">
      <c r="A782" s="4" t="s">
        <v>61</v>
      </c>
      <c r="B782" s="4" t="s">
        <v>1098</v>
      </c>
      <c r="C782" s="4" t="s">
        <v>1017</v>
      </c>
      <c r="D782" s="4" t="s">
        <v>998</v>
      </c>
      <c r="E782" s="4" t="s">
        <v>34</v>
      </c>
      <c r="F782" s="4" t="s">
        <v>35</v>
      </c>
      <c r="G782" s="4" t="s">
        <v>47</v>
      </c>
      <c r="H782" s="4" t="s">
        <v>1024</v>
      </c>
      <c r="I782" s="4" t="s">
        <v>1025</v>
      </c>
      <c r="J782" s="4" t="s">
        <v>1026</v>
      </c>
      <c r="L782" s="4" t="s">
        <v>40</v>
      </c>
      <c r="M782" s="4">
        <v>1</v>
      </c>
      <c r="N782" s="4">
        <v>182</v>
      </c>
      <c r="O782" s="4">
        <v>182</v>
      </c>
      <c r="P782" s="4" t="s">
        <v>41</v>
      </c>
      <c r="Q782" s="4">
        <v>234.3</v>
      </c>
      <c r="R782" s="4">
        <v>234.3</v>
      </c>
      <c r="S782" s="4">
        <v>2132.13</v>
      </c>
      <c r="T782" s="4">
        <v>42642.6</v>
      </c>
      <c r="U782" s="4">
        <v>5</v>
      </c>
      <c r="V782" s="4" t="s">
        <v>42</v>
      </c>
      <c r="X782" s="7" t="str">
        <f t="shared" si="45"/>
        <v>441853990</v>
      </c>
      <c r="Y782" s="8" t="str">
        <f t="shared" si="46"/>
        <v>DC</v>
      </c>
      <c r="Z782" s="8">
        <f t="shared" si="47"/>
        <v>0</v>
      </c>
      <c r="AA782" s="8">
        <f t="shared" si="48"/>
        <v>0</v>
      </c>
      <c r="AB782" s="8">
        <f t="shared" si="49"/>
        <v>182</v>
      </c>
      <c r="AC782" s="8">
        <f t="shared" si="50"/>
        <v>0</v>
      </c>
      <c r="AD782" s="8">
        <f t="shared" si="51"/>
        <v>0</v>
      </c>
      <c r="AE782" s="9" t="str" cm="1">
        <f t="array" ref="AE782">IFERROR(_xlfn.XLOOKUP(H782,Sheet1!$G:$G,Sheet1!$F:$F),IFERROR(_xlfn.XLOOKUP(1,(--($X$2:$X$1074=X782))*(--ISNUMBER(MATCH($H$2:$H$1074,Sheet1!$G:$G,0))),_xlfn.XLOOKUP($H$2:$H$1074,Sheet1!$G:$G,Sheet1!$F:$F,"")),"NOT FOUND"))</f>
        <v>YETKRTSCUT5009</v>
      </c>
      <c r="AF782" s="10" t="str">
        <f t="shared" si="52"/>
        <v>PEACH</v>
      </c>
      <c r="AG782" s="11" t="str">
        <f t="shared" si="53"/>
        <v>HARIPAL</v>
      </c>
      <c r="AH782" s="9" t="str">
        <f>IF(OR(J782="",AE782="",AE782="NOT FOUND"),"",IF(Y782="RP",IFERROR(LEFT(_xlfn.XLOOKUP(AE782,Sheet1!$F:$F,Sheet1!$W:$W),FIND("-",_xlfn.XLOOKUP(AE782,Sheet1!$F:$F,Sheet1!$W:$W),FIND("-",_xlfn.XLOOKUP(AE782,Sheet1!$F:$F,Sheet1!$W:$W))+1))&amp;AE782,"NOT FOUND"),LEFT(J782,FIND("-",J782,FIND("-",J782)+1))&amp;AE782))</f>
        <v>KRTS-APSU26-YETKRTSCUT5009</v>
      </c>
    </row>
    <row r="783" spans="1:34" ht="15.75" customHeight="1" x14ac:dyDescent="0.2">
      <c r="A783" s="4" t="s">
        <v>61</v>
      </c>
      <c r="B783" s="4" t="s">
        <v>1098</v>
      </c>
      <c r="C783" s="4" t="s">
        <v>1017</v>
      </c>
      <c r="D783" s="4" t="s">
        <v>998</v>
      </c>
      <c r="E783" s="4" t="s">
        <v>34</v>
      </c>
      <c r="F783" s="4" t="s">
        <v>35</v>
      </c>
      <c r="G783" s="4" t="s">
        <v>51</v>
      </c>
      <c r="H783" s="4" t="s">
        <v>1027</v>
      </c>
      <c r="I783" s="4" t="s">
        <v>1028</v>
      </c>
      <c r="J783" s="4" t="s">
        <v>1029</v>
      </c>
      <c r="L783" s="4" t="s">
        <v>40</v>
      </c>
      <c r="M783" s="4">
        <v>1</v>
      </c>
      <c r="N783" s="4">
        <v>212</v>
      </c>
      <c r="O783" s="4">
        <v>212</v>
      </c>
      <c r="P783" s="4" t="s">
        <v>41</v>
      </c>
      <c r="Q783" s="4">
        <v>234.3</v>
      </c>
      <c r="R783" s="4">
        <v>234.3</v>
      </c>
      <c r="S783" s="4">
        <v>2483.58</v>
      </c>
      <c r="T783" s="4">
        <v>49671.6</v>
      </c>
      <c r="U783" s="4">
        <v>5</v>
      </c>
      <c r="V783" s="4" t="s">
        <v>42</v>
      </c>
      <c r="X783" s="7" t="str">
        <f t="shared" si="45"/>
        <v>441853990</v>
      </c>
      <c r="Y783" s="8" t="str">
        <f t="shared" si="46"/>
        <v>DC</v>
      </c>
      <c r="Z783" s="8">
        <f t="shared" si="47"/>
        <v>0</v>
      </c>
      <c r="AA783" s="8">
        <f t="shared" si="48"/>
        <v>0</v>
      </c>
      <c r="AB783" s="8">
        <f t="shared" si="49"/>
        <v>0</v>
      </c>
      <c r="AC783" s="8">
        <f t="shared" si="50"/>
        <v>212</v>
      </c>
      <c r="AD783" s="8">
        <f t="shared" si="51"/>
        <v>0</v>
      </c>
      <c r="AE783" s="9" t="str" cm="1">
        <f t="array" ref="AE783">IFERROR(_xlfn.XLOOKUP(H783,Sheet1!$G:$G,Sheet1!$F:$F),IFERROR(_xlfn.XLOOKUP(1,(--($X$2:$X$1074=X783))*(--ISNUMBER(MATCH($H$2:$H$1074,Sheet1!$G:$G,0))),_xlfn.XLOOKUP($H$2:$H$1074,Sheet1!$G:$G,Sheet1!$F:$F,"")),"NOT FOUND"))</f>
        <v>YETKRTSCUT5009</v>
      </c>
      <c r="AF783" s="10" t="str">
        <f t="shared" si="52"/>
        <v>PEACH</v>
      </c>
      <c r="AG783" s="11" t="str">
        <f t="shared" si="53"/>
        <v>HARIPAL</v>
      </c>
      <c r="AH783" s="9" t="str">
        <f>IF(OR(J783="",AE783="",AE783="NOT FOUND"),"",IF(Y783="RP",IFERROR(LEFT(_xlfn.XLOOKUP(AE783,Sheet1!$F:$F,Sheet1!$W:$W),FIND("-",_xlfn.XLOOKUP(AE783,Sheet1!$F:$F,Sheet1!$W:$W),FIND("-",_xlfn.XLOOKUP(AE783,Sheet1!$F:$F,Sheet1!$W:$W))+1))&amp;AE783,"NOT FOUND"),LEFT(J783,FIND("-",J783,FIND("-",J783)+1))&amp;AE783))</f>
        <v>KRTS-APSU26-YETKRTSCUT5009</v>
      </c>
    </row>
    <row r="784" spans="1:34" ht="15.75" customHeight="1" x14ac:dyDescent="0.2">
      <c r="A784" s="4" t="s">
        <v>61</v>
      </c>
      <c r="B784" s="4" t="s">
        <v>1098</v>
      </c>
      <c r="C784" s="4" t="s">
        <v>1017</v>
      </c>
      <c r="D784" s="4" t="s">
        <v>998</v>
      </c>
      <c r="E784" s="4" t="s">
        <v>34</v>
      </c>
      <c r="F784" s="4" t="s">
        <v>35</v>
      </c>
      <c r="G784" s="4" t="s">
        <v>55</v>
      </c>
      <c r="H784" s="4" t="s">
        <v>1030</v>
      </c>
      <c r="I784" s="4" t="s">
        <v>1031</v>
      </c>
      <c r="J784" s="4" t="s">
        <v>1032</v>
      </c>
      <c r="L784" s="4" t="s">
        <v>40</v>
      </c>
      <c r="M784" s="4">
        <v>1</v>
      </c>
      <c r="N784" s="4">
        <v>40</v>
      </c>
      <c r="O784" s="4">
        <v>40</v>
      </c>
      <c r="P784" s="4" t="s">
        <v>41</v>
      </c>
      <c r="Q784" s="4">
        <v>234.3</v>
      </c>
      <c r="R784" s="4">
        <v>234.3</v>
      </c>
      <c r="S784" s="4">
        <v>468.6</v>
      </c>
      <c r="T784" s="4">
        <v>9372</v>
      </c>
      <c r="U784" s="4">
        <v>5</v>
      </c>
      <c r="V784" s="4" t="s">
        <v>42</v>
      </c>
      <c r="X784" s="7" t="str">
        <f t="shared" si="45"/>
        <v>441853990</v>
      </c>
      <c r="Y784" s="8" t="str">
        <f t="shared" si="46"/>
        <v>DC</v>
      </c>
      <c r="Z784" s="8">
        <f t="shared" si="47"/>
        <v>0</v>
      </c>
      <c r="AA784" s="8">
        <f t="shared" si="48"/>
        <v>0</v>
      </c>
      <c r="AB784" s="8">
        <f t="shared" si="49"/>
        <v>0</v>
      </c>
      <c r="AC784" s="8">
        <f t="shared" si="50"/>
        <v>0</v>
      </c>
      <c r="AD784" s="8">
        <f t="shared" si="51"/>
        <v>40</v>
      </c>
      <c r="AE784" s="9" t="str" cm="1">
        <f t="array" ref="AE784">IFERROR(_xlfn.XLOOKUP(H784,Sheet1!$G:$G,Sheet1!$F:$F),IFERROR(_xlfn.XLOOKUP(1,(--($X$2:$X$1074=X784))*(--ISNUMBER(MATCH($H$2:$H$1074,Sheet1!$G:$G,0))),_xlfn.XLOOKUP($H$2:$H$1074,Sheet1!$G:$G,Sheet1!$F:$F,"")),"NOT FOUND"))</f>
        <v>YETKRTSCUT5009</v>
      </c>
      <c r="AF784" s="10" t="str">
        <f t="shared" si="52"/>
        <v>PEACH</v>
      </c>
      <c r="AG784" s="11" t="str">
        <f t="shared" si="53"/>
        <v>HARIPAL</v>
      </c>
      <c r="AH784" s="9" t="str">
        <f>IF(OR(J784="",AE784="",AE784="NOT FOUND"),"",IF(Y784="RP",IFERROR(LEFT(_xlfn.XLOOKUP(AE784,Sheet1!$F:$F,Sheet1!$W:$W),FIND("-",_xlfn.XLOOKUP(AE784,Sheet1!$F:$F,Sheet1!$W:$W),FIND("-",_xlfn.XLOOKUP(AE784,Sheet1!$F:$F,Sheet1!$W:$W))+1))&amp;AE784,"NOT FOUND"),LEFT(J784,FIND("-",J784,FIND("-",J784)+1))&amp;AE784))</f>
        <v>KRTS-APSU26-YETKRTSCUT5009</v>
      </c>
    </row>
    <row r="785" spans="1:34" ht="15.75" customHeight="1" x14ac:dyDescent="0.2">
      <c r="A785" s="4" t="s">
        <v>59</v>
      </c>
      <c r="B785" s="4" t="s">
        <v>1099</v>
      </c>
      <c r="C785" s="4" t="s">
        <v>1017</v>
      </c>
      <c r="D785" s="4" t="s">
        <v>998</v>
      </c>
      <c r="E785" s="4" t="s">
        <v>34</v>
      </c>
      <c r="F785" s="4" t="s">
        <v>35</v>
      </c>
      <c r="G785" s="4" t="s">
        <v>36</v>
      </c>
      <c r="H785" s="4" t="s">
        <v>1080</v>
      </c>
      <c r="I785" s="4" t="s">
        <v>1081</v>
      </c>
      <c r="J785" s="4" t="s">
        <v>1082</v>
      </c>
      <c r="L785" s="4" t="s">
        <v>40</v>
      </c>
      <c r="M785" s="4">
        <v>1</v>
      </c>
      <c r="N785" s="4">
        <v>30</v>
      </c>
      <c r="O785" s="4">
        <v>30</v>
      </c>
      <c r="P785" s="4" t="s">
        <v>41</v>
      </c>
      <c r="Q785" s="4">
        <v>234.3</v>
      </c>
      <c r="R785" s="4">
        <v>234.3</v>
      </c>
      <c r="S785" s="4">
        <v>351.45</v>
      </c>
      <c r="T785" s="4">
        <v>7029</v>
      </c>
      <c r="U785" s="4">
        <v>5</v>
      </c>
      <c r="V785" s="4" t="s">
        <v>42</v>
      </c>
      <c r="X785" s="7" t="str">
        <f t="shared" si="45"/>
        <v>441853990</v>
      </c>
      <c r="Y785" s="8" t="str">
        <f t="shared" si="46"/>
        <v>DC</v>
      </c>
      <c r="Z785" s="8">
        <f t="shared" si="47"/>
        <v>30</v>
      </c>
      <c r="AA785" s="8">
        <f t="shared" si="48"/>
        <v>0</v>
      </c>
      <c r="AB785" s="8">
        <f t="shared" si="49"/>
        <v>0</v>
      </c>
      <c r="AC785" s="8">
        <f t="shared" si="50"/>
        <v>0</v>
      </c>
      <c r="AD785" s="8">
        <f t="shared" si="51"/>
        <v>0</v>
      </c>
      <c r="AE785" s="9" t="str" cm="1">
        <f t="array" ref="AE785">IFERROR(_xlfn.XLOOKUP(H785,Sheet1!$G:$G,Sheet1!$F:$F),IFERROR(_xlfn.XLOOKUP(1,(--($X$2:$X$1074=X785))*(--ISNUMBER(MATCH($H$2:$H$1074,Sheet1!$G:$G,0))),_xlfn.XLOOKUP($H$2:$H$1074,Sheet1!$G:$G,Sheet1!$F:$F,"")),"NOT FOUND"))</f>
        <v>YETKRTSCUT5009</v>
      </c>
      <c r="AF785" s="10" t="str">
        <f t="shared" si="52"/>
        <v>BLUE</v>
      </c>
      <c r="AG785" s="11" t="str">
        <f t="shared" si="53"/>
        <v>JHAJJAR</v>
      </c>
      <c r="AH785" s="9" t="str">
        <f>IF(OR(J785="",AE785="",AE785="NOT FOUND"),"",IF(Y785="RP",IFERROR(LEFT(_xlfn.XLOOKUP(AE785,Sheet1!$F:$F,Sheet1!$W:$W),FIND("-",_xlfn.XLOOKUP(AE785,Sheet1!$F:$F,Sheet1!$W:$W),FIND("-",_xlfn.XLOOKUP(AE785,Sheet1!$F:$F,Sheet1!$W:$W))+1))&amp;AE785,"NOT FOUND"),LEFT(J785,FIND("-",J785,FIND("-",J785)+1))&amp;AE785))</f>
        <v>KRTS-APSU26-YETKRTSCUT5009</v>
      </c>
    </row>
    <row r="786" spans="1:34" ht="15.75" customHeight="1" x14ac:dyDescent="0.2">
      <c r="A786" s="4" t="s">
        <v>59</v>
      </c>
      <c r="B786" s="4" t="s">
        <v>1099</v>
      </c>
      <c r="C786" s="4" t="s">
        <v>1017</v>
      </c>
      <c r="D786" s="4" t="s">
        <v>998</v>
      </c>
      <c r="E786" s="4" t="s">
        <v>34</v>
      </c>
      <c r="F786" s="4" t="s">
        <v>35</v>
      </c>
      <c r="G786" s="4" t="s">
        <v>43</v>
      </c>
      <c r="H786" s="4" t="s">
        <v>1083</v>
      </c>
      <c r="I786" s="4" t="s">
        <v>1084</v>
      </c>
      <c r="J786" s="4" t="s">
        <v>1085</v>
      </c>
      <c r="L786" s="4" t="s">
        <v>40</v>
      </c>
      <c r="M786" s="4">
        <v>1</v>
      </c>
      <c r="N786" s="4">
        <v>170</v>
      </c>
      <c r="O786" s="4">
        <v>170</v>
      </c>
      <c r="P786" s="4" t="s">
        <v>41</v>
      </c>
      <c r="Q786" s="4">
        <v>234.3</v>
      </c>
      <c r="R786" s="4">
        <v>234.3</v>
      </c>
      <c r="S786" s="4">
        <v>1991.55</v>
      </c>
      <c r="T786" s="4">
        <v>39831</v>
      </c>
      <c r="U786" s="4">
        <v>5</v>
      </c>
      <c r="V786" s="4" t="s">
        <v>42</v>
      </c>
      <c r="X786" s="7" t="str">
        <f t="shared" si="45"/>
        <v>441853990</v>
      </c>
      <c r="Y786" s="8" t="str">
        <f t="shared" si="46"/>
        <v>DC</v>
      </c>
      <c r="Z786" s="8">
        <f t="shared" si="47"/>
        <v>0</v>
      </c>
      <c r="AA786" s="8">
        <f t="shared" si="48"/>
        <v>170</v>
      </c>
      <c r="AB786" s="8">
        <f t="shared" si="49"/>
        <v>0</v>
      </c>
      <c r="AC786" s="8">
        <f t="shared" si="50"/>
        <v>0</v>
      </c>
      <c r="AD786" s="8">
        <f t="shared" si="51"/>
        <v>0</v>
      </c>
      <c r="AE786" s="9" t="str" cm="1">
        <f t="array" ref="AE786">IFERROR(_xlfn.XLOOKUP(H786,Sheet1!$G:$G,Sheet1!$F:$F),IFERROR(_xlfn.XLOOKUP(1,(--($X$2:$X$1074=X786))*(--ISNUMBER(MATCH($H$2:$H$1074,Sheet1!$G:$G,0))),_xlfn.XLOOKUP($H$2:$H$1074,Sheet1!$G:$G,Sheet1!$F:$F,"")),"NOT FOUND"))</f>
        <v>YETKRTSCUT5009</v>
      </c>
      <c r="AF786" s="10" t="str">
        <f t="shared" si="52"/>
        <v>BLUE</v>
      </c>
      <c r="AG786" s="11" t="str">
        <f t="shared" si="53"/>
        <v>JHAJJAR</v>
      </c>
      <c r="AH786" s="9" t="str">
        <f>IF(OR(J786="",AE786="",AE786="NOT FOUND"),"",IF(Y786="RP",IFERROR(LEFT(_xlfn.XLOOKUP(AE786,Sheet1!$F:$F,Sheet1!$W:$W),FIND("-",_xlfn.XLOOKUP(AE786,Sheet1!$F:$F,Sheet1!$W:$W),FIND("-",_xlfn.XLOOKUP(AE786,Sheet1!$F:$F,Sheet1!$W:$W))+1))&amp;AE786,"NOT FOUND"),LEFT(J786,FIND("-",J786,FIND("-",J786)+1))&amp;AE786))</f>
        <v>KRTS-APSU26-YETKRTSCUT5009</v>
      </c>
    </row>
    <row r="787" spans="1:34" ht="15.75" customHeight="1" x14ac:dyDescent="0.2">
      <c r="A787" s="4" t="s">
        <v>59</v>
      </c>
      <c r="B787" s="4" t="s">
        <v>1099</v>
      </c>
      <c r="C787" s="4" t="s">
        <v>1017</v>
      </c>
      <c r="D787" s="4" t="s">
        <v>998</v>
      </c>
      <c r="E787" s="4" t="s">
        <v>34</v>
      </c>
      <c r="F787" s="4" t="s">
        <v>35</v>
      </c>
      <c r="G787" s="4" t="s">
        <v>47</v>
      </c>
      <c r="H787" s="4" t="s">
        <v>1086</v>
      </c>
      <c r="I787" s="4" t="s">
        <v>1087</v>
      </c>
      <c r="J787" s="4" t="s">
        <v>1088</v>
      </c>
      <c r="L787" s="4" t="s">
        <v>40</v>
      </c>
      <c r="M787" s="4">
        <v>1</v>
      </c>
      <c r="N787" s="4">
        <v>192</v>
      </c>
      <c r="O787" s="4">
        <v>192</v>
      </c>
      <c r="P787" s="4" t="s">
        <v>41</v>
      </c>
      <c r="Q787" s="4">
        <v>234.3</v>
      </c>
      <c r="R787" s="4">
        <v>234.3</v>
      </c>
      <c r="S787" s="4">
        <v>2249.2800000000002</v>
      </c>
      <c r="T787" s="4">
        <v>44985.599999999999</v>
      </c>
      <c r="U787" s="4">
        <v>5</v>
      </c>
      <c r="V787" s="4" t="s">
        <v>42</v>
      </c>
      <c r="X787" s="7" t="str">
        <f t="shared" si="45"/>
        <v>441853990</v>
      </c>
      <c r="Y787" s="8" t="str">
        <f t="shared" si="46"/>
        <v>DC</v>
      </c>
      <c r="Z787" s="8">
        <f t="shared" si="47"/>
        <v>0</v>
      </c>
      <c r="AA787" s="8">
        <f t="shared" si="48"/>
        <v>0</v>
      </c>
      <c r="AB787" s="8">
        <f t="shared" si="49"/>
        <v>192</v>
      </c>
      <c r="AC787" s="8">
        <f t="shared" si="50"/>
        <v>0</v>
      </c>
      <c r="AD787" s="8">
        <f t="shared" si="51"/>
        <v>0</v>
      </c>
      <c r="AE787" s="9" t="str" cm="1">
        <f t="array" ref="AE787">IFERROR(_xlfn.XLOOKUP(H787,Sheet1!$G:$G,Sheet1!$F:$F),IFERROR(_xlfn.XLOOKUP(1,(--($X$2:$X$1074=X787))*(--ISNUMBER(MATCH($H$2:$H$1074,Sheet1!$G:$G,0))),_xlfn.XLOOKUP($H$2:$H$1074,Sheet1!$G:$G,Sheet1!$F:$F,"")),"NOT FOUND"))</f>
        <v>YETKRTSCUT5009</v>
      </c>
      <c r="AF787" s="10" t="str">
        <f t="shared" si="52"/>
        <v>BLUE</v>
      </c>
      <c r="AG787" s="11" t="str">
        <f t="shared" si="53"/>
        <v>JHAJJAR</v>
      </c>
      <c r="AH787" s="9" t="str">
        <f>IF(OR(J787="",AE787="",AE787="NOT FOUND"),"",IF(Y787="RP",IFERROR(LEFT(_xlfn.XLOOKUP(AE787,Sheet1!$F:$F,Sheet1!$W:$W),FIND("-",_xlfn.XLOOKUP(AE787,Sheet1!$F:$F,Sheet1!$W:$W),FIND("-",_xlfn.XLOOKUP(AE787,Sheet1!$F:$F,Sheet1!$W:$W))+1))&amp;AE787,"NOT FOUND"),LEFT(J787,FIND("-",J787,FIND("-",J787)+1))&amp;AE787))</f>
        <v>KRTS-APSU26-YETKRTSCUT5009</v>
      </c>
    </row>
    <row r="788" spans="1:34" ht="15.75" customHeight="1" x14ac:dyDescent="0.2">
      <c r="A788" s="4" t="s">
        <v>59</v>
      </c>
      <c r="B788" s="4" t="s">
        <v>1099</v>
      </c>
      <c r="C788" s="4" t="s">
        <v>1017</v>
      </c>
      <c r="D788" s="4" t="s">
        <v>998</v>
      </c>
      <c r="E788" s="4" t="s">
        <v>34</v>
      </c>
      <c r="F788" s="4" t="s">
        <v>35</v>
      </c>
      <c r="G788" s="4" t="s">
        <v>51</v>
      </c>
      <c r="H788" s="4" t="s">
        <v>1089</v>
      </c>
      <c r="I788" s="4" t="s">
        <v>1090</v>
      </c>
      <c r="J788" s="4" t="s">
        <v>1091</v>
      </c>
      <c r="L788" s="4" t="s">
        <v>40</v>
      </c>
      <c r="M788" s="4">
        <v>1</v>
      </c>
      <c r="N788" s="4">
        <v>224</v>
      </c>
      <c r="O788" s="4">
        <v>224</v>
      </c>
      <c r="P788" s="4" t="s">
        <v>41</v>
      </c>
      <c r="Q788" s="4">
        <v>234.3</v>
      </c>
      <c r="R788" s="4">
        <v>234.3</v>
      </c>
      <c r="S788" s="4">
        <v>2624.16</v>
      </c>
      <c r="T788" s="4">
        <v>52483.199999999997</v>
      </c>
      <c r="U788" s="4">
        <v>5</v>
      </c>
      <c r="V788" s="4" t="s">
        <v>42</v>
      </c>
      <c r="X788" s="7" t="str">
        <f t="shared" si="45"/>
        <v>441853990</v>
      </c>
      <c r="Y788" s="8" t="str">
        <f t="shared" si="46"/>
        <v>DC</v>
      </c>
      <c r="Z788" s="8">
        <f t="shared" si="47"/>
        <v>0</v>
      </c>
      <c r="AA788" s="8">
        <f t="shared" si="48"/>
        <v>0</v>
      </c>
      <c r="AB788" s="8">
        <f t="shared" si="49"/>
        <v>0</v>
      </c>
      <c r="AC788" s="8">
        <f t="shared" si="50"/>
        <v>224</v>
      </c>
      <c r="AD788" s="8">
        <f t="shared" si="51"/>
        <v>0</v>
      </c>
      <c r="AE788" s="9" t="str" cm="1">
        <f t="array" ref="AE788">IFERROR(_xlfn.XLOOKUP(H788,Sheet1!$G:$G,Sheet1!$F:$F),IFERROR(_xlfn.XLOOKUP(1,(--($X$2:$X$1074=X788))*(--ISNUMBER(MATCH($H$2:$H$1074,Sheet1!$G:$G,0))),_xlfn.XLOOKUP($H$2:$H$1074,Sheet1!$G:$G,Sheet1!$F:$F,"")),"NOT FOUND"))</f>
        <v>YETKRTSCUT5009</v>
      </c>
      <c r="AF788" s="10" t="str">
        <f t="shared" si="52"/>
        <v>BLUE</v>
      </c>
      <c r="AG788" s="11" t="str">
        <f t="shared" si="53"/>
        <v>JHAJJAR</v>
      </c>
      <c r="AH788" s="9" t="str">
        <f>IF(OR(J788="",AE788="",AE788="NOT FOUND"),"",IF(Y788="RP",IFERROR(LEFT(_xlfn.XLOOKUP(AE788,Sheet1!$F:$F,Sheet1!$W:$W),FIND("-",_xlfn.XLOOKUP(AE788,Sheet1!$F:$F,Sheet1!$W:$W),FIND("-",_xlfn.XLOOKUP(AE788,Sheet1!$F:$F,Sheet1!$W:$W))+1))&amp;AE788,"NOT FOUND"),LEFT(J788,FIND("-",J788,FIND("-",J788)+1))&amp;AE788))</f>
        <v>KRTS-APSU26-YETKRTSCUT5009</v>
      </c>
    </row>
    <row r="789" spans="1:34" ht="15.75" customHeight="1" x14ac:dyDescent="0.2">
      <c r="A789" s="4" t="s">
        <v>59</v>
      </c>
      <c r="B789" s="4" t="s">
        <v>1099</v>
      </c>
      <c r="C789" s="4" t="s">
        <v>1017</v>
      </c>
      <c r="D789" s="4" t="s">
        <v>998</v>
      </c>
      <c r="E789" s="4" t="s">
        <v>34</v>
      </c>
      <c r="F789" s="4" t="s">
        <v>35</v>
      </c>
      <c r="G789" s="4" t="s">
        <v>55</v>
      </c>
      <c r="H789" s="4" t="s">
        <v>1092</v>
      </c>
      <c r="I789" s="4" t="s">
        <v>1093</v>
      </c>
      <c r="J789" s="4" t="s">
        <v>1094</v>
      </c>
      <c r="L789" s="4" t="s">
        <v>40</v>
      </c>
      <c r="M789" s="4">
        <v>1</v>
      </c>
      <c r="N789" s="4">
        <v>42</v>
      </c>
      <c r="O789" s="4">
        <v>42</v>
      </c>
      <c r="P789" s="4" t="s">
        <v>41</v>
      </c>
      <c r="Q789" s="4">
        <v>234.3</v>
      </c>
      <c r="R789" s="4">
        <v>234.3</v>
      </c>
      <c r="S789" s="4">
        <v>492.03</v>
      </c>
      <c r="T789" s="4">
        <v>9840.6</v>
      </c>
      <c r="U789" s="4">
        <v>5</v>
      </c>
      <c r="V789" s="4" t="s">
        <v>42</v>
      </c>
      <c r="X789" s="7" t="str">
        <f t="shared" si="45"/>
        <v>441853990</v>
      </c>
      <c r="Y789" s="8" t="str">
        <f t="shared" si="46"/>
        <v>DC</v>
      </c>
      <c r="Z789" s="8">
        <f t="shared" si="47"/>
        <v>0</v>
      </c>
      <c r="AA789" s="8">
        <f t="shared" si="48"/>
        <v>0</v>
      </c>
      <c r="AB789" s="8">
        <f t="shared" si="49"/>
        <v>0</v>
      </c>
      <c r="AC789" s="8">
        <f t="shared" si="50"/>
        <v>0</v>
      </c>
      <c r="AD789" s="8">
        <f t="shared" si="51"/>
        <v>42</v>
      </c>
      <c r="AE789" s="9" t="str" cm="1">
        <f t="array" ref="AE789">IFERROR(_xlfn.XLOOKUP(H789,Sheet1!$G:$G,Sheet1!$F:$F),IFERROR(_xlfn.XLOOKUP(1,(--($X$2:$X$1074=X789))*(--ISNUMBER(MATCH($H$2:$H$1074,Sheet1!$G:$G,0))),_xlfn.XLOOKUP($H$2:$H$1074,Sheet1!$G:$G,Sheet1!$F:$F,"")),"NOT FOUND"))</f>
        <v>YETKRTSCUT5009</v>
      </c>
      <c r="AF789" s="10" t="str">
        <f t="shared" si="52"/>
        <v>BLUE</v>
      </c>
      <c r="AG789" s="11" t="str">
        <f t="shared" si="53"/>
        <v>JHAJJAR</v>
      </c>
      <c r="AH789" s="9" t="str">
        <f>IF(OR(J789="",AE789="",AE789="NOT FOUND"),"",IF(Y789="RP",IFERROR(LEFT(_xlfn.XLOOKUP(AE789,Sheet1!$F:$F,Sheet1!$W:$W),FIND("-",_xlfn.XLOOKUP(AE789,Sheet1!$F:$F,Sheet1!$W:$W),FIND("-",_xlfn.XLOOKUP(AE789,Sheet1!$F:$F,Sheet1!$W:$W))+1))&amp;AE789,"NOT FOUND"),LEFT(J789,FIND("-",J789,FIND("-",J789)+1))&amp;AE789))</f>
        <v>KRTS-APSU26-YETKRTSCUT5009</v>
      </c>
    </row>
    <row r="790" spans="1:34" ht="15.75" customHeight="1" x14ac:dyDescent="0.2">
      <c r="A790" s="4" t="s">
        <v>61</v>
      </c>
      <c r="B790" s="4" t="s">
        <v>1100</v>
      </c>
      <c r="C790" s="4" t="s">
        <v>1017</v>
      </c>
      <c r="D790" s="4" t="s">
        <v>998</v>
      </c>
      <c r="E790" s="4" t="s">
        <v>34</v>
      </c>
      <c r="F790" s="4" t="s">
        <v>35</v>
      </c>
      <c r="G790" s="4" t="s">
        <v>36</v>
      </c>
      <c r="H790" s="4" t="s">
        <v>1101</v>
      </c>
      <c r="I790" s="4" t="s">
        <v>1102</v>
      </c>
      <c r="J790" s="4" t="s">
        <v>1103</v>
      </c>
      <c r="L790" s="4" t="s">
        <v>40</v>
      </c>
      <c r="M790" s="4">
        <v>1</v>
      </c>
      <c r="N790" s="4">
        <v>30</v>
      </c>
      <c r="O790" s="4">
        <v>30</v>
      </c>
      <c r="P790" s="4" t="s">
        <v>41</v>
      </c>
      <c r="Q790" s="4">
        <v>234.3</v>
      </c>
      <c r="R790" s="4">
        <v>234.3</v>
      </c>
      <c r="S790" s="4">
        <v>351.45</v>
      </c>
      <c r="T790" s="4">
        <v>7029</v>
      </c>
      <c r="U790" s="4">
        <v>5</v>
      </c>
      <c r="V790" s="4" t="s">
        <v>42</v>
      </c>
      <c r="X790" s="7" t="str">
        <f t="shared" si="45"/>
        <v>441853990</v>
      </c>
      <c r="Y790" s="8" t="str">
        <f t="shared" si="46"/>
        <v>DC</v>
      </c>
      <c r="Z790" s="8">
        <f t="shared" si="47"/>
        <v>30</v>
      </c>
      <c r="AA790" s="8">
        <f t="shared" si="48"/>
        <v>0</v>
      </c>
      <c r="AB790" s="8">
        <f t="shared" si="49"/>
        <v>0</v>
      </c>
      <c r="AC790" s="8">
        <f t="shared" si="50"/>
        <v>0</v>
      </c>
      <c r="AD790" s="8">
        <f t="shared" si="51"/>
        <v>0</v>
      </c>
      <c r="AE790" s="9" t="str" cm="1">
        <f t="array" ref="AE790">IFERROR(_xlfn.XLOOKUP(H790,Sheet1!$G:$G,Sheet1!$F:$F),IFERROR(_xlfn.XLOOKUP(1,(--($X$2:$X$1074=X790))*(--ISNUMBER(MATCH($H$2:$H$1074,Sheet1!$G:$G,0))),_xlfn.XLOOKUP($H$2:$H$1074,Sheet1!$G:$G,Sheet1!$F:$F,"")),"NOT FOUND"))</f>
        <v>YETKRTSCUT5009</v>
      </c>
      <c r="AF790" s="10" t="str">
        <f t="shared" si="52"/>
        <v>MINT</v>
      </c>
      <c r="AG790" s="11" t="str">
        <f t="shared" si="53"/>
        <v>HARIPAL</v>
      </c>
      <c r="AH790" s="9" t="str">
        <f>IF(OR(J790="",AE790="",AE790="NOT FOUND"),"",IF(Y790="RP",IFERROR(LEFT(_xlfn.XLOOKUP(AE790,Sheet1!$F:$F,Sheet1!$W:$W),FIND("-",_xlfn.XLOOKUP(AE790,Sheet1!$F:$F,Sheet1!$W:$W),FIND("-",_xlfn.XLOOKUP(AE790,Sheet1!$F:$F,Sheet1!$W:$W))+1))&amp;AE790,"NOT FOUND"),LEFT(J790,FIND("-",J790,FIND("-",J790)+1))&amp;AE790))</f>
        <v>KRTS-APSU26-YETKRTSCUT5009</v>
      </c>
    </row>
    <row r="791" spans="1:34" ht="15.75" customHeight="1" x14ac:dyDescent="0.2">
      <c r="A791" s="4" t="s">
        <v>61</v>
      </c>
      <c r="B791" s="4" t="s">
        <v>1100</v>
      </c>
      <c r="C791" s="4" t="s">
        <v>1017</v>
      </c>
      <c r="D791" s="4" t="s">
        <v>998</v>
      </c>
      <c r="E791" s="4" t="s">
        <v>34</v>
      </c>
      <c r="F791" s="4" t="s">
        <v>35</v>
      </c>
      <c r="G791" s="4" t="s">
        <v>43</v>
      </c>
      <c r="H791" s="4" t="s">
        <v>1034</v>
      </c>
      <c r="I791" s="4" t="s">
        <v>1035</v>
      </c>
      <c r="J791" s="4" t="s">
        <v>1036</v>
      </c>
      <c r="L791" s="4" t="s">
        <v>40</v>
      </c>
      <c r="M791" s="4">
        <v>1</v>
      </c>
      <c r="N791" s="4">
        <v>161</v>
      </c>
      <c r="O791" s="4">
        <v>161</v>
      </c>
      <c r="P791" s="4" t="s">
        <v>41</v>
      </c>
      <c r="Q791" s="4">
        <v>234.3</v>
      </c>
      <c r="R791" s="4">
        <v>234.3</v>
      </c>
      <c r="S791" s="4">
        <v>1886.12</v>
      </c>
      <c r="T791" s="4">
        <v>37722.300000000003</v>
      </c>
      <c r="U791" s="4">
        <v>5</v>
      </c>
      <c r="V791" s="4" t="s">
        <v>42</v>
      </c>
      <c r="X791" s="7" t="str">
        <f t="shared" si="45"/>
        <v>441853990</v>
      </c>
      <c r="Y791" s="8" t="str">
        <f t="shared" si="46"/>
        <v>DC</v>
      </c>
      <c r="Z791" s="8">
        <f t="shared" si="47"/>
        <v>0</v>
      </c>
      <c r="AA791" s="8">
        <f t="shared" si="48"/>
        <v>161</v>
      </c>
      <c r="AB791" s="8">
        <f t="shared" si="49"/>
        <v>0</v>
      </c>
      <c r="AC791" s="8">
        <f t="shared" si="50"/>
        <v>0</v>
      </c>
      <c r="AD791" s="8">
        <f t="shared" si="51"/>
        <v>0</v>
      </c>
      <c r="AE791" s="9" t="str" cm="1">
        <f t="array" ref="AE791">IFERROR(_xlfn.XLOOKUP(H791,Sheet1!$G:$G,Sheet1!$F:$F),IFERROR(_xlfn.XLOOKUP(1,(--($X$2:$X$1074=X791))*(--ISNUMBER(MATCH($H$2:$H$1074,Sheet1!$G:$G,0))),_xlfn.XLOOKUP($H$2:$H$1074,Sheet1!$G:$G,Sheet1!$F:$F,"")),"NOT FOUND"))</f>
        <v>YETKRTSCUT5009</v>
      </c>
      <c r="AF791" s="10" t="str">
        <f t="shared" si="52"/>
        <v>MINT</v>
      </c>
      <c r="AG791" s="11" t="str">
        <f t="shared" si="53"/>
        <v>HARIPAL</v>
      </c>
      <c r="AH791" s="9" t="str">
        <f>IF(OR(J791="",AE791="",AE791="NOT FOUND"),"",IF(Y791="RP",IFERROR(LEFT(_xlfn.XLOOKUP(AE791,Sheet1!$F:$F,Sheet1!$W:$W),FIND("-",_xlfn.XLOOKUP(AE791,Sheet1!$F:$F,Sheet1!$W:$W),FIND("-",_xlfn.XLOOKUP(AE791,Sheet1!$F:$F,Sheet1!$W:$W))+1))&amp;AE791,"NOT FOUND"),LEFT(J791,FIND("-",J791,FIND("-",J791)+1))&amp;AE791))</f>
        <v>KRTS-APSU26-YETKRTSCUT5009</v>
      </c>
    </row>
    <row r="792" spans="1:34" ht="15.75" customHeight="1" x14ac:dyDescent="0.2">
      <c r="A792" s="4" t="s">
        <v>61</v>
      </c>
      <c r="B792" s="4" t="s">
        <v>1100</v>
      </c>
      <c r="C792" s="4" t="s">
        <v>1017</v>
      </c>
      <c r="D792" s="4" t="s">
        <v>998</v>
      </c>
      <c r="E792" s="4" t="s">
        <v>34</v>
      </c>
      <c r="F792" s="4" t="s">
        <v>35</v>
      </c>
      <c r="G792" s="4" t="s">
        <v>47</v>
      </c>
      <c r="H792" s="4" t="s">
        <v>1037</v>
      </c>
      <c r="I792" s="4" t="s">
        <v>1038</v>
      </c>
      <c r="J792" s="4" t="s">
        <v>1039</v>
      </c>
      <c r="L792" s="4" t="s">
        <v>40</v>
      </c>
      <c r="M792" s="4">
        <v>1</v>
      </c>
      <c r="N792" s="4">
        <v>182</v>
      </c>
      <c r="O792" s="4">
        <v>182</v>
      </c>
      <c r="P792" s="4" t="s">
        <v>41</v>
      </c>
      <c r="Q792" s="4">
        <v>234.3</v>
      </c>
      <c r="R792" s="4">
        <v>234.3</v>
      </c>
      <c r="S792" s="4">
        <v>2132.13</v>
      </c>
      <c r="T792" s="4">
        <v>42642.6</v>
      </c>
      <c r="U792" s="4">
        <v>5</v>
      </c>
      <c r="V792" s="4" t="s">
        <v>42</v>
      </c>
      <c r="X792" s="7" t="str">
        <f t="shared" si="45"/>
        <v>441853990</v>
      </c>
      <c r="Y792" s="8" t="str">
        <f t="shared" si="46"/>
        <v>DC</v>
      </c>
      <c r="Z792" s="8">
        <f t="shared" si="47"/>
        <v>0</v>
      </c>
      <c r="AA792" s="8">
        <f t="shared" si="48"/>
        <v>0</v>
      </c>
      <c r="AB792" s="8">
        <f t="shared" si="49"/>
        <v>182</v>
      </c>
      <c r="AC792" s="8">
        <f t="shared" si="50"/>
        <v>0</v>
      </c>
      <c r="AD792" s="8">
        <f t="shared" si="51"/>
        <v>0</v>
      </c>
      <c r="AE792" s="9" t="str" cm="1">
        <f t="array" ref="AE792">IFERROR(_xlfn.XLOOKUP(H792,Sheet1!$G:$G,Sheet1!$F:$F),IFERROR(_xlfn.XLOOKUP(1,(--($X$2:$X$1074=X792))*(--ISNUMBER(MATCH($H$2:$H$1074,Sheet1!$G:$G,0))),_xlfn.XLOOKUP($H$2:$H$1074,Sheet1!$G:$G,Sheet1!$F:$F,"")),"NOT FOUND"))</f>
        <v>YETKRTSCUT5009</v>
      </c>
      <c r="AF792" s="10" t="str">
        <f t="shared" si="52"/>
        <v>MINT</v>
      </c>
      <c r="AG792" s="11" t="str">
        <f t="shared" si="53"/>
        <v>HARIPAL</v>
      </c>
      <c r="AH792" s="9" t="str">
        <f>IF(OR(J792="",AE792="",AE792="NOT FOUND"),"",IF(Y792="RP",IFERROR(LEFT(_xlfn.XLOOKUP(AE792,Sheet1!$F:$F,Sheet1!$W:$W),FIND("-",_xlfn.XLOOKUP(AE792,Sheet1!$F:$F,Sheet1!$W:$W),FIND("-",_xlfn.XLOOKUP(AE792,Sheet1!$F:$F,Sheet1!$W:$W))+1))&amp;AE792,"NOT FOUND"),LEFT(J792,FIND("-",J792,FIND("-",J792)+1))&amp;AE792))</f>
        <v>KRTS-APSU26-YETKRTSCUT5009</v>
      </c>
    </row>
    <row r="793" spans="1:34" ht="15.75" customHeight="1" x14ac:dyDescent="0.2">
      <c r="A793" s="4" t="s">
        <v>61</v>
      </c>
      <c r="B793" s="4" t="s">
        <v>1100</v>
      </c>
      <c r="C793" s="4" t="s">
        <v>1017</v>
      </c>
      <c r="D793" s="4" t="s">
        <v>998</v>
      </c>
      <c r="E793" s="4" t="s">
        <v>34</v>
      </c>
      <c r="F793" s="4" t="s">
        <v>35</v>
      </c>
      <c r="G793" s="4" t="s">
        <v>51</v>
      </c>
      <c r="H793" s="4" t="s">
        <v>1040</v>
      </c>
      <c r="I793" s="4" t="s">
        <v>1041</v>
      </c>
      <c r="J793" s="4" t="s">
        <v>1042</v>
      </c>
      <c r="L793" s="4" t="s">
        <v>40</v>
      </c>
      <c r="M793" s="4">
        <v>1</v>
      </c>
      <c r="N793" s="4">
        <v>212</v>
      </c>
      <c r="O793" s="4">
        <v>212</v>
      </c>
      <c r="P793" s="4" t="s">
        <v>41</v>
      </c>
      <c r="Q793" s="4">
        <v>234.3</v>
      </c>
      <c r="R793" s="4">
        <v>234.3</v>
      </c>
      <c r="S793" s="4">
        <v>2483.58</v>
      </c>
      <c r="T793" s="4">
        <v>49671.6</v>
      </c>
      <c r="U793" s="4">
        <v>5</v>
      </c>
      <c r="V793" s="4" t="s">
        <v>42</v>
      </c>
      <c r="X793" s="7" t="str">
        <f t="shared" si="45"/>
        <v>441853990</v>
      </c>
      <c r="Y793" s="8" t="str">
        <f t="shared" si="46"/>
        <v>DC</v>
      </c>
      <c r="Z793" s="8">
        <f t="shared" si="47"/>
        <v>0</v>
      </c>
      <c r="AA793" s="8">
        <f t="shared" si="48"/>
        <v>0</v>
      </c>
      <c r="AB793" s="8">
        <f t="shared" si="49"/>
        <v>0</v>
      </c>
      <c r="AC793" s="8">
        <f t="shared" si="50"/>
        <v>212</v>
      </c>
      <c r="AD793" s="8">
        <f t="shared" si="51"/>
        <v>0</v>
      </c>
      <c r="AE793" s="9" t="str" cm="1">
        <f t="array" ref="AE793">IFERROR(_xlfn.XLOOKUP(H793,Sheet1!$G:$G,Sheet1!$F:$F),IFERROR(_xlfn.XLOOKUP(1,(--($X$2:$X$1074=X793))*(--ISNUMBER(MATCH($H$2:$H$1074,Sheet1!$G:$G,0))),_xlfn.XLOOKUP($H$2:$H$1074,Sheet1!$G:$G,Sheet1!$F:$F,"")),"NOT FOUND"))</f>
        <v>YETKRTSCUT5009</v>
      </c>
      <c r="AF793" s="10" t="str">
        <f t="shared" si="52"/>
        <v>MINT</v>
      </c>
      <c r="AG793" s="11" t="str">
        <f t="shared" si="53"/>
        <v>HARIPAL</v>
      </c>
      <c r="AH793" s="9" t="str">
        <f>IF(OR(J793="",AE793="",AE793="NOT FOUND"),"",IF(Y793="RP",IFERROR(LEFT(_xlfn.XLOOKUP(AE793,Sheet1!$F:$F,Sheet1!$W:$W),FIND("-",_xlfn.XLOOKUP(AE793,Sheet1!$F:$F,Sheet1!$W:$W),FIND("-",_xlfn.XLOOKUP(AE793,Sheet1!$F:$F,Sheet1!$W:$W))+1))&amp;AE793,"NOT FOUND"),LEFT(J793,FIND("-",J793,FIND("-",J793)+1))&amp;AE793))</f>
        <v>KRTS-APSU26-YETKRTSCUT5009</v>
      </c>
    </row>
    <row r="794" spans="1:34" ht="15.75" customHeight="1" x14ac:dyDescent="0.2">
      <c r="A794" s="4" t="s">
        <v>61</v>
      </c>
      <c r="B794" s="4" t="s">
        <v>1100</v>
      </c>
      <c r="C794" s="4" t="s">
        <v>1017</v>
      </c>
      <c r="D794" s="4" t="s">
        <v>998</v>
      </c>
      <c r="E794" s="4" t="s">
        <v>34</v>
      </c>
      <c r="F794" s="4" t="s">
        <v>35</v>
      </c>
      <c r="G794" s="4" t="s">
        <v>55</v>
      </c>
      <c r="H794" s="4" t="s">
        <v>1043</v>
      </c>
      <c r="I794" s="4" t="s">
        <v>1044</v>
      </c>
      <c r="J794" s="4" t="s">
        <v>1045</v>
      </c>
      <c r="L794" s="4" t="s">
        <v>40</v>
      </c>
      <c r="M794" s="4">
        <v>1</v>
      </c>
      <c r="N794" s="4">
        <v>40</v>
      </c>
      <c r="O794" s="4">
        <v>40</v>
      </c>
      <c r="P794" s="4" t="s">
        <v>41</v>
      </c>
      <c r="Q794" s="4">
        <v>234.3</v>
      </c>
      <c r="R794" s="4">
        <v>234.3</v>
      </c>
      <c r="S794" s="4">
        <v>468.6</v>
      </c>
      <c r="T794" s="4">
        <v>9372</v>
      </c>
      <c r="U794" s="4">
        <v>5</v>
      </c>
      <c r="V794" s="4" t="s">
        <v>42</v>
      </c>
      <c r="X794" s="7" t="str">
        <f t="shared" si="45"/>
        <v>441853990</v>
      </c>
      <c r="Y794" s="8" t="str">
        <f t="shared" si="46"/>
        <v>DC</v>
      </c>
      <c r="Z794" s="8">
        <f t="shared" si="47"/>
        <v>0</v>
      </c>
      <c r="AA794" s="8">
        <f t="shared" si="48"/>
        <v>0</v>
      </c>
      <c r="AB794" s="8">
        <f t="shared" si="49"/>
        <v>0</v>
      </c>
      <c r="AC794" s="8">
        <f t="shared" si="50"/>
        <v>0</v>
      </c>
      <c r="AD794" s="8">
        <f t="shared" si="51"/>
        <v>40</v>
      </c>
      <c r="AE794" s="9" t="str" cm="1">
        <f t="array" ref="AE794">IFERROR(_xlfn.XLOOKUP(H794,Sheet1!$G:$G,Sheet1!$F:$F),IFERROR(_xlfn.XLOOKUP(1,(--($X$2:$X$1074=X794))*(--ISNUMBER(MATCH($H$2:$H$1074,Sheet1!$G:$G,0))),_xlfn.XLOOKUP($H$2:$H$1074,Sheet1!$G:$G,Sheet1!$F:$F,"")),"NOT FOUND"))</f>
        <v>YETKRTSCUT5009</v>
      </c>
      <c r="AF794" s="10" t="str">
        <f t="shared" si="52"/>
        <v>MINT</v>
      </c>
      <c r="AG794" s="11" t="str">
        <f t="shared" si="53"/>
        <v>HARIPAL</v>
      </c>
      <c r="AH794" s="9" t="str">
        <f>IF(OR(J794="",AE794="",AE794="NOT FOUND"),"",IF(Y794="RP",IFERROR(LEFT(_xlfn.XLOOKUP(AE794,Sheet1!$F:$F,Sheet1!$W:$W),FIND("-",_xlfn.XLOOKUP(AE794,Sheet1!$F:$F,Sheet1!$W:$W),FIND("-",_xlfn.XLOOKUP(AE794,Sheet1!$F:$F,Sheet1!$W:$W))+1))&amp;AE794,"NOT FOUND"),LEFT(J794,FIND("-",J794,FIND("-",J794)+1))&amp;AE794))</f>
        <v>KRTS-APSU26-YETKRTSCUT5009</v>
      </c>
    </row>
    <row r="795" spans="1:34" ht="15.75" customHeight="1" x14ac:dyDescent="0.2">
      <c r="A795" s="4" t="s">
        <v>61</v>
      </c>
      <c r="B795" s="4" t="s">
        <v>1104</v>
      </c>
      <c r="C795" s="4" t="s">
        <v>1017</v>
      </c>
      <c r="D795" s="4" t="s">
        <v>998</v>
      </c>
      <c r="E795" s="4" t="s">
        <v>34</v>
      </c>
      <c r="F795" s="4" t="s">
        <v>35</v>
      </c>
      <c r="G795" s="4" t="s">
        <v>36</v>
      </c>
      <c r="H795" s="4" t="s">
        <v>1047</v>
      </c>
      <c r="I795" s="4" t="s">
        <v>1048</v>
      </c>
      <c r="J795" s="4" t="s">
        <v>1049</v>
      </c>
      <c r="L795" s="4" t="s">
        <v>40</v>
      </c>
      <c r="M795" s="4">
        <v>1</v>
      </c>
      <c r="N795" s="4">
        <v>30</v>
      </c>
      <c r="O795" s="4">
        <v>30</v>
      </c>
      <c r="P795" s="4" t="s">
        <v>41</v>
      </c>
      <c r="Q795" s="4">
        <v>234.3</v>
      </c>
      <c r="R795" s="4">
        <v>234.3</v>
      </c>
      <c r="S795" s="4">
        <v>351.45</v>
      </c>
      <c r="T795" s="4">
        <v>7029</v>
      </c>
      <c r="U795" s="4">
        <v>5</v>
      </c>
      <c r="V795" s="4" t="s">
        <v>42</v>
      </c>
      <c r="X795" s="7" t="str">
        <f t="shared" si="45"/>
        <v>441853990</v>
      </c>
      <c r="Y795" s="8" t="str">
        <f t="shared" si="46"/>
        <v>DC</v>
      </c>
      <c r="Z795" s="8">
        <f t="shared" si="47"/>
        <v>30</v>
      </c>
      <c r="AA795" s="8">
        <f t="shared" si="48"/>
        <v>0</v>
      </c>
      <c r="AB795" s="8">
        <f t="shared" si="49"/>
        <v>0</v>
      </c>
      <c r="AC795" s="8">
        <f t="shared" si="50"/>
        <v>0</v>
      </c>
      <c r="AD795" s="8">
        <f t="shared" si="51"/>
        <v>0</v>
      </c>
      <c r="AE795" s="9" t="str" cm="1">
        <f t="array" ref="AE795">IFERROR(_xlfn.XLOOKUP(H795,Sheet1!$G:$G,Sheet1!$F:$F),IFERROR(_xlfn.XLOOKUP(1,(--($X$2:$X$1074=X795))*(--ISNUMBER(MATCH($H$2:$H$1074,Sheet1!$G:$G,0))),_xlfn.XLOOKUP($H$2:$H$1074,Sheet1!$G:$G,Sheet1!$F:$F,"")),"NOT FOUND"))</f>
        <v>YETKRTSCUT5009</v>
      </c>
      <c r="AF795" s="10" t="str">
        <f t="shared" si="52"/>
        <v>LT. YELLOW</v>
      </c>
      <c r="AG795" s="11" t="str">
        <f t="shared" si="53"/>
        <v>HARIPAL</v>
      </c>
      <c r="AH795" s="9" t="str">
        <f>IF(OR(J795="",AE795="",AE795="NOT FOUND"),"",IF(Y795="RP",IFERROR(LEFT(_xlfn.XLOOKUP(AE795,Sheet1!$F:$F,Sheet1!$W:$W),FIND("-",_xlfn.XLOOKUP(AE795,Sheet1!$F:$F,Sheet1!$W:$W),FIND("-",_xlfn.XLOOKUP(AE795,Sheet1!$F:$F,Sheet1!$W:$W))+1))&amp;AE795,"NOT FOUND"),LEFT(J795,FIND("-",J795,FIND("-",J795)+1))&amp;AE795))</f>
        <v>KRTS-APSU26-YETKRTSCUT5009</v>
      </c>
    </row>
    <row r="796" spans="1:34" ht="15.75" customHeight="1" x14ac:dyDescent="0.2">
      <c r="A796" s="4" t="s">
        <v>61</v>
      </c>
      <c r="B796" s="4" t="s">
        <v>1104</v>
      </c>
      <c r="C796" s="4" t="s">
        <v>1017</v>
      </c>
      <c r="D796" s="4" t="s">
        <v>998</v>
      </c>
      <c r="E796" s="4" t="s">
        <v>34</v>
      </c>
      <c r="F796" s="4" t="s">
        <v>35</v>
      </c>
      <c r="G796" s="4" t="s">
        <v>43</v>
      </c>
      <c r="H796" s="4" t="s">
        <v>1050</v>
      </c>
      <c r="I796" s="4" t="s">
        <v>1051</v>
      </c>
      <c r="J796" s="4" t="s">
        <v>1052</v>
      </c>
      <c r="L796" s="4" t="s">
        <v>40</v>
      </c>
      <c r="M796" s="4">
        <v>1</v>
      </c>
      <c r="N796" s="4">
        <v>161</v>
      </c>
      <c r="O796" s="4">
        <v>161</v>
      </c>
      <c r="P796" s="4" t="s">
        <v>41</v>
      </c>
      <c r="Q796" s="4">
        <v>234.3</v>
      </c>
      <c r="R796" s="4">
        <v>234.3</v>
      </c>
      <c r="S796" s="4">
        <v>1886.12</v>
      </c>
      <c r="T796" s="4">
        <v>37722.300000000003</v>
      </c>
      <c r="U796" s="4">
        <v>5</v>
      </c>
      <c r="V796" s="4" t="s">
        <v>42</v>
      </c>
      <c r="X796" s="7" t="str">
        <f t="shared" si="45"/>
        <v>441853990</v>
      </c>
      <c r="Y796" s="8" t="str">
        <f t="shared" si="46"/>
        <v>DC</v>
      </c>
      <c r="Z796" s="8">
        <f t="shared" si="47"/>
        <v>0</v>
      </c>
      <c r="AA796" s="8">
        <f t="shared" si="48"/>
        <v>161</v>
      </c>
      <c r="AB796" s="8">
        <f t="shared" si="49"/>
        <v>0</v>
      </c>
      <c r="AC796" s="8">
        <f t="shared" si="50"/>
        <v>0</v>
      </c>
      <c r="AD796" s="8">
        <f t="shared" si="51"/>
        <v>0</v>
      </c>
      <c r="AE796" s="9" t="str" cm="1">
        <f t="array" ref="AE796">IFERROR(_xlfn.XLOOKUP(H796,Sheet1!$G:$G,Sheet1!$F:$F),IFERROR(_xlfn.XLOOKUP(1,(--($X$2:$X$1074=X796))*(--ISNUMBER(MATCH($H$2:$H$1074,Sheet1!$G:$G,0))),_xlfn.XLOOKUP($H$2:$H$1074,Sheet1!$G:$G,Sheet1!$F:$F,"")),"NOT FOUND"))</f>
        <v>YETKRTSCUT5009</v>
      </c>
      <c r="AF796" s="10" t="str">
        <f t="shared" si="52"/>
        <v>LT. YELLOW</v>
      </c>
      <c r="AG796" s="11" t="str">
        <f t="shared" si="53"/>
        <v>HARIPAL</v>
      </c>
      <c r="AH796" s="9" t="str">
        <f>IF(OR(J796="",AE796="",AE796="NOT FOUND"),"",IF(Y796="RP",IFERROR(LEFT(_xlfn.XLOOKUP(AE796,Sheet1!$F:$F,Sheet1!$W:$W),FIND("-",_xlfn.XLOOKUP(AE796,Sheet1!$F:$F,Sheet1!$W:$W),FIND("-",_xlfn.XLOOKUP(AE796,Sheet1!$F:$F,Sheet1!$W:$W))+1))&amp;AE796,"NOT FOUND"),LEFT(J796,FIND("-",J796,FIND("-",J796)+1))&amp;AE796))</f>
        <v>KRTS-APSU26-YETKRTSCUT5009</v>
      </c>
    </row>
    <row r="797" spans="1:34" ht="15.75" customHeight="1" x14ac:dyDescent="0.2">
      <c r="A797" s="4" t="s">
        <v>61</v>
      </c>
      <c r="B797" s="4" t="s">
        <v>1104</v>
      </c>
      <c r="C797" s="4" t="s">
        <v>1017</v>
      </c>
      <c r="D797" s="4" t="s">
        <v>998</v>
      </c>
      <c r="E797" s="4" t="s">
        <v>34</v>
      </c>
      <c r="F797" s="4" t="s">
        <v>35</v>
      </c>
      <c r="G797" s="4" t="s">
        <v>47</v>
      </c>
      <c r="H797" s="4" t="s">
        <v>1053</v>
      </c>
      <c r="I797" s="4" t="s">
        <v>1054</v>
      </c>
      <c r="J797" s="4" t="s">
        <v>1055</v>
      </c>
      <c r="L797" s="4" t="s">
        <v>40</v>
      </c>
      <c r="M797" s="4">
        <v>1</v>
      </c>
      <c r="N797" s="4">
        <v>182</v>
      </c>
      <c r="O797" s="4">
        <v>182</v>
      </c>
      <c r="P797" s="4" t="s">
        <v>41</v>
      </c>
      <c r="Q797" s="4">
        <v>234.3</v>
      </c>
      <c r="R797" s="4">
        <v>234.3</v>
      </c>
      <c r="S797" s="4">
        <v>2132.13</v>
      </c>
      <c r="T797" s="4">
        <v>42642.6</v>
      </c>
      <c r="U797" s="4">
        <v>5</v>
      </c>
      <c r="V797" s="4" t="s">
        <v>42</v>
      </c>
      <c r="X797" s="7" t="str">
        <f t="shared" si="45"/>
        <v>441853990</v>
      </c>
      <c r="Y797" s="8" t="str">
        <f t="shared" si="46"/>
        <v>DC</v>
      </c>
      <c r="Z797" s="8">
        <f t="shared" si="47"/>
        <v>0</v>
      </c>
      <c r="AA797" s="8">
        <f t="shared" si="48"/>
        <v>0</v>
      </c>
      <c r="AB797" s="8">
        <f t="shared" si="49"/>
        <v>182</v>
      </c>
      <c r="AC797" s="8">
        <f t="shared" si="50"/>
        <v>0</v>
      </c>
      <c r="AD797" s="8">
        <f t="shared" si="51"/>
        <v>0</v>
      </c>
      <c r="AE797" s="9" t="str" cm="1">
        <f t="array" ref="AE797">IFERROR(_xlfn.XLOOKUP(H797,Sheet1!$G:$G,Sheet1!$F:$F),IFERROR(_xlfn.XLOOKUP(1,(--($X$2:$X$1074=X797))*(--ISNUMBER(MATCH($H$2:$H$1074,Sheet1!$G:$G,0))),_xlfn.XLOOKUP($H$2:$H$1074,Sheet1!$G:$G,Sheet1!$F:$F,"")),"NOT FOUND"))</f>
        <v>YETKRTSCUT5009</v>
      </c>
      <c r="AF797" s="10" t="str">
        <f t="shared" si="52"/>
        <v>LT. YELLOW</v>
      </c>
      <c r="AG797" s="11" t="str">
        <f t="shared" si="53"/>
        <v>HARIPAL</v>
      </c>
      <c r="AH797" s="9" t="str">
        <f>IF(OR(J797="",AE797="",AE797="NOT FOUND"),"",IF(Y797="RP",IFERROR(LEFT(_xlfn.XLOOKUP(AE797,Sheet1!$F:$F,Sheet1!$W:$W),FIND("-",_xlfn.XLOOKUP(AE797,Sheet1!$F:$F,Sheet1!$W:$W),FIND("-",_xlfn.XLOOKUP(AE797,Sheet1!$F:$F,Sheet1!$W:$W))+1))&amp;AE797,"NOT FOUND"),LEFT(J797,FIND("-",J797,FIND("-",J797)+1))&amp;AE797))</f>
        <v>KRTS-APSU26-YETKRTSCUT5009</v>
      </c>
    </row>
    <row r="798" spans="1:34" ht="15.75" customHeight="1" x14ac:dyDescent="0.2">
      <c r="A798" s="4" t="s">
        <v>61</v>
      </c>
      <c r="B798" s="4" t="s">
        <v>1104</v>
      </c>
      <c r="C798" s="4" t="s">
        <v>1017</v>
      </c>
      <c r="D798" s="4" t="s">
        <v>998</v>
      </c>
      <c r="E798" s="4" t="s">
        <v>34</v>
      </c>
      <c r="F798" s="4" t="s">
        <v>35</v>
      </c>
      <c r="G798" s="4" t="s">
        <v>51</v>
      </c>
      <c r="H798" s="4" t="s">
        <v>1056</v>
      </c>
      <c r="I798" s="4" t="s">
        <v>1057</v>
      </c>
      <c r="J798" s="4" t="s">
        <v>1058</v>
      </c>
      <c r="L798" s="4" t="s">
        <v>40</v>
      </c>
      <c r="M798" s="4">
        <v>1</v>
      </c>
      <c r="N798" s="4">
        <v>212</v>
      </c>
      <c r="O798" s="4">
        <v>212</v>
      </c>
      <c r="P798" s="4" t="s">
        <v>41</v>
      </c>
      <c r="Q798" s="4">
        <v>234.3</v>
      </c>
      <c r="R798" s="4">
        <v>234.3</v>
      </c>
      <c r="S798" s="4">
        <v>2483.58</v>
      </c>
      <c r="T798" s="4">
        <v>49671.6</v>
      </c>
      <c r="U798" s="4">
        <v>5</v>
      </c>
      <c r="V798" s="4" t="s">
        <v>42</v>
      </c>
      <c r="X798" s="7" t="str">
        <f t="shared" si="45"/>
        <v>441853990</v>
      </c>
      <c r="Y798" s="8" t="str">
        <f t="shared" si="46"/>
        <v>DC</v>
      </c>
      <c r="Z798" s="8">
        <f t="shared" si="47"/>
        <v>0</v>
      </c>
      <c r="AA798" s="8">
        <f t="shared" si="48"/>
        <v>0</v>
      </c>
      <c r="AB798" s="8">
        <f t="shared" si="49"/>
        <v>0</v>
      </c>
      <c r="AC798" s="8">
        <f t="shared" si="50"/>
        <v>212</v>
      </c>
      <c r="AD798" s="8">
        <f t="shared" si="51"/>
        <v>0</v>
      </c>
      <c r="AE798" s="9" t="str" cm="1">
        <f t="array" ref="AE798">IFERROR(_xlfn.XLOOKUP(H798,Sheet1!$G:$G,Sheet1!$F:$F),IFERROR(_xlfn.XLOOKUP(1,(--($X$2:$X$1074=X798))*(--ISNUMBER(MATCH($H$2:$H$1074,Sheet1!$G:$G,0))),_xlfn.XLOOKUP($H$2:$H$1074,Sheet1!$G:$G,Sheet1!$F:$F,"")),"NOT FOUND"))</f>
        <v>YETKRTSCUT5009</v>
      </c>
      <c r="AF798" s="10" t="str">
        <f t="shared" si="52"/>
        <v>LT. YELLOW</v>
      </c>
      <c r="AG798" s="11" t="str">
        <f t="shared" si="53"/>
        <v>HARIPAL</v>
      </c>
      <c r="AH798" s="9" t="str">
        <f>IF(OR(J798="",AE798="",AE798="NOT FOUND"),"",IF(Y798="RP",IFERROR(LEFT(_xlfn.XLOOKUP(AE798,Sheet1!$F:$F,Sheet1!$W:$W),FIND("-",_xlfn.XLOOKUP(AE798,Sheet1!$F:$F,Sheet1!$W:$W),FIND("-",_xlfn.XLOOKUP(AE798,Sheet1!$F:$F,Sheet1!$W:$W))+1))&amp;AE798,"NOT FOUND"),LEFT(J798,FIND("-",J798,FIND("-",J798)+1))&amp;AE798))</f>
        <v>KRTS-APSU26-YETKRTSCUT5009</v>
      </c>
    </row>
    <row r="799" spans="1:34" ht="15.75" customHeight="1" x14ac:dyDescent="0.2">
      <c r="A799" s="4" t="s">
        <v>61</v>
      </c>
      <c r="B799" s="4" t="s">
        <v>1104</v>
      </c>
      <c r="C799" s="4" t="s">
        <v>1017</v>
      </c>
      <c r="D799" s="4" t="s">
        <v>998</v>
      </c>
      <c r="E799" s="4" t="s">
        <v>34</v>
      </c>
      <c r="F799" s="4" t="s">
        <v>35</v>
      </c>
      <c r="G799" s="4" t="s">
        <v>55</v>
      </c>
      <c r="H799" s="4" t="s">
        <v>1059</v>
      </c>
      <c r="I799" s="4" t="s">
        <v>1060</v>
      </c>
      <c r="J799" s="4" t="s">
        <v>1061</v>
      </c>
      <c r="L799" s="4" t="s">
        <v>40</v>
      </c>
      <c r="M799" s="4">
        <v>1</v>
      </c>
      <c r="N799" s="4">
        <v>40</v>
      </c>
      <c r="O799" s="4">
        <v>40</v>
      </c>
      <c r="P799" s="4" t="s">
        <v>41</v>
      </c>
      <c r="Q799" s="4">
        <v>234.3</v>
      </c>
      <c r="R799" s="4">
        <v>234.3</v>
      </c>
      <c r="S799" s="4">
        <v>468.6</v>
      </c>
      <c r="T799" s="4">
        <v>9372</v>
      </c>
      <c r="U799" s="4">
        <v>5</v>
      </c>
      <c r="V799" s="4" t="s">
        <v>42</v>
      </c>
      <c r="X799" s="7" t="str">
        <f t="shared" si="45"/>
        <v>441853990</v>
      </c>
      <c r="Y799" s="8" t="str">
        <f t="shared" si="46"/>
        <v>DC</v>
      </c>
      <c r="Z799" s="8">
        <f t="shared" si="47"/>
        <v>0</v>
      </c>
      <c r="AA799" s="8">
        <f t="shared" si="48"/>
        <v>0</v>
      </c>
      <c r="AB799" s="8">
        <f t="shared" si="49"/>
        <v>0</v>
      </c>
      <c r="AC799" s="8">
        <f t="shared" si="50"/>
        <v>0</v>
      </c>
      <c r="AD799" s="8">
        <f t="shared" si="51"/>
        <v>40</v>
      </c>
      <c r="AE799" s="9" t="str" cm="1">
        <f t="array" ref="AE799">IFERROR(_xlfn.XLOOKUP(H799,Sheet1!$G:$G,Sheet1!$F:$F),IFERROR(_xlfn.XLOOKUP(1,(--($X$2:$X$1074=X799))*(--ISNUMBER(MATCH($H$2:$H$1074,Sheet1!$G:$G,0))),_xlfn.XLOOKUP($H$2:$H$1074,Sheet1!$G:$G,Sheet1!$F:$F,"")),"NOT FOUND"))</f>
        <v>YETKRTSCUT5009</v>
      </c>
      <c r="AF799" s="10" t="str">
        <f t="shared" si="52"/>
        <v>LT. YELLOW</v>
      </c>
      <c r="AG799" s="11" t="str">
        <f t="shared" si="53"/>
        <v>HARIPAL</v>
      </c>
      <c r="AH799" s="9" t="str">
        <f>IF(OR(J799="",AE799="",AE799="NOT FOUND"),"",IF(Y799="RP",IFERROR(LEFT(_xlfn.XLOOKUP(AE799,Sheet1!$F:$F,Sheet1!$W:$W),FIND("-",_xlfn.XLOOKUP(AE799,Sheet1!$F:$F,Sheet1!$W:$W),FIND("-",_xlfn.XLOOKUP(AE799,Sheet1!$F:$F,Sheet1!$W:$W))+1))&amp;AE799,"NOT FOUND"),LEFT(J799,FIND("-",J799,FIND("-",J799)+1))&amp;AE799))</f>
        <v>KRTS-APSU26-YETKRTSCUT5009</v>
      </c>
    </row>
    <row r="800" spans="1:34" ht="15.75" customHeight="1" x14ac:dyDescent="0.2">
      <c r="A800" s="4" t="s">
        <v>61</v>
      </c>
      <c r="B800" s="4" t="s">
        <v>1105</v>
      </c>
      <c r="C800" s="4" t="s">
        <v>1017</v>
      </c>
      <c r="D800" s="4" t="s">
        <v>998</v>
      </c>
      <c r="E800" s="4" t="s">
        <v>34</v>
      </c>
      <c r="F800" s="4" t="s">
        <v>35</v>
      </c>
      <c r="G800" s="4" t="s">
        <v>36</v>
      </c>
      <c r="H800" s="4" t="s">
        <v>1063</v>
      </c>
      <c r="I800" s="4" t="s">
        <v>1064</v>
      </c>
      <c r="J800" s="4" t="s">
        <v>1065</v>
      </c>
      <c r="L800" s="4" t="s">
        <v>40</v>
      </c>
      <c r="M800" s="4">
        <v>1</v>
      </c>
      <c r="N800" s="4">
        <v>30</v>
      </c>
      <c r="O800" s="4">
        <v>30</v>
      </c>
      <c r="P800" s="4" t="s">
        <v>41</v>
      </c>
      <c r="Q800" s="4">
        <v>234.3</v>
      </c>
      <c r="R800" s="4">
        <v>234.3</v>
      </c>
      <c r="S800" s="4">
        <v>351.45</v>
      </c>
      <c r="T800" s="4">
        <v>7029</v>
      </c>
      <c r="U800" s="4">
        <v>5</v>
      </c>
      <c r="V800" s="4" t="s">
        <v>42</v>
      </c>
      <c r="X800" s="7" t="str">
        <f t="shared" si="45"/>
        <v>441853990</v>
      </c>
      <c r="Y800" s="8" t="str">
        <f t="shared" si="46"/>
        <v>DC</v>
      </c>
      <c r="Z800" s="8">
        <f t="shared" si="47"/>
        <v>30</v>
      </c>
      <c r="AA800" s="8">
        <f t="shared" si="48"/>
        <v>0</v>
      </c>
      <c r="AB800" s="8">
        <f t="shared" si="49"/>
        <v>0</v>
      </c>
      <c r="AC800" s="8">
        <f t="shared" si="50"/>
        <v>0</v>
      </c>
      <c r="AD800" s="8">
        <f t="shared" si="51"/>
        <v>0</v>
      </c>
      <c r="AE800" s="9" t="str" cm="1">
        <f t="array" ref="AE800">IFERROR(_xlfn.XLOOKUP(H800,Sheet1!$G:$G,Sheet1!$F:$F),IFERROR(_xlfn.XLOOKUP(1,(--($X$2:$X$1074=X800))*(--ISNUMBER(MATCH($H$2:$H$1074,Sheet1!$G:$G,0))),_xlfn.XLOOKUP($H$2:$H$1074,Sheet1!$G:$G,Sheet1!$F:$F,"")),"NOT FOUND"))</f>
        <v>YETKRTSCUT5009</v>
      </c>
      <c r="AF800" s="10" t="str">
        <f t="shared" si="52"/>
        <v>CREAM</v>
      </c>
      <c r="AG800" s="11" t="str">
        <f t="shared" si="53"/>
        <v>HARIPAL</v>
      </c>
      <c r="AH800" s="9" t="str">
        <f>IF(OR(J800="",AE800="",AE800="NOT FOUND"),"",IF(Y800="RP",IFERROR(LEFT(_xlfn.XLOOKUP(AE800,Sheet1!$F:$F,Sheet1!$W:$W),FIND("-",_xlfn.XLOOKUP(AE800,Sheet1!$F:$F,Sheet1!$W:$W),FIND("-",_xlfn.XLOOKUP(AE800,Sheet1!$F:$F,Sheet1!$W:$W))+1))&amp;AE800,"NOT FOUND"),LEFT(J800,FIND("-",J800,FIND("-",J800)+1))&amp;AE800))</f>
        <v>KRTS-APSU26-YETKRTSCUT5009</v>
      </c>
    </row>
    <row r="801" spans="1:34" ht="15.75" customHeight="1" x14ac:dyDescent="0.2">
      <c r="A801" s="4" t="s">
        <v>61</v>
      </c>
      <c r="B801" s="4" t="s">
        <v>1105</v>
      </c>
      <c r="C801" s="4" t="s">
        <v>1017</v>
      </c>
      <c r="D801" s="4" t="s">
        <v>998</v>
      </c>
      <c r="E801" s="4" t="s">
        <v>34</v>
      </c>
      <c r="F801" s="4" t="s">
        <v>35</v>
      </c>
      <c r="G801" s="4" t="s">
        <v>43</v>
      </c>
      <c r="H801" s="4" t="s">
        <v>1066</v>
      </c>
      <c r="I801" s="4" t="s">
        <v>1067</v>
      </c>
      <c r="J801" s="4" t="s">
        <v>1068</v>
      </c>
      <c r="L801" s="4" t="s">
        <v>40</v>
      </c>
      <c r="M801" s="4">
        <v>1</v>
      </c>
      <c r="N801" s="4">
        <v>161</v>
      </c>
      <c r="O801" s="4">
        <v>161</v>
      </c>
      <c r="P801" s="4" t="s">
        <v>41</v>
      </c>
      <c r="Q801" s="4">
        <v>234.3</v>
      </c>
      <c r="R801" s="4">
        <v>234.3</v>
      </c>
      <c r="S801" s="4">
        <v>1886.12</v>
      </c>
      <c r="T801" s="4">
        <v>37722.300000000003</v>
      </c>
      <c r="U801" s="4">
        <v>5</v>
      </c>
      <c r="V801" s="4" t="s">
        <v>42</v>
      </c>
      <c r="X801" s="7" t="str">
        <f t="shared" si="45"/>
        <v>441853990</v>
      </c>
      <c r="Y801" s="8" t="str">
        <f t="shared" si="46"/>
        <v>DC</v>
      </c>
      <c r="Z801" s="8">
        <f t="shared" si="47"/>
        <v>0</v>
      </c>
      <c r="AA801" s="8">
        <f t="shared" si="48"/>
        <v>161</v>
      </c>
      <c r="AB801" s="8">
        <f t="shared" si="49"/>
        <v>0</v>
      </c>
      <c r="AC801" s="8">
        <f t="shared" si="50"/>
        <v>0</v>
      </c>
      <c r="AD801" s="8">
        <f t="shared" si="51"/>
        <v>0</v>
      </c>
      <c r="AE801" s="9" t="str" cm="1">
        <f t="array" ref="AE801">IFERROR(_xlfn.XLOOKUP(H801,Sheet1!$G:$G,Sheet1!$F:$F),IFERROR(_xlfn.XLOOKUP(1,(--($X$2:$X$1074=X801))*(--ISNUMBER(MATCH($H$2:$H$1074,Sheet1!$G:$G,0))),_xlfn.XLOOKUP($H$2:$H$1074,Sheet1!$G:$G,Sheet1!$F:$F,"")),"NOT FOUND"))</f>
        <v>YETKRTSCUT5009</v>
      </c>
      <c r="AF801" s="10" t="str">
        <f t="shared" si="52"/>
        <v>CREAM</v>
      </c>
      <c r="AG801" s="11" t="str">
        <f t="shared" si="53"/>
        <v>HARIPAL</v>
      </c>
      <c r="AH801" s="9" t="str">
        <f>IF(OR(J801="",AE801="",AE801="NOT FOUND"),"",IF(Y801="RP",IFERROR(LEFT(_xlfn.XLOOKUP(AE801,Sheet1!$F:$F,Sheet1!$W:$W),FIND("-",_xlfn.XLOOKUP(AE801,Sheet1!$F:$F,Sheet1!$W:$W),FIND("-",_xlfn.XLOOKUP(AE801,Sheet1!$F:$F,Sheet1!$W:$W))+1))&amp;AE801,"NOT FOUND"),LEFT(J801,FIND("-",J801,FIND("-",J801)+1))&amp;AE801))</f>
        <v>KRTS-APSU26-YETKRTSCUT5009</v>
      </c>
    </row>
    <row r="802" spans="1:34" ht="15.75" customHeight="1" x14ac:dyDescent="0.2">
      <c r="A802" s="4" t="s">
        <v>61</v>
      </c>
      <c r="B802" s="4" t="s">
        <v>1105</v>
      </c>
      <c r="C802" s="4" t="s">
        <v>1017</v>
      </c>
      <c r="D802" s="4" t="s">
        <v>998</v>
      </c>
      <c r="E802" s="4" t="s">
        <v>34</v>
      </c>
      <c r="F802" s="4" t="s">
        <v>35</v>
      </c>
      <c r="G802" s="4" t="s">
        <v>47</v>
      </c>
      <c r="H802" s="4" t="s">
        <v>1069</v>
      </c>
      <c r="I802" s="4" t="s">
        <v>1070</v>
      </c>
      <c r="J802" s="4" t="s">
        <v>1071</v>
      </c>
      <c r="L802" s="4" t="s">
        <v>40</v>
      </c>
      <c r="M802" s="4">
        <v>1</v>
      </c>
      <c r="N802" s="4">
        <v>182</v>
      </c>
      <c r="O802" s="4">
        <v>182</v>
      </c>
      <c r="P802" s="4" t="s">
        <v>41</v>
      </c>
      <c r="Q802" s="4">
        <v>234.3</v>
      </c>
      <c r="R802" s="4">
        <v>234.3</v>
      </c>
      <c r="S802" s="4">
        <v>2132.13</v>
      </c>
      <c r="T802" s="4">
        <v>42642.6</v>
      </c>
      <c r="U802" s="4">
        <v>5</v>
      </c>
      <c r="V802" s="4" t="s">
        <v>42</v>
      </c>
      <c r="X802" s="7" t="str">
        <f t="shared" si="45"/>
        <v>441853990</v>
      </c>
      <c r="Y802" s="8" t="str">
        <f t="shared" si="46"/>
        <v>DC</v>
      </c>
      <c r="Z802" s="8">
        <f t="shared" si="47"/>
        <v>0</v>
      </c>
      <c r="AA802" s="8">
        <f t="shared" si="48"/>
        <v>0</v>
      </c>
      <c r="AB802" s="8">
        <f t="shared" si="49"/>
        <v>182</v>
      </c>
      <c r="AC802" s="8">
        <f t="shared" si="50"/>
        <v>0</v>
      </c>
      <c r="AD802" s="8">
        <f t="shared" si="51"/>
        <v>0</v>
      </c>
      <c r="AE802" s="9" t="str" cm="1">
        <f t="array" ref="AE802">IFERROR(_xlfn.XLOOKUP(H802,Sheet1!$G:$G,Sheet1!$F:$F),IFERROR(_xlfn.XLOOKUP(1,(--($X$2:$X$1074=X802))*(--ISNUMBER(MATCH($H$2:$H$1074,Sheet1!$G:$G,0))),_xlfn.XLOOKUP($H$2:$H$1074,Sheet1!$G:$G,Sheet1!$F:$F,"")),"NOT FOUND"))</f>
        <v>YETKRTSCUT5009</v>
      </c>
      <c r="AF802" s="10" t="str">
        <f t="shared" si="52"/>
        <v>CREAM</v>
      </c>
      <c r="AG802" s="11" t="str">
        <f t="shared" si="53"/>
        <v>HARIPAL</v>
      </c>
      <c r="AH802" s="9" t="str">
        <f>IF(OR(J802="",AE802="",AE802="NOT FOUND"),"",IF(Y802="RP",IFERROR(LEFT(_xlfn.XLOOKUP(AE802,Sheet1!$F:$F,Sheet1!$W:$W),FIND("-",_xlfn.XLOOKUP(AE802,Sheet1!$F:$F,Sheet1!$W:$W),FIND("-",_xlfn.XLOOKUP(AE802,Sheet1!$F:$F,Sheet1!$W:$W))+1))&amp;AE802,"NOT FOUND"),LEFT(J802,FIND("-",J802,FIND("-",J802)+1))&amp;AE802))</f>
        <v>KRTS-APSU26-YETKRTSCUT5009</v>
      </c>
    </row>
    <row r="803" spans="1:34" ht="15.75" customHeight="1" x14ac:dyDescent="0.2">
      <c r="A803" s="4" t="s">
        <v>61</v>
      </c>
      <c r="B803" s="4" t="s">
        <v>1105</v>
      </c>
      <c r="C803" s="4" t="s">
        <v>1017</v>
      </c>
      <c r="D803" s="4" t="s">
        <v>998</v>
      </c>
      <c r="E803" s="4" t="s">
        <v>34</v>
      </c>
      <c r="F803" s="4" t="s">
        <v>35</v>
      </c>
      <c r="G803" s="4" t="s">
        <v>51</v>
      </c>
      <c r="H803" s="4" t="s">
        <v>1072</v>
      </c>
      <c r="I803" s="4" t="s">
        <v>1073</v>
      </c>
      <c r="J803" s="4" t="s">
        <v>1074</v>
      </c>
      <c r="L803" s="4" t="s">
        <v>40</v>
      </c>
      <c r="M803" s="4">
        <v>1</v>
      </c>
      <c r="N803" s="4">
        <v>212</v>
      </c>
      <c r="O803" s="4">
        <v>212</v>
      </c>
      <c r="P803" s="4" t="s">
        <v>41</v>
      </c>
      <c r="Q803" s="4">
        <v>234.3</v>
      </c>
      <c r="R803" s="4">
        <v>234.3</v>
      </c>
      <c r="S803" s="4">
        <v>2483.58</v>
      </c>
      <c r="T803" s="4">
        <v>49671.6</v>
      </c>
      <c r="U803" s="4">
        <v>5</v>
      </c>
      <c r="V803" s="4" t="s">
        <v>42</v>
      </c>
      <c r="X803" s="7" t="str">
        <f t="shared" si="45"/>
        <v>441853990</v>
      </c>
      <c r="Y803" s="8" t="str">
        <f t="shared" si="46"/>
        <v>DC</v>
      </c>
      <c r="Z803" s="8">
        <f t="shared" si="47"/>
        <v>0</v>
      </c>
      <c r="AA803" s="8">
        <f t="shared" si="48"/>
        <v>0</v>
      </c>
      <c r="AB803" s="8">
        <f t="shared" si="49"/>
        <v>0</v>
      </c>
      <c r="AC803" s="8">
        <f t="shared" si="50"/>
        <v>212</v>
      </c>
      <c r="AD803" s="8">
        <f t="shared" si="51"/>
        <v>0</v>
      </c>
      <c r="AE803" s="9" t="str" cm="1">
        <f t="array" ref="AE803">IFERROR(_xlfn.XLOOKUP(H803,Sheet1!$G:$G,Sheet1!$F:$F),IFERROR(_xlfn.XLOOKUP(1,(--($X$2:$X$1074=X803))*(--ISNUMBER(MATCH($H$2:$H$1074,Sheet1!$G:$G,0))),_xlfn.XLOOKUP($H$2:$H$1074,Sheet1!$G:$G,Sheet1!$F:$F,"")),"NOT FOUND"))</f>
        <v>YETKRTSCUT5009</v>
      </c>
      <c r="AF803" s="10" t="str">
        <f t="shared" si="52"/>
        <v>CREAM</v>
      </c>
      <c r="AG803" s="11" t="str">
        <f t="shared" si="53"/>
        <v>HARIPAL</v>
      </c>
      <c r="AH803" s="9" t="str">
        <f>IF(OR(J803="",AE803="",AE803="NOT FOUND"),"",IF(Y803="RP",IFERROR(LEFT(_xlfn.XLOOKUP(AE803,Sheet1!$F:$F,Sheet1!$W:$W),FIND("-",_xlfn.XLOOKUP(AE803,Sheet1!$F:$F,Sheet1!$W:$W),FIND("-",_xlfn.XLOOKUP(AE803,Sheet1!$F:$F,Sheet1!$W:$W))+1))&amp;AE803,"NOT FOUND"),LEFT(J803,FIND("-",J803,FIND("-",J803)+1))&amp;AE803))</f>
        <v>KRTS-APSU26-YETKRTSCUT5009</v>
      </c>
    </row>
    <row r="804" spans="1:34" ht="15.75" customHeight="1" x14ac:dyDescent="0.2">
      <c r="A804" s="4" t="s">
        <v>61</v>
      </c>
      <c r="B804" s="4" t="s">
        <v>1105</v>
      </c>
      <c r="C804" s="4" t="s">
        <v>1017</v>
      </c>
      <c r="D804" s="4" t="s">
        <v>998</v>
      </c>
      <c r="E804" s="4" t="s">
        <v>34</v>
      </c>
      <c r="F804" s="4" t="s">
        <v>35</v>
      </c>
      <c r="G804" s="4" t="s">
        <v>55</v>
      </c>
      <c r="H804" s="4" t="s">
        <v>1075</v>
      </c>
      <c r="I804" s="4" t="s">
        <v>1076</v>
      </c>
      <c r="J804" s="4" t="s">
        <v>1077</v>
      </c>
      <c r="L804" s="4" t="s">
        <v>40</v>
      </c>
      <c r="M804" s="4">
        <v>1</v>
      </c>
      <c r="N804" s="4">
        <v>40</v>
      </c>
      <c r="O804" s="4">
        <v>40</v>
      </c>
      <c r="P804" s="4" t="s">
        <v>41</v>
      </c>
      <c r="Q804" s="4">
        <v>234.3</v>
      </c>
      <c r="R804" s="4">
        <v>234.3</v>
      </c>
      <c r="S804" s="4">
        <v>468.6</v>
      </c>
      <c r="T804" s="4">
        <v>9372</v>
      </c>
      <c r="U804" s="4">
        <v>5</v>
      </c>
      <c r="V804" s="4" t="s">
        <v>42</v>
      </c>
      <c r="X804" s="7" t="str">
        <f t="shared" si="45"/>
        <v>441853990</v>
      </c>
      <c r="Y804" s="8" t="str">
        <f t="shared" si="46"/>
        <v>DC</v>
      </c>
      <c r="Z804" s="8">
        <f t="shared" si="47"/>
        <v>0</v>
      </c>
      <c r="AA804" s="8">
        <f t="shared" si="48"/>
        <v>0</v>
      </c>
      <c r="AB804" s="8">
        <f t="shared" si="49"/>
        <v>0</v>
      </c>
      <c r="AC804" s="8">
        <f t="shared" si="50"/>
        <v>0</v>
      </c>
      <c r="AD804" s="8">
        <f t="shared" si="51"/>
        <v>40</v>
      </c>
      <c r="AE804" s="9" t="str" cm="1">
        <f t="array" ref="AE804">IFERROR(_xlfn.XLOOKUP(H804,Sheet1!$G:$G,Sheet1!$F:$F),IFERROR(_xlfn.XLOOKUP(1,(--($X$2:$X$1074=X804))*(--ISNUMBER(MATCH($H$2:$H$1074,Sheet1!$G:$G,0))),_xlfn.XLOOKUP($H$2:$H$1074,Sheet1!$G:$G,Sheet1!$F:$F,"")),"NOT FOUND"))</f>
        <v>YETKRTSCUT5009</v>
      </c>
      <c r="AF804" s="10" t="str">
        <f t="shared" si="52"/>
        <v>CREAM</v>
      </c>
      <c r="AG804" s="11" t="str">
        <f t="shared" si="53"/>
        <v>HARIPAL</v>
      </c>
      <c r="AH804" s="9" t="str">
        <f>IF(OR(J804="",AE804="",AE804="NOT FOUND"),"",IF(Y804="RP",IFERROR(LEFT(_xlfn.XLOOKUP(AE804,Sheet1!$F:$F,Sheet1!$W:$W),FIND("-",_xlfn.XLOOKUP(AE804,Sheet1!$F:$F,Sheet1!$W:$W),FIND("-",_xlfn.XLOOKUP(AE804,Sheet1!$F:$F,Sheet1!$W:$W))+1))&amp;AE804,"NOT FOUND"),LEFT(J804,FIND("-",J804,FIND("-",J804)+1))&amp;AE804))</f>
        <v>KRTS-APSU26-YETKRTSCUT5009</v>
      </c>
    </row>
    <row r="805" spans="1:34" ht="15.75" customHeight="1" x14ac:dyDescent="0.2">
      <c r="A805" s="4" t="s">
        <v>61</v>
      </c>
      <c r="B805" s="4" t="s">
        <v>1106</v>
      </c>
      <c r="C805" s="4" t="s">
        <v>1017</v>
      </c>
      <c r="D805" s="4" t="s">
        <v>998</v>
      </c>
      <c r="E805" s="4" t="s">
        <v>34</v>
      </c>
      <c r="F805" s="4" t="s">
        <v>35</v>
      </c>
      <c r="G805" s="4" t="s">
        <v>36</v>
      </c>
      <c r="H805" s="4" t="s">
        <v>1080</v>
      </c>
      <c r="I805" s="4" t="s">
        <v>1081</v>
      </c>
      <c r="J805" s="4" t="s">
        <v>1082</v>
      </c>
      <c r="L805" s="4" t="s">
        <v>40</v>
      </c>
      <c r="M805" s="4">
        <v>1</v>
      </c>
      <c r="N805" s="4">
        <v>30</v>
      </c>
      <c r="O805" s="4">
        <v>30</v>
      </c>
      <c r="P805" s="4" t="s">
        <v>41</v>
      </c>
      <c r="Q805" s="4">
        <v>234.3</v>
      </c>
      <c r="R805" s="4">
        <v>234.3</v>
      </c>
      <c r="S805" s="4">
        <v>351.45</v>
      </c>
      <c r="T805" s="4">
        <v>7029</v>
      </c>
      <c r="U805" s="4">
        <v>5</v>
      </c>
      <c r="V805" s="4" t="s">
        <v>42</v>
      </c>
      <c r="X805" s="7" t="str">
        <f t="shared" si="45"/>
        <v>441853990</v>
      </c>
      <c r="Y805" s="8" t="str">
        <f t="shared" si="46"/>
        <v>DC</v>
      </c>
      <c r="Z805" s="8">
        <f t="shared" si="47"/>
        <v>30</v>
      </c>
      <c r="AA805" s="8">
        <f t="shared" si="48"/>
        <v>0</v>
      </c>
      <c r="AB805" s="8">
        <f t="shared" si="49"/>
        <v>0</v>
      </c>
      <c r="AC805" s="8">
        <f t="shared" si="50"/>
        <v>0</v>
      </c>
      <c r="AD805" s="8">
        <f t="shared" si="51"/>
        <v>0</v>
      </c>
      <c r="AE805" s="9" t="str" cm="1">
        <f t="array" ref="AE805">IFERROR(_xlfn.XLOOKUP(H805,Sheet1!$G:$G,Sheet1!$F:$F),IFERROR(_xlfn.XLOOKUP(1,(--($X$2:$X$1074=X805))*(--ISNUMBER(MATCH($H$2:$H$1074,Sheet1!$G:$G,0))),_xlfn.XLOOKUP($H$2:$H$1074,Sheet1!$G:$G,Sheet1!$F:$F,"")),"NOT FOUND"))</f>
        <v>YETKRTSCUT5009</v>
      </c>
      <c r="AF805" s="10" t="str">
        <f t="shared" si="52"/>
        <v>BLUE</v>
      </c>
      <c r="AG805" s="11" t="str">
        <f t="shared" si="53"/>
        <v>HARIPAL</v>
      </c>
      <c r="AH805" s="9" t="str">
        <f>IF(OR(J805="",AE805="",AE805="NOT FOUND"),"",IF(Y805="RP",IFERROR(LEFT(_xlfn.XLOOKUP(AE805,Sheet1!$F:$F,Sheet1!$W:$W),FIND("-",_xlfn.XLOOKUP(AE805,Sheet1!$F:$F,Sheet1!$W:$W),FIND("-",_xlfn.XLOOKUP(AE805,Sheet1!$F:$F,Sheet1!$W:$W))+1))&amp;AE805,"NOT FOUND"),LEFT(J805,FIND("-",J805,FIND("-",J805)+1))&amp;AE805))</f>
        <v>KRTS-APSU26-YETKRTSCUT5009</v>
      </c>
    </row>
    <row r="806" spans="1:34" ht="15.75" customHeight="1" x14ac:dyDescent="0.2">
      <c r="A806" s="4" t="s">
        <v>61</v>
      </c>
      <c r="B806" s="4" t="s">
        <v>1106</v>
      </c>
      <c r="C806" s="4" t="s">
        <v>1017</v>
      </c>
      <c r="D806" s="4" t="s">
        <v>998</v>
      </c>
      <c r="E806" s="4" t="s">
        <v>34</v>
      </c>
      <c r="F806" s="4" t="s">
        <v>35</v>
      </c>
      <c r="G806" s="4" t="s">
        <v>43</v>
      </c>
      <c r="H806" s="4" t="s">
        <v>1083</v>
      </c>
      <c r="I806" s="4" t="s">
        <v>1084</v>
      </c>
      <c r="J806" s="4" t="s">
        <v>1085</v>
      </c>
      <c r="L806" s="4" t="s">
        <v>40</v>
      </c>
      <c r="M806" s="4">
        <v>1</v>
      </c>
      <c r="N806" s="4">
        <v>161</v>
      </c>
      <c r="O806" s="4">
        <v>161</v>
      </c>
      <c r="P806" s="4" t="s">
        <v>41</v>
      </c>
      <c r="Q806" s="4">
        <v>234.3</v>
      </c>
      <c r="R806" s="4">
        <v>234.3</v>
      </c>
      <c r="S806" s="4">
        <v>1886.12</v>
      </c>
      <c r="T806" s="4">
        <v>37722.300000000003</v>
      </c>
      <c r="U806" s="4">
        <v>5</v>
      </c>
      <c r="V806" s="4" t="s">
        <v>42</v>
      </c>
      <c r="X806" s="7" t="str">
        <f t="shared" si="45"/>
        <v>441853990</v>
      </c>
      <c r="Y806" s="8" t="str">
        <f t="shared" si="46"/>
        <v>DC</v>
      </c>
      <c r="Z806" s="8">
        <f t="shared" si="47"/>
        <v>0</v>
      </c>
      <c r="AA806" s="8">
        <f t="shared" si="48"/>
        <v>161</v>
      </c>
      <c r="AB806" s="8">
        <f t="shared" si="49"/>
        <v>0</v>
      </c>
      <c r="AC806" s="8">
        <f t="shared" si="50"/>
        <v>0</v>
      </c>
      <c r="AD806" s="8">
        <f t="shared" si="51"/>
        <v>0</v>
      </c>
      <c r="AE806" s="9" t="str" cm="1">
        <f t="array" ref="AE806">IFERROR(_xlfn.XLOOKUP(H806,Sheet1!$G:$G,Sheet1!$F:$F),IFERROR(_xlfn.XLOOKUP(1,(--($X$2:$X$1074=X806))*(--ISNUMBER(MATCH($H$2:$H$1074,Sheet1!$G:$G,0))),_xlfn.XLOOKUP($H$2:$H$1074,Sheet1!$G:$G,Sheet1!$F:$F,"")),"NOT FOUND"))</f>
        <v>YETKRTSCUT5009</v>
      </c>
      <c r="AF806" s="10" t="str">
        <f t="shared" si="52"/>
        <v>BLUE</v>
      </c>
      <c r="AG806" s="11" t="str">
        <f t="shared" si="53"/>
        <v>HARIPAL</v>
      </c>
      <c r="AH806" s="9" t="str">
        <f>IF(OR(J806="",AE806="",AE806="NOT FOUND"),"",IF(Y806="RP",IFERROR(LEFT(_xlfn.XLOOKUP(AE806,Sheet1!$F:$F,Sheet1!$W:$W),FIND("-",_xlfn.XLOOKUP(AE806,Sheet1!$F:$F,Sheet1!$W:$W),FIND("-",_xlfn.XLOOKUP(AE806,Sheet1!$F:$F,Sheet1!$W:$W))+1))&amp;AE806,"NOT FOUND"),LEFT(J806,FIND("-",J806,FIND("-",J806)+1))&amp;AE806))</f>
        <v>KRTS-APSU26-YETKRTSCUT5009</v>
      </c>
    </row>
    <row r="807" spans="1:34" ht="15.75" customHeight="1" x14ac:dyDescent="0.2">
      <c r="A807" s="4" t="s">
        <v>61</v>
      </c>
      <c r="B807" s="4" t="s">
        <v>1106</v>
      </c>
      <c r="C807" s="4" t="s">
        <v>1017</v>
      </c>
      <c r="D807" s="4" t="s">
        <v>998</v>
      </c>
      <c r="E807" s="4" t="s">
        <v>34</v>
      </c>
      <c r="F807" s="4" t="s">
        <v>35</v>
      </c>
      <c r="G807" s="4" t="s">
        <v>47</v>
      </c>
      <c r="H807" s="4" t="s">
        <v>1086</v>
      </c>
      <c r="I807" s="4" t="s">
        <v>1087</v>
      </c>
      <c r="J807" s="4" t="s">
        <v>1088</v>
      </c>
      <c r="L807" s="4" t="s">
        <v>40</v>
      </c>
      <c r="M807" s="4">
        <v>1</v>
      </c>
      <c r="N807" s="4">
        <v>182</v>
      </c>
      <c r="O807" s="4">
        <v>182</v>
      </c>
      <c r="P807" s="4" t="s">
        <v>41</v>
      </c>
      <c r="Q807" s="4">
        <v>234.3</v>
      </c>
      <c r="R807" s="4">
        <v>234.3</v>
      </c>
      <c r="S807" s="4">
        <v>2132.13</v>
      </c>
      <c r="T807" s="4">
        <v>42642.6</v>
      </c>
      <c r="U807" s="4">
        <v>5</v>
      </c>
      <c r="V807" s="4" t="s">
        <v>42</v>
      </c>
      <c r="X807" s="7" t="str">
        <f t="shared" si="45"/>
        <v>441853990</v>
      </c>
      <c r="Y807" s="8" t="str">
        <f t="shared" si="46"/>
        <v>DC</v>
      </c>
      <c r="Z807" s="8">
        <f t="shared" si="47"/>
        <v>0</v>
      </c>
      <c r="AA807" s="8">
        <f t="shared" si="48"/>
        <v>0</v>
      </c>
      <c r="AB807" s="8">
        <f t="shared" si="49"/>
        <v>182</v>
      </c>
      <c r="AC807" s="8">
        <f t="shared" si="50"/>
        <v>0</v>
      </c>
      <c r="AD807" s="8">
        <f t="shared" si="51"/>
        <v>0</v>
      </c>
      <c r="AE807" s="9" t="str" cm="1">
        <f t="array" ref="AE807">IFERROR(_xlfn.XLOOKUP(H807,Sheet1!$G:$G,Sheet1!$F:$F),IFERROR(_xlfn.XLOOKUP(1,(--($X$2:$X$1074=X807))*(--ISNUMBER(MATCH($H$2:$H$1074,Sheet1!$G:$G,0))),_xlfn.XLOOKUP($H$2:$H$1074,Sheet1!$G:$G,Sheet1!$F:$F,"")),"NOT FOUND"))</f>
        <v>YETKRTSCUT5009</v>
      </c>
      <c r="AF807" s="10" t="str">
        <f t="shared" si="52"/>
        <v>BLUE</v>
      </c>
      <c r="AG807" s="11" t="str">
        <f t="shared" si="53"/>
        <v>HARIPAL</v>
      </c>
      <c r="AH807" s="9" t="str">
        <f>IF(OR(J807="",AE807="",AE807="NOT FOUND"),"",IF(Y807="RP",IFERROR(LEFT(_xlfn.XLOOKUP(AE807,Sheet1!$F:$F,Sheet1!$W:$W),FIND("-",_xlfn.XLOOKUP(AE807,Sheet1!$F:$F,Sheet1!$W:$W),FIND("-",_xlfn.XLOOKUP(AE807,Sheet1!$F:$F,Sheet1!$W:$W))+1))&amp;AE807,"NOT FOUND"),LEFT(J807,FIND("-",J807,FIND("-",J807)+1))&amp;AE807))</f>
        <v>KRTS-APSU26-YETKRTSCUT5009</v>
      </c>
    </row>
    <row r="808" spans="1:34" ht="15.75" customHeight="1" x14ac:dyDescent="0.2">
      <c r="A808" s="4" t="s">
        <v>61</v>
      </c>
      <c r="B808" s="4" t="s">
        <v>1106</v>
      </c>
      <c r="C808" s="4" t="s">
        <v>1017</v>
      </c>
      <c r="D808" s="4" t="s">
        <v>998</v>
      </c>
      <c r="E808" s="4" t="s">
        <v>34</v>
      </c>
      <c r="F808" s="4" t="s">
        <v>35</v>
      </c>
      <c r="G808" s="4" t="s">
        <v>51</v>
      </c>
      <c r="H808" s="4" t="s">
        <v>1089</v>
      </c>
      <c r="I808" s="4" t="s">
        <v>1090</v>
      </c>
      <c r="J808" s="4" t="s">
        <v>1091</v>
      </c>
      <c r="L808" s="4" t="s">
        <v>40</v>
      </c>
      <c r="M808" s="4">
        <v>1</v>
      </c>
      <c r="N808" s="4">
        <v>212</v>
      </c>
      <c r="O808" s="4">
        <v>212</v>
      </c>
      <c r="P808" s="4" t="s">
        <v>41</v>
      </c>
      <c r="Q808" s="4">
        <v>234.3</v>
      </c>
      <c r="R808" s="4">
        <v>234.3</v>
      </c>
      <c r="S808" s="4">
        <v>2483.58</v>
      </c>
      <c r="T808" s="4">
        <v>49671.6</v>
      </c>
      <c r="U808" s="4">
        <v>5</v>
      </c>
      <c r="V808" s="4" t="s">
        <v>42</v>
      </c>
      <c r="X808" s="7" t="str">
        <f t="shared" si="45"/>
        <v>441853990</v>
      </c>
      <c r="Y808" s="8" t="str">
        <f t="shared" si="46"/>
        <v>DC</v>
      </c>
      <c r="Z808" s="8">
        <f t="shared" si="47"/>
        <v>0</v>
      </c>
      <c r="AA808" s="8">
        <f t="shared" si="48"/>
        <v>0</v>
      </c>
      <c r="AB808" s="8">
        <f t="shared" si="49"/>
        <v>0</v>
      </c>
      <c r="AC808" s="8">
        <f t="shared" si="50"/>
        <v>212</v>
      </c>
      <c r="AD808" s="8">
        <f t="shared" si="51"/>
        <v>0</v>
      </c>
      <c r="AE808" s="9" t="str" cm="1">
        <f t="array" ref="AE808">IFERROR(_xlfn.XLOOKUP(H808,Sheet1!$G:$G,Sheet1!$F:$F),IFERROR(_xlfn.XLOOKUP(1,(--($X$2:$X$1074=X808))*(--ISNUMBER(MATCH($H$2:$H$1074,Sheet1!$G:$G,0))),_xlfn.XLOOKUP($H$2:$H$1074,Sheet1!$G:$G,Sheet1!$F:$F,"")),"NOT FOUND"))</f>
        <v>YETKRTSCUT5009</v>
      </c>
      <c r="AF808" s="10" t="str">
        <f t="shared" si="52"/>
        <v>BLUE</v>
      </c>
      <c r="AG808" s="11" t="str">
        <f t="shared" si="53"/>
        <v>HARIPAL</v>
      </c>
      <c r="AH808" s="9" t="str">
        <f>IF(OR(J808="",AE808="",AE808="NOT FOUND"),"",IF(Y808="RP",IFERROR(LEFT(_xlfn.XLOOKUP(AE808,Sheet1!$F:$F,Sheet1!$W:$W),FIND("-",_xlfn.XLOOKUP(AE808,Sheet1!$F:$F,Sheet1!$W:$W),FIND("-",_xlfn.XLOOKUP(AE808,Sheet1!$F:$F,Sheet1!$W:$W))+1))&amp;AE808,"NOT FOUND"),LEFT(J808,FIND("-",J808,FIND("-",J808)+1))&amp;AE808))</f>
        <v>KRTS-APSU26-YETKRTSCUT5009</v>
      </c>
    </row>
    <row r="809" spans="1:34" ht="15.75" customHeight="1" x14ac:dyDescent="0.2">
      <c r="A809" s="4" t="s">
        <v>61</v>
      </c>
      <c r="B809" s="4" t="s">
        <v>1106</v>
      </c>
      <c r="C809" s="4" t="s">
        <v>1017</v>
      </c>
      <c r="D809" s="4" t="s">
        <v>998</v>
      </c>
      <c r="E809" s="4" t="s">
        <v>34</v>
      </c>
      <c r="F809" s="4" t="s">
        <v>35</v>
      </c>
      <c r="G809" s="4" t="s">
        <v>55</v>
      </c>
      <c r="H809" s="4" t="s">
        <v>1092</v>
      </c>
      <c r="I809" s="4" t="s">
        <v>1093</v>
      </c>
      <c r="J809" s="4" t="s">
        <v>1094</v>
      </c>
      <c r="L809" s="4" t="s">
        <v>40</v>
      </c>
      <c r="M809" s="4">
        <v>1</v>
      </c>
      <c r="N809" s="4">
        <v>40</v>
      </c>
      <c r="O809" s="4">
        <v>40</v>
      </c>
      <c r="P809" s="4" t="s">
        <v>41</v>
      </c>
      <c r="Q809" s="4">
        <v>234.3</v>
      </c>
      <c r="R809" s="4">
        <v>234.3</v>
      </c>
      <c r="S809" s="4">
        <v>468.6</v>
      </c>
      <c r="T809" s="4">
        <v>9372</v>
      </c>
      <c r="U809" s="4">
        <v>5</v>
      </c>
      <c r="V809" s="4" t="s">
        <v>42</v>
      </c>
      <c r="X809" s="7" t="str">
        <f t="shared" si="45"/>
        <v>441853990</v>
      </c>
      <c r="Y809" s="8" t="str">
        <f t="shared" si="46"/>
        <v>DC</v>
      </c>
      <c r="Z809" s="8">
        <f t="shared" si="47"/>
        <v>0</v>
      </c>
      <c r="AA809" s="8">
        <f t="shared" si="48"/>
        <v>0</v>
      </c>
      <c r="AB809" s="8">
        <f t="shared" si="49"/>
        <v>0</v>
      </c>
      <c r="AC809" s="8">
        <f t="shared" si="50"/>
        <v>0</v>
      </c>
      <c r="AD809" s="8">
        <f t="shared" si="51"/>
        <v>40</v>
      </c>
      <c r="AE809" s="9" t="str" cm="1">
        <f t="array" ref="AE809">IFERROR(_xlfn.XLOOKUP(H809,Sheet1!$G:$G,Sheet1!$F:$F),IFERROR(_xlfn.XLOOKUP(1,(--($X$2:$X$1074=X809))*(--ISNUMBER(MATCH($H$2:$H$1074,Sheet1!$G:$G,0))),_xlfn.XLOOKUP($H$2:$H$1074,Sheet1!$G:$G,Sheet1!$F:$F,"")),"NOT FOUND"))</f>
        <v>YETKRTSCUT5009</v>
      </c>
      <c r="AF809" s="10" t="str">
        <f t="shared" si="52"/>
        <v>BLUE</v>
      </c>
      <c r="AG809" s="11" t="str">
        <f t="shared" si="53"/>
        <v>HARIPAL</v>
      </c>
      <c r="AH809" s="9" t="str">
        <f>IF(OR(J809="",AE809="",AE809="NOT FOUND"),"",IF(Y809="RP",IFERROR(LEFT(_xlfn.XLOOKUP(AE809,Sheet1!$F:$F,Sheet1!$W:$W),FIND("-",_xlfn.XLOOKUP(AE809,Sheet1!$F:$F,Sheet1!$W:$W),FIND("-",_xlfn.XLOOKUP(AE809,Sheet1!$F:$F,Sheet1!$W:$W))+1))&amp;AE809,"NOT FOUND"),LEFT(J809,FIND("-",J809,FIND("-",J809)+1))&amp;AE809))</f>
        <v>KRTS-APSU26-YETKRTSCUT5009</v>
      </c>
    </row>
    <row r="810" spans="1:34" ht="15.75" customHeight="1" x14ac:dyDescent="0.2">
      <c r="A810" s="4" t="s">
        <v>30</v>
      </c>
      <c r="B810" s="4" t="s">
        <v>1107</v>
      </c>
      <c r="C810" s="4" t="s">
        <v>1017</v>
      </c>
      <c r="D810" s="4" t="s">
        <v>998</v>
      </c>
      <c r="E810" s="4" t="s">
        <v>34</v>
      </c>
      <c r="F810" s="4" t="s">
        <v>35</v>
      </c>
      <c r="G810" s="4" t="s">
        <v>36</v>
      </c>
      <c r="H810" s="4" t="s">
        <v>1108</v>
      </c>
      <c r="I810" s="4" t="s">
        <v>1109</v>
      </c>
      <c r="J810" s="4" t="s">
        <v>1110</v>
      </c>
      <c r="L810" s="4" t="s">
        <v>40</v>
      </c>
      <c r="M810" s="4">
        <v>1</v>
      </c>
      <c r="N810" s="4">
        <v>30</v>
      </c>
      <c r="O810" s="4">
        <v>30</v>
      </c>
      <c r="P810" s="4" t="s">
        <v>41</v>
      </c>
      <c r="Q810" s="4">
        <v>234.3</v>
      </c>
      <c r="R810" s="4">
        <v>234.3</v>
      </c>
      <c r="S810" s="4">
        <v>351.45</v>
      </c>
      <c r="T810" s="4">
        <v>7029</v>
      </c>
      <c r="U810" s="4">
        <v>5</v>
      </c>
      <c r="V810" s="4" t="s">
        <v>42</v>
      </c>
      <c r="X810" s="7" t="str">
        <f t="shared" si="45"/>
        <v>441853990</v>
      </c>
      <c r="Y810" s="8" t="str">
        <f t="shared" si="46"/>
        <v>DC</v>
      </c>
      <c r="Z810" s="8">
        <f t="shared" si="47"/>
        <v>30</v>
      </c>
      <c r="AA810" s="8">
        <f t="shared" si="48"/>
        <v>0</v>
      </c>
      <c r="AB810" s="8">
        <f t="shared" si="49"/>
        <v>0</v>
      </c>
      <c r="AC810" s="8">
        <f t="shared" si="50"/>
        <v>0</v>
      </c>
      <c r="AD810" s="8">
        <f t="shared" si="51"/>
        <v>0</v>
      </c>
      <c r="AE810" s="9" t="str" cm="1">
        <f t="array" ref="AE810">IFERROR(_xlfn.XLOOKUP(H810,Sheet1!$G:$G,Sheet1!$F:$F),IFERROR(_xlfn.XLOOKUP(1,(--($X$2:$X$1074=X810))*(--ISNUMBER(MATCH($H$2:$H$1074,Sheet1!$G:$G,0))),_xlfn.XLOOKUP($H$2:$H$1074,Sheet1!$G:$G,Sheet1!$F:$F,"")),"NOT FOUND"))</f>
        <v>YETKRTSCUT5009</v>
      </c>
      <c r="AF810" s="10" t="str">
        <f t="shared" si="52"/>
        <v>BLACK</v>
      </c>
      <c r="AG810" s="11" t="str">
        <f t="shared" si="53"/>
        <v>Bangalore</v>
      </c>
      <c r="AH810" s="9" t="str">
        <f>IF(OR(J810="",AE810="",AE810="NOT FOUND"),"",IF(Y810="RP",IFERROR(LEFT(_xlfn.XLOOKUP(AE810,Sheet1!$F:$F,Sheet1!$W:$W),FIND("-",_xlfn.XLOOKUP(AE810,Sheet1!$F:$F,Sheet1!$W:$W),FIND("-",_xlfn.XLOOKUP(AE810,Sheet1!$F:$F,Sheet1!$W:$W))+1))&amp;AE810,"NOT FOUND"),LEFT(J810,FIND("-",J810,FIND("-",J810)+1))&amp;AE810))</f>
        <v>KRTS-APSU26-YETKRTSCUT5009</v>
      </c>
    </row>
    <row r="811" spans="1:34" ht="15.75" customHeight="1" x14ac:dyDescent="0.2">
      <c r="A811" s="4" t="s">
        <v>30</v>
      </c>
      <c r="B811" s="4" t="s">
        <v>1107</v>
      </c>
      <c r="C811" s="4" t="s">
        <v>1017</v>
      </c>
      <c r="D811" s="4" t="s">
        <v>998</v>
      </c>
      <c r="E811" s="4" t="s">
        <v>34</v>
      </c>
      <c r="F811" s="4" t="s">
        <v>35</v>
      </c>
      <c r="G811" s="4" t="s">
        <v>43</v>
      </c>
      <c r="H811" s="4" t="s">
        <v>1111</v>
      </c>
      <c r="I811" s="4" t="s">
        <v>1112</v>
      </c>
      <c r="J811" s="4" t="s">
        <v>1113</v>
      </c>
      <c r="L811" s="4" t="s">
        <v>40</v>
      </c>
      <c r="M811" s="4">
        <v>1</v>
      </c>
      <c r="N811" s="4">
        <v>339</v>
      </c>
      <c r="O811" s="4">
        <v>339</v>
      </c>
      <c r="P811" s="4" t="s">
        <v>41</v>
      </c>
      <c r="Q811" s="4">
        <v>234.3</v>
      </c>
      <c r="R811" s="4">
        <v>234.3</v>
      </c>
      <c r="S811" s="4">
        <v>3971.39</v>
      </c>
      <c r="T811" s="4">
        <v>79427.7</v>
      </c>
      <c r="U811" s="4">
        <v>5</v>
      </c>
      <c r="V811" s="4" t="s">
        <v>42</v>
      </c>
      <c r="X811" s="7" t="str">
        <f t="shared" si="45"/>
        <v>441853990</v>
      </c>
      <c r="Y811" s="8" t="str">
        <f t="shared" si="46"/>
        <v>DC</v>
      </c>
      <c r="Z811" s="8">
        <f t="shared" si="47"/>
        <v>0</v>
      </c>
      <c r="AA811" s="8">
        <f t="shared" si="48"/>
        <v>339</v>
      </c>
      <c r="AB811" s="8">
        <f t="shared" si="49"/>
        <v>0</v>
      </c>
      <c r="AC811" s="8">
        <f t="shared" si="50"/>
        <v>0</v>
      </c>
      <c r="AD811" s="8">
        <f t="shared" si="51"/>
        <v>0</v>
      </c>
      <c r="AE811" s="9" t="str" cm="1">
        <f t="array" ref="AE811">IFERROR(_xlfn.XLOOKUP(H811,Sheet1!$G:$G,Sheet1!$F:$F),IFERROR(_xlfn.XLOOKUP(1,(--($X$2:$X$1074=X811))*(--ISNUMBER(MATCH($H$2:$H$1074,Sheet1!$G:$G,0))),_xlfn.XLOOKUP($H$2:$H$1074,Sheet1!$G:$G,Sheet1!$F:$F,"")),"NOT FOUND"))</f>
        <v>YETKRTSCUT5009</v>
      </c>
      <c r="AF811" s="10" t="str">
        <f t="shared" si="52"/>
        <v>BLACK</v>
      </c>
      <c r="AG811" s="11" t="str">
        <f t="shared" si="53"/>
        <v>Bangalore</v>
      </c>
      <c r="AH811" s="9" t="str">
        <f>IF(OR(J811="",AE811="",AE811="NOT FOUND"),"",IF(Y811="RP",IFERROR(LEFT(_xlfn.XLOOKUP(AE811,Sheet1!$F:$F,Sheet1!$W:$W),FIND("-",_xlfn.XLOOKUP(AE811,Sheet1!$F:$F,Sheet1!$W:$W),FIND("-",_xlfn.XLOOKUP(AE811,Sheet1!$F:$F,Sheet1!$W:$W))+1))&amp;AE811,"NOT FOUND"),LEFT(J811,FIND("-",J811,FIND("-",J811)+1))&amp;AE811))</f>
        <v>KRTS-APSU26-YETKRTSCUT5009</v>
      </c>
    </row>
    <row r="812" spans="1:34" ht="15.75" customHeight="1" x14ac:dyDescent="0.2">
      <c r="A812" s="4" t="s">
        <v>30</v>
      </c>
      <c r="B812" s="4" t="s">
        <v>1107</v>
      </c>
      <c r="C812" s="4" t="s">
        <v>1017</v>
      </c>
      <c r="D812" s="4" t="s">
        <v>998</v>
      </c>
      <c r="E812" s="4" t="s">
        <v>34</v>
      </c>
      <c r="F812" s="4" t="s">
        <v>35</v>
      </c>
      <c r="G812" s="4" t="s">
        <v>47</v>
      </c>
      <c r="H812" s="4" t="s">
        <v>1114</v>
      </c>
      <c r="I812" s="4" t="s">
        <v>1115</v>
      </c>
      <c r="J812" s="4" t="s">
        <v>1116</v>
      </c>
      <c r="L812" s="4" t="s">
        <v>40</v>
      </c>
      <c r="M812" s="4">
        <v>1</v>
      </c>
      <c r="N812" s="4">
        <v>382</v>
      </c>
      <c r="O812" s="4">
        <v>382</v>
      </c>
      <c r="P812" s="4" t="s">
        <v>41</v>
      </c>
      <c r="Q812" s="4">
        <v>234.3</v>
      </c>
      <c r="R812" s="4">
        <v>234.3</v>
      </c>
      <c r="S812" s="4">
        <v>4475.13</v>
      </c>
      <c r="T812" s="4">
        <v>89502.6</v>
      </c>
      <c r="U812" s="4">
        <v>5</v>
      </c>
      <c r="V812" s="4" t="s">
        <v>42</v>
      </c>
      <c r="X812" s="7" t="str">
        <f t="shared" si="45"/>
        <v>441853990</v>
      </c>
      <c r="Y812" s="8" t="str">
        <f t="shared" si="46"/>
        <v>DC</v>
      </c>
      <c r="Z812" s="8">
        <f t="shared" si="47"/>
        <v>0</v>
      </c>
      <c r="AA812" s="8">
        <f t="shared" si="48"/>
        <v>0</v>
      </c>
      <c r="AB812" s="8">
        <f t="shared" si="49"/>
        <v>382</v>
      </c>
      <c r="AC812" s="8">
        <f t="shared" si="50"/>
        <v>0</v>
      </c>
      <c r="AD812" s="8">
        <f t="shared" si="51"/>
        <v>0</v>
      </c>
      <c r="AE812" s="9" t="str" cm="1">
        <f t="array" ref="AE812">IFERROR(_xlfn.XLOOKUP(H812,Sheet1!$G:$G,Sheet1!$F:$F),IFERROR(_xlfn.XLOOKUP(1,(--($X$2:$X$1074=X812))*(--ISNUMBER(MATCH($H$2:$H$1074,Sheet1!$G:$G,0))),_xlfn.XLOOKUP($H$2:$H$1074,Sheet1!$G:$G,Sheet1!$F:$F,"")),"NOT FOUND"))</f>
        <v>YETKRTSCUT5009</v>
      </c>
      <c r="AF812" s="10" t="str">
        <f t="shared" si="52"/>
        <v>BLACK</v>
      </c>
      <c r="AG812" s="11" t="str">
        <f t="shared" si="53"/>
        <v>Bangalore</v>
      </c>
      <c r="AH812" s="9" t="str">
        <f>IF(OR(J812="",AE812="",AE812="NOT FOUND"),"",IF(Y812="RP",IFERROR(LEFT(_xlfn.XLOOKUP(AE812,Sheet1!$F:$F,Sheet1!$W:$W),FIND("-",_xlfn.XLOOKUP(AE812,Sheet1!$F:$F,Sheet1!$W:$W),FIND("-",_xlfn.XLOOKUP(AE812,Sheet1!$F:$F,Sheet1!$W:$W))+1))&amp;AE812,"NOT FOUND"),LEFT(J812,FIND("-",J812,FIND("-",J812)+1))&amp;AE812))</f>
        <v>KRTS-APSU26-YETKRTSCUT5009</v>
      </c>
    </row>
    <row r="813" spans="1:34" ht="15.75" customHeight="1" x14ac:dyDescent="0.2">
      <c r="A813" s="4" t="s">
        <v>30</v>
      </c>
      <c r="B813" s="4" t="s">
        <v>1107</v>
      </c>
      <c r="C813" s="4" t="s">
        <v>1017</v>
      </c>
      <c r="D813" s="4" t="s">
        <v>998</v>
      </c>
      <c r="E813" s="4" t="s">
        <v>34</v>
      </c>
      <c r="F813" s="4" t="s">
        <v>35</v>
      </c>
      <c r="G813" s="4" t="s">
        <v>51</v>
      </c>
      <c r="H813" s="4" t="s">
        <v>1117</v>
      </c>
      <c r="I813" s="4" t="s">
        <v>1118</v>
      </c>
      <c r="J813" s="4" t="s">
        <v>1119</v>
      </c>
      <c r="L813" s="4" t="s">
        <v>40</v>
      </c>
      <c r="M813" s="4">
        <v>1</v>
      </c>
      <c r="N813" s="4">
        <v>445</v>
      </c>
      <c r="O813" s="4">
        <v>445</v>
      </c>
      <c r="P813" s="4" t="s">
        <v>41</v>
      </c>
      <c r="Q813" s="4">
        <v>234.3</v>
      </c>
      <c r="R813" s="4">
        <v>234.3</v>
      </c>
      <c r="S813" s="4">
        <v>5213.18</v>
      </c>
      <c r="T813" s="4">
        <v>104263.5</v>
      </c>
      <c r="U813" s="4">
        <v>5</v>
      </c>
      <c r="V813" s="4" t="s">
        <v>42</v>
      </c>
      <c r="X813" s="7" t="str">
        <f t="shared" si="45"/>
        <v>441853990</v>
      </c>
      <c r="Y813" s="8" t="str">
        <f t="shared" si="46"/>
        <v>DC</v>
      </c>
      <c r="Z813" s="8">
        <f t="shared" si="47"/>
        <v>0</v>
      </c>
      <c r="AA813" s="8">
        <f t="shared" si="48"/>
        <v>0</v>
      </c>
      <c r="AB813" s="8">
        <f t="shared" si="49"/>
        <v>0</v>
      </c>
      <c r="AC813" s="8">
        <f t="shared" si="50"/>
        <v>445</v>
      </c>
      <c r="AD813" s="8">
        <f t="shared" si="51"/>
        <v>0</v>
      </c>
      <c r="AE813" s="9" t="str" cm="1">
        <f t="array" ref="AE813">IFERROR(_xlfn.XLOOKUP(H813,Sheet1!$G:$G,Sheet1!$F:$F),IFERROR(_xlfn.XLOOKUP(1,(--($X$2:$X$1074=X813))*(--ISNUMBER(MATCH($H$2:$H$1074,Sheet1!$G:$G,0))),_xlfn.XLOOKUP($H$2:$H$1074,Sheet1!$G:$G,Sheet1!$F:$F,"")),"NOT FOUND"))</f>
        <v>YETKRTSCUT5009</v>
      </c>
      <c r="AF813" s="10" t="str">
        <f t="shared" si="52"/>
        <v>BLACK</v>
      </c>
      <c r="AG813" s="11" t="str">
        <f t="shared" si="53"/>
        <v>Bangalore</v>
      </c>
      <c r="AH813" s="9" t="str">
        <f>IF(OR(J813="",AE813="",AE813="NOT FOUND"),"",IF(Y813="RP",IFERROR(LEFT(_xlfn.XLOOKUP(AE813,Sheet1!$F:$F,Sheet1!$W:$W),FIND("-",_xlfn.XLOOKUP(AE813,Sheet1!$F:$F,Sheet1!$W:$W),FIND("-",_xlfn.XLOOKUP(AE813,Sheet1!$F:$F,Sheet1!$W:$W))+1))&amp;AE813,"NOT FOUND"),LEFT(J813,FIND("-",J813,FIND("-",J813)+1))&amp;AE813))</f>
        <v>KRTS-APSU26-YETKRTSCUT5009</v>
      </c>
    </row>
    <row r="814" spans="1:34" ht="15.75" customHeight="1" x14ac:dyDescent="0.2">
      <c r="A814" s="4" t="s">
        <v>30</v>
      </c>
      <c r="B814" s="4" t="s">
        <v>1107</v>
      </c>
      <c r="C814" s="4" t="s">
        <v>1017</v>
      </c>
      <c r="D814" s="4" t="s">
        <v>998</v>
      </c>
      <c r="E814" s="4" t="s">
        <v>34</v>
      </c>
      <c r="F814" s="4" t="s">
        <v>35</v>
      </c>
      <c r="G814" s="4" t="s">
        <v>55</v>
      </c>
      <c r="H814" s="4" t="s">
        <v>1120</v>
      </c>
      <c r="I814" s="4" t="s">
        <v>1121</v>
      </c>
      <c r="J814" s="4" t="s">
        <v>1122</v>
      </c>
      <c r="L814" s="4" t="s">
        <v>40</v>
      </c>
      <c r="M814" s="4">
        <v>1</v>
      </c>
      <c r="N814" s="4">
        <v>84</v>
      </c>
      <c r="O814" s="4">
        <v>84</v>
      </c>
      <c r="P814" s="4" t="s">
        <v>41</v>
      </c>
      <c r="Q814" s="4">
        <v>234.3</v>
      </c>
      <c r="R814" s="4">
        <v>234.3</v>
      </c>
      <c r="S814" s="4">
        <v>984.06</v>
      </c>
      <c r="T814" s="4">
        <v>19681.2</v>
      </c>
      <c r="U814" s="4">
        <v>5</v>
      </c>
      <c r="V814" s="4" t="s">
        <v>42</v>
      </c>
      <c r="X814" s="7" t="str">
        <f t="shared" si="45"/>
        <v>441853990</v>
      </c>
      <c r="Y814" s="8" t="str">
        <f t="shared" si="46"/>
        <v>DC</v>
      </c>
      <c r="Z814" s="8">
        <f t="shared" si="47"/>
        <v>0</v>
      </c>
      <c r="AA814" s="8">
        <f t="shared" si="48"/>
        <v>0</v>
      </c>
      <c r="AB814" s="8">
        <f t="shared" si="49"/>
        <v>0</v>
      </c>
      <c r="AC814" s="8">
        <f t="shared" si="50"/>
        <v>0</v>
      </c>
      <c r="AD814" s="8">
        <f t="shared" si="51"/>
        <v>84</v>
      </c>
      <c r="AE814" s="9" t="str" cm="1">
        <f t="array" ref="AE814">IFERROR(_xlfn.XLOOKUP(H814,Sheet1!$G:$G,Sheet1!$F:$F),IFERROR(_xlfn.XLOOKUP(1,(--($X$2:$X$1074=X814))*(--ISNUMBER(MATCH($H$2:$H$1074,Sheet1!$G:$G,0))),_xlfn.XLOOKUP($H$2:$H$1074,Sheet1!$G:$G,Sheet1!$F:$F,"")),"NOT FOUND"))</f>
        <v>YETKRTSCUT5009</v>
      </c>
      <c r="AF814" s="10" t="str">
        <f t="shared" si="52"/>
        <v>BLACK</v>
      </c>
      <c r="AG814" s="11" t="str">
        <f t="shared" si="53"/>
        <v>Bangalore</v>
      </c>
      <c r="AH814" s="9" t="str">
        <f>IF(OR(J814="",AE814="",AE814="NOT FOUND"),"",IF(Y814="RP",IFERROR(LEFT(_xlfn.XLOOKUP(AE814,Sheet1!$F:$F,Sheet1!$W:$W),FIND("-",_xlfn.XLOOKUP(AE814,Sheet1!$F:$F,Sheet1!$W:$W),FIND("-",_xlfn.XLOOKUP(AE814,Sheet1!$F:$F,Sheet1!$W:$W))+1))&amp;AE814,"NOT FOUND"),LEFT(J814,FIND("-",J814,FIND("-",J814)+1))&amp;AE814))</f>
        <v>KRTS-APSU26-YETKRTSCUT5009</v>
      </c>
    </row>
    <row r="815" spans="1:34" ht="15.75" customHeight="1" x14ac:dyDescent="0.2">
      <c r="A815" s="4" t="s">
        <v>59</v>
      </c>
      <c r="B815" s="4" t="s">
        <v>1123</v>
      </c>
      <c r="C815" s="4" t="s">
        <v>1017</v>
      </c>
      <c r="D815" s="4" t="s">
        <v>998</v>
      </c>
      <c r="E815" s="4" t="s">
        <v>34</v>
      </c>
      <c r="F815" s="4" t="s">
        <v>35</v>
      </c>
      <c r="G815" s="4" t="s">
        <v>36</v>
      </c>
      <c r="H815" s="4" t="s">
        <v>1108</v>
      </c>
      <c r="I815" s="4" t="s">
        <v>1109</v>
      </c>
      <c r="J815" s="4" t="s">
        <v>1110</v>
      </c>
      <c r="L815" s="4" t="s">
        <v>40</v>
      </c>
      <c r="M815" s="4">
        <v>1</v>
      </c>
      <c r="N815" s="4">
        <v>30</v>
      </c>
      <c r="O815" s="4">
        <v>30</v>
      </c>
      <c r="P815" s="4" t="s">
        <v>41</v>
      </c>
      <c r="Q815" s="4">
        <v>234.3</v>
      </c>
      <c r="R815" s="4">
        <v>234.3</v>
      </c>
      <c r="S815" s="4">
        <v>351.45</v>
      </c>
      <c r="T815" s="4">
        <v>7029</v>
      </c>
      <c r="U815" s="4">
        <v>5</v>
      </c>
      <c r="V815" s="4" t="s">
        <v>42</v>
      </c>
      <c r="X815" s="7" t="str">
        <f t="shared" si="45"/>
        <v>441853990</v>
      </c>
      <c r="Y815" s="8" t="str">
        <f t="shared" si="46"/>
        <v>DC</v>
      </c>
      <c r="Z815" s="8">
        <f t="shared" si="47"/>
        <v>30</v>
      </c>
      <c r="AA815" s="8">
        <f t="shared" si="48"/>
        <v>0</v>
      </c>
      <c r="AB815" s="8">
        <f t="shared" si="49"/>
        <v>0</v>
      </c>
      <c r="AC815" s="8">
        <f t="shared" si="50"/>
        <v>0</v>
      </c>
      <c r="AD815" s="8">
        <f t="shared" si="51"/>
        <v>0</v>
      </c>
      <c r="AE815" s="9" t="str" cm="1">
        <f t="array" ref="AE815">IFERROR(_xlfn.XLOOKUP(H815,Sheet1!$G:$G,Sheet1!$F:$F),IFERROR(_xlfn.XLOOKUP(1,(--($X$2:$X$1074=X815))*(--ISNUMBER(MATCH($H$2:$H$1074,Sheet1!$G:$G,0))),_xlfn.XLOOKUP($H$2:$H$1074,Sheet1!$G:$G,Sheet1!$F:$F,"")),"NOT FOUND"))</f>
        <v>YETKRTSCUT5009</v>
      </c>
      <c r="AF815" s="10" t="str">
        <f t="shared" si="52"/>
        <v>BLACK</v>
      </c>
      <c r="AG815" s="11" t="str">
        <f t="shared" si="53"/>
        <v>JHAJJAR</v>
      </c>
      <c r="AH815" s="9" t="str">
        <f>IF(OR(J815="",AE815="",AE815="NOT FOUND"),"",IF(Y815="RP",IFERROR(LEFT(_xlfn.XLOOKUP(AE815,Sheet1!$F:$F,Sheet1!$W:$W),FIND("-",_xlfn.XLOOKUP(AE815,Sheet1!$F:$F,Sheet1!$W:$W),FIND("-",_xlfn.XLOOKUP(AE815,Sheet1!$F:$F,Sheet1!$W:$W))+1))&amp;AE815,"NOT FOUND"),LEFT(J815,FIND("-",J815,FIND("-",J815)+1))&amp;AE815))</f>
        <v>KRTS-APSU26-YETKRTSCUT5009</v>
      </c>
    </row>
    <row r="816" spans="1:34" ht="15.75" customHeight="1" x14ac:dyDescent="0.2">
      <c r="A816" s="4" t="s">
        <v>59</v>
      </c>
      <c r="B816" s="4" t="s">
        <v>1123</v>
      </c>
      <c r="C816" s="4" t="s">
        <v>1017</v>
      </c>
      <c r="D816" s="4" t="s">
        <v>998</v>
      </c>
      <c r="E816" s="4" t="s">
        <v>34</v>
      </c>
      <c r="F816" s="4" t="s">
        <v>35</v>
      </c>
      <c r="G816" s="4" t="s">
        <v>43</v>
      </c>
      <c r="H816" s="4" t="s">
        <v>1111</v>
      </c>
      <c r="I816" s="4" t="s">
        <v>1112</v>
      </c>
      <c r="J816" s="4" t="s">
        <v>1113</v>
      </c>
      <c r="L816" s="4" t="s">
        <v>40</v>
      </c>
      <c r="M816" s="4">
        <v>1</v>
      </c>
      <c r="N816" s="4">
        <v>170</v>
      </c>
      <c r="O816" s="4">
        <v>170</v>
      </c>
      <c r="P816" s="4" t="s">
        <v>41</v>
      </c>
      <c r="Q816" s="4">
        <v>234.3</v>
      </c>
      <c r="R816" s="4">
        <v>234.3</v>
      </c>
      <c r="S816" s="4">
        <v>1991.55</v>
      </c>
      <c r="T816" s="4">
        <v>39831</v>
      </c>
      <c r="U816" s="4">
        <v>5</v>
      </c>
      <c r="V816" s="4" t="s">
        <v>42</v>
      </c>
      <c r="X816" s="7" t="str">
        <f t="shared" si="45"/>
        <v>441853990</v>
      </c>
      <c r="Y816" s="8" t="str">
        <f t="shared" si="46"/>
        <v>DC</v>
      </c>
      <c r="Z816" s="8">
        <f t="shared" si="47"/>
        <v>0</v>
      </c>
      <c r="AA816" s="8">
        <f t="shared" si="48"/>
        <v>170</v>
      </c>
      <c r="AB816" s="8">
        <f t="shared" si="49"/>
        <v>0</v>
      </c>
      <c r="AC816" s="8">
        <f t="shared" si="50"/>
        <v>0</v>
      </c>
      <c r="AD816" s="8">
        <f t="shared" si="51"/>
        <v>0</v>
      </c>
      <c r="AE816" s="9" t="str" cm="1">
        <f t="array" ref="AE816">IFERROR(_xlfn.XLOOKUP(H816,Sheet1!$G:$G,Sheet1!$F:$F),IFERROR(_xlfn.XLOOKUP(1,(--($X$2:$X$1074=X816))*(--ISNUMBER(MATCH($H$2:$H$1074,Sheet1!$G:$G,0))),_xlfn.XLOOKUP($H$2:$H$1074,Sheet1!$G:$G,Sheet1!$F:$F,"")),"NOT FOUND"))</f>
        <v>YETKRTSCUT5009</v>
      </c>
      <c r="AF816" s="10" t="str">
        <f t="shared" si="52"/>
        <v>BLACK</v>
      </c>
      <c r="AG816" s="11" t="str">
        <f t="shared" si="53"/>
        <v>JHAJJAR</v>
      </c>
      <c r="AH816" s="9" t="str">
        <f>IF(OR(J816="",AE816="",AE816="NOT FOUND"),"",IF(Y816="RP",IFERROR(LEFT(_xlfn.XLOOKUP(AE816,Sheet1!$F:$F,Sheet1!$W:$W),FIND("-",_xlfn.XLOOKUP(AE816,Sheet1!$F:$F,Sheet1!$W:$W),FIND("-",_xlfn.XLOOKUP(AE816,Sheet1!$F:$F,Sheet1!$W:$W))+1))&amp;AE816,"NOT FOUND"),LEFT(J816,FIND("-",J816,FIND("-",J816)+1))&amp;AE816))</f>
        <v>KRTS-APSU26-YETKRTSCUT5009</v>
      </c>
    </row>
    <row r="817" spans="1:34" ht="15.75" customHeight="1" x14ac:dyDescent="0.2">
      <c r="A817" s="4" t="s">
        <v>59</v>
      </c>
      <c r="B817" s="4" t="s">
        <v>1123</v>
      </c>
      <c r="C817" s="4" t="s">
        <v>1017</v>
      </c>
      <c r="D817" s="4" t="s">
        <v>998</v>
      </c>
      <c r="E817" s="4" t="s">
        <v>34</v>
      </c>
      <c r="F817" s="4" t="s">
        <v>35</v>
      </c>
      <c r="G817" s="4" t="s">
        <v>47</v>
      </c>
      <c r="H817" s="4" t="s">
        <v>1114</v>
      </c>
      <c r="I817" s="4" t="s">
        <v>1115</v>
      </c>
      <c r="J817" s="4" t="s">
        <v>1116</v>
      </c>
      <c r="L817" s="4" t="s">
        <v>40</v>
      </c>
      <c r="M817" s="4">
        <v>1</v>
      </c>
      <c r="N817" s="4">
        <v>192</v>
      </c>
      <c r="O817" s="4">
        <v>192</v>
      </c>
      <c r="P817" s="4" t="s">
        <v>41</v>
      </c>
      <c r="Q817" s="4">
        <v>234.3</v>
      </c>
      <c r="R817" s="4">
        <v>234.3</v>
      </c>
      <c r="S817" s="4">
        <v>2249.2800000000002</v>
      </c>
      <c r="T817" s="4">
        <v>44985.599999999999</v>
      </c>
      <c r="U817" s="4">
        <v>5</v>
      </c>
      <c r="V817" s="4" t="s">
        <v>42</v>
      </c>
      <c r="X817" s="7" t="str">
        <f t="shared" si="45"/>
        <v>441853990</v>
      </c>
      <c r="Y817" s="8" t="str">
        <f t="shared" si="46"/>
        <v>DC</v>
      </c>
      <c r="Z817" s="8">
        <f t="shared" si="47"/>
        <v>0</v>
      </c>
      <c r="AA817" s="8">
        <f t="shared" si="48"/>
        <v>0</v>
      </c>
      <c r="AB817" s="8">
        <f t="shared" si="49"/>
        <v>192</v>
      </c>
      <c r="AC817" s="8">
        <f t="shared" si="50"/>
        <v>0</v>
      </c>
      <c r="AD817" s="8">
        <f t="shared" si="51"/>
        <v>0</v>
      </c>
      <c r="AE817" s="9" t="str" cm="1">
        <f t="array" ref="AE817">IFERROR(_xlfn.XLOOKUP(H817,Sheet1!$G:$G,Sheet1!$F:$F),IFERROR(_xlfn.XLOOKUP(1,(--($X$2:$X$1074=X817))*(--ISNUMBER(MATCH($H$2:$H$1074,Sheet1!$G:$G,0))),_xlfn.XLOOKUP($H$2:$H$1074,Sheet1!$G:$G,Sheet1!$F:$F,"")),"NOT FOUND"))</f>
        <v>YETKRTSCUT5009</v>
      </c>
      <c r="AF817" s="10" t="str">
        <f t="shared" si="52"/>
        <v>BLACK</v>
      </c>
      <c r="AG817" s="11" t="str">
        <f t="shared" si="53"/>
        <v>JHAJJAR</v>
      </c>
      <c r="AH817" s="9" t="str">
        <f>IF(OR(J817="",AE817="",AE817="NOT FOUND"),"",IF(Y817="RP",IFERROR(LEFT(_xlfn.XLOOKUP(AE817,Sheet1!$F:$F,Sheet1!$W:$W),FIND("-",_xlfn.XLOOKUP(AE817,Sheet1!$F:$F,Sheet1!$W:$W),FIND("-",_xlfn.XLOOKUP(AE817,Sheet1!$F:$F,Sheet1!$W:$W))+1))&amp;AE817,"NOT FOUND"),LEFT(J817,FIND("-",J817,FIND("-",J817)+1))&amp;AE817))</f>
        <v>KRTS-APSU26-YETKRTSCUT5009</v>
      </c>
    </row>
    <row r="818" spans="1:34" ht="15.75" customHeight="1" x14ac:dyDescent="0.2">
      <c r="A818" s="4" t="s">
        <v>59</v>
      </c>
      <c r="B818" s="4" t="s">
        <v>1123</v>
      </c>
      <c r="C818" s="4" t="s">
        <v>1017</v>
      </c>
      <c r="D818" s="4" t="s">
        <v>998</v>
      </c>
      <c r="E818" s="4" t="s">
        <v>34</v>
      </c>
      <c r="F818" s="4" t="s">
        <v>35</v>
      </c>
      <c r="G818" s="4" t="s">
        <v>51</v>
      </c>
      <c r="H818" s="4" t="s">
        <v>1117</v>
      </c>
      <c r="I818" s="4" t="s">
        <v>1118</v>
      </c>
      <c r="J818" s="4" t="s">
        <v>1119</v>
      </c>
      <c r="L818" s="4" t="s">
        <v>40</v>
      </c>
      <c r="M818" s="4">
        <v>1</v>
      </c>
      <c r="N818" s="4">
        <v>224</v>
      </c>
      <c r="O818" s="4">
        <v>224</v>
      </c>
      <c r="P818" s="4" t="s">
        <v>41</v>
      </c>
      <c r="Q818" s="4">
        <v>234.3</v>
      </c>
      <c r="R818" s="4">
        <v>234.3</v>
      </c>
      <c r="S818" s="4">
        <v>2624.16</v>
      </c>
      <c r="T818" s="4">
        <v>52483.199999999997</v>
      </c>
      <c r="U818" s="4">
        <v>5</v>
      </c>
      <c r="V818" s="4" t="s">
        <v>42</v>
      </c>
      <c r="X818" s="7" t="str">
        <f t="shared" si="45"/>
        <v>441853990</v>
      </c>
      <c r="Y818" s="8" t="str">
        <f t="shared" si="46"/>
        <v>DC</v>
      </c>
      <c r="Z818" s="8">
        <f t="shared" si="47"/>
        <v>0</v>
      </c>
      <c r="AA818" s="8">
        <f t="shared" si="48"/>
        <v>0</v>
      </c>
      <c r="AB818" s="8">
        <f t="shared" si="49"/>
        <v>0</v>
      </c>
      <c r="AC818" s="8">
        <f t="shared" si="50"/>
        <v>224</v>
      </c>
      <c r="AD818" s="8">
        <f t="shared" si="51"/>
        <v>0</v>
      </c>
      <c r="AE818" s="9" t="str" cm="1">
        <f t="array" ref="AE818">IFERROR(_xlfn.XLOOKUP(H818,Sheet1!$G:$G,Sheet1!$F:$F),IFERROR(_xlfn.XLOOKUP(1,(--($X$2:$X$1074=X818))*(--ISNUMBER(MATCH($H$2:$H$1074,Sheet1!$G:$G,0))),_xlfn.XLOOKUP($H$2:$H$1074,Sheet1!$G:$G,Sheet1!$F:$F,"")),"NOT FOUND"))</f>
        <v>YETKRTSCUT5009</v>
      </c>
      <c r="AF818" s="10" t="str">
        <f t="shared" si="52"/>
        <v>BLACK</v>
      </c>
      <c r="AG818" s="11" t="str">
        <f t="shared" si="53"/>
        <v>JHAJJAR</v>
      </c>
      <c r="AH818" s="9" t="str">
        <f>IF(OR(J818="",AE818="",AE818="NOT FOUND"),"",IF(Y818="RP",IFERROR(LEFT(_xlfn.XLOOKUP(AE818,Sheet1!$F:$F,Sheet1!$W:$W),FIND("-",_xlfn.XLOOKUP(AE818,Sheet1!$F:$F,Sheet1!$W:$W),FIND("-",_xlfn.XLOOKUP(AE818,Sheet1!$F:$F,Sheet1!$W:$W))+1))&amp;AE818,"NOT FOUND"),LEFT(J818,FIND("-",J818,FIND("-",J818)+1))&amp;AE818))</f>
        <v>KRTS-APSU26-YETKRTSCUT5009</v>
      </c>
    </row>
    <row r="819" spans="1:34" ht="15.75" customHeight="1" x14ac:dyDescent="0.2">
      <c r="A819" s="4" t="s">
        <v>59</v>
      </c>
      <c r="B819" s="4" t="s">
        <v>1123</v>
      </c>
      <c r="C819" s="4" t="s">
        <v>1017</v>
      </c>
      <c r="D819" s="4" t="s">
        <v>998</v>
      </c>
      <c r="E819" s="4" t="s">
        <v>34</v>
      </c>
      <c r="F819" s="4" t="s">
        <v>35</v>
      </c>
      <c r="G819" s="4" t="s">
        <v>55</v>
      </c>
      <c r="H819" s="4" t="s">
        <v>1120</v>
      </c>
      <c r="I819" s="4" t="s">
        <v>1121</v>
      </c>
      <c r="J819" s="4" t="s">
        <v>1122</v>
      </c>
      <c r="L819" s="4" t="s">
        <v>40</v>
      </c>
      <c r="M819" s="4">
        <v>1</v>
      </c>
      <c r="N819" s="4">
        <v>42</v>
      </c>
      <c r="O819" s="4">
        <v>42</v>
      </c>
      <c r="P819" s="4" t="s">
        <v>41</v>
      </c>
      <c r="Q819" s="4">
        <v>234.3</v>
      </c>
      <c r="R819" s="4">
        <v>234.3</v>
      </c>
      <c r="S819" s="4">
        <v>492.03</v>
      </c>
      <c r="T819" s="4">
        <v>9840.6</v>
      </c>
      <c r="U819" s="4">
        <v>5</v>
      </c>
      <c r="V819" s="4" t="s">
        <v>42</v>
      </c>
      <c r="X819" s="7" t="str">
        <f t="shared" si="45"/>
        <v>441853990</v>
      </c>
      <c r="Y819" s="8" t="str">
        <f t="shared" si="46"/>
        <v>DC</v>
      </c>
      <c r="Z819" s="8">
        <f t="shared" si="47"/>
        <v>0</v>
      </c>
      <c r="AA819" s="8">
        <f t="shared" si="48"/>
        <v>0</v>
      </c>
      <c r="AB819" s="8">
        <f t="shared" si="49"/>
        <v>0</v>
      </c>
      <c r="AC819" s="8">
        <f t="shared" si="50"/>
        <v>0</v>
      </c>
      <c r="AD819" s="8">
        <f t="shared" si="51"/>
        <v>42</v>
      </c>
      <c r="AE819" s="9" t="str" cm="1">
        <f t="array" ref="AE819">IFERROR(_xlfn.XLOOKUP(H819,Sheet1!$G:$G,Sheet1!$F:$F),IFERROR(_xlfn.XLOOKUP(1,(--($X$2:$X$1074=X819))*(--ISNUMBER(MATCH($H$2:$H$1074,Sheet1!$G:$G,0))),_xlfn.XLOOKUP($H$2:$H$1074,Sheet1!$G:$G,Sheet1!$F:$F,"")),"NOT FOUND"))</f>
        <v>YETKRTSCUT5009</v>
      </c>
      <c r="AF819" s="10" t="str">
        <f t="shared" si="52"/>
        <v>BLACK</v>
      </c>
      <c r="AG819" s="11" t="str">
        <f t="shared" si="53"/>
        <v>JHAJJAR</v>
      </c>
      <c r="AH819" s="9" t="str">
        <f>IF(OR(J819="",AE819="",AE819="NOT FOUND"),"",IF(Y819="RP",IFERROR(LEFT(_xlfn.XLOOKUP(AE819,Sheet1!$F:$F,Sheet1!$W:$W),FIND("-",_xlfn.XLOOKUP(AE819,Sheet1!$F:$F,Sheet1!$W:$W),FIND("-",_xlfn.XLOOKUP(AE819,Sheet1!$F:$F,Sheet1!$W:$W))+1))&amp;AE819,"NOT FOUND"),LEFT(J819,FIND("-",J819,FIND("-",J819)+1))&amp;AE819))</f>
        <v>KRTS-APSU26-YETKRTSCUT5009</v>
      </c>
    </row>
    <row r="820" spans="1:34" ht="15.75" customHeight="1" x14ac:dyDescent="0.2">
      <c r="A820" s="4" t="s">
        <v>30</v>
      </c>
      <c r="B820" s="4" t="s">
        <v>1124</v>
      </c>
      <c r="C820" s="4" t="s">
        <v>1017</v>
      </c>
      <c r="D820" s="4" t="s">
        <v>1125</v>
      </c>
      <c r="E820" s="4" t="s">
        <v>34</v>
      </c>
      <c r="F820" s="4" t="s">
        <v>35</v>
      </c>
      <c r="G820" s="4" t="s">
        <v>36</v>
      </c>
      <c r="H820" s="4" t="s">
        <v>1126</v>
      </c>
      <c r="I820" s="4" t="s">
        <v>1127</v>
      </c>
      <c r="J820" s="4" t="s">
        <v>1128</v>
      </c>
      <c r="L820" s="4" t="s">
        <v>40</v>
      </c>
      <c r="M820" s="4">
        <v>1</v>
      </c>
      <c r="N820" s="4">
        <v>30</v>
      </c>
      <c r="O820" s="4">
        <v>30</v>
      </c>
      <c r="P820" s="4" t="s">
        <v>41</v>
      </c>
      <c r="Q820" s="4">
        <v>229.3</v>
      </c>
      <c r="R820" s="4">
        <v>229.3</v>
      </c>
      <c r="S820" s="4">
        <v>343.95</v>
      </c>
      <c r="T820" s="4">
        <v>6879</v>
      </c>
      <c r="U820" s="4">
        <v>5</v>
      </c>
      <c r="V820" s="4" t="s">
        <v>42</v>
      </c>
      <c r="X820" s="7" t="str">
        <f t="shared" si="45"/>
        <v>441853967</v>
      </c>
      <c r="Y820" s="8" t="str">
        <f t="shared" si="46"/>
        <v>DC</v>
      </c>
      <c r="Z820" s="8">
        <f t="shared" si="47"/>
        <v>30</v>
      </c>
      <c r="AA820" s="8">
        <f t="shared" si="48"/>
        <v>0</v>
      </c>
      <c r="AB820" s="8">
        <f t="shared" si="49"/>
        <v>0</v>
      </c>
      <c r="AC820" s="8">
        <f t="shared" si="50"/>
        <v>0</v>
      </c>
      <c r="AD820" s="8">
        <f t="shared" si="51"/>
        <v>0</v>
      </c>
      <c r="AE820" s="9" t="str" cm="1">
        <f t="array" ref="AE820">IFERROR(_xlfn.XLOOKUP(H820,Sheet1!$G:$G,Sheet1!$F:$F),IFERROR(_xlfn.XLOOKUP(1,(--($X$2:$X$1074=X820))*(--ISNUMBER(MATCH($H$2:$H$1074,Sheet1!$G:$G,0))),_xlfn.XLOOKUP($H$2:$H$1074,Sheet1!$G:$G,Sheet1!$F:$F,"")),"NOT FOUND"))</f>
        <v>YETKRTSCUT5060</v>
      </c>
      <c r="AF820" s="10" t="str">
        <f t="shared" si="52"/>
        <v>BLUE</v>
      </c>
      <c r="AG820" s="11" t="str">
        <f t="shared" si="53"/>
        <v>Bangalore</v>
      </c>
      <c r="AH820" s="9" t="str">
        <f>IF(OR(J820="",AE820="",AE820="NOT FOUND"),"",IF(Y820="RP",IFERROR(LEFT(_xlfn.XLOOKUP(AE820,Sheet1!$F:$F,Sheet1!$W:$W),FIND("-",_xlfn.XLOOKUP(AE820,Sheet1!$F:$F,Sheet1!$W:$W),FIND("-",_xlfn.XLOOKUP(AE820,Sheet1!$F:$F,Sheet1!$W:$W))+1))&amp;AE820,"NOT FOUND"),LEFT(J820,FIND("-",J820,FIND("-",J820)+1))&amp;AE820))</f>
        <v>KRTS-APSU26-YETKRTSCUT5060</v>
      </c>
    </row>
    <row r="821" spans="1:34" ht="15.75" customHeight="1" x14ac:dyDescent="0.2">
      <c r="A821" s="4" t="s">
        <v>30</v>
      </c>
      <c r="B821" s="4" t="s">
        <v>1124</v>
      </c>
      <c r="C821" s="4" t="s">
        <v>1017</v>
      </c>
      <c r="D821" s="4" t="s">
        <v>1125</v>
      </c>
      <c r="E821" s="4" t="s">
        <v>34</v>
      </c>
      <c r="F821" s="4" t="s">
        <v>35</v>
      </c>
      <c r="G821" s="4" t="s">
        <v>43</v>
      </c>
      <c r="H821" s="4" t="s">
        <v>1129</v>
      </c>
      <c r="I821" s="4" t="s">
        <v>1130</v>
      </c>
      <c r="J821" s="4" t="s">
        <v>1131</v>
      </c>
      <c r="L821" s="4" t="s">
        <v>40</v>
      </c>
      <c r="M821" s="4">
        <v>1</v>
      </c>
      <c r="N821" s="4">
        <v>324</v>
      </c>
      <c r="O821" s="4">
        <v>324</v>
      </c>
      <c r="P821" s="4" t="s">
        <v>41</v>
      </c>
      <c r="Q821" s="4">
        <v>229.3</v>
      </c>
      <c r="R821" s="4">
        <v>229.3</v>
      </c>
      <c r="S821" s="4">
        <v>3714.66</v>
      </c>
      <c r="T821" s="4">
        <v>74293.2</v>
      </c>
      <c r="U821" s="4">
        <v>5</v>
      </c>
      <c r="V821" s="4" t="s">
        <v>42</v>
      </c>
      <c r="X821" s="7" t="str">
        <f t="shared" si="45"/>
        <v>441853967</v>
      </c>
      <c r="Y821" s="8" t="str">
        <f t="shared" si="46"/>
        <v>DC</v>
      </c>
      <c r="Z821" s="8">
        <f t="shared" si="47"/>
        <v>0</v>
      </c>
      <c r="AA821" s="8">
        <f t="shared" si="48"/>
        <v>324</v>
      </c>
      <c r="AB821" s="8">
        <f t="shared" si="49"/>
        <v>0</v>
      </c>
      <c r="AC821" s="8">
        <f t="shared" si="50"/>
        <v>0</v>
      </c>
      <c r="AD821" s="8">
        <f t="shared" si="51"/>
        <v>0</v>
      </c>
      <c r="AE821" s="9" t="str" cm="1">
        <f t="array" ref="AE821">IFERROR(_xlfn.XLOOKUP(H821,Sheet1!$G:$G,Sheet1!$F:$F),IFERROR(_xlfn.XLOOKUP(1,(--($X$2:$X$1074=X821))*(--ISNUMBER(MATCH($H$2:$H$1074,Sheet1!$G:$G,0))),_xlfn.XLOOKUP($H$2:$H$1074,Sheet1!$G:$G,Sheet1!$F:$F,"")),"NOT FOUND"))</f>
        <v>YETKRTSCUT5060</v>
      </c>
      <c r="AF821" s="10" t="str">
        <f t="shared" si="52"/>
        <v>BLUE</v>
      </c>
      <c r="AG821" s="11" t="str">
        <f t="shared" si="53"/>
        <v>Bangalore</v>
      </c>
      <c r="AH821" s="9" t="str">
        <f>IF(OR(J821="",AE821="",AE821="NOT FOUND"),"",IF(Y821="RP",IFERROR(LEFT(_xlfn.XLOOKUP(AE821,Sheet1!$F:$F,Sheet1!$W:$W),FIND("-",_xlfn.XLOOKUP(AE821,Sheet1!$F:$F,Sheet1!$W:$W),FIND("-",_xlfn.XLOOKUP(AE821,Sheet1!$F:$F,Sheet1!$W:$W))+1))&amp;AE821,"NOT FOUND"),LEFT(J821,FIND("-",J821,FIND("-",J821)+1))&amp;AE821))</f>
        <v>KRTS-APSU26-YETKRTSCUT5060</v>
      </c>
    </row>
    <row r="822" spans="1:34" ht="15.75" customHeight="1" x14ac:dyDescent="0.2">
      <c r="A822" s="4" t="s">
        <v>30</v>
      </c>
      <c r="B822" s="4" t="s">
        <v>1124</v>
      </c>
      <c r="C822" s="4" t="s">
        <v>1017</v>
      </c>
      <c r="D822" s="4" t="s">
        <v>1125</v>
      </c>
      <c r="E822" s="4" t="s">
        <v>34</v>
      </c>
      <c r="F822" s="4" t="s">
        <v>35</v>
      </c>
      <c r="G822" s="4" t="s">
        <v>47</v>
      </c>
      <c r="H822" s="4" t="s">
        <v>1132</v>
      </c>
      <c r="I822" s="4" t="s">
        <v>1133</v>
      </c>
      <c r="J822" s="4" t="s">
        <v>1134</v>
      </c>
      <c r="L822" s="4" t="s">
        <v>40</v>
      </c>
      <c r="M822" s="4">
        <v>1</v>
      </c>
      <c r="N822" s="4">
        <v>364</v>
      </c>
      <c r="O822" s="4">
        <v>364</v>
      </c>
      <c r="P822" s="4" t="s">
        <v>41</v>
      </c>
      <c r="Q822" s="4">
        <v>229.3</v>
      </c>
      <c r="R822" s="4">
        <v>229.3</v>
      </c>
      <c r="S822" s="4">
        <v>4173.26</v>
      </c>
      <c r="T822" s="4">
        <v>83465.2</v>
      </c>
      <c r="U822" s="4">
        <v>5</v>
      </c>
      <c r="V822" s="4" t="s">
        <v>42</v>
      </c>
      <c r="X822" s="7" t="str">
        <f t="shared" si="45"/>
        <v>441853967</v>
      </c>
      <c r="Y822" s="8" t="str">
        <f t="shared" si="46"/>
        <v>DC</v>
      </c>
      <c r="Z822" s="8">
        <f t="shared" si="47"/>
        <v>0</v>
      </c>
      <c r="AA822" s="8">
        <f t="shared" si="48"/>
        <v>0</v>
      </c>
      <c r="AB822" s="8">
        <f t="shared" si="49"/>
        <v>364</v>
      </c>
      <c r="AC822" s="8">
        <f t="shared" si="50"/>
        <v>0</v>
      </c>
      <c r="AD822" s="8">
        <f t="shared" si="51"/>
        <v>0</v>
      </c>
      <c r="AE822" s="9" t="str" cm="1">
        <f t="array" ref="AE822">IFERROR(_xlfn.XLOOKUP(H822,Sheet1!$G:$G,Sheet1!$F:$F),IFERROR(_xlfn.XLOOKUP(1,(--($X$2:$X$1074=X822))*(--ISNUMBER(MATCH($H$2:$H$1074,Sheet1!$G:$G,0))),_xlfn.XLOOKUP($H$2:$H$1074,Sheet1!$G:$G,Sheet1!$F:$F,"")),"NOT FOUND"))</f>
        <v>YETKRTSCUT5060</v>
      </c>
      <c r="AF822" s="10" t="str">
        <f t="shared" si="52"/>
        <v>BLUE</v>
      </c>
      <c r="AG822" s="11" t="str">
        <f t="shared" si="53"/>
        <v>Bangalore</v>
      </c>
      <c r="AH822" s="9" t="str">
        <f>IF(OR(J822="",AE822="",AE822="NOT FOUND"),"",IF(Y822="RP",IFERROR(LEFT(_xlfn.XLOOKUP(AE822,Sheet1!$F:$F,Sheet1!$W:$W),FIND("-",_xlfn.XLOOKUP(AE822,Sheet1!$F:$F,Sheet1!$W:$W),FIND("-",_xlfn.XLOOKUP(AE822,Sheet1!$F:$F,Sheet1!$W:$W))+1))&amp;AE822,"NOT FOUND"),LEFT(J822,FIND("-",J822,FIND("-",J822)+1))&amp;AE822))</f>
        <v>KRTS-APSU26-YETKRTSCUT5060</v>
      </c>
    </row>
    <row r="823" spans="1:34" ht="15.75" customHeight="1" x14ac:dyDescent="0.2">
      <c r="A823" s="4" t="s">
        <v>30</v>
      </c>
      <c r="B823" s="4" t="s">
        <v>1124</v>
      </c>
      <c r="C823" s="4" t="s">
        <v>1017</v>
      </c>
      <c r="D823" s="4" t="s">
        <v>1125</v>
      </c>
      <c r="E823" s="4" t="s">
        <v>34</v>
      </c>
      <c r="F823" s="4" t="s">
        <v>35</v>
      </c>
      <c r="G823" s="4" t="s">
        <v>51</v>
      </c>
      <c r="H823" s="4" t="s">
        <v>1135</v>
      </c>
      <c r="I823" s="4" t="s">
        <v>1136</v>
      </c>
      <c r="J823" s="4" t="s">
        <v>1137</v>
      </c>
      <c r="L823" s="4" t="s">
        <v>40</v>
      </c>
      <c r="M823" s="4">
        <v>1</v>
      </c>
      <c r="N823" s="4">
        <v>425</v>
      </c>
      <c r="O823" s="4">
        <v>425</v>
      </c>
      <c r="P823" s="4" t="s">
        <v>41</v>
      </c>
      <c r="Q823" s="4">
        <v>229.3</v>
      </c>
      <c r="R823" s="4">
        <v>229.3</v>
      </c>
      <c r="S823" s="4">
        <v>4872.63</v>
      </c>
      <c r="T823" s="4">
        <v>97452.5</v>
      </c>
      <c r="U823" s="4">
        <v>5</v>
      </c>
      <c r="V823" s="4" t="s">
        <v>42</v>
      </c>
      <c r="X823" s="7" t="str">
        <f t="shared" si="45"/>
        <v>441853967</v>
      </c>
      <c r="Y823" s="8" t="str">
        <f t="shared" si="46"/>
        <v>DC</v>
      </c>
      <c r="Z823" s="8">
        <f t="shared" si="47"/>
        <v>0</v>
      </c>
      <c r="AA823" s="8">
        <f t="shared" si="48"/>
        <v>0</v>
      </c>
      <c r="AB823" s="8">
        <f t="shared" si="49"/>
        <v>0</v>
      </c>
      <c r="AC823" s="8">
        <f t="shared" si="50"/>
        <v>425</v>
      </c>
      <c r="AD823" s="8">
        <f t="shared" si="51"/>
        <v>0</v>
      </c>
      <c r="AE823" s="9" t="str" cm="1">
        <f t="array" ref="AE823">IFERROR(_xlfn.XLOOKUP(H823,Sheet1!$G:$G,Sheet1!$F:$F),IFERROR(_xlfn.XLOOKUP(1,(--($X$2:$X$1074=X823))*(--ISNUMBER(MATCH($H$2:$H$1074,Sheet1!$G:$G,0))),_xlfn.XLOOKUP($H$2:$H$1074,Sheet1!$G:$G,Sheet1!$F:$F,"")),"NOT FOUND"))</f>
        <v>YETKRTSCUT5060</v>
      </c>
      <c r="AF823" s="10" t="str">
        <f t="shared" si="52"/>
        <v>BLUE</v>
      </c>
      <c r="AG823" s="11" t="str">
        <f t="shared" si="53"/>
        <v>Bangalore</v>
      </c>
      <c r="AH823" s="9" t="str">
        <f>IF(OR(J823="",AE823="",AE823="NOT FOUND"),"",IF(Y823="RP",IFERROR(LEFT(_xlfn.XLOOKUP(AE823,Sheet1!$F:$F,Sheet1!$W:$W),FIND("-",_xlfn.XLOOKUP(AE823,Sheet1!$F:$F,Sheet1!$W:$W),FIND("-",_xlfn.XLOOKUP(AE823,Sheet1!$F:$F,Sheet1!$W:$W))+1))&amp;AE823,"NOT FOUND"),LEFT(J823,FIND("-",J823,FIND("-",J823)+1))&amp;AE823))</f>
        <v>KRTS-APSU26-YETKRTSCUT5060</v>
      </c>
    </row>
    <row r="824" spans="1:34" ht="15.75" customHeight="1" x14ac:dyDescent="0.2">
      <c r="A824" s="4" t="s">
        <v>30</v>
      </c>
      <c r="B824" s="4" t="s">
        <v>1124</v>
      </c>
      <c r="C824" s="4" t="s">
        <v>1017</v>
      </c>
      <c r="D824" s="4" t="s">
        <v>1125</v>
      </c>
      <c r="E824" s="4" t="s">
        <v>34</v>
      </c>
      <c r="F824" s="4" t="s">
        <v>35</v>
      </c>
      <c r="G824" s="4" t="s">
        <v>55</v>
      </c>
      <c r="H824" s="4" t="s">
        <v>1138</v>
      </c>
      <c r="I824" s="4" t="s">
        <v>1139</v>
      </c>
      <c r="J824" s="4" t="s">
        <v>1140</v>
      </c>
      <c r="L824" s="4" t="s">
        <v>40</v>
      </c>
      <c r="M824" s="4">
        <v>1</v>
      </c>
      <c r="N824" s="4">
        <v>81</v>
      </c>
      <c r="O824" s="4">
        <v>81</v>
      </c>
      <c r="P824" s="4" t="s">
        <v>41</v>
      </c>
      <c r="Q824" s="4">
        <v>229.3</v>
      </c>
      <c r="R824" s="4">
        <v>229.3</v>
      </c>
      <c r="S824" s="4">
        <v>928.67</v>
      </c>
      <c r="T824" s="4">
        <v>18573.3</v>
      </c>
      <c r="U824" s="4">
        <v>5</v>
      </c>
      <c r="V824" s="4" t="s">
        <v>42</v>
      </c>
      <c r="X824" s="7" t="str">
        <f t="shared" si="45"/>
        <v>441853967</v>
      </c>
      <c r="Y824" s="8" t="str">
        <f t="shared" si="46"/>
        <v>DC</v>
      </c>
      <c r="Z824" s="8">
        <f t="shared" si="47"/>
        <v>0</v>
      </c>
      <c r="AA824" s="8">
        <f t="shared" si="48"/>
        <v>0</v>
      </c>
      <c r="AB824" s="8">
        <f t="shared" si="49"/>
        <v>0</v>
      </c>
      <c r="AC824" s="8">
        <f t="shared" si="50"/>
        <v>0</v>
      </c>
      <c r="AD824" s="8">
        <f t="shared" si="51"/>
        <v>81</v>
      </c>
      <c r="AE824" s="9" t="str" cm="1">
        <f t="array" ref="AE824">IFERROR(_xlfn.XLOOKUP(H824,Sheet1!$G:$G,Sheet1!$F:$F),IFERROR(_xlfn.XLOOKUP(1,(--($X$2:$X$1074=X824))*(--ISNUMBER(MATCH($H$2:$H$1074,Sheet1!$G:$G,0))),_xlfn.XLOOKUP($H$2:$H$1074,Sheet1!$G:$G,Sheet1!$F:$F,"")),"NOT FOUND"))</f>
        <v>YETKRTSCUT5060</v>
      </c>
      <c r="AF824" s="10" t="str">
        <f t="shared" si="52"/>
        <v>BLUE</v>
      </c>
      <c r="AG824" s="11" t="str">
        <f t="shared" si="53"/>
        <v>Bangalore</v>
      </c>
      <c r="AH824" s="9" t="str">
        <f>IF(OR(J824="",AE824="",AE824="NOT FOUND"),"",IF(Y824="RP",IFERROR(LEFT(_xlfn.XLOOKUP(AE824,Sheet1!$F:$F,Sheet1!$W:$W),FIND("-",_xlfn.XLOOKUP(AE824,Sheet1!$F:$F,Sheet1!$W:$W),FIND("-",_xlfn.XLOOKUP(AE824,Sheet1!$F:$F,Sheet1!$W:$W))+1))&amp;AE824,"NOT FOUND"),LEFT(J824,FIND("-",J824,FIND("-",J824)+1))&amp;AE824))</f>
        <v>KRTS-APSU26-YETKRTSCUT5060</v>
      </c>
    </row>
    <row r="825" spans="1:34" ht="15.75" customHeight="1" x14ac:dyDescent="0.2">
      <c r="A825" s="4" t="s">
        <v>30</v>
      </c>
      <c r="B825" s="4" t="s">
        <v>1141</v>
      </c>
      <c r="C825" s="4" t="s">
        <v>1017</v>
      </c>
      <c r="D825" s="4" t="s">
        <v>1125</v>
      </c>
      <c r="E825" s="4" t="s">
        <v>34</v>
      </c>
      <c r="F825" s="4" t="s">
        <v>35</v>
      </c>
      <c r="G825" s="4" t="s">
        <v>36</v>
      </c>
      <c r="H825" s="4" t="s">
        <v>1142</v>
      </c>
      <c r="I825" s="4" t="s">
        <v>1143</v>
      </c>
      <c r="J825" s="4" t="s">
        <v>1144</v>
      </c>
      <c r="L825" s="4" t="s">
        <v>40</v>
      </c>
      <c r="M825" s="4">
        <v>1</v>
      </c>
      <c r="N825" s="4">
        <v>30</v>
      </c>
      <c r="O825" s="4">
        <v>30</v>
      </c>
      <c r="P825" s="4" t="s">
        <v>41</v>
      </c>
      <c r="Q825" s="4">
        <v>204.3</v>
      </c>
      <c r="R825" s="4">
        <v>194.57</v>
      </c>
      <c r="S825" s="4">
        <v>291.86</v>
      </c>
      <c r="T825" s="4">
        <v>5837.14</v>
      </c>
      <c r="U825" s="4">
        <v>5</v>
      </c>
      <c r="V825" s="4" t="s">
        <v>42</v>
      </c>
      <c r="X825" s="7" t="str">
        <f t="shared" si="45"/>
        <v>441853966</v>
      </c>
      <c r="Y825" s="8" t="str">
        <f t="shared" si="46"/>
        <v>DC</v>
      </c>
      <c r="Z825" s="8">
        <f t="shared" si="47"/>
        <v>30</v>
      </c>
      <c r="AA825" s="8">
        <f t="shared" si="48"/>
        <v>0</v>
      </c>
      <c r="AB825" s="8">
        <f t="shared" si="49"/>
        <v>0</v>
      </c>
      <c r="AC825" s="8">
        <f t="shared" si="50"/>
        <v>0</v>
      </c>
      <c r="AD825" s="8">
        <f t="shared" si="51"/>
        <v>0</v>
      </c>
      <c r="AE825" s="9" t="str" cm="1">
        <f t="array" ref="AE825">IFERROR(_xlfn.XLOOKUP(H825,Sheet1!$G:$G,Sheet1!$F:$F),IFERROR(_xlfn.XLOOKUP(1,(--($X$2:$X$1074=X825))*(--ISNUMBER(MATCH($H$2:$H$1074,Sheet1!$G:$G,0))),_xlfn.XLOOKUP($H$2:$H$1074,Sheet1!$G:$G,Sheet1!$F:$F,"")),"NOT FOUND"))</f>
        <v>YETKRTSCUT5059</v>
      </c>
      <c r="AF825" s="10" t="str">
        <f t="shared" si="52"/>
        <v>CREAM</v>
      </c>
      <c r="AG825" s="11" t="str">
        <f t="shared" si="53"/>
        <v>Bangalore</v>
      </c>
      <c r="AH825" s="9" t="str">
        <f>IF(OR(J825="",AE825="",AE825="NOT FOUND"),"",IF(Y825="RP",IFERROR(LEFT(_xlfn.XLOOKUP(AE825,Sheet1!$F:$F,Sheet1!$W:$W),FIND("-",_xlfn.XLOOKUP(AE825,Sheet1!$F:$F,Sheet1!$W:$W),FIND("-",_xlfn.XLOOKUP(AE825,Sheet1!$F:$F,Sheet1!$W:$W))+1))&amp;AE825,"NOT FOUND"),LEFT(J825,FIND("-",J825,FIND("-",J825)+1))&amp;AE825))</f>
        <v>KRTS-APSU26-YETKRTSCUT5059</v>
      </c>
    </row>
    <row r="826" spans="1:34" ht="15.75" customHeight="1" x14ac:dyDescent="0.2">
      <c r="A826" s="4" t="s">
        <v>30</v>
      </c>
      <c r="B826" s="4" t="s">
        <v>1141</v>
      </c>
      <c r="C826" s="4" t="s">
        <v>1017</v>
      </c>
      <c r="D826" s="4" t="s">
        <v>1125</v>
      </c>
      <c r="E826" s="4" t="s">
        <v>34</v>
      </c>
      <c r="F826" s="4" t="s">
        <v>35</v>
      </c>
      <c r="G826" s="4" t="s">
        <v>43</v>
      </c>
      <c r="H826" s="4" t="s">
        <v>1145</v>
      </c>
      <c r="I826" s="4" t="s">
        <v>1146</v>
      </c>
      <c r="J826" s="4" t="s">
        <v>1147</v>
      </c>
      <c r="L826" s="4" t="s">
        <v>40</v>
      </c>
      <c r="M826" s="4">
        <v>1</v>
      </c>
      <c r="N826" s="4">
        <v>364</v>
      </c>
      <c r="O826" s="4">
        <v>364</v>
      </c>
      <c r="P826" s="4" t="s">
        <v>41</v>
      </c>
      <c r="Q826" s="4">
        <v>204.3</v>
      </c>
      <c r="R826" s="4">
        <v>194.57</v>
      </c>
      <c r="S826" s="4">
        <v>3541.2</v>
      </c>
      <c r="T826" s="4">
        <v>70824</v>
      </c>
      <c r="U826" s="4">
        <v>5</v>
      </c>
      <c r="V826" s="4" t="s">
        <v>42</v>
      </c>
      <c r="X826" s="7" t="str">
        <f t="shared" si="45"/>
        <v>441853966</v>
      </c>
      <c r="Y826" s="8" t="str">
        <f t="shared" si="46"/>
        <v>DC</v>
      </c>
      <c r="Z826" s="8">
        <f t="shared" si="47"/>
        <v>0</v>
      </c>
      <c r="AA826" s="8">
        <f t="shared" si="48"/>
        <v>364</v>
      </c>
      <c r="AB826" s="8">
        <f t="shared" si="49"/>
        <v>0</v>
      </c>
      <c r="AC826" s="8">
        <f t="shared" si="50"/>
        <v>0</v>
      </c>
      <c r="AD826" s="8">
        <f t="shared" si="51"/>
        <v>0</v>
      </c>
      <c r="AE826" s="9" t="str" cm="1">
        <f t="array" ref="AE826">IFERROR(_xlfn.XLOOKUP(H826,Sheet1!$G:$G,Sheet1!$F:$F),IFERROR(_xlfn.XLOOKUP(1,(--($X$2:$X$1074=X826))*(--ISNUMBER(MATCH($H$2:$H$1074,Sheet1!$G:$G,0))),_xlfn.XLOOKUP($H$2:$H$1074,Sheet1!$G:$G,Sheet1!$F:$F,"")),"NOT FOUND"))</f>
        <v>YETKRTSCUT5059</v>
      </c>
      <c r="AF826" s="10" t="str">
        <f t="shared" si="52"/>
        <v>CREAM</v>
      </c>
      <c r="AG826" s="11" t="str">
        <f t="shared" si="53"/>
        <v>Bangalore</v>
      </c>
      <c r="AH826" s="9" t="str">
        <f>IF(OR(J826="",AE826="",AE826="NOT FOUND"),"",IF(Y826="RP",IFERROR(LEFT(_xlfn.XLOOKUP(AE826,Sheet1!$F:$F,Sheet1!$W:$W),FIND("-",_xlfn.XLOOKUP(AE826,Sheet1!$F:$F,Sheet1!$W:$W),FIND("-",_xlfn.XLOOKUP(AE826,Sheet1!$F:$F,Sheet1!$W:$W))+1))&amp;AE826,"NOT FOUND"),LEFT(J826,FIND("-",J826,FIND("-",J826)+1))&amp;AE826))</f>
        <v>KRTS-APSU26-YETKRTSCUT5059</v>
      </c>
    </row>
    <row r="827" spans="1:34" ht="15.75" customHeight="1" x14ac:dyDescent="0.2">
      <c r="A827" s="4" t="s">
        <v>30</v>
      </c>
      <c r="B827" s="4" t="s">
        <v>1141</v>
      </c>
      <c r="C827" s="4" t="s">
        <v>1017</v>
      </c>
      <c r="D827" s="4" t="s">
        <v>1125</v>
      </c>
      <c r="E827" s="4" t="s">
        <v>34</v>
      </c>
      <c r="F827" s="4" t="s">
        <v>35</v>
      </c>
      <c r="G827" s="4" t="s">
        <v>47</v>
      </c>
      <c r="H827" s="4" t="s">
        <v>1148</v>
      </c>
      <c r="I827" s="4" t="s">
        <v>1149</v>
      </c>
      <c r="J827" s="4" t="s">
        <v>1150</v>
      </c>
      <c r="L827" s="4" t="s">
        <v>40</v>
      </c>
      <c r="M827" s="4">
        <v>1</v>
      </c>
      <c r="N827" s="4">
        <v>409</v>
      </c>
      <c r="O827" s="4">
        <v>409</v>
      </c>
      <c r="P827" s="4" t="s">
        <v>41</v>
      </c>
      <c r="Q827" s="4">
        <v>204.3</v>
      </c>
      <c r="R827" s="4">
        <v>194.57</v>
      </c>
      <c r="S827" s="4">
        <v>3978.99</v>
      </c>
      <c r="T827" s="4">
        <v>79579.710000000006</v>
      </c>
      <c r="U827" s="4">
        <v>5</v>
      </c>
      <c r="V827" s="4" t="s">
        <v>42</v>
      </c>
      <c r="X827" s="7" t="str">
        <f t="shared" si="45"/>
        <v>441853966</v>
      </c>
      <c r="Y827" s="8" t="str">
        <f t="shared" si="46"/>
        <v>DC</v>
      </c>
      <c r="Z827" s="8">
        <f t="shared" si="47"/>
        <v>0</v>
      </c>
      <c r="AA827" s="8">
        <f t="shared" si="48"/>
        <v>0</v>
      </c>
      <c r="AB827" s="8">
        <f t="shared" si="49"/>
        <v>409</v>
      </c>
      <c r="AC827" s="8">
        <f t="shared" si="50"/>
        <v>0</v>
      </c>
      <c r="AD827" s="8">
        <f t="shared" si="51"/>
        <v>0</v>
      </c>
      <c r="AE827" s="9" t="str" cm="1">
        <f t="array" ref="AE827">IFERROR(_xlfn.XLOOKUP(H827,Sheet1!$G:$G,Sheet1!$F:$F),IFERROR(_xlfn.XLOOKUP(1,(--($X$2:$X$1074=X827))*(--ISNUMBER(MATCH($H$2:$H$1074,Sheet1!$G:$G,0))),_xlfn.XLOOKUP($H$2:$H$1074,Sheet1!$G:$G,Sheet1!$F:$F,"")),"NOT FOUND"))</f>
        <v>YETKRTSCUT5059</v>
      </c>
      <c r="AF827" s="10" t="str">
        <f t="shared" si="52"/>
        <v>CREAM</v>
      </c>
      <c r="AG827" s="11" t="str">
        <f t="shared" si="53"/>
        <v>Bangalore</v>
      </c>
      <c r="AH827" s="9" t="str">
        <f>IF(OR(J827="",AE827="",AE827="NOT FOUND"),"",IF(Y827="RP",IFERROR(LEFT(_xlfn.XLOOKUP(AE827,Sheet1!$F:$F,Sheet1!$W:$W),FIND("-",_xlfn.XLOOKUP(AE827,Sheet1!$F:$F,Sheet1!$W:$W),FIND("-",_xlfn.XLOOKUP(AE827,Sheet1!$F:$F,Sheet1!$W:$W))+1))&amp;AE827,"NOT FOUND"),LEFT(J827,FIND("-",J827,FIND("-",J827)+1))&amp;AE827))</f>
        <v>KRTS-APSU26-YETKRTSCUT5059</v>
      </c>
    </row>
    <row r="828" spans="1:34" ht="15.75" customHeight="1" x14ac:dyDescent="0.2">
      <c r="A828" s="4" t="s">
        <v>61</v>
      </c>
      <c r="B828" s="4" t="s">
        <v>1151</v>
      </c>
      <c r="C828" s="4" t="s">
        <v>1017</v>
      </c>
      <c r="D828" s="4" t="s">
        <v>998</v>
      </c>
      <c r="E828" s="4" t="s">
        <v>34</v>
      </c>
      <c r="F828" s="4" t="s">
        <v>35</v>
      </c>
      <c r="G828" s="4" t="s">
        <v>36</v>
      </c>
      <c r="H828" s="4" t="s">
        <v>1108</v>
      </c>
      <c r="I828" s="4" t="s">
        <v>1109</v>
      </c>
      <c r="J828" s="4" t="s">
        <v>1110</v>
      </c>
      <c r="L828" s="4" t="s">
        <v>40</v>
      </c>
      <c r="M828" s="4">
        <v>1</v>
      </c>
      <c r="N828" s="4">
        <v>30</v>
      </c>
      <c r="O828" s="4">
        <v>30</v>
      </c>
      <c r="P828" s="4" t="s">
        <v>41</v>
      </c>
      <c r="Q828" s="4">
        <v>234.3</v>
      </c>
      <c r="R828" s="4">
        <v>234.3</v>
      </c>
      <c r="S828" s="4">
        <v>351.45</v>
      </c>
      <c r="T828" s="4">
        <v>7029</v>
      </c>
      <c r="U828" s="4">
        <v>5</v>
      </c>
      <c r="V828" s="4" t="s">
        <v>42</v>
      </c>
      <c r="X828" s="7" t="str">
        <f t="shared" si="45"/>
        <v>441853990</v>
      </c>
      <c r="Y828" s="8" t="str">
        <f t="shared" si="46"/>
        <v>DC</v>
      </c>
      <c r="Z828" s="8">
        <f t="shared" si="47"/>
        <v>30</v>
      </c>
      <c r="AA828" s="8">
        <f t="shared" si="48"/>
        <v>0</v>
      </c>
      <c r="AB828" s="8">
        <f t="shared" si="49"/>
        <v>0</v>
      </c>
      <c r="AC828" s="8">
        <f t="shared" si="50"/>
        <v>0</v>
      </c>
      <c r="AD828" s="8">
        <f t="shared" si="51"/>
        <v>0</v>
      </c>
      <c r="AE828" s="9" t="str" cm="1">
        <f t="array" ref="AE828">IFERROR(_xlfn.XLOOKUP(H828,Sheet1!$G:$G,Sheet1!$F:$F),IFERROR(_xlfn.XLOOKUP(1,(--($X$2:$X$1074=X828))*(--ISNUMBER(MATCH($H$2:$H$1074,Sheet1!$G:$G,0))),_xlfn.XLOOKUP($H$2:$H$1074,Sheet1!$G:$G,Sheet1!$F:$F,"")),"NOT FOUND"))</f>
        <v>YETKRTSCUT5009</v>
      </c>
      <c r="AF828" s="10" t="str">
        <f t="shared" si="52"/>
        <v>BLACK</v>
      </c>
      <c r="AG828" s="11" t="str">
        <f t="shared" si="53"/>
        <v>HARIPAL</v>
      </c>
      <c r="AH828" s="9" t="str">
        <f>IF(OR(J828="",AE828="",AE828="NOT FOUND"),"",IF(Y828="RP",IFERROR(LEFT(_xlfn.XLOOKUP(AE828,Sheet1!$F:$F,Sheet1!$W:$W),FIND("-",_xlfn.XLOOKUP(AE828,Sheet1!$F:$F,Sheet1!$W:$W),FIND("-",_xlfn.XLOOKUP(AE828,Sheet1!$F:$F,Sheet1!$W:$W))+1))&amp;AE828,"NOT FOUND"),LEFT(J828,FIND("-",J828,FIND("-",J828)+1))&amp;AE828))</f>
        <v>KRTS-APSU26-YETKRTSCUT5009</v>
      </c>
    </row>
    <row r="829" spans="1:34" ht="15.75" customHeight="1" x14ac:dyDescent="0.2">
      <c r="A829" s="4" t="s">
        <v>61</v>
      </c>
      <c r="B829" s="4" t="s">
        <v>1151</v>
      </c>
      <c r="C829" s="4" t="s">
        <v>1017</v>
      </c>
      <c r="D829" s="4" t="s">
        <v>998</v>
      </c>
      <c r="E829" s="4" t="s">
        <v>34</v>
      </c>
      <c r="F829" s="4" t="s">
        <v>35</v>
      </c>
      <c r="G829" s="4" t="s">
        <v>43</v>
      </c>
      <c r="H829" s="4" t="s">
        <v>1111</v>
      </c>
      <c r="I829" s="4" t="s">
        <v>1112</v>
      </c>
      <c r="J829" s="4" t="s">
        <v>1113</v>
      </c>
      <c r="L829" s="4" t="s">
        <v>40</v>
      </c>
      <c r="M829" s="4">
        <v>1</v>
      </c>
      <c r="N829" s="4">
        <v>161</v>
      </c>
      <c r="O829" s="4">
        <v>161</v>
      </c>
      <c r="P829" s="4" t="s">
        <v>41</v>
      </c>
      <c r="Q829" s="4">
        <v>234.3</v>
      </c>
      <c r="R829" s="4">
        <v>234.3</v>
      </c>
      <c r="S829" s="4">
        <v>1886.12</v>
      </c>
      <c r="T829" s="4">
        <v>37722.300000000003</v>
      </c>
      <c r="U829" s="4">
        <v>5</v>
      </c>
      <c r="V829" s="4" t="s">
        <v>42</v>
      </c>
      <c r="X829" s="7" t="str">
        <f t="shared" si="45"/>
        <v>441853990</v>
      </c>
      <c r="Y829" s="8" t="str">
        <f t="shared" si="46"/>
        <v>DC</v>
      </c>
      <c r="Z829" s="8">
        <f t="shared" si="47"/>
        <v>0</v>
      </c>
      <c r="AA829" s="8">
        <f t="shared" si="48"/>
        <v>161</v>
      </c>
      <c r="AB829" s="8">
        <f t="shared" si="49"/>
        <v>0</v>
      </c>
      <c r="AC829" s="8">
        <f t="shared" si="50"/>
        <v>0</v>
      </c>
      <c r="AD829" s="8">
        <f t="shared" si="51"/>
        <v>0</v>
      </c>
      <c r="AE829" s="9" t="str" cm="1">
        <f t="array" ref="AE829">IFERROR(_xlfn.XLOOKUP(H829,Sheet1!$G:$G,Sheet1!$F:$F),IFERROR(_xlfn.XLOOKUP(1,(--($X$2:$X$1074=X829))*(--ISNUMBER(MATCH($H$2:$H$1074,Sheet1!$G:$G,0))),_xlfn.XLOOKUP($H$2:$H$1074,Sheet1!$G:$G,Sheet1!$F:$F,"")),"NOT FOUND"))</f>
        <v>YETKRTSCUT5009</v>
      </c>
      <c r="AF829" s="10" t="str">
        <f t="shared" si="52"/>
        <v>BLACK</v>
      </c>
      <c r="AG829" s="11" t="str">
        <f t="shared" si="53"/>
        <v>HARIPAL</v>
      </c>
      <c r="AH829" s="9" t="str">
        <f>IF(OR(J829="",AE829="",AE829="NOT FOUND"),"",IF(Y829="RP",IFERROR(LEFT(_xlfn.XLOOKUP(AE829,Sheet1!$F:$F,Sheet1!$W:$W),FIND("-",_xlfn.XLOOKUP(AE829,Sheet1!$F:$F,Sheet1!$W:$W),FIND("-",_xlfn.XLOOKUP(AE829,Sheet1!$F:$F,Sheet1!$W:$W))+1))&amp;AE829,"NOT FOUND"),LEFT(J829,FIND("-",J829,FIND("-",J829)+1))&amp;AE829))</f>
        <v>KRTS-APSU26-YETKRTSCUT5009</v>
      </c>
    </row>
    <row r="830" spans="1:34" ht="15.75" customHeight="1" x14ac:dyDescent="0.2">
      <c r="A830" s="4" t="s">
        <v>61</v>
      </c>
      <c r="B830" s="4" t="s">
        <v>1151</v>
      </c>
      <c r="C830" s="4" t="s">
        <v>1017</v>
      </c>
      <c r="D830" s="4" t="s">
        <v>998</v>
      </c>
      <c r="E830" s="4" t="s">
        <v>34</v>
      </c>
      <c r="F830" s="4" t="s">
        <v>35</v>
      </c>
      <c r="G830" s="4" t="s">
        <v>47</v>
      </c>
      <c r="H830" s="4" t="s">
        <v>1114</v>
      </c>
      <c r="I830" s="4" t="s">
        <v>1115</v>
      </c>
      <c r="J830" s="4" t="s">
        <v>1116</v>
      </c>
      <c r="L830" s="4" t="s">
        <v>40</v>
      </c>
      <c r="M830" s="4">
        <v>1</v>
      </c>
      <c r="N830" s="4">
        <v>182</v>
      </c>
      <c r="O830" s="4">
        <v>182</v>
      </c>
      <c r="P830" s="4" t="s">
        <v>41</v>
      </c>
      <c r="Q830" s="4">
        <v>234.3</v>
      </c>
      <c r="R830" s="4">
        <v>234.3</v>
      </c>
      <c r="S830" s="4">
        <v>2132.13</v>
      </c>
      <c r="T830" s="4">
        <v>42642.6</v>
      </c>
      <c r="U830" s="4">
        <v>5</v>
      </c>
      <c r="V830" s="4" t="s">
        <v>42</v>
      </c>
      <c r="X830" s="7" t="str">
        <f t="shared" si="45"/>
        <v>441853990</v>
      </c>
      <c r="Y830" s="8" t="str">
        <f t="shared" si="46"/>
        <v>DC</v>
      </c>
      <c r="Z830" s="8">
        <f t="shared" si="47"/>
        <v>0</v>
      </c>
      <c r="AA830" s="8">
        <f t="shared" si="48"/>
        <v>0</v>
      </c>
      <c r="AB830" s="8">
        <f t="shared" si="49"/>
        <v>182</v>
      </c>
      <c r="AC830" s="8">
        <f t="shared" si="50"/>
        <v>0</v>
      </c>
      <c r="AD830" s="8">
        <f t="shared" si="51"/>
        <v>0</v>
      </c>
      <c r="AE830" s="9" t="str" cm="1">
        <f t="array" ref="AE830">IFERROR(_xlfn.XLOOKUP(H830,Sheet1!$G:$G,Sheet1!$F:$F),IFERROR(_xlfn.XLOOKUP(1,(--($X$2:$X$1074=X830))*(--ISNUMBER(MATCH($H$2:$H$1074,Sheet1!$G:$G,0))),_xlfn.XLOOKUP($H$2:$H$1074,Sheet1!$G:$G,Sheet1!$F:$F,"")),"NOT FOUND"))</f>
        <v>YETKRTSCUT5009</v>
      </c>
      <c r="AF830" s="10" t="str">
        <f t="shared" si="52"/>
        <v>BLACK</v>
      </c>
      <c r="AG830" s="11" t="str">
        <f t="shared" si="53"/>
        <v>HARIPAL</v>
      </c>
      <c r="AH830" s="9" t="str">
        <f>IF(OR(J830="",AE830="",AE830="NOT FOUND"),"",IF(Y830="RP",IFERROR(LEFT(_xlfn.XLOOKUP(AE830,Sheet1!$F:$F,Sheet1!$W:$W),FIND("-",_xlfn.XLOOKUP(AE830,Sheet1!$F:$F,Sheet1!$W:$W),FIND("-",_xlfn.XLOOKUP(AE830,Sheet1!$F:$F,Sheet1!$W:$W))+1))&amp;AE830,"NOT FOUND"),LEFT(J830,FIND("-",J830,FIND("-",J830)+1))&amp;AE830))</f>
        <v>KRTS-APSU26-YETKRTSCUT5009</v>
      </c>
    </row>
    <row r="831" spans="1:34" ht="15.75" customHeight="1" x14ac:dyDescent="0.2">
      <c r="A831" s="4" t="s">
        <v>61</v>
      </c>
      <c r="B831" s="4" t="s">
        <v>1151</v>
      </c>
      <c r="C831" s="4" t="s">
        <v>1017</v>
      </c>
      <c r="D831" s="4" t="s">
        <v>998</v>
      </c>
      <c r="E831" s="4" t="s">
        <v>34</v>
      </c>
      <c r="F831" s="4" t="s">
        <v>35</v>
      </c>
      <c r="G831" s="4" t="s">
        <v>51</v>
      </c>
      <c r="H831" s="4" t="s">
        <v>1117</v>
      </c>
      <c r="I831" s="4" t="s">
        <v>1118</v>
      </c>
      <c r="J831" s="4" t="s">
        <v>1119</v>
      </c>
      <c r="L831" s="4" t="s">
        <v>40</v>
      </c>
      <c r="M831" s="4">
        <v>1</v>
      </c>
      <c r="N831" s="4">
        <v>212</v>
      </c>
      <c r="O831" s="4">
        <v>212</v>
      </c>
      <c r="P831" s="4" t="s">
        <v>41</v>
      </c>
      <c r="Q831" s="4">
        <v>234.3</v>
      </c>
      <c r="R831" s="4">
        <v>234.3</v>
      </c>
      <c r="S831" s="4">
        <v>2483.58</v>
      </c>
      <c r="T831" s="4">
        <v>49671.6</v>
      </c>
      <c r="U831" s="4">
        <v>5</v>
      </c>
      <c r="V831" s="4" t="s">
        <v>42</v>
      </c>
      <c r="X831" s="7" t="str">
        <f t="shared" si="45"/>
        <v>441853990</v>
      </c>
      <c r="Y831" s="8" t="str">
        <f t="shared" si="46"/>
        <v>DC</v>
      </c>
      <c r="Z831" s="8">
        <f t="shared" si="47"/>
        <v>0</v>
      </c>
      <c r="AA831" s="8">
        <f t="shared" si="48"/>
        <v>0</v>
      </c>
      <c r="AB831" s="8">
        <f t="shared" si="49"/>
        <v>0</v>
      </c>
      <c r="AC831" s="8">
        <f t="shared" si="50"/>
        <v>212</v>
      </c>
      <c r="AD831" s="8">
        <f t="shared" si="51"/>
        <v>0</v>
      </c>
      <c r="AE831" s="9" t="str" cm="1">
        <f t="array" ref="AE831">IFERROR(_xlfn.XLOOKUP(H831,Sheet1!$G:$G,Sheet1!$F:$F),IFERROR(_xlfn.XLOOKUP(1,(--($X$2:$X$1074=X831))*(--ISNUMBER(MATCH($H$2:$H$1074,Sheet1!$G:$G,0))),_xlfn.XLOOKUP($H$2:$H$1074,Sheet1!$G:$G,Sheet1!$F:$F,"")),"NOT FOUND"))</f>
        <v>YETKRTSCUT5009</v>
      </c>
      <c r="AF831" s="10" t="str">
        <f t="shared" si="52"/>
        <v>BLACK</v>
      </c>
      <c r="AG831" s="11" t="str">
        <f t="shared" si="53"/>
        <v>HARIPAL</v>
      </c>
      <c r="AH831" s="9" t="str">
        <f>IF(OR(J831="",AE831="",AE831="NOT FOUND"),"",IF(Y831="RP",IFERROR(LEFT(_xlfn.XLOOKUP(AE831,Sheet1!$F:$F,Sheet1!$W:$W),FIND("-",_xlfn.XLOOKUP(AE831,Sheet1!$F:$F,Sheet1!$W:$W),FIND("-",_xlfn.XLOOKUP(AE831,Sheet1!$F:$F,Sheet1!$W:$W))+1))&amp;AE831,"NOT FOUND"),LEFT(J831,FIND("-",J831,FIND("-",J831)+1))&amp;AE831))</f>
        <v>KRTS-APSU26-YETKRTSCUT5009</v>
      </c>
    </row>
    <row r="832" spans="1:34" ht="15.75" customHeight="1" x14ac:dyDescent="0.2">
      <c r="A832" s="4" t="s">
        <v>61</v>
      </c>
      <c r="B832" s="4" t="s">
        <v>1151</v>
      </c>
      <c r="C832" s="4" t="s">
        <v>1017</v>
      </c>
      <c r="D832" s="4" t="s">
        <v>998</v>
      </c>
      <c r="E832" s="4" t="s">
        <v>34</v>
      </c>
      <c r="F832" s="4" t="s">
        <v>35</v>
      </c>
      <c r="G832" s="4" t="s">
        <v>55</v>
      </c>
      <c r="H832" s="4" t="s">
        <v>1120</v>
      </c>
      <c r="I832" s="4" t="s">
        <v>1121</v>
      </c>
      <c r="J832" s="4" t="s">
        <v>1122</v>
      </c>
      <c r="L832" s="4" t="s">
        <v>40</v>
      </c>
      <c r="M832" s="4">
        <v>1</v>
      </c>
      <c r="N832" s="4">
        <v>40</v>
      </c>
      <c r="O832" s="4">
        <v>40</v>
      </c>
      <c r="P832" s="4" t="s">
        <v>41</v>
      </c>
      <c r="Q832" s="4">
        <v>234.3</v>
      </c>
      <c r="R832" s="4">
        <v>234.3</v>
      </c>
      <c r="S832" s="4">
        <v>468.6</v>
      </c>
      <c r="T832" s="4">
        <v>9372</v>
      </c>
      <c r="U832" s="4">
        <v>5</v>
      </c>
      <c r="V832" s="4" t="s">
        <v>42</v>
      </c>
      <c r="X832" s="7" t="str">
        <f t="shared" si="45"/>
        <v>441853990</v>
      </c>
      <c r="Y832" s="8" t="str">
        <f t="shared" si="46"/>
        <v>DC</v>
      </c>
      <c r="Z832" s="8">
        <f t="shared" si="47"/>
        <v>0</v>
      </c>
      <c r="AA832" s="8">
        <f t="shared" si="48"/>
        <v>0</v>
      </c>
      <c r="AB832" s="8">
        <f t="shared" si="49"/>
        <v>0</v>
      </c>
      <c r="AC832" s="8">
        <f t="shared" si="50"/>
        <v>0</v>
      </c>
      <c r="AD832" s="8">
        <f t="shared" si="51"/>
        <v>40</v>
      </c>
      <c r="AE832" s="9" t="str" cm="1">
        <f t="array" ref="AE832">IFERROR(_xlfn.XLOOKUP(H832,Sheet1!$G:$G,Sheet1!$F:$F),IFERROR(_xlfn.XLOOKUP(1,(--($X$2:$X$1074=X832))*(--ISNUMBER(MATCH($H$2:$H$1074,Sheet1!$G:$G,0))),_xlfn.XLOOKUP($H$2:$H$1074,Sheet1!$G:$G,Sheet1!$F:$F,"")),"NOT FOUND"))</f>
        <v>YETKRTSCUT5009</v>
      </c>
      <c r="AF832" s="10" t="str">
        <f t="shared" si="52"/>
        <v>BLACK</v>
      </c>
      <c r="AG832" s="11" t="str">
        <f t="shared" si="53"/>
        <v>HARIPAL</v>
      </c>
      <c r="AH832" s="9" t="str">
        <f>IF(OR(J832="",AE832="",AE832="NOT FOUND"),"",IF(Y832="RP",IFERROR(LEFT(_xlfn.XLOOKUP(AE832,Sheet1!$F:$F,Sheet1!$W:$W),FIND("-",_xlfn.XLOOKUP(AE832,Sheet1!$F:$F,Sheet1!$W:$W),FIND("-",_xlfn.XLOOKUP(AE832,Sheet1!$F:$F,Sheet1!$W:$W))+1))&amp;AE832,"NOT FOUND"),LEFT(J832,FIND("-",J832,FIND("-",J832)+1))&amp;AE832))</f>
        <v>KRTS-APSU26-YETKRTSCUT5009</v>
      </c>
    </row>
    <row r="833" spans="1:34" ht="15.75" customHeight="1" x14ac:dyDescent="0.2">
      <c r="A833" s="4" t="s">
        <v>30</v>
      </c>
      <c r="B833" s="4" t="s">
        <v>1152</v>
      </c>
      <c r="C833" s="4" t="s">
        <v>1017</v>
      </c>
      <c r="D833" s="4" t="s">
        <v>1125</v>
      </c>
      <c r="E833" s="4" t="s">
        <v>34</v>
      </c>
      <c r="F833" s="4" t="s">
        <v>35</v>
      </c>
      <c r="G833" s="4" t="s">
        <v>36</v>
      </c>
      <c r="H833" s="4" t="s">
        <v>1153</v>
      </c>
      <c r="I833" s="4" t="s">
        <v>1154</v>
      </c>
      <c r="J833" s="4" t="s">
        <v>1155</v>
      </c>
      <c r="L833" s="4" t="s">
        <v>40</v>
      </c>
      <c r="M833" s="4">
        <v>1</v>
      </c>
      <c r="N833" s="4">
        <v>30</v>
      </c>
      <c r="O833" s="4">
        <v>30</v>
      </c>
      <c r="P833" s="4" t="s">
        <v>41</v>
      </c>
      <c r="Q833" s="4">
        <v>229.3</v>
      </c>
      <c r="R833" s="4">
        <v>229.3</v>
      </c>
      <c r="S833" s="4">
        <v>343.95</v>
      </c>
      <c r="T833" s="4">
        <v>6879</v>
      </c>
      <c r="U833" s="4">
        <v>5</v>
      </c>
      <c r="V833" s="4" t="s">
        <v>42</v>
      </c>
      <c r="X833" s="7" t="str">
        <f t="shared" si="45"/>
        <v>441853964</v>
      </c>
      <c r="Y833" s="8" t="str">
        <f t="shared" si="46"/>
        <v>DC</v>
      </c>
      <c r="Z833" s="8">
        <f t="shared" si="47"/>
        <v>30</v>
      </c>
      <c r="AA833" s="8">
        <f t="shared" si="48"/>
        <v>0</v>
      </c>
      <c r="AB833" s="8">
        <f t="shared" si="49"/>
        <v>0</v>
      </c>
      <c r="AC833" s="8">
        <f t="shared" si="50"/>
        <v>0</v>
      </c>
      <c r="AD833" s="8">
        <f t="shared" si="51"/>
        <v>0</v>
      </c>
      <c r="AE833" s="9" t="str" cm="1">
        <f t="array" ref="AE833">IFERROR(_xlfn.XLOOKUP(H833,Sheet1!$G:$G,Sheet1!$F:$F),IFERROR(_xlfn.XLOOKUP(1,(--($X$2:$X$1074=X833))*(--ISNUMBER(MATCH($H$2:$H$1074,Sheet1!$G:$G,0))),_xlfn.XLOOKUP($H$2:$H$1074,Sheet1!$G:$G,Sheet1!$F:$F,"")),"NOT FOUND"))</f>
        <v>YETKRTSCUT5057</v>
      </c>
      <c r="AF833" s="10" t="str">
        <f t="shared" si="52"/>
        <v>BLUE</v>
      </c>
      <c r="AG833" s="11" t="str">
        <f t="shared" si="53"/>
        <v>Bangalore</v>
      </c>
      <c r="AH833" s="9" t="str">
        <f>IF(OR(J833="",AE833="",AE833="NOT FOUND"),"",IF(Y833="RP",IFERROR(LEFT(_xlfn.XLOOKUP(AE833,Sheet1!$F:$F,Sheet1!$W:$W),FIND("-",_xlfn.XLOOKUP(AE833,Sheet1!$F:$F,Sheet1!$W:$W),FIND("-",_xlfn.XLOOKUP(AE833,Sheet1!$F:$F,Sheet1!$W:$W))+1))&amp;AE833,"NOT FOUND"),LEFT(J833,FIND("-",J833,FIND("-",J833)+1))&amp;AE833))</f>
        <v>KRTS-APSU26-YETKRTSCUT5057</v>
      </c>
    </row>
    <row r="834" spans="1:34" ht="15.75" customHeight="1" x14ac:dyDescent="0.2">
      <c r="A834" s="4" t="s">
        <v>30</v>
      </c>
      <c r="B834" s="4" t="s">
        <v>1152</v>
      </c>
      <c r="C834" s="4" t="s">
        <v>1017</v>
      </c>
      <c r="D834" s="4" t="s">
        <v>1125</v>
      </c>
      <c r="E834" s="4" t="s">
        <v>34</v>
      </c>
      <c r="F834" s="4" t="s">
        <v>35</v>
      </c>
      <c r="G834" s="4" t="s">
        <v>43</v>
      </c>
      <c r="H834" s="4" t="s">
        <v>1156</v>
      </c>
      <c r="I834" s="4" t="s">
        <v>1157</v>
      </c>
      <c r="J834" s="4" t="s">
        <v>1158</v>
      </c>
      <c r="L834" s="4" t="s">
        <v>40</v>
      </c>
      <c r="M834" s="4">
        <v>1</v>
      </c>
      <c r="N834" s="4">
        <v>339</v>
      </c>
      <c r="O834" s="4">
        <v>339</v>
      </c>
      <c r="P834" s="4" t="s">
        <v>41</v>
      </c>
      <c r="Q834" s="4">
        <v>229.3</v>
      </c>
      <c r="R834" s="4">
        <v>229.3</v>
      </c>
      <c r="S834" s="4">
        <v>3886.64</v>
      </c>
      <c r="T834" s="4">
        <v>77732.7</v>
      </c>
      <c r="U834" s="4">
        <v>5</v>
      </c>
      <c r="V834" s="4" t="s">
        <v>42</v>
      </c>
      <c r="X834" s="7" t="str">
        <f t="shared" si="45"/>
        <v>441853964</v>
      </c>
      <c r="Y834" s="8" t="str">
        <f t="shared" si="46"/>
        <v>DC</v>
      </c>
      <c r="Z834" s="8">
        <f t="shared" si="47"/>
        <v>0</v>
      </c>
      <c r="AA834" s="8">
        <f t="shared" si="48"/>
        <v>339</v>
      </c>
      <c r="AB834" s="8">
        <f t="shared" si="49"/>
        <v>0</v>
      </c>
      <c r="AC834" s="8">
        <f t="shared" si="50"/>
        <v>0</v>
      </c>
      <c r="AD834" s="8">
        <f t="shared" si="51"/>
        <v>0</v>
      </c>
      <c r="AE834" s="9" t="str" cm="1">
        <f t="array" ref="AE834">IFERROR(_xlfn.XLOOKUP(H834,Sheet1!$G:$G,Sheet1!$F:$F),IFERROR(_xlfn.XLOOKUP(1,(--($X$2:$X$1074=X834))*(--ISNUMBER(MATCH($H$2:$H$1074,Sheet1!$G:$G,0))),_xlfn.XLOOKUP($H$2:$H$1074,Sheet1!$G:$G,Sheet1!$F:$F,"")),"NOT FOUND"))</f>
        <v>YETKRTSCUT5057</v>
      </c>
      <c r="AF834" s="10" t="str">
        <f t="shared" si="52"/>
        <v>BLUE</v>
      </c>
      <c r="AG834" s="11" t="str">
        <f t="shared" si="53"/>
        <v>Bangalore</v>
      </c>
      <c r="AH834" s="9" t="str">
        <f>IF(OR(J834="",AE834="",AE834="NOT FOUND"),"",IF(Y834="RP",IFERROR(LEFT(_xlfn.XLOOKUP(AE834,Sheet1!$F:$F,Sheet1!$W:$W),FIND("-",_xlfn.XLOOKUP(AE834,Sheet1!$F:$F,Sheet1!$W:$W),FIND("-",_xlfn.XLOOKUP(AE834,Sheet1!$F:$F,Sheet1!$W:$W))+1))&amp;AE834,"NOT FOUND"),LEFT(J834,FIND("-",J834,FIND("-",J834)+1))&amp;AE834))</f>
        <v>KRTS-APSU26-YETKRTSCUT5057</v>
      </c>
    </row>
    <row r="835" spans="1:34" ht="15.75" customHeight="1" x14ac:dyDescent="0.2">
      <c r="A835" s="4" t="s">
        <v>30</v>
      </c>
      <c r="B835" s="4" t="s">
        <v>1152</v>
      </c>
      <c r="C835" s="4" t="s">
        <v>1017</v>
      </c>
      <c r="D835" s="4" t="s">
        <v>1125</v>
      </c>
      <c r="E835" s="4" t="s">
        <v>34</v>
      </c>
      <c r="F835" s="4" t="s">
        <v>35</v>
      </c>
      <c r="G835" s="4" t="s">
        <v>47</v>
      </c>
      <c r="H835" s="4" t="s">
        <v>1159</v>
      </c>
      <c r="I835" s="4" t="s">
        <v>1160</v>
      </c>
      <c r="J835" s="4" t="s">
        <v>1161</v>
      </c>
      <c r="L835" s="4" t="s">
        <v>40</v>
      </c>
      <c r="M835" s="4">
        <v>1</v>
      </c>
      <c r="N835" s="4">
        <v>382</v>
      </c>
      <c r="O835" s="4">
        <v>382</v>
      </c>
      <c r="P835" s="4" t="s">
        <v>41</v>
      </c>
      <c r="Q835" s="4">
        <v>229.3</v>
      </c>
      <c r="R835" s="4">
        <v>229.3</v>
      </c>
      <c r="S835" s="4">
        <v>4379.63</v>
      </c>
      <c r="T835" s="4">
        <v>87592.6</v>
      </c>
      <c r="U835" s="4">
        <v>5</v>
      </c>
      <c r="V835" s="4" t="s">
        <v>42</v>
      </c>
      <c r="X835" s="7" t="str">
        <f t="shared" si="45"/>
        <v>441853964</v>
      </c>
      <c r="Y835" s="8" t="str">
        <f t="shared" si="46"/>
        <v>DC</v>
      </c>
      <c r="Z835" s="8">
        <f t="shared" si="47"/>
        <v>0</v>
      </c>
      <c r="AA835" s="8">
        <f t="shared" si="48"/>
        <v>0</v>
      </c>
      <c r="AB835" s="8">
        <f t="shared" si="49"/>
        <v>382</v>
      </c>
      <c r="AC835" s="8">
        <f t="shared" si="50"/>
        <v>0</v>
      </c>
      <c r="AD835" s="8">
        <f t="shared" si="51"/>
        <v>0</v>
      </c>
      <c r="AE835" s="9" t="str" cm="1">
        <f t="array" ref="AE835">IFERROR(_xlfn.XLOOKUP(H835,Sheet1!$G:$G,Sheet1!$F:$F),IFERROR(_xlfn.XLOOKUP(1,(--($X$2:$X$1074=X835))*(--ISNUMBER(MATCH($H$2:$H$1074,Sheet1!$G:$G,0))),_xlfn.XLOOKUP($H$2:$H$1074,Sheet1!$G:$G,Sheet1!$F:$F,"")),"NOT FOUND"))</f>
        <v>YETKRTSCUT5057</v>
      </c>
      <c r="AF835" s="10" t="str">
        <f t="shared" ref="AF835:AF898" si="54">IFERROR(IF(ISNUMBER(SEARCH("(RP)",J835)),TRIM(SUBSTITUTE(MID(J835,10,LEN(J835)),"(RP)","")),TRIM(MID(J835,FIND(",",J835)+1,FIND(",",J835,FIND(",",J835)+1)-FIND(",",J835)-1))),"")</f>
        <v>BLUE</v>
      </c>
      <c r="AG835" s="11" t="str">
        <f t="shared" ref="AG835:AG898" si="55">IF(A835="SZAF","Bangalore",IF(A835="SAEX","JHAJJAR",IF(A835="S0EU","HARIPAL","")))</f>
        <v>Bangalore</v>
      </c>
      <c r="AH835" s="9" t="str">
        <f>IF(OR(J835="",AE835="",AE835="NOT FOUND"),"",IF(Y835="RP",IFERROR(LEFT(_xlfn.XLOOKUP(AE835,Sheet1!$F:$F,Sheet1!$W:$W),FIND("-",_xlfn.XLOOKUP(AE835,Sheet1!$F:$F,Sheet1!$W:$W),FIND("-",_xlfn.XLOOKUP(AE835,Sheet1!$F:$F,Sheet1!$W:$W))+1))&amp;AE835,"NOT FOUND"),LEFT(J835,FIND("-",J835,FIND("-",J835)+1))&amp;AE835))</f>
        <v>KRTS-APSU26-YETKRTSCUT5057</v>
      </c>
    </row>
    <row r="836" spans="1:34" ht="15.75" customHeight="1" x14ac:dyDescent="0.2">
      <c r="A836" s="4" t="s">
        <v>30</v>
      </c>
      <c r="B836" s="4" t="s">
        <v>1152</v>
      </c>
      <c r="C836" s="4" t="s">
        <v>1017</v>
      </c>
      <c r="D836" s="4" t="s">
        <v>1125</v>
      </c>
      <c r="E836" s="4" t="s">
        <v>34</v>
      </c>
      <c r="F836" s="4" t="s">
        <v>35</v>
      </c>
      <c r="G836" s="4" t="s">
        <v>51</v>
      </c>
      <c r="H836" s="4" t="s">
        <v>1162</v>
      </c>
      <c r="I836" s="4" t="s">
        <v>1163</v>
      </c>
      <c r="J836" s="4" t="s">
        <v>1164</v>
      </c>
      <c r="L836" s="4" t="s">
        <v>40</v>
      </c>
      <c r="M836" s="4">
        <v>1</v>
      </c>
      <c r="N836" s="4">
        <v>445</v>
      </c>
      <c r="O836" s="4">
        <v>445</v>
      </c>
      <c r="P836" s="4" t="s">
        <v>41</v>
      </c>
      <c r="Q836" s="4">
        <v>229.3</v>
      </c>
      <c r="R836" s="4">
        <v>229.3</v>
      </c>
      <c r="S836" s="4">
        <v>5101.93</v>
      </c>
      <c r="T836" s="4">
        <v>102038.5</v>
      </c>
      <c r="U836" s="4">
        <v>5</v>
      </c>
      <c r="V836" s="4" t="s">
        <v>42</v>
      </c>
      <c r="X836" s="7" t="str">
        <f t="shared" si="45"/>
        <v>441853964</v>
      </c>
      <c r="Y836" s="8" t="str">
        <f t="shared" si="46"/>
        <v>DC</v>
      </c>
      <c r="Z836" s="8">
        <f t="shared" si="47"/>
        <v>0</v>
      </c>
      <c r="AA836" s="8">
        <f t="shared" si="48"/>
        <v>0</v>
      </c>
      <c r="AB836" s="8">
        <f t="shared" si="49"/>
        <v>0</v>
      </c>
      <c r="AC836" s="8">
        <f t="shared" si="50"/>
        <v>445</v>
      </c>
      <c r="AD836" s="8">
        <f t="shared" si="51"/>
        <v>0</v>
      </c>
      <c r="AE836" s="9" t="str" cm="1">
        <f t="array" ref="AE836">IFERROR(_xlfn.XLOOKUP(H836,Sheet1!$G:$G,Sheet1!$F:$F),IFERROR(_xlfn.XLOOKUP(1,(--($X$2:$X$1074=X836))*(--ISNUMBER(MATCH($H$2:$H$1074,Sheet1!$G:$G,0))),_xlfn.XLOOKUP($H$2:$H$1074,Sheet1!$G:$G,Sheet1!$F:$F,"")),"NOT FOUND"))</f>
        <v>YETKRTSCUT5057</v>
      </c>
      <c r="AF836" s="10" t="str">
        <f t="shared" si="54"/>
        <v>BLUE</v>
      </c>
      <c r="AG836" s="11" t="str">
        <f t="shared" si="55"/>
        <v>Bangalore</v>
      </c>
      <c r="AH836" s="9" t="str">
        <f>IF(OR(J836="",AE836="",AE836="NOT FOUND"),"",IF(Y836="RP",IFERROR(LEFT(_xlfn.XLOOKUP(AE836,Sheet1!$F:$F,Sheet1!$W:$W),FIND("-",_xlfn.XLOOKUP(AE836,Sheet1!$F:$F,Sheet1!$W:$W),FIND("-",_xlfn.XLOOKUP(AE836,Sheet1!$F:$F,Sheet1!$W:$W))+1))&amp;AE836,"NOT FOUND"),LEFT(J836,FIND("-",J836,FIND("-",J836)+1))&amp;AE836))</f>
        <v>KRTS-APSU26-YETKRTSCUT5057</v>
      </c>
    </row>
    <row r="837" spans="1:34" ht="15.75" customHeight="1" x14ac:dyDescent="0.2">
      <c r="A837" s="4" t="s">
        <v>30</v>
      </c>
      <c r="B837" s="4" t="s">
        <v>1152</v>
      </c>
      <c r="C837" s="4" t="s">
        <v>1017</v>
      </c>
      <c r="D837" s="4" t="s">
        <v>1125</v>
      </c>
      <c r="E837" s="4" t="s">
        <v>34</v>
      </c>
      <c r="F837" s="4" t="s">
        <v>35</v>
      </c>
      <c r="G837" s="4" t="s">
        <v>55</v>
      </c>
      <c r="H837" s="4" t="s">
        <v>1165</v>
      </c>
      <c r="I837" s="4" t="s">
        <v>1166</v>
      </c>
      <c r="J837" s="4" t="s">
        <v>1167</v>
      </c>
      <c r="L837" s="4" t="s">
        <v>40</v>
      </c>
      <c r="M837" s="4">
        <v>1</v>
      </c>
      <c r="N837" s="4">
        <v>84</v>
      </c>
      <c r="O837" s="4">
        <v>84</v>
      </c>
      <c r="P837" s="4" t="s">
        <v>41</v>
      </c>
      <c r="Q837" s="4">
        <v>229.3</v>
      </c>
      <c r="R837" s="4">
        <v>229.3</v>
      </c>
      <c r="S837" s="4">
        <v>963.06</v>
      </c>
      <c r="T837" s="4">
        <v>19261.2</v>
      </c>
      <c r="U837" s="4">
        <v>5</v>
      </c>
      <c r="V837" s="4" t="s">
        <v>42</v>
      </c>
      <c r="X837" s="7" t="str">
        <f t="shared" si="45"/>
        <v>441853964</v>
      </c>
      <c r="Y837" s="8" t="str">
        <f t="shared" si="46"/>
        <v>DC</v>
      </c>
      <c r="Z837" s="8">
        <f t="shared" si="47"/>
        <v>0</v>
      </c>
      <c r="AA837" s="8">
        <f t="shared" si="48"/>
        <v>0</v>
      </c>
      <c r="AB837" s="8">
        <f t="shared" si="49"/>
        <v>0</v>
      </c>
      <c r="AC837" s="8">
        <f t="shared" si="50"/>
        <v>0</v>
      </c>
      <c r="AD837" s="8">
        <f t="shared" si="51"/>
        <v>84</v>
      </c>
      <c r="AE837" s="9" t="str" cm="1">
        <f t="array" ref="AE837">IFERROR(_xlfn.XLOOKUP(H837,Sheet1!$G:$G,Sheet1!$F:$F),IFERROR(_xlfn.XLOOKUP(1,(--($X$2:$X$1074=X837))*(--ISNUMBER(MATCH($H$2:$H$1074,Sheet1!$G:$G,0))),_xlfn.XLOOKUP($H$2:$H$1074,Sheet1!$G:$G,Sheet1!$F:$F,"")),"NOT FOUND"))</f>
        <v>YETKRTSCUT5057</v>
      </c>
      <c r="AF837" s="10" t="str">
        <f t="shared" si="54"/>
        <v>BLUE</v>
      </c>
      <c r="AG837" s="11" t="str">
        <f t="shared" si="55"/>
        <v>Bangalore</v>
      </c>
      <c r="AH837" s="9" t="str">
        <f>IF(OR(J837="",AE837="",AE837="NOT FOUND"),"",IF(Y837="RP",IFERROR(LEFT(_xlfn.XLOOKUP(AE837,Sheet1!$F:$F,Sheet1!$W:$W),FIND("-",_xlfn.XLOOKUP(AE837,Sheet1!$F:$F,Sheet1!$W:$W),FIND("-",_xlfn.XLOOKUP(AE837,Sheet1!$F:$F,Sheet1!$W:$W))+1))&amp;AE837,"NOT FOUND"),LEFT(J837,FIND("-",J837,FIND("-",J837)+1))&amp;AE837))</f>
        <v>KRTS-APSU26-YETKRTSCUT5057</v>
      </c>
    </row>
    <row r="838" spans="1:34" ht="15.75" customHeight="1" x14ac:dyDescent="0.2">
      <c r="A838" s="4" t="s">
        <v>59</v>
      </c>
      <c r="B838" s="4" t="s">
        <v>1168</v>
      </c>
      <c r="C838" s="4" t="s">
        <v>1017</v>
      </c>
      <c r="D838" s="4" t="s">
        <v>1125</v>
      </c>
      <c r="E838" s="4" t="s">
        <v>34</v>
      </c>
      <c r="F838" s="4" t="s">
        <v>35</v>
      </c>
      <c r="G838" s="4" t="s">
        <v>36</v>
      </c>
      <c r="H838" s="4" t="s">
        <v>1126</v>
      </c>
      <c r="I838" s="4" t="s">
        <v>1127</v>
      </c>
      <c r="J838" s="4" t="s">
        <v>1128</v>
      </c>
      <c r="L838" s="4" t="s">
        <v>40</v>
      </c>
      <c r="M838" s="4">
        <v>1</v>
      </c>
      <c r="N838" s="4">
        <v>30</v>
      </c>
      <c r="O838" s="4">
        <v>30</v>
      </c>
      <c r="P838" s="4" t="s">
        <v>41</v>
      </c>
      <c r="Q838" s="4">
        <v>229.3</v>
      </c>
      <c r="R838" s="4">
        <v>229.3</v>
      </c>
      <c r="S838" s="4">
        <v>343.95</v>
      </c>
      <c r="T838" s="4">
        <v>6879</v>
      </c>
      <c r="U838" s="4">
        <v>5</v>
      </c>
      <c r="V838" s="4" t="s">
        <v>42</v>
      </c>
      <c r="X838" s="7" t="str">
        <f t="shared" si="45"/>
        <v>441853967</v>
      </c>
      <c r="Y838" s="8" t="str">
        <f t="shared" si="46"/>
        <v>DC</v>
      </c>
      <c r="Z838" s="8">
        <f t="shared" si="47"/>
        <v>30</v>
      </c>
      <c r="AA838" s="8">
        <f t="shared" si="48"/>
        <v>0</v>
      </c>
      <c r="AB838" s="8">
        <f t="shared" si="49"/>
        <v>0</v>
      </c>
      <c r="AC838" s="8">
        <f t="shared" si="50"/>
        <v>0</v>
      </c>
      <c r="AD838" s="8">
        <f t="shared" si="51"/>
        <v>0</v>
      </c>
      <c r="AE838" s="9" t="str" cm="1">
        <f t="array" ref="AE838">IFERROR(_xlfn.XLOOKUP(H838,Sheet1!$G:$G,Sheet1!$F:$F),IFERROR(_xlfn.XLOOKUP(1,(--($X$2:$X$1074=X838))*(--ISNUMBER(MATCH($H$2:$H$1074,Sheet1!$G:$G,0))),_xlfn.XLOOKUP($H$2:$H$1074,Sheet1!$G:$G,Sheet1!$F:$F,"")),"NOT FOUND"))</f>
        <v>YETKRTSCUT5060</v>
      </c>
      <c r="AF838" s="10" t="str">
        <f t="shared" si="54"/>
        <v>BLUE</v>
      </c>
      <c r="AG838" s="11" t="str">
        <f t="shared" si="55"/>
        <v>JHAJJAR</v>
      </c>
      <c r="AH838" s="9" t="str">
        <f>IF(OR(J838="",AE838="",AE838="NOT FOUND"),"",IF(Y838="RP",IFERROR(LEFT(_xlfn.XLOOKUP(AE838,Sheet1!$F:$F,Sheet1!$W:$W),FIND("-",_xlfn.XLOOKUP(AE838,Sheet1!$F:$F,Sheet1!$W:$W),FIND("-",_xlfn.XLOOKUP(AE838,Sheet1!$F:$F,Sheet1!$W:$W))+1))&amp;AE838,"NOT FOUND"),LEFT(J838,FIND("-",J838,FIND("-",J838)+1))&amp;AE838))</f>
        <v>KRTS-APSU26-YETKRTSCUT5060</v>
      </c>
    </row>
    <row r="839" spans="1:34" ht="15.75" customHeight="1" x14ac:dyDescent="0.2">
      <c r="A839" s="4" t="s">
        <v>59</v>
      </c>
      <c r="B839" s="4" t="s">
        <v>1168</v>
      </c>
      <c r="C839" s="4" t="s">
        <v>1017</v>
      </c>
      <c r="D839" s="4" t="s">
        <v>1125</v>
      </c>
      <c r="E839" s="4" t="s">
        <v>34</v>
      </c>
      <c r="F839" s="4" t="s">
        <v>35</v>
      </c>
      <c r="G839" s="4" t="s">
        <v>43</v>
      </c>
      <c r="H839" s="4" t="s">
        <v>1129</v>
      </c>
      <c r="I839" s="4" t="s">
        <v>1130</v>
      </c>
      <c r="J839" s="4" t="s">
        <v>1131</v>
      </c>
      <c r="L839" s="4" t="s">
        <v>40</v>
      </c>
      <c r="M839" s="4">
        <v>1</v>
      </c>
      <c r="N839" s="4">
        <v>163</v>
      </c>
      <c r="O839" s="4">
        <v>163</v>
      </c>
      <c r="P839" s="4" t="s">
        <v>41</v>
      </c>
      <c r="Q839" s="4">
        <v>229.3</v>
      </c>
      <c r="R839" s="4">
        <v>229.3</v>
      </c>
      <c r="S839" s="4">
        <v>1868.8</v>
      </c>
      <c r="T839" s="4">
        <v>37375.9</v>
      </c>
      <c r="U839" s="4">
        <v>5</v>
      </c>
      <c r="V839" s="4" t="s">
        <v>42</v>
      </c>
      <c r="X839" s="7" t="str">
        <f t="shared" si="45"/>
        <v>441853967</v>
      </c>
      <c r="Y839" s="8" t="str">
        <f t="shared" si="46"/>
        <v>DC</v>
      </c>
      <c r="Z839" s="8">
        <f t="shared" si="47"/>
        <v>0</v>
      </c>
      <c r="AA839" s="8">
        <f t="shared" si="48"/>
        <v>163</v>
      </c>
      <c r="AB839" s="8">
        <f t="shared" si="49"/>
        <v>0</v>
      </c>
      <c r="AC839" s="8">
        <f t="shared" si="50"/>
        <v>0</v>
      </c>
      <c r="AD839" s="8">
        <f t="shared" si="51"/>
        <v>0</v>
      </c>
      <c r="AE839" s="9" t="str" cm="1">
        <f t="array" ref="AE839">IFERROR(_xlfn.XLOOKUP(H839,Sheet1!$G:$G,Sheet1!$F:$F),IFERROR(_xlfn.XLOOKUP(1,(--($X$2:$X$1074=X839))*(--ISNUMBER(MATCH($H$2:$H$1074,Sheet1!$G:$G,0))),_xlfn.XLOOKUP($H$2:$H$1074,Sheet1!$G:$G,Sheet1!$F:$F,"")),"NOT FOUND"))</f>
        <v>YETKRTSCUT5060</v>
      </c>
      <c r="AF839" s="10" t="str">
        <f t="shared" si="54"/>
        <v>BLUE</v>
      </c>
      <c r="AG839" s="11" t="str">
        <f t="shared" si="55"/>
        <v>JHAJJAR</v>
      </c>
      <c r="AH839" s="9" t="str">
        <f>IF(OR(J839="",AE839="",AE839="NOT FOUND"),"",IF(Y839="RP",IFERROR(LEFT(_xlfn.XLOOKUP(AE839,Sheet1!$F:$F,Sheet1!$W:$W),FIND("-",_xlfn.XLOOKUP(AE839,Sheet1!$F:$F,Sheet1!$W:$W),FIND("-",_xlfn.XLOOKUP(AE839,Sheet1!$F:$F,Sheet1!$W:$W))+1))&amp;AE839,"NOT FOUND"),LEFT(J839,FIND("-",J839,FIND("-",J839)+1))&amp;AE839))</f>
        <v>KRTS-APSU26-YETKRTSCUT5060</v>
      </c>
    </row>
    <row r="840" spans="1:34" ht="15.75" customHeight="1" x14ac:dyDescent="0.2">
      <c r="A840" s="4" t="s">
        <v>59</v>
      </c>
      <c r="B840" s="4" t="s">
        <v>1168</v>
      </c>
      <c r="C840" s="4" t="s">
        <v>1017</v>
      </c>
      <c r="D840" s="4" t="s">
        <v>1125</v>
      </c>
      <c r="E840" s="4" t="s">
        <v>34</v>
      </c>
      <c r="F840" s="4" t="s">
        <v>35</v>
      </c>
      <c r="G840" s="4" t="s">
        <v>47</v>
      </c>
      <c r="H840" s="4" t="s">
        <v>1132</v>
      </c>
      <c r="I840" s="4" t="s">
        <v>1133</v>
      </c>
      <c r="J840" s="4" t="s">
        <v>1134</v>
      </c>
      <c r="L840" s="4" t="s">
        <v>40</v>
      </c>
      <c r="M840" s="4">
        <v>1</v>
      </c>
      <c r="N840" s="4">
        <v>183</v>
      </c>
      <c r="O840" s="4">
        <v>183</v>
      </c>
      <c r="P840" s="4" t="s">
        <v>41</v>
      </c>
      <c r="Q840" s="4">
        <v>229.3</v>
      </c>
      <c r="R840" s="4">
        <v>229.3</v>
      </c>
      <c r="S840" s="4">
        <v>2098.1</v>
      </c>
      <c r="T840" s="4">
        <v>41961.9</v>
      </c>
      <c r="U840" s="4">
        <v>5</v>
      </c>
      <c r="V840" s="4" t="s">
        <v>42</v>
      </c>
      <c r="X840" s="7" t="str">
        <f t="shared" si="45"/>
        <v>441853967</v>
      </c>
      <c r="Y840" s="8" t="str">
        <f t="shared" si="46"/>
        <v>DC</v>
      </c>
      <c r="Z840" s="8">
        <f t="shared" si="47"/>
        <v>0</v>
      </c>
      <c r="AA840" s="8">
        <f t="shared" si="48"/>
        <v>0</v>
      </c>
      <c r="AB840" s="8">
        <f t="shared" si="49"/>
        <v>183</v>
      </c>
      <c r="AC840" s="8">
        <f t="shared" si="50"/>
        <v>0</v>
      </c>
      <c r="AD840" s="8">
        <f t="shared" si="51"/>
        <v>0</v>
      </c>
      <c r="AE840" s="9" t="str" cm="1">
        <f t="array" ref="AE840">IFERROR(_xlfn.XLOOKUP(H840,Sheet1!$G:$G,Sheet1!$F:$F),IFERROR(_xlfn.XLOOKUP(1,(--($X$2:$X$1074=X840))*(--ISNUMBER(MATCH($H$2:$H$1074,Sheet1!$G:$G,0))),_xlfn.XLOOKUP($H$2:$H$1074,Sheet1!$G:$G,Sheet1!$F:$F,"")),"NOT FOUND"))</f>
        <v>YETKRTSCUT5060</v>
      </c>
      <c r="AF840" s="10" t="str">
        <f t="shared" si="54"/>
        <v>BLUE</v>
      </c>
      <c r="AG840" s="11" t="str">
        <f t="shared" si="55"/>
        <v>JHAJJAR</v>
      </c>
      <c r="AH840" s="9" t="str">
        <f>IF(OR(J840="",AE840="",AE840="NOT FOUND"),"",IF(Y840="RP",IFERROR(LEFT(_xlfn.XLOOKUP(AE840,Sheet1!$F:$F,Sheet1!$W:$W),FIND("-",_xlfn.XLOOKUP(AE840,Sheet1!$F:$F,Sheet1!$W:$W),FIND("-",_xlfn.XLOOKUP(AE840,Sheet1!$F:$F,Sheet1!$W:$W))+1))&amp;AE840,"NOT FOUND"),LEFT(J840,FIND("-",J840,FIND("-",J840)+1))&amp;AE840))</f>
        <v>KRTS-APSU26-YETKRTSCUT5060</v>
      </c>
    </row>
    <row r="841" spans="1:34" ht="15.75" customHeight="1" x14ac:dyDescent="0.2">
      <c r="A841" s="4" t="s">
        <v>59</v>
      </c>
      <c r="B841" s="4" t="s">
        <v>1168</v>
      </c>
      <c r="C841" s="4" t="s">
        <v>1017</v>
      </c>
      <c r="D841" s="4" t="s">
        <v>1125</v>
      </c>
      <c r="E841" s="4" t="s">
        <v>34</v>
      </c>
      <c r="F841" s="4" t="s">
        <v>35</v>
      </c>
      <c r="G841" s="4" t="s">
        <v>51</v>
      </c>
      <c r="H841" s="4" t="s">
        <v>1135</v>
      </c>
      <c r="I841" s="4" t="s">
        <v>1136</v>
      </c>
      <c r="J841" s="4" t="s">
        <v>1137</v>
      </c>
      <c r="L841" s="4" t="s">
        <v>40</v>
      </c>
      <c r="M841" s="4">
        <v>1</v>
      </c>
      <c r="N841" s="4">
        <v>214</v>
      </c>
      <c r="O841" s="4">
        <v>214</v>
      </c>
      <c r="P841" s="4" t="s">
        <v>41</v>
      </c>
      <c r="Q841" s="4">
        <v>229.3</v>
      </c>
      <c r="R841" s="4">
        <v>229.3</v>
      </c>
      <c r="S841" s="4">
        <v>2453.5100000000002</v>
      </c>
      <c r="T841" s="4">
        <v>49070.2</v>
      </c>
      <c r="U841" s="4">
        <v>5</v>
      </c>
      <c r="V841" s="4" t="s">
        <v>42</v>
      </c>
      <c r="X841" s="7" t="str">
        <f t="shared" si="45"/>
        <v>441853967</v>
      </c>
      <c r="Y841" s="8" t="str">
        <f t="shared" si="46"/>
        <v>DC</v>
      </c>
      <c r="Z841" s="8">
        <f t="shared" si="47"/>
        <v>0</v>
      </c>
      <c r="AA841" s="8">
        <f t="shared" si="48"/>
        <v>0</v>
      </c>
      <c r="AB841" s="8">
        <f t="shared" si="49"/>
        <v>0</v>
      </c>
      <c r="AC841" s="8">
        <f t="shared" si="50"/>
        <v>214</v>
      </c>
      <c r="AD841" s="8">
        <f t="shared" si="51"/>
        <v>0</v>
      </c>
      <c r="AE841" s="9" t="str" cm="1">
        <f t="array" ref="AE841">IFERROR(_xlfn.XLOOKUP(H841,Sheet1!$G:$G,Sheet1!$F:$F),IFERROR(_xlfn.XLOOKUP(1,(--($X$2:$X$1074=X841))*(--ISNUMBER(MATCH($H$2:$H$1074,Sheet1!$G:$G,0))),_xlfn.XLOOKUP($H$2:$H$1074,Sheet1!$G:$G,Sheet1!$F:$F,"")),"NOT FOUND"))</f>
        <v>YETKRTSCUT5060</v>
      </c>
      <c r="AF841" s="10" t="str">
        <f t="shared" si="54"/>
        <v>BLUE</v>
      </c>
      <c r="AG841" s="11" t="str">
        <f t="shared" si="55"/>
        <v>JHAJJAR</v>
      </c>
      <c r="AH841" s="9" t="str">
        <f>IF(OR(J841="",AE841="",AE841="NOT FOUND"),"",IF(Y841="RP",IFERROR(LEFT(_xlfn.XLOOKUP(AE841,Sheet1!$F:$F,Sheet1!$W:$W),FIND("-",_xlfn.XLOOKUP(AE841,Sheet1!$F:$F,Sheet1!$W:$W),FIND("-",_xlfn.XLOOKUP(AE841,Sheet1!$F:$F,Sheet1!$W:$W))+1))&amp;AE841,"NOT FOUND"),LEFT(J841,FIND("-",J841,FIND("-",J841)+1))&amp;AE841))</f>
        <v>KRTS-APSU26-YETKRTSCUT5060</v>
      </c>
    </row>
    <row r="842" spans="1:34" ht="15.75" customHeight="1" x14ac:dyDescent="0.2">
      <c r="A842" s="4" t="s">
        <v>59</v>
      </c>
      <c r="B842" s="4" t="s">
        <v>1168</v>
      </c>
      <c r="C842" s="4" t="s">
        <v>1017</v>
      </c>
      <c r="D842" s="4" t="s">
        <v>1125</v>
      </c>
      <c r="E842" s="4" t="s">
        <v>34</v>
      </c>
      <c r="F842" s="4" t="s">
        <v>35</v>
      </c>
      <c r="G842" s="4" t="s">
        <v>55</v>
      </c>
      <c r="H842" s="4" t="s">
        <v>1138</v>
      </c>
      <c r="I842" s="4" t="s">
        <v>1139</v>
      </c>
      <c r="J842" s="4" t="s">
        <v>1140</v>
      </c>
      <c r="L842" s="4" t="s">
        <v>40</v>
      </c>
      <c r="M842" s="4">
        <v>1</v>
      </c>
      <c r="N842" s="4">
        <v>41</v>
      </c>
      <c r="O842" s="4">
        <v>41</v>
      </c>
      <c r="P842" s="4" t="s">
        <v>41</v>
      </c>
      <c r="Q842" s="4">
        <v>229.3</v>
      </c>
      <c r="R842" s="4">
        <v>229.3</v>
      </c>
      <c r="S842" s="4">
        <v>470.07</v>
      </c>
      <c r="T842" s="4">
        <v>9401.2999999999993</v>
      </c>
      <c r="U842" s="4">
        <v>5</v>
      </c>
      <c r="V842" s="4" t="s">
        <v>42</v>
      </c>
      <c r="X842" s="7" t="str">
        <f t="shared" si="45"/>
        <v>441853967</v>
      </c>
      <c r="Y842" s="8" t="str">
        <f t="shared" si="46"/>
        <v>DC</v>
      </c>
      <c r="Z842" s="8">
        <f t="shared" si="47"/>
        <v>0</v>
      </c>
      <c r="AA842" s="8">
        <f t="shared" si="48"/>
        <v>0</v>
      </c>
      <c r="AB842" s="8">
        <f t="shared" si="49"/>
        <v>0</v>
      </c>
      <c r="AC842" s="8">
        <f t="shared" si="50"/>
        <v>0</v>
      </c>
      <c r="AD842" s="8">
        <f t="shared" si="51"/>
        <v>41</v>
      </c>
      <c r="AE842" s="9" t="str" cm="1">
        <f t="array" ref="AE842">IFERROR(_xlfn.XLOOKUP(H842,Sheet1!$G:$G,Sheet1!$F:$F),IFERROR(_xlfn.XLOOKUP(1,(--($X$2:$X$1074=X842))*(--ISNUMBER(MATCH($H$2:$H$1074,Sheet1!$G:$G,0))),_xlfn.XLOOKUP($H$2:$H$1074,Sheet1!$G:$G,Sheet1!$F:$F,"")),"NOT FOUND"))</f>
        <v>YETKRTSCUT5060</v>
      </c>
      <c r="AF842" s="10" t="str">
        <f t="shared" si="54"/>
        <v>BLUE</v>
      </c>
      <c r="AG842" s="11" t="str">
        <f t="shared" si="55"/>
        <v>JHAJJAR</v>
      </c>
      <c r="AH842" s="9" t="str">
        <f>IF(OR(J842="",AE842="",AE842="NOT FOUND"),"",IF(Y842="RP",IFERROR(LEFT(_xlfn.XLOOKUP(AE842,Sheet1!$F:$F,Sheet1!$W:$W),FIND("-",_xlfn.XLOOKUP(AE842,Sheet1!$F:$F,Sheet1!$W:$W),FIND("-",_xlfn.XLOOKUP(AE842,Sheet1!$F:$F,Sheet1!$W:$W))+1))&amp;AE842,"NOT FOUND"),LEFT(J842,FIND("-",J842,FIND("-",J842)+1))&amp;AE842))</f>
        <v>KRTS-APSU26-YETKRTSCUT5060</v>
      </c>
    </row>
    <row r="843" spans="1:34" ht="15.75" customHeight="1" x14ac:dyDescent="0.2">
      <c r="A843" s="4" t="s">
        <v>30</v>
      </c>
      <c r="B843" s="4" t="s">
        <v>1169</v>
      </c>
      <c r="C843" s="4" t="s">
        <v>1017</v>
      </c>
      <c r="D843" s="4" t="s">
        <v>1125</v>
      </c>
      <c r="E843" s="4" t="s">
        <v>34</v>
      </c>
      <c r="F843" s="4" t="s">
        <v>35</v>
      </c>
      <c r="G843" s="4" t="s">
        <v>36</v>
      </c>
      <c r="H843" s="4" t="s">
        <v>1170</v>
      </c>
      <c r="I843" s="4" t="s">
        <v>1171</v>
      </c>
      <c r="J843" s="4" t="s">
        <v>1172</v>
      </c>
      <c r="L843" s="4" t="s">
        <v>40</v>
      </c>
      <c r="M843" s="4">
        <v>1</v>
      </c>
      <c r="N843" s="4">
        <v>30</v>
      </c>
      <c r="O843" s="4">
        <v>30</v>
      </c>
      <c r="P843" s="4" t="s">
        <v>41</v>
      </c>
      <c r="Q843" s="4">
        <v>229.3</v>
      </c>
      <c r="R843" s="4">
        <v>229.3</v>
      </c>
      <c r="S843" s="4">
        <v>343.95</v>
      </c>
      <c r="T843" s="4">
        <v>6879</v>
      </c>
      <c r="U843" s="4">
        <v>5</v>
      </c>
      <c r="V843" s="4" t="s">
        <v>42</v>
      </c>
      <c r="X843" s="7" t="str">
        <f t="shared" si="45"/>
        <v>441853963</v>
      </c>
      <c r="Y843" s="8" t="str">
        <f t="shared" si="46"/>
        <v>DC</v>
      </c>
      <c r="Z843" s="8">
        <f t="shared" si="47"/>
        <v>30</v>
      </c>
      <c r="AA843" s="8">
        <f t="shared" si="48"/>
        <v>0</v>
      </c>
      <c r="AB843" s="8">
        <f t="shared" si="49"/>
        <v>0</v>
      </c>
      <c r="AC843" s="8">
        <f t="shared" si="50"/>
        <v>0</v>
      </c>
      <c r="AD843" s="8">
        <f t="shared" si="51"/>
        <v>0</v>
      </c>
      <c r="AE843" s="9" t="str" cm="1">
        <f t="array" ref="AE843">IFERROR(_xlfn.XLOOKUP(H843,Sheet1!$G:$G,Sheet1!$F:$F),IFERROR(_xlfn.XLOOKUP(1,(--($X$2:$X$1074=X843))*(--ISNUMBER(MATCH($H$2:$H$1074,Sheet1!$G:$G,0))),_xlfn.XLOOKUP($H$2:$H$1074,Sheet1!$G:$G,Sheet1!$F:$F,"")),"NOT FOUND"))</f>
        <v>YETKRTSCUT5056</v>
      </c>
      <c r="AF843" s="10" t="str">
        <f t="shared" si="54"/>
        <v>BLUE</v>
      </c>
      <c r="AG843" s="11" t="str">
        <f t="shared" si="55"/>
        <v>Bangalore</v>
      </c>
      <c r="AH843" s="9" t="str">
        <f>IF(OR(J843="",AE843="",AE843="NOT FOUND"),"",IF(Y843="RP",IFERROR(LEFT(_xlfn.XLOOKUP(AE843,Sheet1!$F:$F,Sheet1!$W:$W),FIND("-",_xlfn.XLOOKUP(AE843,Sheet1!$F:$F,Sheet1!$W:$W),FIND("-",_xlfn.XLOOKUP(AE843,Sheet1!$F:$F,Sheet1!$W:$W))+1))&amp;AE843,"NOT FOUND"),LEFT(J843,FIND("-",J843,FIND("-",J843)+1))&amp;AE843))</f>
        <v>KRTS-APSU26-YETKRTSCUT5056</v>
      </c>
    </row>
    <row r="844" spans="1:34" ht="15.75" customHeight="1" x14ac:dyDescent="0.2">
      <c r="A844" s="4" t="s">
        <v>30</v>
      </c>
      <c r="B844" s="4" t="s">
        <v>1169</v>
      </c>
      <c r="C844" s="4" t="s">
        <v>1017</v>
      </c>
      <c r="D844" s="4" t="s">
        <v>1125</v>
      </c>
      <c r="E844" s="4" t="s">
        <v>34</v>
      </c>
      <c r="F844" s="4" t="s">
        <v>35</v>
      </c>
      <c r="G844" s="4" t="s">
        <v>43</v>
      </c>
      <c r="H844" s="4" t="s">
        <v>1173</v>
      </c>
      <c r="I844" s="4" t="s">
        <v>1174</v>
      </c>
      <c r="J844" s="4" t="s">
        <v>1175</v>
      </c>
      <c r="L844" s="4" t="s">
        <v>40</v>
      </c>
      <c r="M844" s="4">
        <v>1</v>
      </c>
      <c r="N844" s="4">
        <v>339</v>
      </c>
      <c r="O844" s="4">
        <v>339</v>
      </c>
      <c r="P844" s="4" t="s">
        <v>41</v>
      </c>
      <c r="Q844" s="4">
        <v>229.3</v>
      </c>
      <c r="R844" s="4">
        <v>229.3</v>
      </c>
      <c r="S844" s="4">
        <v>3886.64</v>
      </c>
      <c r="T844" s="4">
        <v>77732.7</v>
      </c>
      <c r="U844" s="4">
        <v>5</v>
      </c>
      <c r="V844" s="4" t="s">
        <v>42</v>
      </c>
      <c r="X844" s="7" t="str">
        <f t="shared" si="45"/>
        <v>441853963</v>
      </c>
      <c r="Y844" s="8" t="str">
        <f t="shared" si="46"/>
        <v>DC</v>
      </c>
      <c r="Z844" s="8">
        <f t="shared" si="47"/>
        <v>0</v>
      </c>
      <c r="AA844" s="8">
        <f t="shared" si="48"/>
        <v>339</v>
      </c>
      <c r="AB844" s="8">
        <f t="shared" si="49"/>
        <v>0</v>
      </c>
      <c r="AC844" s="8">
        <f t="shared" si="50"/>
        <v>0</v>
      </c>
      <c r="AD844" s="8">
        <f t="shared" si="51"/>
        <v>0</v>
      </c>
      <c r="AE844" s="9" t="str" cm="1">
        <f t="array" ref="AE844">IFERROR(_xlfn.XLOOKUP(H844,Sheet1!$G:$G,Sheet1!$F:$F),IFERROR(_xlfn.XLOOKUP(1,(--($X$2:$X$1074=X844))*(--ISNUMBER(MATCH($H$2:$H$1074,Sheet1!$G:$G,0))),_xlfn.XLOOKUP($H$2:$H$1074,Sheet1!$G:$G,Sheet1!$F:$F,"")),"NOT FOUND"))</f>
        <v>YETKRTSCUT5056</v>
      </c>
      <c r="AF844" s="10" t="str">
        <f t="shared" si="54"/>
        <v>BLUE</v>
      </c>
      <c r="AG844" s="11" t="str">
        <f t="shared" si="55"/>
        <v>Bangalore</v>
      </c>
      <c r="AH844" s="9" t="str">
        <f>IF(OR(J844="",AE844="",AE844="NOT FOUND"),"",IF(Y844="RP",IFERROR(LEFT(_xlfn.XLOOKUP(AE844,Sheet1!$F:$F,Sheet1!$W:$W),FIND("-",_xlfn.XLOOKUP(AE844,Sheet1!$F:$F,Sheet1!$W:$W),FIND("-",_xlfn.XLOOKUP(AE844,Sheet1!$F:$F,Sheet1!$W:$W))+1))&amp;AE844,"NOT FOUND"),LEFT(J844,FIND("-",J844,FIND("-",J844)+1))&amp;AE844))</f>
        <v>KRTS-APSU26-YETKRTSCUT5056</v>
      </c>
    </row>
    <row r="845" spans="1:34" ht="15.75" customHeight="1" x14ac:dyDescent="0.2">
      <c r="A845" s="4" t="s">
        <v>30</v>
      </c>
      <c r="B845" s="4" t="s">
        <v>1169</v>
      </c>
      <c r="C845" s="4" t="s">
        <v>1017</v>
      </c>
      <c r="D845" s="4" t="s">
        <v>1125</v>
      </c>
      <c r="E845" s="4" t="s">
        <v>34</v>
      </c>
      <c r="F845" s="4" t="s">
        <v>35</v>
      </c>
      <c r="G845" s="4" t="s">
        <v>47</v>
      </c>
      <c r="H845" s="4" t="s">
        <v>1176</v>
      </c>
      <c r="I845" s="4" t="s">
        <v>1177</v>
      </c>
      <c r="J845" s="4" t="s">
        <v>1178</v>
      </c>
      <c r="L845" s="4" t="s">
        <v>40</v>
      </c>
      <c r="M845" s="4">
        <v>1</v>
      </c>
      <c r="N845" s="4">
        <v>382</v>
      </c>
      <c r="O845" s="4">
        <v>382</v>
      </c>
      <c r="P845" s="4" t="s">
        <v>41</v>
      </c>
      <c r="Q845" s="4">
        <v>229.3</v>
      </c>
      <c r="R845" s="4">
        <v>229.3</v>
      </c>
      <c r="S845" s="4">
        <v>4379.63</v>
      </c>
      <c r="T845" s="4">
        <v>87592.6</v>
      </c>
      <c r="U845" s="4">
        <v>5</v>
      </c>
      <c r="V845" s="4" t="s">
        <v>42</v>
      </c>
      <c r="X845" s="7" t="str">
        <f t="shared" si="45"/>
        <v>441853963</v>
      </c>
      <c r="Y845" s="8" t="str">
        <f t="shared" si="46"/>
        <v>DC</v>
      </c>
      <c r="Z845" s="8">
        <f t="shared" si="47"/>
        <v>0</v>
      </c>
      <c r="AA845" s="8">
        <f t="shared" si="48"/>
        <v>0</v>
      </c>
      <c r="AB845" s="8">
        <f t="shared" si="49"/>
        <v>382</v>
      </c>
      <c r="AC845" s="8">
        <f t="shared" si="50"/>
        <v>0</v>
      </c>
      <c r="AD845" s="8">
        <f t="shared" si="51"/>
        <v>0</v>
      </c>
      <c r="AE845" s="9" t="str" cm="1">
        <f t="array" ref="AE845">IFERROR(_xlfn.XLOOKUP(H845,Sheet1!$G:$G,Sheet1!$F:$F),IFERROR(_xlfn.XLOOKUP(1,(--($X$2:$X$1074=X845))*(--ISNUMBER(MATCH($H$2:$H$1074,Sheet1!$G:$G,0))),_xlfn.XLOOKUP($H$2:$H$1074,Sheet1!$G:$G,Sheet1!$F:$F,"")),"NOT FOUND"))</f>
        <v>YETKRTSCUT5056</v>
      </c>
      <c r="AF845" s="10" t="str">
        <f t="shared" si="54"/>
        <v>BLUE</v>
      </c>
      <c r="AG845" s="11" t="str">
        <f t="shared" si="55"/>
        <v>Bangalore</v>
      </c>
      <c r="AH845" s="9" t="str">
        <f>IF(OR(J845="",AE845="",AE845="NOT FOUND"),"",IF(Y845="RP",IFERROR(LEFT(_xlfn.XLOOKUP(AE845,Sheet1!$F:$F,Sheet1!$W:$W),FIND("-",_xlfn.XLOOKUP(AE845,Sheet1!$F:$F,Sheet1!$W:$W),FIND("-",_xlfn.XLOOKUP(AE845,Sheet1!$F:$F,Sheet1!$W:$W))+1))&amp;AE845,"NOT FOUND"),LEFT(J845,FIND("-",J845,FIND("-",J845)+1))&amp;AE845))</f>
        <v>KRTS-APSU26-YETKRTSCUT5056</v>
      </c>
    </row>
    <row r="846" spans="1:34" ht="15.75" customHeight="1" x14ac:dyDescent="0.2">
      <c r="A846" s="4" t="s">
        <v>30</v>
      </c>
      <c r="B846" s="4" t="s">
        <v>1169</v>
      </c>
      <c r="C846" s="4" t="s">
        <v>1017</v>
      </c>
      <c r="D846" s="4" t="s">
        <v>1125</v>
      </c>
      <c r="E846" s="4" t="s">
        <v>34</v>
      </c>
      <c r="F846" s="4" t="s">
        <v>35</v>
      </c>
      <c r="G846" s="4" t="s">
        <v>51</v>
      </c>
      <c r="H846" s="4" t="s">
        <v>1179</v>
      </c>
      <c r="I846" s="4" t="s">
        <v>1180</v>
      </c>
      <c r="J846" s="4" t="s">
        <v>1181</v>
      </c>
      <c r="L846" s="4" t="s">
        <v>40</v>
      </c>
      <c r="M846" s="4">
        <v>1</v>
      </c>
      <c r="N846" s="4">
        <v>445</v>
      </c>
      <c r="O846" s="4">
        <v>445</v>
      </c>
      <c r="P846" s="4" t="s">
        <v>41</v>
      </c>
      <c r="Q846" s="4">
        <v>229.3</v>
      </c>
      <c r="R846" s="4">
        <v>229.3</v>
      </c>
      <c r="S846" s="4">
        <v>5101.93</v>
      </c>
      <c r="T846" s="4">
        <v>102038.5</v>
      </c>
      <c r="U846" s="4">
        <v>5</v>
      </c>
      <c r="V846" s="4" t="s">
        <v>42</v>
      </c>
      <c r="X846" s="7" t="str">
        <f t="shared" si="45"/>
        <v>441853963</v>
      </c>
      <c r="Y846" s="8" t="str">
        <f t="shared" si="46"/>
        <v>DC</v>
      </c>
      <c r="Z846" s="8">
        <f t="shared" si="47"/>
        <v>0</v>
      </c>
      <c r="AA846" s="8">
        <f t="shared" si="48"/>
        <v>0</v>
      </c>
      <c r="AB846" s="8">
        <f t="shared" si="49"/>
        <v>0</v>
      </c>
      <c r="AC846" s="8">
        <f t="shared" si="50"/>
        <v>445</v>
      </c>
      <c r="AD846" s="8">
        <f t="shared" si="51"/>
        <v>0</v>
      </c>
      <c r="AE846" s="9" t="str" cm="1">
        <f t="array" ref="AE846">IFERROR(_xlfn.XLOOKUP(H846,Sheet1!$G:$G,Sheet1!$F:$F),IFERROR(_xlfn.XLOOKUP(1,(--($X$2:$X$1074=X846))*(--ISNUMBER(MATCH($H$2:$H$1074,Sheet1!$G:$G,0))),_xlfn.XLOOKUP($H$2:$H$1074,Sheet1!$G:$G,Sheet1!$F:$F,"")),"NOT FOUND"))</f>
        <v>YETKRTSCUT5056</v>
      </c>
      <c r="AF846" s="10" t="str">
        <f t="shared" si="54"/>
        <v>BLUE</v>
      </c>
      <c r="AG846" s="11" t="str">
        <f t="shared" si="55"/>
        <v>Bangalore</v>
      </c>
      <c r="AH846" s="9" t="str">
        <f>IF(OR(J846="",AE846="",AE846="NOT FOUND"),"",IF(Y846="RP",IFERROR(LEFT(_xlfn.XLOOKUP(AE846,Sheet1!$F:$F,Sheet1!$W:$W),FIND("-",_xlfn.XLOOKUP(AE846,Sheet1!$F:$F,Sheet1!$W:$W),FIND("-",_xlfn.XLOOKUP(AE846,Sheet1!$F:$F,Sheet1!$W:$W))+1))&amp;AE846,"NOT FOUND"),LEFT(J846,FIND("-",J846,FIND("-",J846)+1))&amp;AE846))</f>
        <v>KRTS-APSU26-YETKRTSCUT5056</v>
      </c>
    </row>
    <row r="847" spans="1:34" ht="15.75" customHeight="1" x14ac:dyDescent="0.2">
      <c r="A847" s="4" t="s">
        <v>30</v>
      </c>
      <c r="B847" s="4" t="s">
        <v>1169</v>
      </c>
      <c r="C847" s="4" t="s">
        <v>1017</v>
      </c>
      <c r="D847" s="4" t="s">
        <v>1125</v>
      </c>
      <c r="E847" s="4" t="s">
        <v>34</v>
      </c>
      <c r="F847" s="4" t="s">
        <v>35</v>
      </c>
      <c r="G847" s="4" t="s">
        <v>55</v>
      </c>
      <c r="H847" s="4" t="s">
        <v>1182</v>
      </c>
      <c r="I847" s="4" t="s">
        <v>1183</v>
      </c>
      <c r="J847" s="4" t="s">
        <v>1184</v>
      </c>
      <c r="L847" s="4" t="s">
        <v>40</v>
      </c>
      <c r="M847" s="4">
        <v>1</v>
      </c>
      <c r="N847" s="4">
        <v>84</v>
      </c>
      <c r="O847" s="4">
        <v>84</v>
      </c>
      <c r="P847" s="4" t="s">
        <v>41</v>
      </c>
      <c r="Q847" s="4">
        <v>229.3</v>
      </c>
      <c r="R847" s="4">
        <v>229.3</v>
      </c>
      <c r="S847" s="4">
        <v>963.06</v>
      </c>
      <c r="T847" s="4">
        <v>19261.2</v>
      </c>
      <c r="U847" s="4">
        <v>5</v>
      </c>
      <c r="V847" s="4" t="s">
        <v>42</v>
      </c>
      <c r="X847" s="7" t="str">
        <f t="shared" si="45"/>
        <v>441853963</v>
      </c>
      <c r="Y847" s="8" t="str">
        <f t="shared" si="46"/>
        <v>DC</v>
      </c>
      <c r="Z847" s="8">
        <f t="shared" si="47"/>
        <v>0</v>
      </c>
      <c r="AA847" s="8">
        <f t="shared" si="48"/>
        <v>0</v>
      </c>
      <c r="AB847" s="8">
        <f t="shared" si="49"/>
        <v>0</v>
      </c>
      <c r="AC847" s="8">
        <f t="shared" si="50"/>
        <v>0</v>
      </c>
      <c r="AD847" s="8">
        <f t="shared" si="51"/>
        <v>84</v>
      </c>
      <c r="AE847" s="9" t="str" cm="1">
        <f t="array" ref="AE847">IFERROR(_xlfn.XLOOKUP(H847,Sheet1!$G:$G,Sheet1!$F:$F),IFERROR(_xlfn.XLOOKUP(1,(--($X$2:$X$1074=X847))*(--ISNUMBER(MATCH($H$2:$H$1074,Sheet1!$G:$G,0))),_xlfn.XLOOKUP($H$2:$H$1074,Sheet1!$G:$G,Sheet1!$F:$F,"")),"NOT FOUND"))</f>
        <v>YETKRTSCUT5056</v>
      </c>
      <c r="AF847" s="10" t="str">
        <f t="shared" si="54"/>
        <v>BLUE</v>
      </c>
      <c r="AG847" s="11" t="str">
        <f t="shared" si="55"/>
        <v>Bangalore</v>
      </c>
      <c r="AH847" s="9" t="str">
        <f>IF(OR(J847="",AE847="",AE847="NOT FOUND"),"",IF(Y847="RP",IFERROR(LEFT(_xlfn.XLOOKUP(AE847,Sheet1!$F:$F,Sheet1!$W:$W),FIND("-",_xlfn.XLOOKUP(AE847,Sheet1!$F:$F,Sheet1!$W:$W),FIND("-",_xlfn.XLOOKUP(AE847,Sheet1!$F:$F,Sheet1!$W:$W))+1))&amp;AE847,"NOT FOUND"),LEFT(J847,FIND("-",J847,FIND("-",J847)+1))&amp;AE847))</f>
        <v>KRTS-APSU26-YETKRTSCUT5056</v>
      </c>
    </row>
    <row r="848" spans="1:34" ht="15.75" customHeight="1" x14ac:dyDescent="0.2">
      <c r="A848" s="4" t="s">
        <v>59</v>
      </c>
      <c r="B848" s="4" t="s">
        <v>1185</v>
      </c>
      <c r="C848" s="4" t="s">
        <v>1017</v>
      </c>
      <c r="D848" s="4" t="s">
        <v>1125</v>
      </c>
      <c r="E848" s="4" t="s">
        <v>34</v>
      </c>
      <c r="F848" s="4" t="s">
        <v>35</v>
      </c>
      <c r="G848" s="4" t="s">
        <v>36</v>
      </c>
      <c r="H848" s="4" t="s">
        <v>1142</v>
      </c>
      <c r="I848" s="4" t="s">
        <v>1143</v>
      </c>
      <c r="J848" s="4" t="s">
        <v>1144</v>
      </c>
      <c r="L848" s="4" t="s">
        <v>40</v>
      </c>
      <c r="M848" s="4">
        <v>1</v>
      </c>
      <c r="N848" s="4">
        <v>30</v>
      </c>
      <c r="O848" s="4">
        <v>30</v>
      </c>
      <c r="P848" s="4" t="s">
        <v>41</v>
      </c>
      <c r="Q848" s="4">
        <v>204.3</v>
      </c>
      <c r="R848" s="4">
        <v>194.57</v>
      </c>
      <c r="S848" s="4">
        <v>291.86</v>
      </c>
      <c r="T848" s="4">
        <v>5837.14</v>
      </c>
      <c r="U848" s="4">
        <v>5</v>
      </c>
      <c r="V848" s="4" t="s">
        <v>42</v>
      </c>
      <c r="X848" s="7" t="str">
        <f t="shared" si="45"/>
        <v>441853966</v>
      </c>
      <c r="Y848" s="8" t="str">
        <f t="shared" si="46"/>
        <v>DC</v>
      </c>
      <c r="Z848" s="8">
        <f t="shared" si="47"/>
        <v>30</v>
      </c>
      <c r="AA848" s="8">
        <f t="shared" si="48"/>
        <v>0</v>
      </c>
      <c r="AB848" s="8">
        <f t="shared" si="49"/>
        <v>0</v>
      </c>
      <c r="AC848" s="8">
        <f t="shared" si="50"/>
        <v>0</v>
      </c>
      <c r="AD848" s="8">
        <f t="shared" si="51"/>
        <v>0</v>
      </c>
      <c r="AE848" s="9" t="str" cm="1">
        <f t="array" ref="AE848">IFERROR(_xlfn.XLOOKUP(H848,Sheet1!$G:$G,Sheet1!$F:$F),IFERROR(_xlfn.XLOOKUP(1,(--($X$2:$X$1074=X848))*(--ISNUMBER(MATCH($H$2:$H$1074,Sheet1!$G:$G,0))),_xlfn.XLOOKUP($H$2:$H$1074,Sheet1!$G:$G,Sheet1!$F:$F,"")),"NOT FOUND"))</f>
        <v>YETKRTSCUT5059</v>
      </c>
      <c r="AF848" s="10" t="str">
        <f t="shared" si="54"/>
        <v>CREAM</v>
      </c>
      <c r="AG848" s="11" t="str">
        <f t="shared" si="55"/>
        <v>JHAJJAR</v>
      </c>
      <c r="AH848" s="9" t="str">
        <f>IF(OR(J848="",AE848="",AE848="NOT FOUND"),"",IF(Y848="RP",IFERROR(LEFT(_xlfn.XLOOKUP(AE848,Sheet1!$F:$F,Sheet1!$W:$W),FIND("-",_xlfn.XLOOKUP(AE848,Sheet1!$F:$F,Sheet1!$W:$W),FIND("-",_xlfn.XLOOKUP(AE848,Sheet1!$F:$F,Sheet1!$W:$W))+1))&amp;AE848,"NOT FOUND"),LEFT(J848,FIND("-",J848,FIND("-",J848)+1))&amp;AE848))</f>
        <v>KRTS-APSU26-YETKRTSCUT5059</v>
      </c>
    </row>
    <row r="849" spans="1:34" ht="15.75" customHeight="1" x14ac:dyDescent="0.2">
      <c r="A849" s="4" t="s">
        <v>59</v>
      </c>
      <c r="B849" s="4" t="s">
        <v>1185</v>
      </c>
      <c r="C849" s="4" t="s">
        <v>1017</v>
      </c>
      <c r="D849" s="4" t="s">
        <v>1125</v>
      </c>
      <c r="E849" s="4" t="s">
        <v>34</v>
      </c>
      <c r="F849" s="4" t="s">
        <v>35</v>
      </c>
      <c r="G849" s="4" t="s">
        <v>43</v>
      </c>
      <c r="H849" s="4" t="s">
        <v>1145</v>
      </c>
      <c r="I849" s="4" t="s">
        <v>1146</v>
      </c>
      <c r="J849" s="4" t="s">
        <v>1147</v>
      </c>
      <c r="L849" s="4" t="s">
        <v>40</v>
      </c>
      <c r="M849" s="4">
        <v>1</v>
      </c>
      <c r="N849" s="4">
        <v>183</v>
      </c>
      <c r="O849" s="4">
        <v>183</v>
      </c>
      <c r="P849" s="4" t="s">
        <v>41</v>
      </c>
      <c r="Q849" s="4">
        <v>204.3</v>
      </c>
      <c r="R849" s="4">
        <v>194.57</v>
      </c>
      <c r="S849" s="4">
        <v>1780.33</v>
      </c>
      <c r="T849" s="4">
        <v>35606.57</v>
      </c>
      <c r="U849" s="4">
        <v>5</v>
      </c>
      <c r="V849" s="4" t="s">
        <v>42</v>
      </c>
      <c r="X849" s="7" t="str">
        <f t="shared" si="45"/>
        <v>441853966</v>
      </c>
      <c r="Y849" s="8" t="str">
        <f t="shared" si="46"/>
        <v>DC</v>
      </c>
      <c r="Z849" s="8">
        <f t="shared" si="47"/>
        <v>0</v>
      </c>
      <c r="AA849" s="8">
        <f t="shared" si="48"/>
        <v>183</v>
      </c>
      <c r="AB849" s="8">
        <f t="shared" si="49"/>
        <v>0</v>
      </c>
      <c r="AC849" s="8">
        <f t="shared" si="50"/>
        <v>0</v>
      </c>
      <c r="AD849" s="8">
        <f t="shared" si="51"/>
        <v>0</v>
      </c>
      <c r="AE849" s="9" t="str" cm="1">
        <f t="array" ref="AE849">IFERROR(_xlfn.XLOOKUP(H849,Sheet1!$G:$G,Sheet1!$F:$F),IFERROR(_xlfn.XLOOKUP(1,(--($X$2:$X$1074=X849))*(--ISNUMBER(MATCH($H$2:$H$1074,Sheet1!$G:$G,0))),_xlfn.XLOOKUP($H$2:$H$1074,Sheet1!$G:$G,Sheet1!$F:$F,"")),"NOT FOUND"))</f>
        <v>YETKRTSCUT5059</v>
      </c>
      <c r="AF849" s="10" t="str">
        <f t="shared" si="54"/>
        <v>CREAM</v>
      </c>
      <c r="AG849" s="11" t="str">
        <f t="shared" si="55"/>
        <v>JHAJJAR</v>
      </c>
      <c r="AH849" s="9" t="str">
        <f>IF(OR(J849="",AE849="",AE849="NOT FOUND"),"",IF(Y849="RP",IFERROR(LEFT(_xlfn.XLOOKUP(AE849,Sheet1!$F:$F,Sheet1!$W:$W),FIND("-",_xlfn.XLOOKUP(AE849,Sheet1!$F:$F,Sheet1!$W:$W),FIND("-",_xlfn.XLOOKUP(AE849,Sheet1!$F:$F,Sheet1!$W:$W))+1))&amp;AE849,"NOT FOUND"),LEFT(J849,FIND("-",J849,FIND("-",J849)+1))&amp;AE849))</f>
        <v>KRTS-APSU26-YETKRTSCUT5059</v>
      </c>
    </row>
    <row r="850" spans="1:34" ht="15.75" customHeight="1" x14ac:dyDescent="0.2">
      <c r="A850" s="4" t="s">
        <v>59</v>
      </c>
      <c r="B850" s="4" t="s">
        <v>1186</v>
      </c>
      <c r="C850" s="4" t="s">
        <v>1017</v>
      </c>
      <c r="D850" s="4" t="s">
        <v>1125</v>
      </c>
      <c r="E850" s="4" t="s">
        <v>34</v>
      </c>
      <c r="F850" s="4" t="s">
        <v>35</v>
      </c>
      <c r="G850" s="4" t="s">
        <v>36</v>
      </c>
      <c r="H850" s="4" t="s">
        <v>1153</v>
      </c>
      <c r="I850" s="4" t="s">
        <v>1154</v>
      </c>
      <c r="J850" s="4" t="s">
        <v>1155</v>
      </c>
      <c r="L850" s="4" t="s">
        <v>40</v>
      </c>
      <c r="M850" s="4">
        <v>1</v>
      </c>
      <c r="N850" s="4">
        <v>30</v>
      </c>
      <c r="O850" s="4">
        <v>30</v>
      </c>
      <c r="P850" s="4" t="s">
        <v>41</v>
      </c>
      <c r="Q850" s="4">
        <v>229.3</v>
      </c>
      <c r="R850" s="4">
        <v>229.3</v>
      </c>
      <c r="S850" s="4">
        <v>343.95</v>
      </c>
      <c r="T850" s="4">
        <v>6879</v>
      </c>
      <c r="U850" s="4">
        <v>5</v>
      </c>
      <c r="V850" s="4" t="s">
        <v>42</v>
      </c>
      <c r="X850" s="7" t="str">
        <f t="shared" si="45"/>
        <v>441853964</v>
      </c>
      <c r="Y850" s="8" t="str">
        <f t="shared" si="46"/>
        <v>DC</v>
      </c>
      <c r="Z850" s="8">
        <f t="shared" si="47"/>
        <v>30</v>
      </c>
      <c r="AA850" s="8">
        <f t="shared" si="48"/>
        <v>0</v>
      </c>
      <c r="AB850" s="8">
        <f t="shared" si="49"/>
        <v>0</v>
      </c>
      <c r="AC850" s="8">
        <f t="shared" si="50"/>
        <v>0</v>
      </c>
      <c r="AD850" s="8">
        <f t="shared" si="51"/>
        <v>0</v>
      </c>
      <c r="AE850" s="9" t="str" cm="1">
        <f t="array" ref="AE850">IFERROR(_xlfn.XLOOKUP(H850,Sheet1!$G:$G,Sheet1!$F:$F),IFERROR(_xlfn.XLOOKUP(1,(--($X$2:$X$1074=X850))*(--ISNUMBER(MATCH($H$2:$H$1074,Sheet1!$G:$G,0))),_xlfn.XLOOKUP($H$2:$H$1074,Sheet1!$G:$G,Sheet1!$F:$F,"")),"NOT FOUND"))</f>
        <v>YETKRTSCUT5057</v>
      </c>
      <c r="AF850" s="10" t="str">
        <f t="shared" si="54"/>
        <v>BLUE</v>
      </c>
      <c r="AG850" s="11" t="str">
        <f t="shared" si="55"/>
        <v>JHAJJAR</v>
      </c>
      <c r="AH850" s="9" t="str">
        <f>IF(OR(J850="",AE850="",AE850="NOT FOUND"),"",IF(Y850="RP",IFERROR(LEFT(_xlfn.XLOOKUP(AE850,Sheet1!$F:$F,Sheet1!$W:$W),FIND("-",_xlfn.XLOOKUP(AE850,Sheet1!$F:$F,Sheet1!$W:$W),FIND("-",_xlfn.XLOOKUP(AE850,Sheet1!$F:$F,Sheet1!$W:$W))+1))&amp;AE850,"NOT FOUND"),LEFT(J850,FIND("-",J850,FIND("-",J850)+1))&amp;AE850))</f>
        <v>KRTS-APSU26-YETKRTSCUT5057</v>
      </c>
    </row>
    <row r="851" spans="1:34" ht="15.75" customHeight="1" x14ac:dyDescent="0.2">
      <c r="A851" s="4" t="s">
        <v>59</v>
      </c>
      <c r="B851" s="4" t="s">
        <v>1186</v>
      </c>
      <c r="C851" s="4" t="s">
        <v>1017</v>
      </c>
      <c r="D851" s="4" t="s">
        <v>1125</v>
      </c>
      <c r="E851" s="4" t="s">
        <v>34</v>
      </c>
      <c r="F851" s="4" t="s">
        <v>35</v>
      </c>
      <c r="G851" s="4" t="s">
        <v>55</v>
      </c>
      <c r="H851" s="4" t="s">
        <v>1165</v>
      </c>
      <c r="I851" s="4" t="s">
        <v>1166</v>
      </c>
      <c r="J851" s="4" t="s">
        <v>1167</v>
      </c>
      <c r="L851" s="4" t="s">
        <v>40</v>
      </c>
      <c r="M851" s="4">
        <v>1</v>
      </c>
      <c r="N851" s="4">
        <v>42</v>
      </c>
      <c r="O851" s="4">
        <v>42</v>
      </c>
      <c r="P851" s="4" t="s">
        <v>41</v>
      </c>
      <c r="Q851" s="4">
        <v>229.3</v>
      </c>
      <c r="R851" s="4">
        <v>229.3</v>
      </c>
      <c r="S851" s="4">
        <v>481.53</v>
      </c>
      <c r="T851" s="4">
        <v>9630.6</v>
      </c>
      <c r="U851" s="4">
        <v>5</v>
      </c>
      <c r="V851" s="4" t="s">
        <v>42</v>
      </c>
      <c r="X851" s="7" t="str">
        <f t="shared" si="45"/>
        <v>441853964</v>
      </c>
      <c r="Y851" s="8" t="str">
        <f t="shared" si="46"/>
        <v>DC</v>
      </c>
      <c r="Z851" s="8">
        <f t="shared" si="47"/>
        <v>0</v>
      </c>
      <c r="AA851" s="8">
        <f t="shared" si="48"/>
        <v>0</v>
      </c>
      <c r="AB851" s="8">
        <f t="shared" si="49"/>
        <v>0</v>
      </c>
      <c r="AC851" s="8">
        <f t="shared" si="50"/>
        <v>0</v>
      </c>
      <c r="AD851" s="8">
        <f t="shared" si="51"/>
        <v>42</v>
      </c>
      <c r="AE851" s="9" t="str" cm="1">
        <f t="array" ref="AE851">IFERROR(_xlfn.XLOOKUP(H851,Sheet1!$G:$G,Sheet1!$F:$F),IFERROR(_xlfn.XLOOKUP(1,(--($X$2:$X$1074=X851))*(--ISNUMBER(MATCH($H$2:$H$1074,Sheet1!$G:$G,0))),_xlfn.XLOOKUP($H$2:$H$1074,Sheet1!$G:$G,Sheet1!$F:$F,"")),"NOT FOUND"))</f>
        <v>YETKRTSCUT5057</v>
      </c>
      <c r="AF851" s="10" t="str">
        <f t="shared" si="54"/>
        <v>BLUE</v>
      </c>
      <c r="AG851" s="11" t="str">
        <f t="shared" si="55"/>
        <v>JHAJJAR</v>
      </c>
      <c r="AH851" s="9" t="str">
        <f>IF(OR(J851="",AE851="",AE851="NOT FOUND"),"",IF(Y851="RP",IFERROR(LEFT(_xlfn.XLOOKUP(AE851,Sheet1!$F:$F,Sheet1!$W:$W),FIND("-",_xlfn.XLOOKUP(AE851,Sheet1!$F:$F,Sheet1!$W:$W),FIND("-",_xlfn.XLOOKUP(AE851,Sheet1!$F:$F,Sheet1!$W:$W))+1))&amp;AE851,"NOT FOUND"),LEFT(J851,FIND("-",J851,FIND("-",J851)+1))&amp;AE851))</f>
        <v>KRTS-APSU26-YETKRTSCUT5057</v>
      </c>
    </row>
    <row r="852" spans="1:34" ht="15.75" customHeight="1" x14ac:dyDescent="0.2">
      <c r="A852" s="4" t="s">
        <v>61</v>
      </c>
      <c r="B852" s="4" t="s">
        <v>1187</v>
      </c>
      <c r="C852" s="4" t="s">
        <v>1017</v>
      </c>
      <c r="D852" s="4" t="s">
        <v>1125</v>
      </c>
      <c r="E852" s="4" t="s">
        <v>34</v>
      </c>
      <c r="F852" s="4" t="s">
        <v>35</v>
      </c>
      <c r="G852" s="4" t="s">
        <v>36</v>
      </c>
      <c r="H852" s="4" t="s">
        <v>1126</v>
      </c>
      <c r="I852" s="4" t="s">
        <v>1127</v>
      </c>
      <c r="J852" s="4" t="s">
        <v>1128</v>
      </c>
      <c r="L852" s="4" t="s">
        <v>40</v>
      </c>
      <c r="M852" s="4">
        <v>1</v>
      </c>
      <c r="N852" s="4">
        <v>30</v>
      </c>
      <c r="O852" s="4">
        <v>30</v>
      </c>
      <c r="P852" s="4" t="s">
        <v>41</v>
      </c>
      <c r="Q852" s="4">
        <v>229.3</v>
      </c>
      <c r="R852" s="4">
        <v>229.3</v>
      </c>
      <c r="S852" s="4">
        <v>343.95</v>
      </c>
      <c r="T852" s="4">
        <v>6879</v>
      </c>
      <c r="U852" s="4">
        <v>5</v>
      </c>
      <c r="V852" s="4" t="s">
        <v>42</v>
      </c>
      <c r="X852" s="7" t="str">
        <f t="shared" si="45"/>
        <v>441853967</v>
      </c>
      <c r="Y852" s="8" t="str">
        <f t="shared" si="46"/>
        <v>DC</v>
      </c>
      <c r="Z852" s="8">
        <f t="shared" si="47"/>
        <v>30</v>
      </c>
      <c r="AA852" s="8">
        <f t="shared" si="48"/>
        <v>0</v>
      </c>
      <c r="AB852" s="8">
        <f t="shared" si="49"/>
        <v>0</v>
      </c>
      <c r="AC852" s="8">
        <f t="shared" si="50"/>
        <v>0</v>
      </c>
      <c r="AD852" s="8">
        <f t="shared" si="51"/>
        <v>0</v>
      </c>
      <c r="AE852" s="9" t="str" cm="1">
        <f t="array" ref="AE852">IFERROR(_xlfn.XLOOKUP(H852,Sheet1!$G:$G,Sheet1!$F:$F),IFERROR(_xlfn.XLOOKUP(1,(--($X$2:$X$1074=X852))*(--ISNUMBER(MATCH($H$2:$H$1074,Sheet1!$G:$G,0))),_xlfn.XLOOKUP($H$2:$H$1074,Sheet1!$G:$G,Sheet1!$F:$F,"")),"NOT FOUND"))</f>
        <v>YETKRTSCUT5060</v>
      </c>
      <c r="AF852" s="10" t="str">
        <f t="shared" si="54"/>
        <v>BLUE</v>
      </c>
      <c r="AG852" s="11" t="str">
        <f t="shared" si="55"/>
        <v>HARIPAL</v>
      </c>
      <c r="AH852" s="9" t="str">
        <f>IF(OR(J852="",AE852="",AE852="NOT FOUND"),"",IF(Y852="RP",IFERROR(LEFT(_xlfn.XLOOKUP(AE852,Sheet1!$F:$F,Sheet1!$W:$W),FIND("-",_xlfn.XLOOKUP(AE852,Sheet1!$F:$F,Sheet1!$W:$W),FIND("-",_xlfn.XLOOKUP(AE852,Sheet1!$F:$F,Sheet1!$W:$W))+1))&amp;AE852,"NOT FOUND"),LEFT(J852,FIND("-",J852,FIND("-",J852)+1))&amp;AE852))</f>
        <v>KRTS-APSU26-YETKRTSCUT5060</v>
      </c>
    </row>
    <row r="853" spans="1:34" ht="15.75" customHeight="1" x14ac:dyDescent="0.2">
      <c r="A853" s="4" t="s">
        <v>61</v>
      </c>
      <c r="B853" s="4" t="s">
        <v>1187</v>
      </c>
      <c r="C853" s="4" t="s">
        <v>1017</v>
      </c>
      <c r="D853" s="4" t="s">
        <v>1125</v>
      </c>
      <c r="E853" s="4" t="s">
        <v>34</v>
      </c>
      <c r="F853" s="4" t="s">
        <v>35</v>
      </c>
      <c r="G853" s="4" t="s">
        <v>43</v>
      </c>
      <c r="H853" s="4" t="s">
        <v>1129</v>
      </c>
      <c r="I853" s="4" t="s">
        <v>1130</v>
      </c>
      <c r="J853" s="4" t="s">
        <v>1131</v>
      </c>
      <c r="L853" s="4" t="s">
        <v>40</v>
      </c>
      <c r="M853" s="4">
        <v>1</v>
      </c>
      <c r="N853" s="4">
        <v>154</v>
      </c>
      <c r="O853" s="4">
        <v>154</v>
      </c>
      <c r="P853" s="4" t="s">
        <v>41</v>
      </c>
      <c r="Q853" s="4">
        <v>229.3</v>
      </c>
      <c r="R853" s="4">
        <v>229.3</v>
      </c>
      <c r="S853" s="4">
        <v>1765.61</v>
      </c>
      <c r="T853" s="4">
        <v>35312.199999999997</v>
      </c>
      <c r="U853" s="4">
        <v>5</v>
      </c>
      <c r="V853" s="4" t="s">
        <v>42</v>
      </c>
      <c r="X853" s="7" t="str">
        <f t="shared" si="45"/>
        <v>441853967</v>
      </c>
      <c r="Y853" s="8" t="str">
        <f t="shared" si="46"/>
        <v>DC</v>
      </c>
      <c r="Z853" s="8">
        <f t="shared" si="47"/>
        <v>0</v>
      </c>
      <c r="AA853" s="8">
        <f t="shared" si="48"/>
        <v>154</v>
      </c>
      <c r="AB853" s="8">
        <f t="shared" si="49"/>
        <v>0</v>
      </c>
      <c r="AC853" s="8">
        <f t="shared" si="50"/>
        <v>0</v>
      </c>
      <c r="AD853" s="8">
        <f t="shared" si="51"/>
        <v>0</v>
      </c>
      <c r="AE853" s="9" t="str" cm="1">
        <f t="array" ref="AE853">IFERROR(_xlfn.XLOOKUP(H853,Sheet1!$G:$G,Sheet1!$F:$F),IFERROR(_xlfn.XLOOKUP(1,(--($X$2:$X$1074=X853))*(--ISNUMBER(MATCH($H$2:$H$1074,Sheet1!$G:$G,0))),_xlfn.XLOOKUP($H$2:$H$1074,Sheet1!$G:$G,Sheet1!$F:$F,"")),"NOT FOUND"))</f>
        <v>YETKRTSCUT5060</v>
      </c>
      <c r="AF853" s="10" t="str">
        <f t="shared" si="54"/>
        <v>BLUE</v>
      </c>
      <c r="AG853" s="11" t="str">
        <f t="shared" si="55"/>
        <v>HARIPAL</v>
      </c>
      <c r="AH853" s="9" t="str">
        <f>IF(OR(J853="",AE853="",AE853="NOT FOUND"),"",IF(Y853="RP",IFERROR(LEFT(_xlfn.XLOOKUP(AE853,Sheet1!$F:$F,Sheet1!$W:$W),FIND("-",_xlfn.XLOOKUP(AE853,Sheet1!$F:$F,Sheet1!$W:$W),FIND("-",_xlfn.XLOOKUP(AE853,Sheet1!$F:$F,Sheet1!$W:$W))+1))&amp;AE853,"NOT FOUND"),LEFT(J853,FIND("-",J853,FIND("-",J853)+1))&amp;AE853))</f>
        <v>KRTS-APSU26-YETKRTSCUT5060</v>
      </c>
    </row>
    <row r="854" spans="1:34" ht="15.75" customHeight="1" x14ac:dyDescent="0.2">
      <c r="A854" s="4" t="s">
        <v>61</v>
      </c>
      <c r="B854" s="4" t="s">
        <v>1187</v>
      </c>
      <c r="C854" s="4" t="s">
        <v>1017</v>
      </c>
      <c r="D854" s="4" t="s">
        <v>1125</v>
      </c>
      <c r="E854" s="4" t="s">
        <v>34</v>
      </c>
      <c r="F854" s="4" t="s">
        <v>35</v>
      </c>
      <c r="G854" s="4" t="s">
        <v>47</v>
      </c>
      <c r="H854" s="4" t="s">
        <v>1132</v>
      </c>
      <c r="I854" s="4" t="s">
        <v>1133</v>
      </c>
      <c r="J854" s="4" t="s">
        <v>1134</v>
      </c>
      <c r="L854" s="4" t="s">
        <v>40</v>
      </c>
      <c r="M854" s="4">
        <v>1</v>
      </c>
      <c r="N854" s="4">
        <v>173</v>
      </c>
      <c r="O854" s="4">
        <v>173</v>
      </c>
      <c r="P854" s="4" t="s">
        <v>41</v>
      </c>
      <c r="Q854" s="4">
        <v>229.3</v>
      </c>
      <c r="R854" s="4">
        <v>229.3</v>
      </c>
      <c r="S854" s="4">
        <v>1983.45</v>
      </c>
      <c r="T854" s="4">
        <v>39668.9</v>
      </c>
      <c r="U854" s="4">
        <v>5</v>
      </c>
      <c r="V854" s="4" t="s">
        <v>42</v>
      </c>
      <c r="X854" s="7" t="str">
        <f t="shared" si="45"/>
        <v>441853967</v>
      </c>
      <c r="Y854" s="8" t="str">
        <f t="shared" si="46"/>
        <v>DC</v>
      </c>
      <c r="Z854" s="8">
        <f t="shared" si="47"/>
        <v>0</v>
      </c>
      <c r="AA854" s="8">
        <f t="shared" si="48"/>
        <v>0</v>
      </c>
      <c r="AB854" s="8">
        <f t="shared" si="49"/>
        <v>173</v>
      </c>
      <c r="AC854" s="8">
        <f t="shared" si="50"/>
        <v>0</v>
      </c>
      <c r="AD854" s="8">
        <f t="shared" si="51"/>
        <v>0</v>
      </c>
      <c r="AE854" s="9" t="str" cm="1">
        <f t="array" ref="AE854">IFERROR(_xlfn.XLOOKUP(H854,Sheet1!$G:$G,Sheet1!$F:$F),IFERROR(_xlfn.XLOOKUP(1,(--($X$2:$X$1074=X854))*(--ISNUMBER(MATCH($H$2:$H$1074,Sheet1!$G:$G,0))),_xlfn.XLOOKUP($H$2:$H$1074,Sheet1!$G:$G,Sheet1!$F:$F,"")),"NOT FOUND"))</f>
        <v>YETKRTSCUT5060</v>
      </c>
      <c r="AF854" s="10" t="str">
        <f t="shared" si="54"/>
        <v>BLUE</v>
      </c>
      <c r="AG854" s="11" t="str">
        <f t="shared" si="55"/>
        <v>HARIPAL</v>
      </c>
      <c r="AH854" s="9" t="str">
        <f>IF(OR(J854="",AE854="",AE854="NOT FOUND"),"",IF(Y854="RP",IFERROR(LEFT(_xlfn.XLOOKUP(AE854,Sheet1!$F:$F,Sheet1!$W:$W),FIND("-",_xlfn.XLOOKUP(AE854,Sheet1!$F:$F,Sheet1!$W:$W),FIND("-",_xlfn.XLOOKUP(AE854,Sheet1!$F:$F,Sheet1!$W:$W))+1))&amp;AE854,"NOT FOUND"),LEFT(J854,FIND("-",J854,FIND("-",J854)+1))&amp;AE854))</f>
        <v>KRTS-APSU26-YETKRTSCUT5060</v>
      </c>
    </row>
    <row r="855" spans="1:34" ht="15.75" customHeight="1" x14ac:dyDescent="0.2">
      <c r="A855" s="4" t="s">
        <v>61</v>
      </c>
      <c r="B855" s="4" t="s">
        <v>1187</v>
      </c>
      <c r="C855" s="4" t="s">
        <v>1017</v>
      </c>
      <c r="D855" s="4" t="s">
        <v>1125</v>
      </c>
      <c r="E855" s="4" t="s">
        <v>34</v>
      </c>
      <c r="F855" s="4" t="s">
        <v>35</v>
      </c>
      <c r="G855" s="4" t="s">
        <v>51</v>
      </c>
      <c r="H855" s="4" t="s">
        <v>1135</v>
      </c>
      <c r="I855" s="4" t="s">
        <v>1136</v>
      </c>
      <c r="J855" s="4" t="s">
        <v>1137</v>
      </c>
      <c r="L855" s="4" t="s">
        <v>40</v>
      </c>
      <c r="M855" s="4">
        <v>1</v>
      </c>
      <c r="N855" s="4">
        <v>202</v>
      </c>
      <c r="O855" s="4">
        <v>202</v>
      </c>
      <c r="P855" s="4" t="s">
        <v>41</v>
      </c>
      <c r="Q855" s="4">
        <v>229.3</v>
      </c>
      <c r="R855" s="4">
        <v>229.3</v>
      </c>
      <c r="S855" s="4">
        <v>2315.9299999999998</v>
      </c>
      <c r="T855" s="4">
        <v>46318.6</v>
      </c>
      <c r="U855" s="4">
        <v>5</v>
      </c>
      <c r="V855" s="4" t="s">
        <v>42</v>
      </c>
      <c r="X855" s="7" t="str">
        <f t="shared" si="45"/>
        <v>441853967</v>
      </c>
      <c r="Y855" s="8" t="str">
        <f t="shared" si="46"/>
        <v>DC</v>
      </c>
      <c r="Z855" s="8">
        <f t="shared" si="47"/>
        <v>0</v>
      </c>
      <c r="AA855" s="8">
        <f t="shared" si="48"/>
        <v>0</v>
      </c>
      <c r="AB855" s="8">
        <f t="shared" si="49"/>
        <v>0</v>
      </c>
      <c r="AC855" s="8">
        <f t="shared" si="50"/>
        <v>202</v>
      </c>
      <c r="AD855" s="8">
        <f t="shared" si="51"/>
        <v>0</v>
      </c>
      <c r="AE855" s="9" t="str" cm="1">
        <f t="array" ref="AE855">IFERROR(_xlfn.XLOOKUP(H855,Sheet1!$G:$G,Sheet1!$F:$F),IFERROR(_xlfn.XLOOKUP(1,(--($X$2:$X$1074=X855))*(--ISNUMBER(MATCH($H$2:$H$1074,Sheet1!$G:$G,0))),_xlfn.XLOOKUP($H$2:$H$1074,Sheet1!$G:$G,Sheet1!$F:$F,"")),"NOT FOUND"))</f>
        <v>YETKRTSCUT5060</v>
      </c>
      <c r="AF855" s="10" t="str">
        <f t="shared" si="54"/>
        <v>BLUE</v>
      </c>
      <c r="AG855" s="11" t="str">
        <f t="shared" si="55"/>
        <v>HARIPAL</v>
      </c>
      <c r="AH855" s="9" t="str">
        <f>IF(OR(J855="",AE855="",AE855="NOT FOUND"),"",IF(Y855="RP",IFERROR(LEFT(_xlfn.XLOOKUP(AE855,Sheet1!$F:$F,Sheet1!$W:$W),FIND("-",_xlfn.XLOOKUP(AE855,Sheet1!$F:$F,Sheet1!$W:$W),FIND("-",_xlfn.XLOOKUP(AE855,Sheet1!$F:$F,Sheet1!$W:$W))+1))&amp;AE855,"NOT FOUND"),LEFT(J855,FIND("-",J855,FIND("-",J855)+1))&amp;AE855))</f>
        <v>KRTS-APSU26-YETKRTSCUT5060</v>
      </c>
    </row>
    <row r="856" spans="1:34" ht="15.75" customHeight="1" x14ac:dyDescent="0.2">
      <c r="A856" s="4" t="s">
        <v>61</v>
      </c>
      <c r="B856" s="4" t="s">
        <v>1187</v>
      </c>
      <c r="C856" s="4" t="s">
        <v>1017</v>
      </c>
      <c r="D856" s="4" t="s">
        <v>1125</v>
      </c>
      <c r="E856" s="4" t="s">
        <v>34</v>
      </c>
      <c r="F856" s="4" t="s">
        <v>35</v>
      </c>
      <c r="G856" s="4" t="s">
        <v>55</v>
      </c>
      <c r="H856" s="4" t="s">
        <v>1138</v>
      </c>
      <c r="I856" s="4" t="s">
        <v>1139</v>
      </c>
      <c r="J856" s="4" t="s">
        <v>1140</v>
      </c>
      <c r="L856" s="4" t="s">
        <v>40</v>
      </c>
      <c r="M856" s="4">
        <v>1</v>
      </c>
      <c r="N856" s="4">
        <v>39</v>
      </c>
      <c r="O856" s="4">
        <v>39</v>
      </c>
      <c r="P856" s="4" t="s">
        <v>41</v>
      </c>
      <c r="Q856" s="4">
        <v>229.3</v>
      </c>
      <c r="R856" s="4">
        <v>229.3</v>
      </c>
      <c r="S856" s="4">
        <v>447.14</v>
      </c>
      <c r="T856" s="4">
        <v>8942.7000000000007</v>
      </c>
      <c r="U856" s="4">
        <v>5</v>
      </c>
      <c r="V856" s="4" t="s">
        <v>42</v>
      </c>
      <c r="X856" s="7" t="str">
        <f t="shared" si="45"/>
        <v>441853967</v>
      </c>
      <c r="Y856" s="8" t="str">
        <f t="shared" si="46"/>
        <v>DC</v>
      </c>
      <c r="Z856" s="8">
        <f t="shared" si="47"/>
        <v>0</v>
      </c>
      <c r="AA856" s="8">
        <f t="shared" si="48"/>
        <v>0</v>
      </c>
      <c r="AB856" s="8">
        <f t="shared" si="49"/>
        <v>0</v>
      </c>
      <c r="AC856" s="8">
        <f t="shared" si="50"/>
        <v>0</v>
      </c>
      <c r="AD856" s="8">
        <f t="shared" si="51"/>
        <v>39</v>
      </c>
      <c r="AE856" s="9" t="str" cm="1">
        <f t="array" ref="AE856">IFERROR(_xlfn.XLOOKUP(H856,Sheet1!$G:$G,Sheet1!$F:$F),IFERROR(_xlfn.XLOOKUP(1,(--($X$2:$X$1074=X856))*(--ISNUMBER(MATCH($H$2:$H$1074,Sheet1!$G:$G,0))),_xlfn.XLOOKUP($H$2:$H$1074,Sheet1!$G:$G,Sheet1!$F:$F,"")),"NOT FOUND"))</f>
        <v>YETKRTSCUT5060</v>
      </c>
      <c r="AF856" s="10" t="str">
        <f t="shared" si="54"/>
        <v>BLUE</v>
      </c>
      <c r="AG856" s="11" t="str">
        <f t="shared" si="55"/>
        <v>HARIPAL</v>
      </c>
      <c r="AH856" s="9" t="str">
        <f>IF(OR(J856="",AE856="",AE856="NOT FOUND"),"",IF(Y856="RP",IFERROR(LEFT(_xlfn.XLOOKUP(AE856,Sheet1!$F:$F,Sheet1!$W:$W),FIND("-",_xlfn.XLOOKUP(AE856,Sheet1!$F:$F,Sheet1!$W:$W),FIND("-",_xlfn.XLOOKUP(AE856,Sheet1!$F:$F,Sheet1!$W:$W))+1))&amp;AE856,"NOT FOUND"),LEFT(J856,FIND("-",J856,FIND("-",J856)+1))&amp;AE856))</f>
        <v>KRTS-APSU26-YETKRTSCUT5060</v>
      </c>
    </row>
    <row r="857" spans="1:34" ht="15.75" customHeight="1" x14ac:dyDescent="0.2">
      <c r="A857" s="4" t="s">
        <v>59</v>
      </c>
      <c r="B857" s="4" t="s">
        <v>1188</v>
      </c>
      <c r="C857" s="4" t="s">
        <v>1017</v>
      </c>
      <c r="D857" s="4" t="s">
        <v>1125</v>
      </c>
      <c r="E857" s="4" t="s">
        <v>34</v>
      </c>
      <c r="F857" s="4" t="s">
        <v>35</v>
      </c>
      <c r="G857" s="4" t="s">
        <v>36</v>
      </c>
      <c r="H857" s="4" t="s">
        <v>1170</v>
      </c>
      <c r="I857" s="4" t="s">
        <v>1171</v>
      </c>
      <c r="J857" s="4" t="s">
        <v>1172</v>
      </c>
      <c r="L857" s="4" t="s">
        <v>40</v>
      </c>
      <c r="M857" s="4">
        <v>1</v>
      </c>
      <c r="N857" s="4">
        <v>30</v>
      </c>
      <c r="O857" s="4">
        <v>30</v>
      </c>
      <c r="P857" s="4" t="s">
        <v>41</v>
      </c>
      <c r="Q857" s="4">
        <v>229.3</v>
      </c>
      <c r="R857" s="4">
        <v>229.3</v>
      </c>
      <c r="S857" s="4">
        <v>343.95</v>
      </c>
      <c r="T857" s="4">
        <v>6879</v>
      </c>
      <c r="U857" s="4">
        <v>5</v>
      </c>
      <c r="V857" s="4" t="s">
        <v>42</v>
      </c>
      <c r="X857" s="7" t="str">
        <f t="shared" si="45"/>
        <v>441853963</v>
      </c>
      <c r="Y857" s="8" t="str">
        <f t="shared" si="46"/>
        <v>DC</v>
      </c>
      <c r="Z857" s="8">
        <f t="shared" si="47"/>
        <v>30</v>
      </c>
      <c r="AA857" s="8">
        <f t="shared" si="48"/>
        <v>0</v>
      </c>
      <c r="AB857" s="8">
        <f t="shared" si="49"/>
        <v>0</v>
      </c>
      <c r="AC857" s="8">
        <f t="shared" si="50"/>
        <v>0</v>
      </c>
      <c r="AD857" s="8">
        <f t="shared" si="51"/>
        <v>0</v>
      </c>
      <c r="AE857" s="9" t="str" cm="1">
        <f t="array" ref="AE857">IFERROR(_xlfn.XLOOKUP(H857,Sheet1!$G:$G,Sheet1!$F:$F),IFERROR(_xlfn.XLOOKUP(1,(--($X$2:$X$1074=X857))*(--ISNUMBER(MATCH($H$2:$H$1074,Sheet1!$G:$G,0))),_xlfn.XLOOKUP($H$2:$H$1074,Sheet1!$G:$G,Sheet1!$F:$F,"")),"NOT FOUND"))</f>
        <v>YETKRTSCUT5056</v>
      </c>
      <c r="AF857" s="10" t="str">
        <f t="shared" si="54"/>
        <v>BLUE</v>
      </c>
      <c r="AG857" s="11" t="str">
        <f t="shared" si="55"/>
        <v>JHAJJAR</v>
      </c>
      <c r="AH857" s="9" t="str">
        <f>IF(OR(J857="",AE857="",AE857="NOT FOUND"),"",IF(Y857="RP",IFERROR(LEFT(_xlfn.XLOOKUP(AE857,Sheet1!$F:$F,Sheet1!$W:$W),FIND("-",_xlfn.XLOOKUP(AE857,Sheet1!$F:$F,Sheet1!$W:$W),FIND("-",_xlfn.XLOOKUP(AE857,Sheet1!$F:$F,Sheet1!$W:$W))+1))&amp;AE857,"NOT FOUND"),LEFT(J857,FIND("-",J857,FIND("-",J857)+1))&amp;AE857))</f>
        <v>KRTS-APSU26-YETKRTSCUT5056</v>
      </c>
    </row>
    <row r="858" spans="1:34" ht="15.75" customHeight="1" x14ac:dyDescent="0.2">
      <c r="A858" s="4" t="s">
        <v>59</v>
      </c>
      <c r="B858" s="4" t="s">
        <v>1188</v>
      </c>
      <c r="C858" s="4" t="s">
        <v>1017</v>
      </c>
      <c r="D858" s="4" t="s">
        <v>1125</v>
      </c>
      <c r="E858" s="4" t="s">
        <v>34</v>
      </c>
      <c r="F858" s="4" t="s">
        <v>35</v>
      </c>
      <c r="G858" s="4" t="s">
        <v>55</v>
      </c>
      <c r="H858" s="4" t="s">
        <v>1182</v>
      </c>
      <c r="I858" s="4" t="s">
        <v>1183</v>
      </c>
      <c r="J858" s="4" t="s">
        <v>1184</v>
      </c>
      <c r="L858" s="4" t="s">
        <v>40</v>
      </c>
      <c r="M858" s="4">
        <v>1</v>
      </c>
      <c r="N858" s="4">
        <v>42</v>
      </c>
      <c r="O858" s="4">
        <v>42</v>
      </c>
      <c r="P858" s="4" t="s">
        <v>41</v>
      </c>
      <c r="Q858" s="4">
        <v>229.3</v>
      </c>
      <c r="R858" s="4">
        <v>229.3</v>
      </c>
      <c r="S858" s="4">
        <v>481.53</v>
      </c>
      <c r="T858" s="4">
        <v>9630.6</v>
      </c>
      <c r="U858" s="4">
        <v>5</v>
      </c>
      <c r="V858" s="4" t="s">
        <v>42</v>
      </c>
      <c r="X858" s="7" t="str">
        <f t="shared" si="45"/>
        <v>441853963</v>
      </c>
      <c r="Y858" s="8" t="str">
        <f t="shared" si="46"/>
        <v>DC</v>
      </c>
      <c r="Z858" s="8">
        <f t="shared" si="47"/>
        <v>0</v>
      </c>
      <c r="AA858" s="8">
        <f t="shared" si="48"/>
        <v>0</v>
      </c>
      <c r="AB858" s="8">
        <f t="shared" si="49"/>
        <v>0</v>
      </c>
      <c r="AC858" s="8">
        <f t="shared" si="50"/>
        <v>0</v>
      </c>
      <c r="AD858" s="8">
        <f t="shared" si="51"/>
        <v>42</v>
      </c>
      <c r="AE858" s="9" t="str" cm="1">
        <f t="array" ref="AE858">IFERROR(_xlfn.XLOOKUP(H858,Sheet1!$G:$G,Sheet1!$F:$F),IFERROR(_xlfn.XLOOKUP(1,(--($X$2:$X$1074=X858))*(--ISNUMBER(MATCH($H$2:$H$1074,Sheet1!$G:$G,0))),_xlfn.XLOOKUP($H$2:$H$1074,Sheet1!$G:$G,Sheet1!$F:$F,"")),"NOT FOUND"))</f>
        <v>YETKRTSCUT5056</v>
      </c>
      <c r="AF858" s="10" t="str">
        <f t="shared" si="54"/>
        <v>BLUE</v>
      </c>
      <c r="AG858" s="11" t="str">
        <f t="shared" si="55"/>
        <v>JHAJJAR</v>
      </c>
      <c r="AH858" s="9" t="str">
        <f>IF(OR(J858="",AE858="",AE858="NOT FOUND"),"",IF(Y858="RP",IFERROR(LEFT(_xlfn.XLOOKUP(AE858,Sheet1!$F:$F,Sheet1!$W:$W),FIND("-",_xlfn.XLOOKUP(AE858,Sheet1!$F:$F,Sheet1!$W:$W),FIND("-",_xlfn.XLOOKUP(AE858,Sheet1!$F:$F,Sheet1!$W:$W))+1))&amp;AE858,"NOT FOUND"),LEFT(J858,FIND("-",J858,FIND("-",J858)+1))&amp;AE858))</f>
        <v>KRTS-APSU26-YETKRTSCUT5056</v>
      </c>
    </row>
    <row r="859" spans="1:34" ht="15.75" customHeight="1" x14ac:dyDescent="0.2">
      <c r="A859" s="4" t="s">
        <v>61</v>
      </c>
      <c r="B859" s="4" t="s">
        <v>1189</v>
      </c>
      <c r="C859" s="4" t="s">
        <v>1017</v>
      </c>
      <c r="D859" s="4" t="s">
        <v>1125</v>
      </c>
      <c r="E859" s="4" t="s">
        <v>34</v>
      </c>
      <c r="F859" s="4" t="s">
        <v>35</v>
      </c>
      <c r="G859" s="4" t="s">
        <v>36</v>
      </c>
      <c r="H859" s="4" t="s">
        <v>1142</v>
      </c>
      <c r="I859" s="4" t="s">
        <v>1143</v>
      </c>
      <c r="J859" s="4" t="s">
        <v>1144</v>
      </c>
      <c r="L859" s="4" t="s">
        <v>40</v>
      </c>
      <c r="M859" s="4">
        <v>1</v>
      </c>
      <c r="N859" s="4">
        <v>30</v>
      </c>
      <c r="O859" s="4">
        <v>30</v>
      </c>
      <c r="P859" s="4" t="s">
        <v>41</v>
      </c>
      <c r="Q859" s="4">
        <v>204.3</v>
      </c>
      <c r="R859" s="4">
        <v>194.57</v>
      </c>
      <c r="S859" s="4">
        <v>291.86</v>
      </c>
      <c r="T859" s="4">
        <v>5837.14</v>
      </c>
      <c r="U859" s="4">
        <v>5</v>
      </c>
      <c r="V859" s="4" t="s">
        <v>42</v>
      </c>
      <c r="X859" s="7" t="str">
        <f t="shared" si="45"/>
        <v>441853966</v>
      </c>
      <c r="Y859" s="8" t="str">
        <f t="shared" si="46"/>
        <v>DC</v>
      </c>
      <c r="Z859" s="8">
        <f t="shared" si="47"/>
        <v>30</v>
      </c>
      <c r="AA859" s="8">
        <f t="shared" si="48"/>
        <v>0</v>
      </c>
      <c r="AB859" s="8">
        <f t="shared" si="49"/>
        <v>0</v>
      </c>
      <c r="AC859" s="8">
        <f t="shared" si="50"/>
        <v>0</v>
      </c>
      <c r="AD859" s="8">
        <f t="shared" si="51"/>
        <v>0</v>
      </c>
      <c r="AE859" s="9" t="str" cm="1">
        <f t="array" ref="AE859">IFERROR(_xlfn.XLOOKUP(H859,Sheet1!$G:$G,Sheet1!$F:$F),IFERROR(_xlfn.XLOOKUP(1,(--($X$2:$X$1074=X859))*(--ISNUMBER(MATCH($H$2:$H$1074,Sheet1!$G:$G,0))),_xlfn.XLOOKUP($H$2:$H$1074,Sheet1!$G:$G,Sheet1!$F:$F,"")),"NOT FOUND"))</f>
        <v>YETKRTSCUT5059</v>
      </c>
      <c r="AF859" s="10" t="str">
        <f t="shared" si="54"/>
        <v>CREAM</v>
      </c>
      <c r="AG859" s="11" t="str">
        <f t="shared" si="55"/>
        <v>HARIPAL</v>
      </c>
      <c r="AH859" s="9" t="str">
        <f>IF(OR(J859="",AE859="",AE859="NOT FOUND"),"",IF(Y859="RP",IFERROR(LEFT(_xlfn.XLOOKUP(AE859,Sheet1!$F:$F,Sheet1!$W:$W),FIND("-",_xlfn.XLOOKUP(AE859,Sheet1!$F:$F,Sheet1!$W:$W),FIND("-",_xlfn.XLOOKUP(AE859,Sheet1!$F:$F,Sheet1!$W:$W))+1))&amp;AE859,"NOT FOUND"),LEFT(J859,FIND("-",J859,FIND("-",J859)+1))&amp;AE859))</f>
        <v>KRTS-APSU26-YETKRTSCUT5059</v>
      </c>
    </row>
    <row r="860" spans="1:34" ht="15.75" customHeight="1" x14ac:dyDescent="0.2">
      <c r="A860" s="4" t="s">
        <v>61</v>
      </c>
      <c r="B860" s="4" t="s">
        <v>1189</v>
      </c>
      <c r="C860" s="4" t="s">
        <v>1017</v>
      </c>
      <c r="D860" s="4" t="s">
        <v>1125</v>
      </c>
      <c r="E860" s="4" t="s">
        <v>34</v>
      </c>
      <c r="F860" s="4" t="s">
        <v>35</v>
      </c>
      <c r="G860" s="4" t="s">
        <v>55</v>
      </c>
      <c r="H860" s="4" t="s">
        <v>1190</v>
      </c>
      <c r="I860" s="4" t="s">
        <v>1191</v>
      </c>
      <c r="J860" s="4" t="s">
        <v>1192</v>
      </c>
      <c r="L860" s="4" t="s">
        <v>40</v>
      </c>
      <c r="M860" s="4">
        <v>1</v>
      </c>
      <c r="N860" s="4">
        <v>43</v>
      </c>
      <c r="O860" s="4">
        <v>43</v>
      </c>
      <c r="P860" s="4" t="s">
        <v>41</v>
      </c>
      <c r="Q860" s="4">
        <v>204.3</v>
      </c>
      <c r="R860" s="4">
        <v>194.57</v>
      </c>
      <c r="S860" s="4">
        <v>418.33</v>
      </c>
      <c r="T860" s="4">
        <v>8366.57</v>
      </c>
      <c r="U860" s="4">
        <v>5</v>
      </c>
      <c r="V860" s="4" t="s">
        <v>42</v>
      </c>
      <c r="X860" s="7" t="str">
        <f t="shared" si="45"/>
        <v>441853966</v>
      </c>
      <c r="Y860" s="8" t="str">
        <f t="shared" si="46"/>
        <v>DC</v>
      </c>
      <c r="Z860" s="8">
        <f t="shared" si="47"/>
        <v>0</v>
      </c>
      <c r="AA860" s="8">
        <f t="shared" si="48"/>
        <v>0</v>
      </c>
      <c r="AB860" s="8">
        <f t="shared" si="49"/>
        <v>0</v>
      </c>
      <c r="AC860" s="8">
        <f t="shared" si="50"/>
        <v>0</v>
      </c>
      <c r="AD860" s="8">
        <f t="shared" si="51"/>
        <v>43</v>
      </c>
      <c r="AE860" s="9" t="str" cm="1">
        <f t="array" ref="AE860">IFERROR(_xlfn.XLOOKUP(H860,Sheet1!$G:$G,Sheet1!$F:$F),IFERROR(_xlfn.XLOOKUP(1,(--($X$2:$X$1074=X860))*(--ISNUMBER(MATCH($H$2:$H$1074,Sheet1!$G:$G,0))),_xlfn.XLOOKUP($H$2:$H$1074,Sheet1!$G:$G,Sheet1!$F:$F,"")),"NOT FOUND"))</f>
        <v>YETKRTSCUT5059</v>
      </c>
      <c r="AF860" s="10" t="str">
        <f t="shared" si="54"/>
        <v>CREAM</v>
      </c>
      <c r="AG860" s="11" t="str">
        <f t="shared" si="55"/>
        <v>HARIPAL</v>
      </c>
      <c r="AH860" s="9" t="str">
        <f>IF(OR(J860="",AE860="",AE860="NOT FOUND"),"",IF(Y860="RP",IFERROR(LEFT(_xlfn.XLOOKUP(AE860,Sheet1!$F:$F,Sheet1!$W:$W),FIND("-",_xlfn.XLOOKUP(AE860,Sheet1!$F:$F,Sheet1!$W:$W),FIND("-",_xlfn.XLOOKUP(AE860,Sheet1!$F:$F,Sheet1!$W:$W))+1))&amp;AE860,"NOT FOUND"),LEFT(J860,FIND("-",J860,FIND("-",J860)+1))&amp;AE860))</f>
        <v>KRTS-APSU26-YETKRTSCUT5059</v>
      </c>
    </row>
    <row r="861" spans="1:34" ht="15.75" customHeight="1" x14ac:dyDescent="0.2">
      <c r="A861" s="4" t="s">
        <v>61</v>
      </c>
      <c r="B861" s="4" t="s">
        <v>1193</v>
      </c>
      <c r="C861" s="4" t="s">
        <v>1017</v>
      </c>
      <c r="D861" s="4" t="s">
        <v>1194</v>
      </c>
      <c r="E861" s="4" t="s">
        <v>34</v>
      </c>
      <c r="F861" s="4" t="s">
        <v>35</v>
      </c>
      <c r="G861" s="4" t="s">
        <v>36</v>
      </c>
      <c r="H861" s="4" t="s">
        <v>1153</v>
      </c>
      <c r="I861" s="4" t="s">
        <v>1154</v>
      </c>
      <c r="J861" s="4" t="s">
        <v>1155</v>
      </c>
      <c r="L861" s="4" t="s">
        <v>40</v>
      </c>
      <c r="M861" s="4">
        <v>1</v>
      </c>
      <c r="N861" s="4">
        <v>30</v>
      </c>
      <c r="O861" s="4">
        <v>30</v>
      </c>
      <c r="P861" s="4" t="s">
        <v>41</v>
      </c>
      <c r="Q861" s="4">
        <v>229.3</v>
      </c>
      <c r="R861" s="4">
        <v>229.3</v>
      </c>
      <c r="S861" s="4">
        <v>343.95</v>
      </c>
      <c r="T861" s="4">
        <v>6879</v>
      </c>
      <c r="U861" s="4">
        <v>5</v>
      </c>
      <c r="V861" s="4" t="s">
        <v>42</v>
      </c>
      <c r="X861" s="7" t="str">
        <f t="shared" si="45"/>
        <v>441853964</v>
      </c>
      <c r="Y861" s="8" t="str">
        <f t="shared" si="46"/>
        <v>DC</v>
      </c>
      <c r="Z861" s="8">
        <f t="shared" si="47"/>
        <v>30</v>
      </c>
      <c r="AA861" s="8">
        <f t="shared" si="48"/>
        <v>0</v>
      </c>
      <c r="AB861" s="8">
        <f t="shared" si="49"/>
        <v>0</v>
      </c>
      <c r="AC861" s="8">
        <f t="shared" si="50"/>
        <v>0</v>
      </c>
      <c r="AD861" s="8">
        <f t="shared" si="51"/>
        <v>0</v>
      </c>
      <c r="AE861" s="9" t="str" cm="1">
        <f t="array" ref="AE861">IFERROR(_xlfn.XLOOKUP(H861,Sheet1!$G:$G,Sheet1!$F:$F),IFERROR(_xlfn.XLOOKUP(1,(--($X$2:$X$1074=X861))*(--ISNUMBER(MATCH($H$2:$H$1074,Sheet1!$G:$G,0))),_xlfn.XLOOKUP($H$2:$H$1074,Sheet1!$G:$G,Sheet1!$F:$F,"")),"NOT FOUND"))</f>
        <v>YETKRTSCUT5057</v>
      </c>
      <c r="AF861" s="10" t="str">
        <f t="shared" si="54"/>
        <v>BLUE</v>
      </c>
      <c r="AG861" s="11" t="str">
        <f t="shared" si="55"/>
        <v>HARIPAL</v>
      </c>
      <c r="AH861" s="9" t="str">
        <f>IF(OR(J861="",AE861="",AE861="NOT FOUND"),"",IF(Y861="RP",IFERROR(LEFT(_xlfn.XLOOKUP(AE861,Sheet1!$F:$F,Sheet1!$W:$W),FIND("-",_xlfn.XLOOKUP(AE861,Sheet1!$F:$F,Sheet1!$W:$W),FIND("-",_xlfn.XLOOKUP(AE861,Sheet1!$F:$F,Sheet1!$W:$W))+1))&amp;AE861,"NOT FOUND"),LEFT(J861,FIND("-",J861,FIND("-",J861)+1))&amp;AE861))</f>
        <v>KRTS-APSU26-YETKRTSCUT5057</v>
      </c>
    </row>
    <row r="862" spans="1:34" ht="15.75" customHeight="1" x14ac:dyDescent="0.2">
      <c r="A862" s="4" t="s">
        <v>61</v>
      </c>
      <c r="B862" s="4" t="s">
        <v>1193</v>
      </c>
      <c r="C862" s="4" t="s">
        <v>1017</v>
      </c>
      <c r="D862" s="4" t="s">
        <v>1194</v>
      </c>
      <c r="E862" s="4" t="s">
        <v>34</v>
      </c>
      <c r="F862" s="4" t="s">
        <v>35</v>
      </c>
      <c r="G862" s="4" t="s">
        <v>43</v>
      </c>
      <c r="H862" s="4" t="s">
        <v>1156</v>
      </c>
      <c r="I862" s="4" t="s">
        <v>1157</v>
      </c>
      <c r="J862" s="4" t="s">
        <v>1158</v>
      </c>
      <c r="L862" s="4" t="s">
        <v>40</v>
      </c>
      <c r="M862" s="4">
        <v>1</v>
      </c>
      <c r="N862" s="4">
        <v>161</v>
      </c>
      <c r="O862" s="4">
        <v>161</v>
      </c>
      <c r="P862" s="4" t="s">
        <v>41</v>
      </c>
      <c r="Q862" s="4">
        <v>229.3</v>
      </c>
      <c r="R862" s="4">
        <v>229.3</v>
      </c>
      <c r="S862" s="4">
        <v>1845.87</v>
      </c>
      <c r="T862" s="4">
        <v>36917.300000000003</v>
      </c>
      <c r="U862" s="4">
        <v>5</v>
      </c>
      <c r="V862" s="4" t="s">
        <v>42</v>
      </c>
      <c r="X862" s="7" t="str">
        <f t="shared" si="45"/>
        <v>441853964</v>
      </c>
      <c r="Y862" s="8" t="str">
        <f t="shared" si="46"/>
        <v>DC</v>
      </c>
      <c r="Z862" s="8">
        <f t="shared" si="47"/>
        <v>0</v>
      </c>
      <c r="AA862" s="8">
        <f t="shared" si="48"/>
        <v>161</v>
      </c>
      <c r="AB862" s="8">
        <f t="shared" si="49"/>
        <v>0</v>
      </c>
      <c r="AC862" s="8">
        <f t="shared" si="50"/>
        <v>0</v>
      </c>
      <c r="AD862" s="8">
        <f t="shared" si="51"/>
        <v>0</v>
      </c>
      <c r="AE862" s="9" t="str" cm="1">
        <f t="array" ref="AE862">IFERROR(_xlfn.XLOOKUP(H862,Sheet1!$G:$G,Sheet1!$F:$F),IFERROR(_xlfn.XLOOKUP(1,(--($X$2:$X$1074=X862))*(--ISNUMBER(MATCH($H$2:$H$1074,Sheet1!$G:$G,0))),_xlfn.XLOOKUP($H$2:$H$1074,Sheet1!$G:$G,Sheet1!$F:$F,"")),"NOT FOUND"))</f>
        <v>YETKRTSCUT5057</v>
      </c>
      <c r="AF862" s="10" t="str">
        <f t="shared" si="54"/>
        <v>BLUE</v>
      </c>
      <c r="AG862" s="11" t="str">
        <f t="shared" si="55"/>
        <v>HARIPAL</v>
      </c>
      <c r="AH862" s="9" t="str">
        <f>IF(OR(J862="",AE862="",AE862="NOT FOUND"),"",IF(Y862="RP",IFERROR(LEFT(_xlfn.XLOOKUP(AE862,Sheet1!$F:$F,Sheet1!$W:$W),FIND("-",_xlfn.XLOOKUP(AE862,Sheet1!$F:$F,Sheet1!$W:$W),FIND("-",_xlfn.XLOOKUP(AE862,Sheet1!$F:$F,Sheet1!$W:$W))+1))&amp;AE862,"NOT FOUND"),LEFT(J862,FIND("-",J862,FIND("-",J862)+1))&amp;AE862))</f>
        <v>KRTS-APSU26-YETKRTSCUT5057</v>
      </c>
    </row>
    <row r="863" spans="1:34" ht="15.75" customHeight="1" x14ac:dyDescent="0.2">
      <c r="A863" s="4" t="s">
        <v>61</v>
      </c>
      <c r="B863" s="4" t="s">
        <v>1193</v>
      </c>
      <c r="C863" s="4" t="s">
        <v>1017</v>
      </c>
      <c r="D863" s="4" t="s">
        <v>1194</v>
      </c>
      <c r="E863" s="4" t="s">
        <v>34</v>
      </c>
      <c r="F863" s="4" t="s">
        <v>35</v>
      </c>
      <c r="G863" s="4" t="s">
        <v>47</v>
      </c>
      <c r="H863" s="4" t="s">
        <v>1159</v>
      </c>
      <c r="I863" s="4" t="s">
        <v>1160</v>
      </c>
      <c r="J863" s="4" t="s">
        <v>1161</v>
      </c>
      <c r="L863" s="4" t="s">
        <v>40</v>
      </c>
      <c r="M863" s="4">
        <v>1</v>
      </c>
      <c r="N863" s="4">
        <v>182</v>
      </c>
      <c r="O863" s="4">
        <v>182</v>
      </c>
      <c r="P863" s="4" t="s">
        <v>41</v>
      </c>
      <c r="Q863" s="4">
        <v>229.3</v>
      </c>
      <c r="R863" s="4">
        <v>229.3</v>
      </c>
      <c r="S863" s="4">
        <v>2086.63</v>
      </c>
      <c r="T863" s="4">
        <v>41732.6</v>
      </c>
      <c r="U863" s="4">
        <v>5</v>
      </c>
      <c r="V863" s="4" t="s">
        <v>42</v>
      </c>
      <c r="X863" s="7" t="str">
        <f t="shared" si="45"/>
        <v>441853964</v>
      </c>
      <c r="Y863" s="8" t="str">
        <f t="shared" si="46"/>
        <v>DC</v>
      </c>
      <c r="Z863" s="8">
        <f t="shared" si="47"/>
        <v>0</v>
      </c>
      <c r="AA863" s="8">
        <f t="shared" si="48"/>
        <v>0</v>
      </c>
      <c r="AB863" s="8">
        <f t="shared" si="49"/>
        <v>182</v>
      </c>
      <c r="AC863" s="8">
        <f t="shared" si="50"/>
        <v>0</v>
      </c>
      <c r="AD863" s="8">
        <f t="shared" si="51"/>
        <v>0</v>
      </c>
      <c r="AE863" s="9" t="str" cm="1">
        <f t="array" ref="AE863">IFERROR(_xlfn.XLOOKUP(H863,Sheet1!$G:$G,Sheet1!$F:$F),IFERROR(_xlfn.XLOOKUP(1,(--($X$2:$X$1074=X863))*(--ISNUMBER(MATCH($H$2:$H$1074,Sheet1!$G:$G,0))),_xlfn.XLOOKUP($H$2:$H$1074,Sheet1!$G:$G,Sheet1!$F:$F,"")),"NOT FOUND"))</f>
        <v>YETKRTSCUT5057</v>
      </c>
      <c r="AF863" s="10" t="str">
        <f t="shared" si="54"/>
        <v>BLUE</v>
      </c>
      <c r="AG863" s="11" t="str">
        <f t="shared" si="55"/>
        <v>HARIPAL</v>
      </c>
      <c r="AH863" s="9" t="str">
        <f>IF(OR(J863="",AE863="",AE863="NOT FOUND"),"",IF(Y863="RP",IFERROR(LEFT(_xlfn.XLOOKUP(AE863,Sheet1!$F:$F,Sheet1!$W:$W),FIND("-",_xlfn.XLOOKUP(AE863,Sheet1!$F:$F,Sheet1!$W:$W),FIND("-",_xlfn.XLOOKUP(AE863,Sheet1!$F:$F,Sheet1!$W:$W))+1))&amp;AE863,"NOT FOUND"),LEFT(J863,FIND("-",J863,FIND("-",J863)+1))&amp;AE863))</f>
        <v>KRTS-APSU26-YETKRTSCUT5057</v>
      </c>
    </row>
    <row r="864" spans="1:34" ht="15.75" customHeight="1" x14ac:dyDescent="0.2">
      <c r="A864" s="4" t="s">
        <v>61</v>
      </c>
      <c r="B864" s="4" t="s">
        <v>1193</v>
      </c>
      <c r="C864" s="4" t="s">
        <v>1017</v>
      </c>
      <c r="D864" s="4" t="s">
        <v>1194</v>
      </c>
      <c r="E864" s="4" t="s">
        <v>34</v>
      </c>
      <c r="F864" s="4" t="s">
        <v>35</v>
      </c>
      <c r="G864" s="4" t="s">
        <v>51</v>
      </c>
      <c r="H864" s="4" t="s">
        <v>1162</v>
      </c>
      <c r="I864" s="4" t="s">
        <v>1163</v>
      </c>
      <c r="J864" s="4" t="s">
        <v>1164</v>
      </c>
      <c r="L864" s="4" t="s">
        <v>40</v>
      </c>
      <c r="M864" s="4">
        <v>1</v>
      </c>
      <c r="N864" s="4">
        <v>212</v>
      </c>
      <c r="O864" s="4">
        <v>212</v>
      </c>
      <c r="P864" s="4" t="s">
        <v>41</v>
      </c>
      <c r="Q864" s="4">
        <v>229.3</v>
      </c>
      <c r="R864" s="4">
        <v>229.3</v>
      </c>
      <c r="S864" s="4">
        <v>2430.58</v>
      </c>
      <c r="T864" s="4">
        <v>48611.6</v>
      </c>
      <c r="U864" s="4">
        <v>5</v>
      </c>
      <c r="V864" s="4" t="s">
        <v>42</v>
      </c>
      <c r="X864" s="7" t="str">
        <f t="shared" si="45"/>
        <v>441853964</v>
      </c>
      <c r="Y864" s="8" t="str">
        <f t="shared" si="46"/>
        <v>DC</v>
      </c>
      <c r="Z864" s="8">
        <f t="shared" si="47"/>
        <v>0</v>
      </c>
      <c r="AA864" s="8">
        <f t="shared" si="48"/>
        <v>0</v>
      </c>
      <c r="AB864" s="8">
        <f t="shared" si="49"/>
        <v>0</v>
      </c>
      <c r="AC864" s="8">
        <f t="shared" si="50"/>
        <v>212</v>
      </c>
      <c r="AD864" s="8">
        <f t="shared" si="51"/>
        <v>0</v>
      </c>
      <c r="AE864" s="9" t="str" cm="1">
        <f t="array" ref="AE864">IFERROR(_xlfn.XLOOKUP(H864,Sheet1!$G:$G,Sheet1!$F:$F),IFERROR(_xlfn.XLOOKUP(1,(--($X$2:$X$1074=X864))*(--ISNUMBER(MATCH($H$2:$H$1074,Sheet1!$G:$G,0))),_xlfn.XLOOKUP($H$2:$H$1074,Sheet1!$G:$G,Sheet1!$F:$F,"")),"NOT FOUND"))</f>
        <v>YETKRTSCUT5057</v>
      </c>
      <c r="AF864" s="10" t="str">
        <f t="shared" si="54"/>
        <v>BLUE</v>
      </c>
      <c r="AG864" s="11" t="str">
        <f t="shared" si="55"/>
        <v>HARIPAL</v>
      </c>
      <c r="AH864" s="9" t="str">
        <f>IF(OR(J864="",AE864="",AE864="NOT FOUND"),"",IF(Y864="RP",IFERROR(LEFT(_xlfn.XLOOKUP(AE864,Sheet1!$F:$F,Sheet1!$W:$W),FIND("-",_xlfn.XLOOKUP(AE864,Sheet1!$F:$F,Sheet1!$W:$W),FIND("-",_xlfn.XLOOKUP(AE864,Sheet1!$F:$F,Sheet1!$W:$W))+1))&amp;AE864,"NOT FOUND"),LEFT(J864,FIND("-",J864,FIND("-",J864)+1))&amp;AE864))</f>
        <v>KRTS-APSU26-YETKRTSCUT5057</v>
      </c>
    </row>
    <row r="865" spans="1:34" ht="15.75" customHeight="1" x14ac:dyDescent="0.2">
      <c r="A865" s="4" t="s">
        <v>61</v>
      </c>
      <c r="B865" s="4" t="s">
        <v>1193</v>
      </c>
      <c r="C865" s="4" t="s">
        <v>1017</v>
      </c>
      <c r="D865" s="4" t="s">
        <v>1194</v>
      </c>
      <c r="E865" s="4" t="s">
        <v>34</v>
      </c>
      <c r="F865" s="4" t="s">
        <v>35</v>
      </c>
      <c r="G865" s="4" t="s">
        <v>55</v>
      </c>
      <c r="H865" s="4" t="s">
        <v>1165</v>
      </c>
      <c r="I865" s="4" t="s">
        <v>1166</v>
      </c>
      <c r="J865" s="4" t="s">
        <v>1167</v>
      </c>
      <c r="L865" s="4" t="s">
        <v>40</v>
      </c>
      <c r="M865" s="4">
        <v>1</v>
      </c>
      <c r="N865" s="4">
        <v>40</v>
      </c>
      <c r="O865" s="4">
        <v>40</v>
      </c>
      <c r="P865" s="4" t="s">
        <v>41</v>
      </c>
      <c r="Q865" s="4">
        <v>229.3</v>
      </c>
      <c r="R865" s="4">
        <v>229.3</v>
      </c>
      <c r="S865" s="4">
        <v>458.6</v>
      </c>
      <c r="T865" s="4">
        <v>9172</v>
      </c>
      <c r="U865" s="4">
        <v>5</v>
      </c>
      <c r="V865" s="4" t="s">
        <v>42</v>
      </c>
      <c r="X865" s="7" t="str">
        <f t="shared" si="45"/>
        <v>441853964</v>
      </c>
      <c r="Y865" s="8" t="str">
        <f t="shared" si="46"/>
        <v>DC</v>
      </c>
      <c r="Z865" s="8">
        <f t="shared" si="47"/>
        <v>0</v>
      </c>
      <c r="AA865" s="8">
        <f t="shared" si="48"/>
        <v>0</v>
      </c>
      <c r="AB865" s="8">
        <f t="shared" si="49"/>
        <v>0</v>
      </c>
      <c r="AC865" s="8">
        <f t="shared" si="50"/>
        <v>0</v>
      </c>
      <c r="AD865" s="8">
        <f t="shared" si="51"/>
        <v>40</v>
      </c>
      <c r="AE865" s="9" t="str" cm="1">
        <f t="array" ref="AE865">IFERROR(_xlfn.XLOOKUP(H865,Sheet1!$G:$G,Sheet1!$F:$F),IFERROR(_xlfn.XLOOKUP(1,(--($X$2:$X$1074=X865))*(--ISNUMBER(MATCH($H$2:$H$1074,Sheet1!$G:$G,0))),_xlfn.XLOOKUP($H$2:$H$1074,Sheet1!$G:$G,Sheet1!$F:$F,"")),"NOT FOUND"))</f>
        <v>YETKRTSCUT5057</v>
      </c>
      <c r="AF865" s="10" t="str">
        <f t="shared" si="54"/>
        <v>BLUE</v>
      </c>
      <c r="AG865" s="11" t="str">
        <f t="shared" si="55"/>
        <v>HARIPAL</v>
      </c>
      <c r="AH865" s="9" t="str">
        <f>IF(OR(J865="",AE865="",AE865="NOT FOUND"),"",IF(Y865="RP",IFERROR(LEFT(_xlfn.XLOOKUP(AE865,Sheet1!$F:$F,Sheet1!$W:$W),FIND("-",_xlfn.XLOOKUP(AE865,Sheet1!$F:$F,Sheet1!$W:$W),FIND("-",_xlfn.XLOOKUP(AE865,Sheet1!$F:$F,Sheet1!$W:$W))+1))&amp;AE865,"NOT FOUND"),LEFT(J865,FIND("-",J865,FIND("-",J865)+1))&amp;AE865))</f>
        <v>KRTS-APSU26-YETKRTSCUT5057</v>
      </c>
    </row>
    <row r="866" spans="1:34" ht="15.75" customHeight="1" x14ac:dyDescent="0.2">
      <c r="A866" s="4" t="s">
        <v>61</v>
      </c>
      <c r="B866" s="4" t="s">
        <v>1195</v>
      </c>
      <c r="C866" s="4" t="s">
        <v>1017</v>
      </c>
      <c r="D866" s="4" t="s">
        <v>1125</v>
      </c>
      <c r="E866" s="4" t="s">
        <v>34</v>
      </c>
      <c r="F866" s="4" t="s">
        <v>35</v>
      </c>
      <c r="G866" s="4" t="s">
        <v>36</v>
      </c>
      <c r="H866" s="4" t="s">
        <v>1170</v>
      </c>
      <c r="I866" s="4" t="s">
        <v>1171</v>
      </c>
      <c r="J866" s="4" t="s">
        <v>1172</v>
      </c>
      <c r="L866" s="4" t="s">
        <v>40</v>
      </c>
      <c r="M866" s="4">
        <v>1</v>
      </c>
      <c r="N866" s="4">
        <v>30</v>
      </c>
      <c r="O866" s="4">
        <v>30</v>
      </c>
      <c r="P866" s="4" t="s">
        <v>41</v>
      </c>
      <c r="Q866" s="4">
        <v>229.3</v>
      </c>
      <c r="R866" s="4">
        <v>229.3</v>
      </c>
      <c r="S866" s="4">
        <v>343.95</v>
      </c>
      <c r="T866" s="4">
        <v>6879</v>
      </c>
      <c r="U866" s="4">
        <v>5</v>
      </c>
      <c r="V866" s="4" t="s">
        <v>42</v>
      </c>
      <c r="X866" s="7" t="str">
        <f t="shared" si="45"/>
        <v>441853963</v>
      </c>
      <c r="Y866" s="8" t="str">
        <f t="shared" si="46"/>
        <v>DC</v>
      </c>
      <c r="Z866" s="8">
        <f t="shared" si="47"/>
        <v>30</v>
      </c>
      <c r="AA866" s="8">
        <f t="shared" si="48"/>
        <v>0</v>
      </c>
      <c r="AB866" s="8">
        <f t="shared" si="49"/>
        <v>0</v>
      </c>
      <c r="AC866" s="8">
        <f t="shared" si="50"/>
        <v>0</v>
      </c>
      <c r="AD866" s="8">
        <f t="shared" si="51"/>
        <v>0</v>
      </c>
      <c r="AE866" s="9" t="str" cm="1">
        <f t="array" ref="AE866">IFERROR(_xlfn.XLOOKUP(H866,Sheet1!$G:$G,Sheet1!$F:$F),IFERROR(_xlfn.XLOOKUP(1,(--($X$2:$X$1074=X866))*(--ISNUMBER(MATCH($H$2:$H$1074,Sheet1!$G:$G,0))),_xlfn.XLOOKUP($H$2:$H$1074,Sheet1!$G:$G,Sheet1!$F:$F,"")),"NOT FOUND"))</f>
        <v>YETKRTSCUT5056</v>
      </c>
      <c r="AF866" s="10" t="str">
        <f t="shared" si="54"/>
        <v>BLUE</v>
      </c>
      <c r="AG866" s="11" t="str">
        <f t="shared" si="55"/>
        <v>HARIPAL</v>
      </c>
      <c r="AH866" s="9" t="str">
        <f>IF(OR(J866="",AE866="",AE866="NOT FOUND"),"",IF(Y866="RP",IFERROR(LEFT(_xlfn.XLOOKUP(AE866,Sheet1!$F:$F,Sheet1!$W:$W),FIND("-",_xlfn.XLOOKUP(AE866,Sheet1!$F:$F,Sheet1!$W:$W),FIND("-",_xlfn.XLOOKUP(AE866,Sheet1!$F:$F,Sheet1!$W:$W))+1))&amp;AE866,"NOT FOUND"),LEFT(J866,FIND("-",J866,FIND("-",J866)+1))&amp;AE866))</f>
        <v>KRTS-APSU26-YETKRTSCUT5056</v>
      </c>
    </row>
    <row r="867" spans="1:34" ht="15.75" customHeight="1" x14ac:dyDescent="0.2">
      <c r="A867" s="4" t="s">
        <v>61</v>
      </c>
      <c r="B867" s="4" t="s">
        <v>1195</v>
      </c>
      <c r="C867" s="4" t="s">
        <v>1017</v>
      </c>
      <c r="D867" s="4" t="s">
        <v>1125</v>
      </c>
      <c r="E867" s="4" t="s">
        <v>34</v>
      </c>
      <c r="F867" s="4" t="s">
        <v>35</v>
      </c>
      <c r="G867" s="4" t="s">
        <v>55</v>
      </c>
      <c r="H867" s="4" t="s">
        <v>1182</v>
      </c>
      <c r="I867" s="4" t="s">
        <v>1183</v>
      </c>
      <c r="J867" s="4" t="s">
        <v>1184</v>
      </c>
      <c r="L867" s="4" t="s">
        <v>40</v>
      </c>
      <c r="M867" s="4">
        <v>1</v>
      </c>
      <c r="N867" s="4">
        <v>40</v>
      </c>
      <c r="O867" s="4">
        <v>40</v>
      </c>
      <c r="P867" s="4" t="s">
        <v>41</v>
      </c>
      <c r="Q867" s="4">
        <v>229.3</v>
      </c>
      <c r="R867" s="4">
        <v>229.3</v>
      </c>
      <c r="S867" s="4">
        <v>458.6</v>
      </c>
      <c r="T867" s="4">
        <v>9172</v>
      </c>
      <c r="U867" s="4">
        <v>5</v>
      </c>
      <c r="V867" s="4" t="s">
        <v>42</v>
      </c>
      <c r="X867" s="7" t="str">
        <f t="shared" si="45"/>
        <v>441853963</v>
      </c>
      <c r="Y867" s="8" t="str">
        <f t="shared" si="46"/>
        <v>DC</v>
      </c>
      <c r="Z867" s="8">
        <f t="shared" si="47"/>
        <v>0</v>
      </c>
      <c r="AA867" s="8">
        <f t="shared" si="48"/>
        <v>0</v>
      </c>
      <c r="AB867" s="8">
        <f t="shared" si="49"/>
        <v>0</v>
      </c>
      <c r="AC867" s="8">
        <f t="shared" si="50"/>
        <v>0</v>
      </c>
      <c r="AD867" s="8">
        <f t="shared" si="51"/>
        <v>40</v>
      </c>
      <c r="AE867" s="9" t="str" cm="1">
        <f t="array" ref="AE867">IFERROR(_xlfn.XLOOKUP(H867,Sheet1!$G:$G,Sheet1!$F:$F),IFERROR(_xlfn.XLOOKUP(1,(--($X$2:$X$1074=X867))*(--ISNUMBER(MATCH($H$2:$H$1074,Sheet1!$G:$G,0))),_xlfn.XLOOKUP($H$2:$H$1074,Sheet1!$G:$G,Sheet1!$F:$F,"")),"NOT FOUND"))</f>
        <v>YETKRTSCUT5056</v>
      </c>
      <c r="AF867" s="10" t="str">
        <f t="shared" si="54"/>
        <v>BLUE</v>
      </c>
      <c r="AG867" s="11" t="str">
        <f t="shared" si="55"/>
        <v>HARIPAL</v>
      </c>
      <c r="AH867" s="9" t="str">
        <f>IF(OR(J867="",AE867="",AE867="NOT FOUND"),"",IF(Y867="RP",IFERROR(LEFT(_xlfn.XLOOKUP(AE867,Sheet1!$F:$F,Sheet1!$W:$W),FIND("-",_xlfn.XLOOKUP(AE867,Sheet1!$F:$F,Sheet1!$W:$W),FIND("-",_xlfn.XLOOKUP(AE867,Sheet1!$F:$F,Sheet1!$W:$W))+1))&amp;AE867,"NOT FOUND"),LEFT(J867,FIND("-",J867,FIND("-",J867)+1))&amp;AE867))</f>
        <v>KRTS-APSU26-YETKRTSCUT5056</v>
      </c>
    </row>
    <row r="868" spans="1:34" ht="15.75" customHeight="1" x14ac:dyDescent="0.2">
      <c r="A868" s="4" t="s">
        <v>30</v>
      </c>
      <c r="B868" s="4" t="s">
        <v>1196</v>
      </c>
      <c r="C868" s="4" t="s">
        <v>1017</v>
      </c>
      <c r="D868" s="4" t="s">
        <v>1125</v>
      </c>
      <c r="E868" s="4" t="s">
        <v>34</v>
      </c>
      <c r="F868" s="4" t="s">
        <v>35</v>
      </c>
      <c r="G868" s="4" t="s">
        <v>36</v>
      </c>
      <c r="H868" s="4" t="s">
        <v>1197</v>
      </c>
      <c r="I868" s="4" t="s">
        <v>1198</v>
      </c>
      <c r="J868" s="4" t="s">
        <v>1199</v>
      </c>
      <c r="L868" s="4" t="s">
        <v>40</v>
      </c>
      <c r="M868" s="4">
        <v>1</v>
      </c>
      <c r="N868" s="4">
        <v>30</v>
      </c>
      <c r="O868" s="4">
        <v>30</v>
      </c>
      <c r="P868" s="4" t="s">
        <v>41</v>
      </c>
      <c r="Q868" s="4">
        <v>229.3</v>
      </c>
      <c r="R868" s="4">
        <v>229.3</v>
      </c>
      <c r="S868" s="4">
        <v>343.95</v>
      </c>
      <c r="T868" s="4">
        <v>6879</v>
      </c>
      <c r="U868" s="4">
        <v>5</v>
      </c>
      <c r="V868" s="4" t="s">
        <v>42</v>
      </c>
      <c r="X868" s="7" t="str">
        <f t="shared" si="45"/>
        <v>441853916</v>
      </c>
      <c r="Y868" s="8" t="str">
        <f t="shared" si="46"/>
        <v>DC</v>
      </c>
      <c r="Z868" s="8">
        <f t="shared" si="47"/>
        <v>30</v>
      </c>
      <c r="AA868" s="8">
        <f t="shared" si="48"/>
        <v>0</v>
      </c>
      <c r="AB868" s="8">
        <f t="shared" si="49"/>
        <v>0</v>
      </c>
      <c r="AC868" s="8">
        <f t="shared" si="50"/>
        <v>0</v>
      </c>
      <c r="AD868" s="8">
        <f t="shared" si="51"/>
        <v>0</v>
      </c>
      <c r="AE868" s="9" t="str" cm="1">
        <f t="array" ref="AE868">IFERROR(_xlfn.XLOOKUP(H868,Sheet1!$G:$G,Sheet1!$F:$F),IFERROR(_xlfn.XLOOKUP(1,(--($X$2:$X$1074=X868))*(--ISNUMBER(MATCH($H$2:$H$1074,Sheet1!$G:$G,0))),_xlfn.XLOOKUP($H$2:$H$1074,Sheet1!$G:$G,Sheet1!$F:$F,"")),"NOT FOUND"))</f>
        <v>YETKRTSCUT5005</v>
      </c>
      <c r="AF868" s="10" t="str">
        <f t="shared" si="54"/>
        <v>PEACH</v>
      </c>
      <c r="AG868" s="11" t="str">
        <f t="shared" si="55"/>
        <v>Bangalore</v>
      </c>
      <c r="AH868" s="9" t="str">
        <f>IF(OR(J868="",AE868="",AE868="NOT FOUND"),"",IF(Y868="RP",IFERROR(LEFT(_xlfn.XLOOKUP(AE868,Sheet1!$F:$F,Sheet1!$W:$W),FIND("-",_xlfn.XLOOKUP(AE868,Sheet1!$F:$F,Sheet1!$W:$W),FIND("-",_xlfn.XLOOKUP(AE868,Sheet1!$F:$F,Sheet1!$W:$W))+1))&amp;AE868,"NOT FOUND"),LEFT(J868,FIND("-",J868,FIND("-",J868)+1))&amp;AE868))</f>
        <v>KRTS-APSU26-YETKRTSCUT5005</v>
      </c>
    </row>
    <row r="869" spans="1:34" ht="15.75" customHeight="1" x14ac:dyDescent="0.2">
      <c r="A869" s="4" t="s">
        <v>30</v>
      </c>
      <c r="B869" s="4" t="s">
        <v>1196</v>
      </c>
      <c r="C869" s="4" t="s">
        <v>1017</v>
      </c>
      <c r="D869" s="4" t="s">
        <v>1125</v>
      </c>
      <c r="E869" s="4" t="s">
        <v>34</v>
      </c>
      <c r="F869" s="4" t="s">
        <v>35</v>
      </c>
      <c r="G869" s="4" t="s">
        <v>43</v>
      </c>
      <c r="H869" s="4" t="s">
        <v>1200</v>
      </c>
      <c r="I869" s="4" t="s">
        <v>1201</v>
      </c>
      <c r="J869" s="4" t="s">
        <v>1202</v>
      </c>
      <c r="L869" s="4" t="s">
        <v>40</v>
      </c>
      <c r="M869" s="4">
        <v>1</v>
      </c>
      <c r="N869" s="4">
        <v>339</v>
      </c>
      <c r="O869" s="4">
        <v>339</v>
      </c>
      <c r="P869" s="4" t="s">
        <v>41</v>
      </c>
      <c r="Q869" s="4">
        <v>229.3</v>
      </c>
      <c r="R869" s="4">
        <v>229.3</v>
      </c>
      <c r="S869" s="4">
        <v>3886.64</v>
      </c>
      <c r="T869" s="4">
        <v>77732.7</v>
      </c>
      <c r="U869" s="4">
        <v>5</v>
      </c>
      <c r="V869" s="4" t="s">
        <v>42</v>
      </c>
      <c r="X869" s="7" t="str">
        <f t="shared" si="45"/>
        <v>441853916</v>
      </c>
      <c r="Y869" s="8" t="str">
        <f t="shared" si="46"/>
        <v>DC</v>
      </c>
      <c r="Z869" s="8">
        <f t="shared" si="47"/>
        <v>0</v>
      </c>
      <c r="AA869" s="8">
        <f t="shared" si="48"/>
        <v>339</v>
      </c>
      <c r="AB869" s="8">
        <f t="shared" si="49"/>
        <v>0</v>
      </c>
      <c r="AC869" s="8">
        <f t="shared" si="50"/>
        <v>0</v>
      </c>
      <c r="AD869" s="8">
        <f t="shared" si="51"/>
        <v>0</v>
      </c>
      <c r="AE869" s="9" t="str" cm="1">
        <f t="array" ref="AE869">IFERROR(_xlfn.XLOOKUP(H869,Sheet1!$G:$G,Sheet1!$F:$F),IFERROR(_xlfn.XLOOKUP(1,(--($X$2:$X$1074=X869))*(--ISNUMBER(MATCH($H$2:$H$1074,Sheet1!$G:$G,0))),_xlfn.XLOOKUP($H$2:$H$1074,Sheet1!$G:$G,Sheet1!$F:$F,"")),"NOT FOUND"))</f>
        <v>YETKRTSCUT5005</v>
      </c>
      <c r="AF869" s="10" t="str">
        <f t="shared" si="54"/>
        <v>PEACH</v>
      </c>
      <c r="AG869" s="11" t="str">
        <f t="shared" si="55"/>
        <v>Bangalore</v>
      </c>
      <c r="AH869" s="9" t="str">
        <f>IF(OR(J869="",AE869="",AE869="NOT FOUND"),"",IF(Y869="RP",IFERROR(LEFT(_xlfn.XLOOKUP(AE869,Sheet1!$F:$F,Sheet1!$W:$W),FIND("-",_xlfn.XLOOKUP(AE869,Sheet1!$F:$F,Sheet1!$W:$W),FIND("-",_xlfn.XLOOKUP(AE869,Sheet1!$F:$F,Sheet1!$W:$W))+1))&amp;AE869,"NOT FOUND"),LEFT(J869,FIND("-",J869,FIND("-",J869)+1))&amp;AE869))</f>
        <v>KRTS-APSU26-YETKRTSCUT5005</v>
      </c>
    </row>
    <row r="870" spans="1:34" ht="15.75" customHeight="1" x14ac:dyDescent="0.2">
      <c r="A870" s="4" t="s">
        <v>30</v>
      </c>
      <c r="B870" s="4" t="s">
        <v>1196</v>
      </c>
      <c r="C870" s="4" t="s">
        <v>1017</v>
      </c>
      <c r="D870" s="4" t="s">
        <v>1125</v>
      </c>
      <c r="E870" s="4" t="s">
        <v>34</v>
      </c>
      <c r="F870" s="4" t="s">
        <v>35</v>
      </c>
      <c r="G870" s="4" t="s">
        <v>47</v>
      </c>
      <c r="H870" s="4" t="s">
        <v>1203</v>
      </c>
      <c r="I870" s="4" t="s">
        <v>1204</v>
      </c>
      <c r="J870" s="4" t="s">
        <v>1205</v>
      </c>
      <c r="L870" s="4" t="s">
        <v>40</v>
      </c>
      <c r="M870" s="4">
        <v>1</v>
      </c>
      <c r="N870" s="4">
        <v>382</v>
      </c>
      <c r="O870" s="4">
        <v>382</v>
      </c>
      <c r="P870" s="4" t="s">
        <v>41</v>
      </c>
      <c r="Q870" s="4">
        <v>229.3</v>
      </c>
      <c r="R870" s="4">
        <v>229.3</v>
      </c>
      <c r="S870" s="4">
        <v>4379.63</v>
      </c>
      <c r="T870" s="4">
        <v>87592.6</v>
      </c>
      <c r="U870" s="4">
        <v>5</v>
      </c>
      <c r="V870" s="4" t="s">
        <v>42</v>
      </c>
      <c r="X870" s="7" t="str">
        <f t="shared" si="45"/>
        <v>441853916</v>
      </c>
      <c r="Y870" s="8" t="str">
        <f t="shared" si="46"/>
        <v>DC</v>
      </c>
      <c r="Z870" s="8">
        <f t="shared" si="47"/>
        <v>0</v>
      </c>
      <c r="AA870" s="8">
        <f t="shared" si="48"/>
        <v>0</v>
      </c>
      <c r="AB870" s="8">
        <f t="shared" si="49"/>
        <v>382</v>
      </c>
      <c r="AC870" s="8">
        <f t="shared" si="50"/>
        <v>0</v>
      </c>
      <c r="AD870" s="8">
        <f t="shared" si="51"/>
        <v>0</v>
      </c>
      <c r="AE870" s="9" t="str" cm="1">
        <f t="array" ref="AE870">IFERROR(_xlfn.XLOOKUP(H870,Sheet1!$G:$G,Sheet1!$F:$F),IFERROR(_xlfn.XLOOKUP(1,(--($X$2:$X$1074=X870))*(--ISNUMBER(MATCH($H$2:$H$1074,Sheet1!$G:$G,0))),_xlfn.XLOOKUP($H$2:$H$1074,Sheet1!$G:$G,Sheet1!$F:$F,"")),"NOT FOUND"))</f>
        <v>YETKRTSCUT5005</v>
      </c>
      <c r="AF870" s="10" t="str">
        <f t="shared" si="54"/>
        <v>PEACH</v>
      </c>
      <c r="AG870" s="11" t="str">
        <f t="shared" si="55"/>
        <v>Bangalore</v>
      </c>
      <c r="AH870" s="9" t="str">
        <f>IF(OR(J870="",AE870="",AE870="NOT FOUND"),"",IF(Y870="RP",IFERROR(LEFT(_xlfn.XLOOKUP(AE870,Sheet1!$F:$F,Sheet1!$W:$W),FIND("-",_xlfn.XLOOKUP(AE870,Sheet1!$F:$F,Sheet1!$W:$W),FIND("-",_xlfn.XLOOKUP(AE870,Sheet1!$F:$F,Sheet1!$W:$W))+1))&amp;AE870,"NOT FOUND"),LEFT(J870,FIND("-",J870,FIND("-",J870)+1))&amp;AE870))</f>
        <v>KRTS-APSU26-YETKRTSCUT5005</v>
      </c>
    </row>
    <row r="871" spans="1:34" ht="15.75" customHeight="1" x14ac:dyDescent="0.2">
      <c r="A871" s="4" t="s">
        <v>30</v>
      </c>
      <c r="B871" s="4" t="s">
        <v>1196</v>
      </c>
      <c r="C871" s="4" t="s">
        <v>1017</v>
      </c>
      <c r="D871" s="4" t="s">
        <v>1125</v>
      </c>
      <c r="E871" s="4" t="s">
        <v>34</v>
      </c>
      <c r="F871" s="4" t="s">
        <v>35</v>
      </c>
      <c r="G871" s="4" t="s">
        <v>51</v>
      </c>
      <c r="H871" s="4" t="s">
        <v>1206</v>
      </c>
      <c r="I871" s="4" t="s">
        <v>1207</v>
      </c>
      <c r="J871" s="4" t="s">
        <v>1208</v>
      </c>
      <c r="L871" s="4" t="s">
        <v>40</v>
      </c>
      <c r="M871" s="4">
        <v>1</v>
      </c>
      <c r="N871" s="4">
        <v>445</v>
      </c>
      <c r="O871" s="4">
        <v>445</v>
      </c>
      <c r="P871" s="4" t="s">
        <v>41</v>
      </c>
      <c r="Q871" s="4">
        <v>229.3</v>
      </c>
      <c r="R871" s="4">
        <v>229.3</v>
      </c>
      <c r="S871" s="4">
        <v>5101.93</v>
      </c>
      <c r="T871" s="4">
        <v>102038.5</v>
      </c>
      <c r="U871" s="4">
        <v>5</v>
      </c>
      <c r="V871" s="4" t="s">
        <v>42</v>
      </c>
      <c r="X871" s="7" t="str">
        <f t="shared" si="45"/>
        <v>441853916</v>
      </c>
      <c r="Y871" s="8" t="str">
        <f t="shared" si="46"/>
        <v>DC</v>
      </c>
      <c r="Z871" s="8">
        <f t="shared" si="47"/>
        <v>0</v>
      </c>
      <c r="AA871" s="8">
        <f t="shared" si="48"/>
        <v>0</v>
      </c>
      <c r="AB871" s="8">
        <f t="shared" si="49"/>
        <v>0</v>
      </c>
      <c r="AC871" s="8">
        <f t="shared" si="50"/>
        <v>445</v>
      </c>
      <c r="AD871" s="8">
        <f t="shared" si="51"/>
        <v>0</v>
      </c>
      <c r="AE871" s="9" t="str" cm="1">
        <f t="array" ref="AE871">IFERROR(_xlfn.XLOOKUP(H871,Sheet1!$G:$G,Sheet1!$F:$F),IFERROR(_xlfn.XLOOKUP(1,(--($X$2:$X$1074=X871))*(--ISNUMBER(MATCH($H$2:$H$1074,Sheet1!$G:$G,0))),_xlfn.XLOOKUP($H$2:$H$1074,Sheet1!$G:$G,Sheet1!$F:$F,"")),"NOT FOUND"))</f>
        <v>YETKRTSCUT5005</v>
      </c>
      <c r="AF871" s="10" t="str">
        <f t="shared" si="54"/>
        <v>PEACH</v>
      </c>
      <c r="AG871" s="11" t="str">
        <f t="shared" si="55"/>
        <v>Bangalore</v>
      </c>
      <c r="AH871" s="9" t="str">
        <f>IF(OR(J871="",AE871="",AE871="NOT FOUND"),"",IF(Y871="RP",IFERROR(LEFT(_xlfn.XLOOKUP(AE871,Sheet1!$F:$F,Sheet1!$W:$W),FIND("-",_xlfn.XLOOKUP(AE871,Sheet1!$F:$F,Sheet1!$W:$W),FIND("-",_xlfn.XLOOKUP(AE871,Sheet1!$F:$F,Sheet1!$W:$W))+1))&amp;AE871,"NOT FOUND"),LEFT(J871,FIND("-",J871,FIND("-",J871)+1))&amp;AE871))</f>
        <v>KRTS-APSU26-YETKRTSCUT5005</v>
      </c>
    </row>
    <row r="872" spans="1:34" ht="15.75" customHeight="1" x14ac:dyDescent="0.2">
      <c r="A872" s="4" t="s">
        <v>30</v>
      </c>
      <c r="B872" s="4" t="s">
        <v>1196</v>
      </c>
      <c r="C872" s="4" t="s">
        <v>1017</v>
      </c>
      <c r="D872" s="4" t="s">
        <v>1125</v>
      </c>
      <c r="E872" s="4" t="s">
        <v>34</v>
      </c>
      <c r="F872" s="4" t="s">
        <v>35</v>
      </c>
      <c r="G872" s="4" t="s">
        <v>55</v>
      </c>
      <c r="H872" s="4" t="s">
        <v>1209</v>
      </c>
      <c r="I872" s="4" t="s">
        <v>1210</v>
      </c>
      <c r="J872" s="4" t="s">
        <v>1211</v>
      </c>
      <c r="L872" s="4" t="s">
        <v>40</v>
      </c>
      <c r="M872" s="4">
        <v>1</v>
      </c>
      <c r="N872" s="4">
        <v>84</v>
      </c>
      <c r="O872" s="4">
        <v>84</v>
      </c>
      <c r="P872" s="4" t="s">
        <v>41</v>
      </c>
      <c r="Q872" s="4">
        <v>229.3</v>
      </c>
      <c r="R872" s="4">
        <v>229.3</v>
      </c>
      <c r="S872" s="4">
        <v>963.06</v>
      </c>
      <c r="T872" s="4">
        <v>19261.2</v>
      </c>
      <c r="U872" s="4">
        <v>5</v>
      </c>
      <c r="V872" s="4" t="s">
        <v>42</v>
      </c>
      <c r="X872" s="7" t="str">
        <f t="shared" si="45"/>
        <v>441853916</v>
      </c>
      <c r="Y872" s="8" t="str">
        <f t="shared" si="46"/>
        <v>DC</v>
      </c>
      <c r="Z872" s="8">
        <f t="shared" si="47"/>
        <v>0</v>
      </c>
      <c r="AA872" s="8">
        <f t="shared" si="48"/>
        <v>0</v>
      </c>
      <c r="AB872" s="8">
        <f t="shared" si="49"/>
        <v>0</v>
      </c>
      <c r="AC872" s="8">
        <f t="shared" si="50"/>
        <v>0</v>
      </c>
      <c r="AD872" s="8">
        <f t="shared" si="51"/>
        <v>84</v>
      </c>
      <c r="AE872" s="9" t="str" cm="1">
        <f t="array" ref="AE872">IFERROR(_xlfn.XLOOKUP(H872,Sheet1!$G:$G,Sheet1!$F:$F),IFERROR(_xlfn.XLOOKUP(1,(--($X$2:$X$1074=X872))*(--ISNUMBER(MATCH($H$2:$H$1074,Sheet1!$G:$G,0))),_xlfn.XLOOKUP($H$2:$H$1074,Sheet1!$G:$G,Sheet1!$F:$F,"")),"NOT FOUND"))</f>
        <v>YETKRTSCUT5005</v>
      </c>
      <c r="AF872" s="10" t="str">
        <f t="shared" si="54"/>
        <v>PEACH</v>
      </c>
      <c r="AG872" s="11" t="str">
        <f t="shared" si="55"/>
        <v>Bangalore</v>
      </c>
      <c r="AH872" s="9" t="str">
        <f>IF(OR(J872="",AE872="",AE872="NOT FOUND"),"",IF(Y872="RP",IFERROR(LEFT(_xlfn.XLOOKUP(AE872,Sheet1!$F:$F,Sheet1!$W:$W),FIND("-",_xlfn.XLOOKUP(AE872,Sheet1!$F:$F,Sheet1!$W:$W),FIND("-",_xlfn.XLOOKUP(AE872,Sheet1!$F:$F,Sheet1!$W:$W))+1))&amp;AE872,"NOT FOUND"),LEFT(J872,FIND("-",J872,FIND("-",J872)+1))&amp;AE872))</f>
        <v>KRTS-APSU26-YETKRTSCUT5005</v>
      </c>
    </row>
    <row r="873" spans="1:34" ht="15.75" customHeight="1" x14ac:dyDescent="0.2">
      <c r="A873" s="4" t="s">
        <v>30</v>
      </c>
      <c r="B873" s="4" t="s">
        <v>1212</v>
      </c>
      <c r="C873" s="4" t="s">
        <v>1213</v>
      </c>
      <c r="D873" s="4" t="s">
        <v>1125</v>
      </c>
      <c r="E873" s="4" t="s">
        <v>34</v>
      </c>
      <c r="F873" s="4" t="s">
        <v>35</v>
      </c>
      <c r="G873" s="4" t="s">
        <v>36</v>
      </c>
      <c r="H873" s="4" t="s">
        <v>1214</v>
      </c>
      <c r="I873" s="4" t="s">
        <v>1215</v>
      </c>
      <c r="J873" s="4" t="s">
        <v>1216</v>
      </c>
      <c r="L873" s="4" t="s">
        <v>40</v>
      </c>
      <c r="M873" s="4">
        <v>1</v>
      </c>
      <c r="N873" s="4">
        <v>30</v>
      </c>
      <c r="O873" s="4">
        <v>30</v>
      </c>
      <c r="P873" s="4" t="s">
        <v>41</v>
      </c>
      <c r="Q873" s="4">
        <v>229.3</v>
      </c>
      <c r="R873" s="4">
        <v>229.3</v>
      </c>
      <c r="S873" s="4">
        <v>343.95</v>
      </c>
      <c r="T873" s="4">
        <v>6879</v>
      </c>
      <c r="U873" s="4">
        <v>5</v>
      </c>
      <c r="V873" s="4" t="s">
        <v>42</v>
      </c>
      <c r="X873" s="7" t="str">
        <f t="shared" si="45"/>
        <v>441853962</v>
      </c>
      <c r="Y873" s="8" t="str">
        <f t="shared" si="46"/>
        <v>DC</v>
      </c>
      <c r="Z873" s="8">
        <f t="shared" si="47"/>
        <v>30</v>
      </c>
      <c r="AA873" s="8">
        <f t="shared" si="48"/>
        <v>0</v>
      </c>
      <c r="AB873" s="8">
        <f t="shared" si="49"/>
        <v>0</v>
      </c>
      <c r="AC873" s="8">
        <f t="shared" si="50"/>
        <v>0</v>
      </c>
      <c r="AD873" s="8">
        <f t="shared" si="51"/>
        <v>0</v>
      </c>
      <c r="AE873" s="9" t="str" cm="1">
        <f t="array" ref="AE873">IFERROR(_xlfn.XLOOKUP(H873,Sheet1!$G:$G,Sheet1!$F:$F),IFERROR(_xlfn.XLOOKUP(1,(--($X$2:$X$1074=X873))*(--ISNUMBER(MATCH($H$2:$H$1074,Sheet1!$G:$G,0))),_xlfn.XLOOKUP($H$2:$H$1074,Sheet1!$G:$G,Sheet1!$F:$F,"")),"NOT FOUND"))</f>
        <v>YETKRTSCUT5055</v>
      </c>
      <c r="AF873" s="10" t="str">
        <f t="shared" si="54"/>
        <v>BLUE</v>
      </c>
      <c r="AG873" s="11" t="str">
        <f t="shared" si="55"/>
        <v>Bangalore</v>
      </c>
      <c r="AH873" s="9" t="str">
        <f>IF(OR(J873="",AE873="",AE873="NOT FOUND"),"",IF(Y873="RP",IFERROR(LEFT(_xlfn.XLOOKUP(AE873,Sheet1!$F:$F,Sheet1!$W:$W),FIND("-",_xlfn.XLOOKUP(AE873,Sheet1!$F:$F,Sheet1!$W:$W),FIND("-",_xlfn.XLOOKUP(AE873,Sheet1!$F:$F,Sheet1!$W:$W))+1))&amp;AE873,"NOT FOUND"),LEFT(J873,FIND("-",J873,FIND("-",J873)+1))&amp;AE873))</f>
        <v>KRTS-APSU26-YETKRTSCUT5055</v>
      </c>
    </row>
    <row r="874" spans="1:34" ht="15.75" customHeight="1" x14ac:dyDescent="0.2">
      <c r="A874" s="4" t="s">
        <v>30</v>
      </c>
      <c r="B874" s="4" t="s">
        <v>1212</v>
      </c>
      <c r="C874" s="4" t="s">
        <v>1213</v>
      </c>
      <c r="D874" s="4" t="s">
        <v>1125</v>
      </c>
      <c r="E874" s="4" t="s">
        <v>34</v>
      </c>
      <c r="F874" s="4" t="s">
        <v>35</v>
      </c>
      <c r="G874" s="4" t="s">
        <v>43</v>
      </c>
      <c r="H874" s="4" t="s">
        <v>1217</v>
      </c>
      <c r="I874" s="4" t="s">
        <v>1218</v>
      </c>
      <c r="J874" s="4" t="s">
        <v>1219</v>
      </c>
      <c r="L874" s="4" t="s">
        <v>40</v>
      </c>
      <c r="M874" s="4">
        <v>1</v>
      </c>
      <c r="N874" s="4">
        <v>339</v>
      </c>
      <c r="O874" s="4">
        <v>339</v>
      </c>
      <c r="P874" s="4" t="s">
        <v>41</v>
      </c>
      <c r="Q874" s="4">
        <v>229.3</v>
      </c>
      <c r="R874" s="4">
        <v>229.3</v>
      </c>
      <c r="S874" s="4">
        <v>3886.64</v>
      </c>
      <c r="T874" s="4">
        <v>77732.7</v>
      </c>
      <c r="U874" s="4">
        <v>5</v>
      </c>
      <c r="V874" s="4" t="s">
        <v>42</v>
      </c>
      <c r="X874" s="7" t="str">
        <f t="shared" si="45"/>
        <v>441853962</v>
      </c>
      <c r="Y874" s="8" t="str">
        <f t="shared" si="46"/>
        <v>DC</v>
      </c>
      <c r="Z874" s="8">
        <f t="shared" si="47"/>
        <v>0</v>
      </c>
      <c r="AA874" s="8">
        <f t="shared" si="48"/>
        <v>339</v>
      </c>
      <c r="AB874" s="8">
        <f t="shared" si="49"/>
        <v>0</v>
      </c>
      <c r="AC874" s="8">
        <f t="shared" si="50"/>
        <v>0</v>
      </c>
      <c r="AD874" s="8">
        <f t="shared" si="51"/>
        <v>0</v>
      </c>
      <c r="AE874" s="9" t="str" cm="1">
        <f t="array" ref="AE874">IFERROR(_xlfn.XLOOKUP(H874,Sheet1!$G:$G,Sheet1!$F:$F),IFERROR(_xlfn.XLOOKUP(1,(--($X$2:$X$1074=X874))*(--ISNUMBER(MATCH($H$2:$H$1074,Sheet1!$G:$G,0))),_xlfn.XLOOKUP($H$2:$H$1074,Sheet1!$G:$G,Sheet1!$F:$F,"")),"NOT FOUND"))</f>
        <v>YETKRTSCUT5055</v>
      </c>
      <c r="AF874" s="10" t="str">
        <f t="shared" si="54"/>
        <v>BLUE</v>
      </c>
      <c r="AG874" s="11" t="str">
        <f t="shared" si="55"/>
        <v>Bangalore</v>
      </c>
      <c r="AH874" s="9" t="str">
        <f>IF(OR(J874="",AE874="",AE874="NOT FOUND"),"",IF(Y874="RP",IFERROR(LEFT(_xlfn.XLOOKUP(AE874,Sheet1!$F:$F,Sheet1!$W:$W),FIND("-",_xlfn.XLOOKUP(AE874,Sheet1!$F:$F,Sheet1!$W:$W),FIND("-",_xlfn.XLOOKUP(AE874,Sheet1!$F:$F,Sheet1!$W:$W))+1))&amp;AE874,"NOT FOUND"),LEFT(J874,FIND("-",J874,FIND("-",J874)+1))&amp;AE874))</f>
        <v>KRTS-APSU26-YETKRTSCUT5055</v>
      </c>
    </row>
    <row r="875" spans="1:34" ht="15.75" customHeight="1" x14ac:dyDescent="0.2">
      <c r="A875" s="4" t="s">
        <v>30</v>
      </c>
      <c r="B875" s="4" t="s">
        <v>1212</v>
      </c>
      <c r="C875" s="4" t="s">
        <v>1213</v>
      </c>
      <c r="D875" s="4" t="s">
        <v>1125</v>
      </c>
      <c r="E875" s="4" t="s">
        <v>34</v>
      </c>
      <c r="F875" s="4" t="s">
        <v>35</v>
      </c>
      <c r="G875" s="4" t="s">
        <v>47</v>
      </c>
      <c r="H875" s="4" t="s">
        <v>1220</v>
      </c>
      <c r="I875" s="4" t="s">
        <v>1221</v>
      </c>
      <c r="J875" s="4" t="s">
        <v>1222</v>
      </c>
      <c r="L875" s="4" t="s">
        <v>40</v>
      </c>
      <c r="M875" s="4">
        <v>1</v>
      </c>
      <c r="N875" s="4">
        <v>382</v>
      </c>
      <c r="O875" s="4">
        <v>382</v>
      </c>
      <c r="P875" s="4" t="s">
        <v>41</v>
      </c>
      <c r="Q875" s="4">
        <v>229.3</v>
      </c>
      <c r="R875" s="4">
        <v>229.3</v>
      </c>
      <c r="S875" s="4">
        <v>4379.63</v>
      </c>
      <c r="T875" s="4">
        <v>87592.6</v>
      </c>
      <c r="U875" s="4">
        <v>5</v>
      </c>
      <c r="V875" s="4" t="s">
        <v>42</v>
      </c>
      <c r="X875" s="7" t="str">
        <f t="shared" si="45"/>
        <v>441853962</v>
      </c>
      <c r="Y875" s="8" t="str">
        <f t="shared" si="46"/>
        <v>DC</v>
      </c>
      <c r="Z875" s="8">
        <f t="shared" si="47"/>
        <v>0</v>
      </c>
      <c r="AA875" s="8">
        <f t="shared" si="48"/>
        <v>0</v>
      </c>
      <c r="AB875" s="8">
        <f t="shared" si="49"/>
        <v>382</v>
      </c>
      <c r="AC875" s="8">
        <f t="shared" si="50"/>
        <v>0</v>
      </c>
      <c r="AD875" s="8">
        <f t="shared" si="51"/>
        <v>0</v>
      </c>
      <c r="AE875" s="9" t="str" cm="1">
        <f t="array" ref="AE875">IFERROR(_xlfn.XLOOKUP(H875,Sheet1!$G:$G,Sheet1!$F:$F),IFERROR(_xlfn.XLOOKUP(1,(--($X$2:$X$1074=X875))*(--ISNUMBER(MATCH($H$2:$H$1074,Sheet1!$G:$G,0))),_xlfn.XLOOKUP($H$2:$H$1074,Sheet1!$G:$G,Sheet1!$F:$F,"")),"NOT FOUND"))</f>
        <v>YETKRTSCUT5055</v>
      </c>
      <c r="AF875" s="10" t="str">
        <f t="shared" si="54"/>
        <v>BLUE</v>
      </c>
      <c r="AG875" s="11" t="str">
        <f t="shared" si="55"/>
        <v>Bangalore</v>
      </c>
      <c r="AH875" s="9" t="str">
        <f>IF(OR(J875="",AE875="",AE875="NOT FOUND"),"",IF(Y875="RP",IFERROR(LEFT(_xlfn.XLOOKUP(AE875,Sheet1!$F:$F,Sheet1!$W:$W),FIND("-",_xlfn.XLOOKUP(AE875,Sheet1!$F:$F,Sheet1!$W:$W),FIND("-",_xlfn.XLOOKUP(AE875,Sheet1!$F:$F,Sheet1!$W:$W))+1))&amp;AE875,"NOT FOUND"),LEFT(J875,FIND("-",J875,FIND("-",J875)+1))&amp;AE875))</f>
        <v>KRTS-APSU26-YETKRTSCUT5055</v>
      </c>
    </row>
    <row r="876" spans="1:34" ht="15.75" customHeight="1" x14ac:dyDescent="0.2">
      <c r="A876" s="4" t="s">
        <v>30</v>
      </c>
      <c r="B876" s="4" t="s">
        <v>1212</v>
      </c>
      <c r="C876" s="4" t="s">
        <v>1213</v>
      </c>
      <c r="D876" s="4" t="s">
        <v>1125</v>
      </c>
      <c r="E876" s="4" t="s">
        <v>34</v>
      </c>
      <c r="F876" s="4" t="s">
        <v>35</v>
      </c>
      <c r="G876" s="4" t="s">
        <v>51</v>
      </c>
      <c r="H876" s="4" t="s">
        <v>1223</v>
      </c>
      <c r="I876" s="4" t="s">
        <v>1224</v>
      </c>
      <c r="J876" s="4" t="s">
        <v>1225</v>
      </c>
      <c r="L876" s="4" t="s">
        <v>40</v>
      </c>
      <c r="M876" s="4">
        <v>1</v>
      </c>
      <c r="N876" s="4">
        <v>445</v>
      </c>
      <c r="O876" s="4">
        <v>445</v>
      </c>
      <c r="P876" s="4" t="s">
        <v>41</v>
      </c>
      <c r="Q876" s="4">
        <v>229.3</v>
      </c>
      <c r="R876" s="4">
        <v>229.3</v>
      </c>
      <c r="S876" s="4">
        <v>5101.93</v>
      </c>
      <c r="T876" s="4">
        <v>102038.5</v>
      </c>
      <c r="U876" s="4">
        <v>5</v>
      </c>
      <c r="V876" s="4" t="s">
        <v>42</v>
      </c>
      <c r="X876" s="7" t="str">
        <f t="shared" si="45"/>
        <v>441853962</v>
      </c>
      <c r="Y876" s="8" t="str">
        <f t="shared" si="46"/>
        <v>DC</v>
      </c>
      <c r="Z876" s="8">
        <f t="shared" si="47"/>
        <v>0</v>
      </c>
      <c r="AA876" s="8">
        <f t="shared" si="48"/>
        <v>0</v>
      </c>
      <c r="AB876" s="8">
        <f t="shared" si="49"/>
        <v>0</v>
      </c>
      <c r="AC876" s="8">
        <f t="shared" si="50"/>
        <v>445</v>
      </c>
      <c r="AD876" s="8">
        <f t="shared" si="51"/>
        <v>0</v>
      </c>
      <c r="AE876" s="9" t="str" cm="1">
        <f t="array" ref="AE876">IFERROR(_xlfn.XLOOKUP(H876,Sheet1!$G:$G,Sheet1!$F:$F),IFERROR(_xlfn.XLOOKUP(1,(--($X$2:$X$1074=X876))*(--ISNUMBER(MATCH($H$2:$H$1074,Sheet1!$G:$G,0))),_xlfn.XLOOKUP($H$2:$H$1074,Sheet1!$G:$G,Sheet1!$F:$F,"")),"NOT FOUND"))</f>
        <v>YETKRTSCUT5055</v>
      </c>
      <c r="AF876" s="10" t="str">
        <f t="shared" si="54"/>
        <v>BLUE</v>
      </c>
      <c r="AG876" s="11" t="str">
        <f t="shared" si="55"/>
        <v>Bangalore</v>
      </c>
      <c r="AH876" s="9" t="str">
        <f>IF(OR(J876="",AE876="",AE876="NOT FOUND"),"",IF(Y876="RP",IFERROR(LEFT(_xlfn.XLOOKUP(AE876,Sheet1!$F:$F,Sheet1!$W:$W),FIND("-",_xlfn.XLOOKUP(AE876,Sheet1!$F:$F,Sheet1!$W:$W),FIND("-",_xlfn.XLOOKUP(AE876,Sheet1!$F:$F,Sheet1!$W:$W))+1))&amp;AE876,"NOT FOUND"),LEFT(J876,FIND("-",J876,FIND("-",J876)+1))&amp;AE876))</f>
        <v>KRTS-APSU26-YETKRTSCUT5055</v>
      </c>
    </row>
    <row r="877" spans="1:34" ht="15.75" customHeight="1" x14ac:dyDescent="0.2">
      <c r="A877" s="4" t="s">
        <v>30</v>
      </c>
      <c r="B877" s="4" t="s">
        <v>1212</v>
      </c>
      <c r="C877" s="4" t="s">
        <v>1213</v>
      </c>
      <c r="D877" s="4" t="s">
        <v>1125</v>
      </c>
      <c r="E877" s="4" t="s">
        <v>34</v>
      </c>
      <c r="F877" s="4" t="s">
        <v>35</v>
      </c>
      <c r="G877" s="4" t="s">
        <v>55</v>
      </c>
      <c r="H877" s="4" t="s">
        <v>1226</v>
      </c>
      <c r="I877" s="4" t="s">
        <v>1227</v>
      </c>
      <c r="J877" s="4" t="s">
        <v>1228</v>
      </c>
      <c r="L877" s="4" t="s">
        <v>40</v>
      </c>
      <c r="M877" s="4">
        <v>1</v>
      </c>
      <c r="N877" s="4">
        <v>84</v>
      </c>
      <c r="O877" s="4">
        <v>84</v>
      </c>
      <c r="P877" s="4" t="s">
        <v>41</v>
      </c>
      <c r="Q877" s="4">
        <v>229.3</v>
      </c>
      <c r="R877" s="4">
        <v>229.3</v>
      </c>
      <c r="S877" s="4">
        <v>963.06</v>
      </c>
      <c r="T877" s="4">
        <v>19261.2</v>
      </c>
      <c r="U877" s="4">
        <v>5</v>
      </c>
      <c r="V877" s="4" t="s">
        <v>42</v>
      </c>
      <c r="X877" s="7" t="str">
        <f t="shared" si="45"/>
        <v>441853962</v>
      </c>
      <c r="Y877" s="8" t="str">
        <f t="shared" si="46"/>
        <v>DC</v>
      </c>
      <c r="Z877" s="8">
        <f t="shared" si="47"/>
        <v>0</v>
      </c>
      <c r="AA877" s="8">
        <f t="shared" si="48"/>
        <v>0</v>
      </c>
      <c r="AB877" s="8">
        <f t="shared" si="49"/>
        <v>0</v>
      </c>
      <c r="AC877" s="8">
        <f t="shared" si="50"/>
        <v>0</v>
      </c>
      <c r="AD877" s="8">
        <f t="shared" si="51"/>
        <v>84</v>
      </c>
      <c r="AE877" s="9" t="str" cm="1">
        <f t="array" ref="AE877">IFERROR(_xlfn.XLOOKUP(H877,Sheet1!$G:$G,Sheet1!$F:$F),IFERROR(_xlfn.XLOOKUP(1,(--($X$2:$X$1074=X877))*(--ISNUMBER(MATCH($H$2:$H$1074,Sheet1!$G:$G,0))),_xlfn.XLOOKUP($H$2:$H$1074,Sheet1!$G:$G,Sheet1!$F:$F,"")),"NOT FOUND"))</f>
        <v>YETKRTSCUT5055</v>
      </c>
      <c r="AF877" s="10" t="str">
        <f t="shared" si="54"/>
        <v>BLUE</v>
      </c>
      <c r="AG877" s="11" t="str">
        <f t="shared" si="55"/>
        <v>Bangalore</v>
      </c>
      <c r="AH877" s="9" t="str">
        <f>IF(OR(J877="",AE877="",AE877="NOT FOUND"),"",IF(Y877="RP",IFERROR(LEFT(_xlfn.XLOOKUP(AE877,Sheet1!$F:$F,Sheet1!$W:$W),FIND("-",_xlfn.XLOOKUP(AE877,Sheet1!$F:$F,Sheet1!$W:$W),FIND("-",_xlfn.XLOOKUP(AE877,Sheet1!$F:$F,Sheet1!$W:$W))+1))&amp;AE877,"NOT FOUND"),LEFT(J877,FIND("-",J877,FIND("-",J877)+1))&amp;AE877))</f>
        <v>KRTS-APSU26-YETKRTSCUT5055</v>
      </c>
    </row>
    <row r="878" spans="1:34" ht="15.75" customHeight="1" x14ac:dyDescent="0.2">
      <c r="A878" s="4" t="s">
        <v>30</v>
      </c>
      <c r="B878" s="4" t="s">
        <v>1229</v>
      </c>
      <c r="C878" s="4" t="s">
        <v>1213</v>
      </c>
      <c r="D878" s="4" t="s">
        <v>1125</v>
      </c>
      <c r="E878" s="4" t="s">
        <v>34</v>
      </c>
      <c r="F878" s="4" t="s">
        <v>35</v>
      </c>
      <c r="G878" s="4" t="s">
        <v>36</v>
      </c>
      <c r="H878" s="4" t="s">
        <v>1230</v>
      </c>
      <c r="I878" s="4" t="s">
        <v>1231</v>
      </c>
      <c r="J878" s="4" t="s">
        <v>1232</v>
      </c>
      <c r="L878" s="4" t="s">
        <v>40</v>
      </c>
      <c r="M878" s="4">
        <v>1</v>
      </c>
      <c r="N878" s="4">
        <v>30</v>
      </c>
      <c r="O878" s="4">
        <v>30</v>
      </c>
      <c r="P878" s="4" t="s">
        <v>41</v>
      </c>
      <c r="Q878" s="4">
        <v>229.3</v>
      </c>
      <c r="R878" s="4">
        <v>229.3</v>
      </c>
      <c r="S878" s="4">
        <v>343.95</v>
      </c>
      <c r="T878" s="4">
        <v>6879</v>
      </c>
      <c r="U878" s="4">
        <v>5</v>
      </c>
      <c r="V878" s="4" t="s">
        <v>42</v>
      </c>
      <c r="X878" s="7" t="str">
        <f t="shared" si="45"/>
        <v>441853960</v>
      </c>
      <c r="Y878" s="8" t="str">
        <f t="shared" si="46"/>
        <v>DC</v>
      </c>
      <c r="Z878" s="8">
        <f t="shared" si="47"/>
        <v>30</v>
      </c>
      <c r="AA878" s="8">
        <f t="shared" si="48"/>
        <v>0</v>
      </c>
      <c r="AB878" s="8">
        <f t="shared" si="49"/>
        <v>0</v>
      </c>
      <c r="AC878" s="8">
        <f t="shared" si="50"/>
        <v>0</v>
      </c>
      <c r="AD878" s="8">
        <f t="shared" si="51"/>
        <v>0</v>
      </c>
      <c r="AE878" s="9" t="str" cm="1">
        <f t="array" ref="AE878">IFERROR(_xlfn.XLOOKUP(H878,Sheet1!$G:$G,Sheet1!$F:$F),IFERROR(_xlfn.XLOOKUP(1,(--($X$2:$X$1074=X878))*(--ISNUMBER(MATCH($H$2:$H$1074,Sheet1!$G:$G,0))),_xlfn.XLOOKUP($H$2:$H$1074,Sheet1!$G:$G,Sheet1!$F:$F,"")),"NOT FOUND"))</f>
        <v>YETKRTSCUT5053</v>
      </c>
      <c r="AF878" s="10" t="str">
        <f t="shared" si="54"/>
        <v>BLUE</v>
      </c>
      <c r="AG878" s="11" t="str">
        <f t="shared" si="55"/>
        <v>Bangalore</v>
      </c>
      <c r="AH878" s="9" t="str">
        <f>IF(OR(J878="",AE878="",AE878="NOT FOUND"),"",IF(Y878="RP",IFERROR(LEFT(_xlfn.XLOOKUP(AE878,Sheet1!$F:$F,Sheet1!$W:$W),FIND("-",_xlfn.XLOOKUP(AE878,Sheet1!$F:$F,Sheet1!$W:$W),FIND("-",_xlfn.XLOOKUP(AE878,Sheet1!$F:$F,Sheet1!$W:$W))+1))&amp;AE878,"NOT FOUND"),LEFT(J878,FIND("-",J878,FIND("-",J878)+1))&amp;AE878))</f>
        <v>KRTS-APSU26-YETKRTSCUT5053</v>
      </c>
    </row>
    <row r="879" spans="1:34" ht="15.75" customHeight="1" x14ac:dyDescent="0.2">
      <c r="A879" s="4" t="s">
        <v>30</v>
      </c>
      <c r="B879" s="4" t="s">
        <v>1229</v>
      </c>
      <c r="C879" s="4" t="s">
        <v>1213</v>
      </c>
      <c r="D879" s="4" t="s">
        <v>1125</v>
      </c>
      <c r="E879" s="4" t="s">
        <v>34</v>
      </c>
      <c r="F879" s="4" t="s">
        <v>35</v>
      </c>
      <c r="G879" s="4" t="s">
        <v>47</v>
      </c>
      <c r="H879" s="4" t="s">
        <v>1233</v>
      </c>
      <c r="I879" s="4" t="s">
        <v>1234</v>
      </c>
      <c r="J879" s="4" t="s">
        <v>1235</v>
      </c>
      <c r="L879" s="4" t="s">
        <v>40</v>
      </c>
      <c r="M879" s="4">
        <v>1</v>
      </c>
      <c r="N879" s="4">
        <v>378</v>
      </c>
      <c r="O879" s="4">
        <v>378</v>
      </c>
      <c r="P879" s="4" t="s">
        <v>41</v>
      </c>
      <c r="Q879" s="4">
        <v>229.3</v>
      </c>
      <c r="R879" s="4">
        <v>229.3</v>
      </c>
      <c r="S879" s="4">
        <v>4333.7700000000004</v>
      </c>
      <c r="T879" s="4">
        <v>86675.4</v>
      </c>
      <c r="U879" s="4">
        <v>5</v>
      </c>
      <c r="V879" s="4" t="s">
        <v>42</v>
      </c>
      <c r="X879" s="7" t="str">
        <f t="shared" si="45"/>
        <v>441853960</v>
      </c>
      <c r="Y879" s="8" t="str">
        <f t="shared" si="46"/>
        <v>DC</v>
      </c>
      <c r="Z879" s="8">
        <f t="shared" si="47"/>
        <v>0</v>
      </c>
      <c r="AA879" s="8">
        <f t="shared" si="48"/>
        <v>0</v>
      </c>
      <c r="AB879" s="8">
        <f t="shared" si="49"/>
        <v>378</v>
      </c>
      <c r="AC879" s="8">
        <f t="shared" si="50"/>
        <v>0</v>
      </c>
      <c r="AD879" s="8">
        <f t="shared" si="51"/>
        <v>0</v>
      </c>
      <c r="AE879" s="9" t="str" cm="1">
        <f t="array" ref="AE879">IFERROR(_xlfn.XLOOKUP(H879,Sheet1!$G:$G,Sheet1!$F:$F),IFERROR(_xlfn.XLOOKUP(1,(--($X$2:$X$1074=X879))*(--ISNUMBER(MATCH($H$2:$H$1074,Sheet1!$G:$G,0))),_xlfn.XLOOKUP($H$2:$H$1074,Sheet1!$G:$G,Sheet1!$F:$F,"")),"NOT FOUND"))</f>
        <v>YETKRTSCUT5053</v>
      </c>
      <c r="AF879" s="10" t="str">
        <f t="shared" si="54"/>
        <v>BLUE</v>
      </c>
      <c r="AG879" s="11" t="str">
        <f t="shared" si="55"/>
        <v>Bangalore</v>
      </c>
      <c r="AH879" s="9" t="str">
        <f>IF(OR(J879="",AE879="",AE879="NOT FOUND"),"",IF(Y879="RP",IFERROR(LEFT(_xlfn.XLOOKUP(AE879,Sheet1!$F:$F,Sheet1!$W:$W),FIND("-",_xlfn.XLOOKUP(AE879,Sheet1!$F:$F,Sheet1!$W:$W),FIND("-",_xlfn.XLOOKUP(AE879,Sheet1!$F:$F,Sheet1!$W:$W))+1))&amp;AE879,"NOT FOUND"),LEFT(J879,FIND("-",J879,FIND("-",J879)+1))&amp;AE879))</f>
        <v>KRTS-APSU26-YETKRTSCUT5053</v>
      </c>
    </row>
    <row r="880" spans="1:34" ht="15.75" customHeight="1" x14ac:dyDescent="0.2">
      <c r="A880" s="4" t="s">
        <v>30</v>
      </c>
      <c r="B880" s="4" t="s">
        <v>1229</v>
      </c>
      <c r="C880" s="4" t="s">
        <v>1213</v>
      </c>
      <c r="D880" s="4" t="s">
        <v>1125</v>
      </c>
      <c r="E880" s="4" t="s">
        <v>34</v>
      </c>
      <c r="F880" s="4" t="s">
        <v>35</v>
      </c>
      <c r="G880" s="4" t="s">
        <v>51</v>
      </c>
      <c r="H880" s="4" t="s">
        <v>1236</v>
      </c>
      <c r="I880" s="4" t="s">
        <v>1237</v>
      </c>
      <c r="J880" s="4" t="s">
        <v>1238</v>
      </c>
      <c r="L880" s="4" t="s">
        <v>40</v>
      </c>
      <c r="M880" s="4">
        <v>1</v>
      </c>
      <c r="N880" s="4">
        <v>441</v>
      </c>
      <c r="O880" s="4">
        <v>441</v>
      </c>
      <c r="P880" s="4" t="s">
        <v>41</v>
      </c>
      <c r="Q880" s="4">
        <v>229.3</v>
      </c>
      <c r="R880" s="4">
        <v>229.3</v>
      </c>
      <c r="S880" s="4">
        <v>5056.07</v>
      </c>
      <c r="T880" s="4">
        <v>101121.3</v>
      </c>
      <c r="U880" s="4">
        <v>5</v>
      </c>
      <c r="V880" s="4" t="s">
        <v>42</v>
      </c>
      <c r="X880" s="7" t="str">
        <f t="shared" si="45"/>
        <v>441853960</v>
      </c>
      <c r="Y880" s="8" t="str">
        <f t="shared" si="46"/>
        <v>DC</v>
      </c>
      <c r="Z880" s="8">
        <f t="shared" si="47"/>
        <v>0</v>
      </c>
      <c r="AA880" s="8">
        <f t="shared" si="48"/>
        <v>0</v>
      </c>
      <c r="AB880" s="8">
        <f t="shared" si="49"/>
        <v>0</v>
      </c>
      <c r="AC880" s="8">
        <f t="shared" si="50"/>
        <v>441</v>
      </c>
      <c r="AD880" s="8">
        <f t="shared" si="51"/>
        <v>0</v>
      </c>
      <c r="AE880" s="9" t="str" cm="1">
        <f t="array" ref="AE880">IFERROR(_xlfn.XLOOKUP(H880,Sheet1!$G:$G,Sheet1!$F:$F),IFERROR(_xlfn.XLOOKUP(1,(--($X$2:$X$1074=X880))*(--ISNUMBER(MATCH($H$2:$H$1074,Sheet1!$G:$G,0))),_xlfn.XLOOKUP($H$2:$H$1074,Sheet1!$G:$G,Sheet1!$F:$F,"")),"NOT FOUND"))</f>
        <v>YETKRTSCUT5053</v>
      </c>
      <c r="AF880" s="10" t="str">
        <f t="shared" si="54"/>
        <v>BLUE</v>
      </c>
      <c r="AG880" s="11" t="str">
        <f t="shared" si="55"/>
        <v>Bangalore</v>
      </c>
      <c r="AH880" s="9" t="str">
        <f>IF(OR(J880="",AE880="",AE880="NOT FOUND"),"",IF(Y880="RP",IFERROR(LEFT(_xlfn.XLOOKUP(AE880,Sheet1!$F:$F,Sheet1!$W:$W),FIND("-",_xlfn.XLOOKUP(AE880,Sheet1!$F:$F,Sheet1!$W:$W),FIND("-",_xlfn.XLOOKUP(AE880,Sheet1!$F:$F,Sheet1!$W:$W))+1))&amp;AE880,"NOT FOUND"),LEFT(J880,FIND("-",J880,FIND("-",J880)+1))&amp;AE880))</f>
        <v>KRTS-APSU26-YETKRTSCUT5053</v>
      </c>
    </row>
    <row r="881" spans="1:34" ht="15.75" customHeight="1" x14ac:dyDescent="0.2">
      <c r="A881" s="4" t="s">
        <v>30</v>
      </c>
      <c r="B881" s="4" t="s">
        <v>1229</v>
      </c>
      <c r="C881" s="4" t="s">
        <v>1213</v>
      </c>
      <c r="D881" s="4" t="s">
        <v>1125</v>
      </c>
      <c r="E881" s="4" t="s">
        <v>34</v>
      </c>
      <c r="F881" s="4" t="s">
        <v>35</v>
      </c>
      <c r="G881" s="4" t="s">
        <v>55</v>
      </c>
      <c r="H881" s="4" t="s">
        <v>1239</v>
      </c>
      <c r="I881" s="4" t="s">
        <v>1240</v>
      </c>
      <c r="J881" s="4" t="s">
        <v>1241</v>
      </c>
      <c r="L881" s="4" t="s">
        <v>40</v>
      </c>
      <c r="M881" s="4">
        <v>1</v>
      </c>
      <c r="N881" s="4">
        <v>84</v>
      </c>
      <c r="O881" s="4">
        <v>84</v>
      </c>
      <c r="P881" s="4" t="s">
        <v>41</v>
      </c>
      <c r="Q881" s="4">
        <v>229.3</v>
      </c>
      <c r="R881" s="4">
        <v>229.3</v>
      </c>
      <c r="S881" s="4">
        <v>963.06</v>
      </c>
      <c r="T881" s="4">
        <v>19261.2</v>
      </c>
      <c r="U881" s="4">
        <v>5</v>
      </c>
      <c r="V881" s="4" t="s">
        <v>42</v>
      </c>
      <c r="X881" s="7" t="str">
        <f t="shared" si="45"/>
        <v>441853960</v>
      </c>
      <c r="Y881" s="8" t="str">
        <f t="shared" si="46"/>
        <v>DC</v>
      </c>
      <c r="Z881" s="8">
        <f t="shared" si="47"/>
        <v>0</v>
      </c>
      <c r="AA881" s="8">
        <f t="shared" si="48"/>
        <v>0</v>
      </c>
      <c r="AB881" s="8">
        <f t="shared" si="49"/>
        <v>0</v>
      </c>
      <c r="AC881" s="8">
        <f t="shared" si="50"/>
        <v>0</v>
      </c>
      <c r="AD881" s="8">
        <f t="shared" si="51"/>
        <v>84</v>
      </c>
      <c r="AE881" s="9" t="str" cm="1">
        <f t="array" ref="AE881">IFERROR(_xlfn.XLOOKUP(H881,Sheet1!$G:$G,Sheet1!$F:$F),IFERROR(_xlfn.XLOOKUP(1,(--($X$2:$X$1074=X881))*(--ISNUMBER(MATCH($H$2:$H$1074,Sheet1!$G:$G,0))),_xlfn.XLOOKUP($H$2:$H$1074,Sheet1!$G:$G,Sheet1!$F:$F,"")),"NOT FOUND"))</f>
        <v>YETKRTSCUT5053</v>
      </c>
      <c r="AF881" s="10" t="str">
        <f t="shared" si="54"/>
        <v>BLUE</v>
      </c>
      <c r="AG881" s="11" t="str">
        <f t="shared" si="55"/>
        <v>Bangalore</v>
      </c>
      <c r="AH881" s="9" t="str">
        <f>IF(OR(J881="",AE881="",AE881="NOT FOUND"),"",IF(Y881="RP",IFERROR(LEFT(_xlfn.XLOOKUP(AE881,Sheet1!$F:$F,Sheet1!$W:$W),FIND("-",_xlfn.XLOOKUP(AE881,Sheet1!$F:$F,Sheet1!$W:$W),FIND("-",_xlfn.XLOOKUP(AE881,Sheet1!$F:$F,Sheet1!$W:$W))+1))&amp;AE881,"NOT FOUND"),LEFT(J881,FIND("-",J881,FIND("-",J881)+1))&amp;AE881))</f>
        <v>KRTS-APSU26-YETKRTSCUT5053</v>
      </c>
    </row>
    <row r="882" spans="1:34" ht="15.75" customHeight="1" x14ac:dyDescent="0.2">
      <c r="A882" s="4" t="s">
        <v>59</v>
      </c>
      <c r="B882" s="4" t="s">
        <v>1242</v>
      </c>
      <c r="C882" s="4" t="s">
        <v>1213</v>
      </c>
      <c r="D882" s="4" t="s">
        <v>1125</v>
      </c>
      <c r="E882" s="4" t="s">
        <v>34</v>
      </c>
      <c r="F882" s="4" t="s">
        <v>35</v>
      </c>
      <c r="G882" s="4" t="s">
        <v>36</v>
      </c>
      <c r="H882" s="4" t="s">
        <v>1214</v>
      </c>
      <c r="I882" s="4" t="s">
        <v>1215</v>
      </c>
      <c r="J882" s="4" t="s">
        <v>1216</v>
      </c>
      <c r="L882" s="4" t="s">
        <v>40</v>
      </c>
      <c r="M882" s="4">
        <v>1</v>
      </c>
      <c r="N882" s="4">
        <v>30</v>
      </c>
      <c r="O882" s="4">
        <v>30</v>
      </c>
      <c r="P882" s="4" t="s">
        <v>41</v>
      </c>
      <c r="Q882" s="4">
        <v>229.3</v>
      </c>
      <c r="R882" s="4">
        <v>229.3</v>
      </c>
      <c r="S882" s="4">
        <v>343.95</v>
      </c>
      <c r="T882" s="4">
        <v>6879</v>
      </c>
      <c r="U882" s="4">
        <v>5</v>
      </c>
      <c r="V882" s="4" t="s">
        <v>42</v>
      </c>
      <c r="X882" s="7" t="str">
        <f t="shared" si="45"/>
        <v>441853962</v>
      </c>
      <c r="Y882" s="8" t="str">
        <f t="shared" si="46"/>
        <v>DC</v>
      </c>
      <c r="Z882" s="8">
        <f t="shared" si="47"/>
        <v>30</v>
      </c>
      <c r="AA882" s="8">
        <f t="shared" si="48"/>
        <v>0</v>
      </c>
      <c r="AB882" s="8">
        <f t="shared" si="49"/>
        <v>0</v>
      </c>
      <c r="AC882" s="8">
        <f t="shared" si="50"/>
        <v>0</v>
      </c>
      <c r="AD882" s="8">
        <f t="shared" si="51"/>
        <v>0</v>
      </c>
      <c r="AE882" s="9" t="str" cm="1">
        <f t="array" ref="AE882">IFERROR(_xlfn.XLOOKUP(H882,Sheet1!$G:$G,Sheet1!$F:$F),IFERROR(_xlfn.XLOOKUP(1,(--($X$2:$X$1074=X882))*(--ISNUMBER(MATCH($H$2:$H$1074,Sheet1!$G:$G,0))),_xlfn.XLOOKUP($H$2:$H$1074,Sheet1!$G:$G,Sheet1!$F:$F,"")),"NOT FOUND"))</f>
        <v>YETKRTSCUT5055</v>
      </c>
      <c r="AF882" s="10" t="str">
        <f t="shared" si="54"/>
        <v>BLUE</v>
      </c>
      <c r="AG882" s="11" t="str">
        <f t="shared" si="55"/>
        <v>JHAJJAR</v>
      </c>
      <c r="AH882" s="9" t="str">
        <f>IF(OR(J882="",AE882="",AE882="NOT FOUND"),"",IF(Y882="RP",IFERROR(LEFT(_xlfn.XLOOKUP(AE882,Sheet1!$F:$F,Sheet1!$W:$W),FIND("-",_xlfn.XLOOKUP(AE882,Sheet1!$F:$F,Sheet1!$W:$W),FIND("-",_xlfn.XLOOKUP(AE882,Sheet1!$F:$F,Sheet1!$W:$W))+1))&amp;AE882,"NOT FOUND"),LEFT(J882,FIND("-",J882,FIND("-",J882)+1))&amp;AE882))</f>
        <v>KRTS-APSU26-YETKRTSCUT5055</v>
      </c>
    </row>
    <row r="883" spans="1:34" ht="15.75" customHeight="1" x14ac:dyDescent="0.2">
      <c r="A883" s="4" t="s">
        <v>59</v>
      </c>
      <c r="B883" s="4" t="s">
        <v>1242</v>
      </c>
      <c r="C883" s="4" t="s">
        <v>1213</v>
      </c>
      <c r="D883" s="4" t="s">
        <v>1125</v>
      </c>
      <c r="E883" s="4" t="s">
        <v>34</v>
      </c>
      <c r="F883" s="4" t="s">
        <v>35</v>
      </c>
      <c r="G883" s="4" t="s">
        <v>55</v>
      </c>
      <c r="H883" s="4" t="s">
        <v>1226</v>
      </c>
      <c r="I883" s="4" t="s">
        <v>1227</v>
      </c>
      <c r="J883" s="4" t="s">
        <v>1228</v>
      </c>
      <c r="L883" s="4" t="s">
        <v>40</v>
      </c>
      <c r="M883" s="4">
        <v>1</v>
      </c>
      <c r="N883" s="4">
        <v>42</v>
      </c>
      <c r="O883" s="4">
        <v>42</v>
      </c>
      <c r="P883" s="4" t="s">
        <v>41</v>
      </c>
      <c r="Q883" s="4">
        <v>229.3</v>
      </c>
      <c r="R883" s="4">
        <v>229.3</v>
      </c>
      <c r="S883" s="4">
        <v>481.53</v>
      </c>
      <c r="T883" s="4">
        <v>9630.6</v>
      </c>
      <c r="U883" s="4">
        <v>5</v>
      </c>
      <c r="V883" s="4" t="s">
        <v>42</v>
      </c>
      <c r="X883" s="7" t="str">
        <f t="shared" si="45"/>
        <v>441853962</v>
      </c>
      <c r="Y883" s="8" t="str">
        <f t="shared" si="46"/>
        <v>DC</v>
      </c>
      <c r="Z883" s="8">
        <f t="shared" si="47"/>
        <v>0</v>
      </c>
      <c r="AA883" s="8">
        <f t="shared" si="48"/>
        <v>0</v>
      </c>
      <c r="AB883" s="8">
        <f t="shared" si="49"/>
        <v>0</v>
      </c>
      <c r="AC883" s="8">
        <f t="shared" si="50"/>
        <v>0</v>
      </c>
      <c r="AD883" s="8">
        <f t="shared" si="51"/>
        <v>42</v>
      </c>
      <c r="AE883" s="9" t="str" cm="1">
        <f t="array" ref="AE883">IFERROR(_xlfn.XLOOKUP(H883,Sheet1!$G:$G,Sheet1!$F:$F),IFERROR(_xlfn.XLOOKUP(1,(--($X$2:$X$1074=X883))*(--ISNUMBER(MATCH($H$2:$H$1074,Sheet1!$G:$G,0))),_xlfn.XLOOKUP($H$2:$H$1074,Sheet1!$G:$G,Sheet1!$F:$F,"")),"NOT FOUND"))</f>
        <v>YETKRTSCUT5055</v>
      </c>
      <c r="AF883" s="10" t="str">
        <f t="shared" si="54"/>
        <v>BLUE</v>
      </c>
      <c r="AG883" s="11" t="str">
        <f t="shared" si="55"/>
        <v>JHAJJAR</v>
      </c>
      <c r="AH883" s="9" t="str">
        <f>IF(OR(J883="",AE883="",AE883="NOT FOUND"),"",IF(Y883="RP",IFERROR(LEFT(_xlfn.XLOOKUP(AE883,Sheet1!$F:$F,Sheet1!$W:$W),FIND("-",_xlfn.XLOOKUP(AE883,Sheet1!$F:$F,Sheet1!$W:$W),FIND("-",_xlfn.XLOOKUP(AE883,Sheet1!$F:$F,Sheet1!$W:$W))+1))&amp;AE883,"NOT FOUND"),LEFT(J883,FIND("-",J883,FIND("-",J883)+1))&amp;AE883))</f>
        <v>KRTS-APSU26-YETKRTSCUT5055</v>
      </c>
    </row>
    <row r="884" spans="1:34" ht="15.75" customHeight="1" x14ac:dyDescent="0.2">
      <c r="A884" s="4" t="s">
        <v>59</v>
      </c>
      <c r="B884" s="4" t="s">
        <v>1243</v>
      </c>
      <c r="C884" s="4" t="s">
        <v>1213</v>
      </c>
      <c r="D884" s="4" t="s">
        <v>1125</v>
      </c>
      <c r="E884" s="4" t="s">
        <v>34</v>
      </c>
      <c r="F884" s="4" t="s">
        <v>35</v>
      </c>
      <c r="G884" s="4" t="s">
        <v>36</v>
      </c>
      <c r="H884" s="4" t="s">
        <v>1230</v>
      </c>
      <c r="I884" s="4" t="s">
        <v>1231</v>
      </c>
      <c r="J884" s="4" t="s">
        <v>1232</v>
      </c>
      <c r="L884" s="4" t="s">
        <v>40</v>
      </c>
      <c r="M884" s="4">
        <v>1</v>
      </c>
      <c r="N884" s="4">
        <v>30</v>
      </c>
      <c r="O884" s="4">
        <v>30</v>
      </c>
      <c r="P884" s="4" t="s">
        <v>41</v>
      </c>
      <c r="Q884" s="4">
        <v>229.3</v>
      </c>
      <c r="R884" s="4">
        <v>229.3</v>
      </c>
      <c r="S884" s="4">
        <v>343.95</v>
      </c>
      <c r="T884" s="4">
        <v>6879</v>
      </c>
      <c r="U884" s="4">
        <v>5</v>
      </c>
      <c r="V884" s="4" t="s">
        <v>42</v>
      </c>
      <c r="X884" s="7" t="str">
        <f t="shared" si="45"/>
        <v>441853960</v>
      </c>
      <c r="Y884" s="8" t="str">
        <f t="shared" si="46"/>
        <v>DC</v>
      </c>
      <c r="Z884" s="8">
        <f t="shared" si="47"/>
        <v>30</v>
      </c>
      <c r="AA884" s="8">
        <f t="shared" si="48"/>
        <v>0</v>
      </c>
      <c r="AB884" s="8">
        <f t="shared" si="49"/>
        <v>0</v>
      </c>
      <c r="AC884" s="8">
        <f t="shared" si="50"/>
        <v>0</v>
      </c>
      <c r="AD884" s="8">
        <f t="shared" si="51"/>
        <v>0</v>
      </c>
      <c r="AE884" s="9" t="str" cm="1">
        <f t="array" ref="AE884">IFERROR(_xlfn.XLOOKUP(H884,Sheet1!$G:$G,Sheet1!$F:$F),IFERROR(_xlfn.XLOOKUP(1,(--($X$2:$X$1074=X884))*(--ISNUMBER(MATCH($H$2:$H$1074,Sheet1!$G:$G,0))),_xlfn.XLOOKUP($H$2:$H$1074,Sheet1!$G:$G,Sheet1!$F:$F,"")),"NOT FOUND"))</f>
        <v>YETKRTSCUT5053</v>
      </c>
      <c r="AF884" s="10" t="str">
        <f t="shared" si="54"/>
        <v>BLUE</v>
      </c>
      <c r="AG884" s="11" t="str">
        <f t="shared" si="55"/>
        <v>JHAJJAR</v>
      </c>
      <c r="AH884" s="9" t="str">
        <f>IF(OR(J884="",AE884="",AE884="NOT FOUND"),"",IF(Y884="RP",IFERROR(LEFT(_xlfn.XLOOKUP(AE884,Sheet1!$F:$F,Sheet1!$W:$W),FIND("-",_xlfn.XLOOKUP(AE884,Sheet1!$F:$F,Sheet1!$W:$W),FIND("-",_xlfn.XLOOKUP(AE884,Sheet1!$F:$F,Sheet1!$W:$W))+1))&amp;AE884,"NOT FOUND"),LEFT(J884,FIND("-",J884,FIND("-",J884)+1))&amp;AE884))</f>
        <v>KRTS-APSU26-YETKRTSCUT5053</v>
      </c>
    </row>
    <row r="885" spans="1:34" ht="15.75" customHeight="1" x14ac:dyDescent="0.2">
      <c r="A885" s="4" t="s">
        <v>59</v>
      </c>
      <c r="B885" s="4" t="s">
        <v>1243</v>
      </c>
      <c r="C885" s="4" t="s">
        <v>1213</v>
      </c>
      <c r="D885" s="4" t="s">
        <v>1125</v>
      </c>
      <c r="E885" s="4" t="s">
        <v>34</v>
      </c>
      <c r="F885" s="4" t="s">
        <v>35</v>
      </c>
      <c r="G885" s="4" t="s">
        <v>55</v>
      </c>
      <c r="H885" s="4" t="s">
        <v>1239</v>
      </c>
      <c r="I885" s="4" t="s">
        <v>1240</v>
      </c>
      <c r="J885" s="4" t="s">
        <v>1241</v>
      </c>
      <c r="L885" s="4" t="s">
        <v>40</v>
      </c>
      <c r="M885" s="4">
        <v>1</v>
      </c>
      <c r="N885" s="4">
        <v>42</v>
      </c>
      <c r="O885" s="4">
        <v>42</v>
      </c>
      <c r="P885" s="4" t="s">
        <v>41</v>
      </c>
      <c r="Q885" s="4">
        <v>229.3</v>
      </c>
      <c r="R885" s="4">
        <v>229.3</v>
      </c>
      <c r="S885" s="4">
        <v>481.53</v>
      </c>
      <c r="T885" s="4">
        <v>9630.6</v>
      </c>
      <c r="U885" s="4">
        <v>5</v>
      </c>
      <c r="V885" s="4" t="s">
        <v>42</v>
      </c>
      <c r="X885" s="7" t="str">
        <f t="shared" si="45"/>
        <v>441853960</v>
      </c>
      <c r="Y885" s="8" t="str">
        <f t="shared" si="46"/>
        <v>DC</v>
      </c>
      <c r="Z885" s="8">
        <f t="shared" si="47"/>
        <v>0</v>
      </c>
      <c r="AA885" s="8">
        <f t="shared" si="48"/>
        <v>0</v>
      </c>
      <c r="AB885" s="8">
        <f t="shared" si="49"/>
        <v>0</v>
      </c>
      <c r="AC885" s="8">
        <f t="shared" si="50"/>
        <v>0</v>
      </c>
      <c r="AD885" s="8">
        <f t="shared" si="51"/>
        <v>42</v>
      </c>
      <c r="AE885" s="9" t="str" cm="1">
        <f t="array" ref="AE885">IFERROR(_xlfn.XLOOKUP(H885,Sheet1!$G:$G,Sheet1!$F:$F),IFERROR(_xlfn.XLOOKUP(1,(--($X$2:$X$1074=X885))*(--ISNUMBER(MATCH($H$2:$H$1074,Sheet1!$G:$G,0))),_xlfn.XLOOKUP($H$2:$H$1074,Sheet1!$G:$G,Sheet1!$F:$F,"")),"NOT FOUND"))</f>
        <v>YETKRTSCUT5053</v>
      </c>
      <c r="AF885" s="10" t="str">
        <f t="shared" si="54"/>
        <v>BLUE</v>
      </c>
      <c r="AG885" s="11" t="str">
        <f t="shared" si="55"/>
        <v>JHAJJAR</v>
      </c>
      <c r="AH885" s="9" t="str">
        <f>IF(OR(J885="",AE885="",AE885="NOT FOUND"),"",IF(Y885="RP",IFERROR(LEFT(_xlfn.XLOOKUP(AE885,Sheet1!$F:$F,Sheet1!$W:$W),FIND("-",_xlfn.XLOOKUP(AE885,Sheet1!$F:$F,Sheet1!$W:$W),FIND("-",_xlfn.XLOOKUP(AE885,Sheet1!$F:$F,Sheet1!$W:$W))+1))&amp;AE885,"NOT FOUND"),LEFT(J885,FIND("-",J885,FIND("-",J885)+1))&amp;AE885))</f>
        <v>KRTS-APSU26-YETKRTSCUT5053</v>
      </c>
    </row>
    <row r="886" spans="1:34" ht="15.75" customHeight="1" x14ac:dyDescent="0.2">
      <c r="A886" s="4" t="s">
        <v>61</v>
      </c>
      <c r="B886" s="4" t="s">
        <v>1244</v>
      </c>
      <c r="C886" s="4" t="s">
        <v>1213</v>
      </c>
      <c r="D886" s="4" t="s">
        <v>1125</v>
      </c>
      <c r="E886" s="4" t="s">
        <v>34</v>
      </c>
      <c r="F886" s="4" t="s">
        <v>35</v>
      </c>
      <c r="G886" s="4" t="s">
        <v>36</v>
      </c>
      <c r="H886" s="4" t="s">
        <v>1214</v>
      </c>
      <c r="I886" s="4" t="s">
        <v>1215</v>
      </c>
      <c r="J886" s="4" t="s">
        <v>1216</v>
      </c>
      <c r="L886" s="4" t="s">
        <v>40</v>
      </c>
      <c r="M886" s="4">
        <v>1</v>
      </c>
      <c r="N886" s="4">
        <v>30</v>
      </c>
      <c r="O886" s="4">
        <v>30</v>
      </c>
      <c r="P886" s="4" t="s">
        <v>41</v>
      </c>
      <c r="Q886" s="4">
        <v>229.3</v>
      </c>
      <c r="R886" s="4">
        <v>229.3</v>
      </c>
      <c r="S886" s="4">
        <v>343.95</v>
      </c>
      <c r="T886" s="4">
        <v>6879</v>
      </c>
      <c r="U886" s="4">
        <v>5</v>
      </c>
      <c r="V886" s="4" t="s">
        <v>42</v>
      </c>
      <c r="X886" s="7" t="str">
        <f t="shared" si="45"/>
        <v>441853962</v>
      </c>
      <c r="Y886" s="8" t="str">
        <f t="shared" si="46"/>
        <v>DC</v>
      </c>
      <c r="Z886" s="8">
        <f t="shared" si="47"/>
        <v>30</v>
      </c>
      <c r="AA886" s="8">
        <f t="shared" si="48"/>
        <v>0</v>
      </c>
      <c r="AB886" s="8">
        <f t="shared" si="49"/>
        <v>0</v>
      </c>
      <c r="AC886" s="8">
        <f t="shared" si="50"/>
        <v>0</v>
      </c>
      <c r="AD886" s="8">
        <f t="shared" si="51"/>
        <v>0</v>
      </c>
      <c r="AE886" s="9" t="str" cm="1">
        <f t="array" ref="AE886">IFERROR(_xlfn.XLOOKUP(H886,Sheet1!$G:$G,Sheet1!$F:$F),IFERROR(_xlfn.XLOOKUP(1,(--($X$2:$X$1074=X886))*(--ISNUMBER(MATCH($H$2:$H$1074,Sheet1!$G:$G,0))),_xlfn.XLOOKUP($H$2:$H$1074,Sheet1!$G:$G,Sheet1!$F:$F,"")),"NOT FOUND"))</f>
        <v>YETKRTSCUT5055</v>
      </c>
      <c r="AF886" s="10" t="str">
        <f t="shared" si="54"/>
        <v>BLUE</v>
      </c>
      <c r="AG886" s="11" t="str">
        <f t="shared" si="55"/>
        <v>HARIPAL</v>
      </c>
      <c r="AH886" s="9" t="str">
        <f>IF(OR(J886="",AE886="",AE886="NOT FOUND"),"",IF(Y886="RP",IFERROR(LEFT(_xlfn.XLOOKUP(AE886,Sheet1!$F:$F,Sheet1!$W:$W),FIND("-",_xlfn.XLOOKUP(AE886,Sheet1!$F:$F,Sheet1!$W:$W),FIND("-",_xlfn.XLOOKUP(AE886,Sheet1!$F:$F,Sheet1!$W:$W))+1))&amp;AE886,"NOT FOUND"),LEFT(J886,FIND("-",J886,FIND("-",J886)+1))&amp;AE886))</f>
        <v>KRTS-APSU26-YETKRTSCUT5055</v>
      </c>
    </row>
    <row r="887" spans="1:34" ht="15.75" customHeight="1" x14ac:dyDescent="0.2">
      <c r="A887" s="4" t="s">
        <v>61</v>
      </c>
      <c r="B887" s="4" t="s">
        <v>1244</v>
      </c>
      <c r="C887" s="4" t="s">
        <v>1213</v>
      </c>
      <c r="D887" s="4" t="s">
        <v>1125</v>
      </c>
      <c r="E887" s="4" t="s">
        <v>34</v>
      </c>
      <c r="F887" s="4" t="s">
        <v>35</v>
      </c>
      <c r="G887" s="4" t="s">
        <v>55</v>
      </c>
      <c r="H887" s="4" t="s">
        <v>1226</v>
      </c>
      <c r="I887" s="4" t="s">
        <v>1227</v>
      </c>
      <c r="J887" s="4" t="s">
        <v>1228</v>
      </c>
      <c r="L887" s="4" t="s">
        <v>40</v>
      </c>
      <c r="M887" s="4">
        <v>1</v>
      </c>
      <c r="N887" s="4">
        <v>40</v>
      </c>
      <c r="O887" s="4">
        <v>40</v>
      </c>
      <c r="P887" s="4" t="s">
        <v>41</v>
      </c>
      <c r="Q887" s="4">
        <v>229.3</v>
      </c>
      <c r="R887" s="4">
        <v>229.3</v>
      </c>
      <c r="S887" s="4">
        <v>458.6</v>
      </c>
      <c r="T887" s="4">
        <v>9172</v>
      </c>
      <c r="U887" s="4">
        <v>5</v>
      </c>
      <c r="V887" s="4" t="s">
        <v>42</v>
      </c>
      <c r="X887" s="7" t="str">
        <f t="shared" si="45"/>
        <v>441853962</v>
      </c>
      <c r="Y887" s="8" t="str">
        <f t="shared" si="46"/>
        <v>DC</v>
      </c>
      <c r="Z887" s="8">
        <f t="shared" si="47"/>
        <v>0</v>
      </c>
      <c r="AA887" s="8">
        <f t="shared" si="48"/>
        <v>0</v>
      </c>
      <c r="AB887" s="8">
        <f t="shared" si="49"/>
        <v>0</v>
      </c>
      <c r="AC887" s="8">
        <f t="shared" si="50"/>
        <v>0</v>
      </c>
      <c r="AD887" s="8">
        <f t="shared" si="51"/>
        <v>40</v>
      </c>
      <c r="AE887" s="9" t="str" cm="1">
        <f t="array" ref="AE887">IFERROR(_xlfn.XLOOKUP(H887,Sheet1!$G:$G,Sheet1!$F:$F),IFERROR(_xlfn.XLOOKUP(1,(--($X$2:$X$1074=X887))*(--ISNUMBER(MATCH($H$2:$H$1074,Sheet1!$G:$G,0))),_xlfn.XLOOKUP($H$2:$H$1074,Sheet1!$G:$G,Sheet1!$F:$F,"")),"NOT FOUND"))</f>
        <v>YETKRTSCUT5055</v>
      </c>
      <c r="AF887" s="10" t="str">
        <f t="shared" si="54"/>
        <v>BLUE</v>
      </c>
      <c r="AG887" s="11" t="str">
        <f t="shared" si="55"/>
        <v>HARIPAL</v>
      </c>
      <c r="AH887" s="9" t="str">
        <f>IF(OR(J887="",AE887="",AE887="NOT FOUND"),"",IF(Y887="RP",IFERROR(LEFT(_xlfn.XLOOKUP(AE887,Sheet1!$F:$F,Sheet1!$W:$W),FIND("-",_xlfn.XLOOKUP(AE887,Sheet1!$F:$F,Sheet1!$W:$W),FIND("-",_xlfn.XLOOKUP(AE887,Sheet1!$F:$F,Sheet1!$W:$W))+1))&amp;AE887,"NOT FOUND"),LEFT(J887,FIND("-",J887,FIND("-",J887)+1))&amp;AE887))</f>
        <v>KRTS-APSU26-YETKRTSCUT5055</v>
      </c>
    </row>
    <row r="888" spans="1:34" ht="15.75" customHeight="1" x14ac:dyDescent="0.2">
      <c r="A888" s="4" t="s">
        <v>61</v>
      </c>
      <c r="B888" s="4" t="s">
        <v>1245</v>
      </c>
      <c r="C888" s="4" t="s">
        <v>1213</v>
      </c>
      <c r="D888" s="4" t="s">
        <v>1125</v>
      </c>
      <c r="E888" s="4" t="s">
        <v>34</v>
      </c>
      <c r="F888" s="4" t="s">
        <v>35</v>
      </c>
      <c r="G888" s="4" t="s">
        <v>36</v>
      </c>
      <c r="H888" s="4" t="s">
        <v>1230</v>
      </c>
      <c r="I888" s="4" t="s">
        <v>1231</v>
      </c>
      <c r="J888" s="4" t="s">
        <v>1232</v>
      </c>
      <c r="L888" s="4" t="s">
        <v>40</v>
      </c>
      <c r="M888" s="4">
        <v>1</v>
      </c>
      <c r="N888" s="4">
        <v>30</v>
      </c>
      <c r="O888" s="4">
        <v>30</v>
      </c>
      <c r="P888" s="4" t="s">
        <v>41</v>
      </c>
      <c r="Q888" s="4">
        <v>229.3</v>
      </c>
      <c r="R888" s="4">
        <v>229.3</v>
      </c>
      <c r="S888" s="4">
        <v>343.95</v>
      </c>
      <c r="T888" s="4">
        <v>6879</v>
      </c>
      <c r="U888" s="4">
        <v>5</v>
      </c>
      <c r="V888" s="4" t="s">
        <v>42</v>
      </c>
      <c r="X888" s="7" t="str">
        <f t="shared" si="45"/>
        <v>441853960</v>
      </c>
      <c r="Y888" s="8" t="str">
        <f t="shared" si="46"/>
        <v>DC</v>
      </c>
      <c r="Z888" s="8">
        <f t="shared" si="47"/>
        <v>30</v>
      </c>
      <c r="AA888" s="8">
        <f t="shared" si="48"/>
        <v>0</v>
      </c>
      <c r="AB888" s="8">
        <f t="shared" si="49"/>
        <v>0</v>
      </c>
      <c r="AC888" s="8">
        <f t="shared" si="50"/>
        <v>0</v>
      </c>
      <c r="AD888" s="8">
        <f t="shared" si="51"/>
        <v>0</v>
      </c>
      <c r="AE888" s="9" t="str" cm="1">
        <f t="array" ref="AE888">IFERROR(_xlfn.XLOOKUP(H888,Sheet1!$G:$G,Sheet1!$F:$F),IFERROR(_xlfn.XLOOKUP(1,(--($X$2:$X$1074=X888))*(--ISNUMBER(MATCH($H$2:$H$1074,Sheet1!$G:$G,0))),_xlfn.XLOOKUP($H$2:$H$1074,Sheet1!$G:$G,Sheet1!$F:$F,"")),"NOT FOUND"))</f>
        <v>YETKRTSCUT5053</v>
      </c>
      <c r="AF888" s="10" t="str">
        <f t="shared" si="54"/>
        <v>BLUE</v>
      </c>
      <c r="AG888" s="11" t="str">
        <f t="shared" si="55"/>
        <v>HARIPAL</v>
      </c>
      <c r="AH888" s="9" t="str">
        <f>IF(OR(J888="",AE888="",AE888="NOT FOUND"),"",IF(Y888="RP",IFERROR(LEFT(_xlfn.XLOOKUP(AE888,Sheet1!$F:$F,Sheet1!$W:$W),FIND("-",_xlfn.XLOOKUP(AE888,Sheet1!$F:$F,Sheet1!$W:$W),FIND("-",_xlfn.XLOOKUP(AE888,Sheet1!$F:$F,Sheet1!$W:$W))+1))&amp;AE888,"NOT FOUND"),LEFT(J888,FIND("-",J888,FIND("-",J888)+1))&amp;AE888))</f>
        <v>KRTS-APSU26-YETKRTSCUT5053</v>
      </c>
    </row>
    <row r="889" spans="1:34" ht="15.75" customHeight="1" x14ac:dyDescent="0.2">
      <c r="A889" s="4" t="s">
        <v>61</v>
      </c>
      <c r="B889" s="4" t="s">
        <v>1245</v>
      </c>
      <c r="C889" s="4" t="s">
        <v>1213</v>
      </c>
      <c r="D889" s="4" t="s">
        <v>1125</v>
      </c>
      <c r="E889" s="4" t="s">
        <v>34</v>
      </c>
      <c r="F889" s="4" t="s">
        <v>35</v>
      </c>
      <c r="G889" s="4" t="s">
        <v>55</v>
      </c>
      <c r="H889" s="4" t="s">
        <v>1239</v>
      </c>
      <c r="I889" s="4" t="s">
        <v>1240</v>
      </c>
      <c r="J889" s="4" t="s">
        <v>1241</v>
      </c>
      <c r="L889" s="4" t="s">
        <v>40</v>
      </c>
      <c r="M889" s="4">
        <v>1</v>
      </c>
      <c r="N889" s="4">
        <v>40</v>
      </c>
      <c r="O889" s="4">
        <v>40</v>
      </c>
      <c r="P889" s="4" t="s">
        <v>41</v>
      </c>
      <c r="Q889" s="4">
        <v>229.3</v>
      </c>
      <c r="R889" s="4">
        <v>229.3</v>
      </c>
      <c r="S889" s="4">
        <v>458.6</v>
      </c>
      <c r="T889" s="4">
        <v>9172</v>
      </c>
      <c r="U889" s="4">
        <v>5</v>
      </c>
      <c r="V889" s="4" t="s">
        <v>42</v>
      </c>
      <c r="X889" s="7" t="str">
        <f t="shared" si="45"/>
        <v>441853960</v>
      </c>
      <c r="Y889" s="8" t="str">
        <f t="shared" si="46"/>
        <v>DC</v>
      </c>
      <c r="Z889" s="8">
        <f t="shared" si="47"/>
        <v>0</v>
      </c>
      <c r="AA889" s="8">
        <f t="shared" si="48"/>
        <v>0</v>
      </c>
      <c r="AB889" s="8">
        <f t="shared" si="49"/>
        <v>0</v>
      </c>
      <c r="AC889" s="8">
        <f t="shared" si="50"/>
        <v>0</v>
      </c>
      <c r="AD889" s="8">
        <f t="shared" si="51"/>
        <v>40</v>
      </c>
      <c r="AE889" s="9" t="str" cm="1">
        <f t="array" ref="AE889">IFERROR(_xlfn.XLOOKUP(H889,Sheet1!$G:$G,Sheet1!$F:$F),IFERROR(_xlfn.XLOOKUP(1,(--($X$2:$X$1074=X889))*(--ISNUMBER(MATCH($H$2:$H$1074,Sheet1!$G:$G,0))),_xlfn.XLOOKUP($H$2:$H$1074,Sheet1!$G:$G,Sheet1!$F:$F,"")),"NOT FOUND"))</f>
        <v>YETKRTSCUT5053</v>
      </c>
      <c r="AF889" s="10" t="str">
        <f t="shared" si="54"/>
        <v>BLUE</v>
      </c>
      <c r="AG889" s="11" t="str">
        <f t="shared" si="55"/>
        <v>HARIPAL</v>
      </c>
      <c r="AH889" s="9" t="str">
        <f>IF(OR(J889="",AE889="",AE889="NOT FOUND"),"",IF(Y889="RP",IFERROR(LEFT(_xlfn.XLOOKUP(AE889,Sheet1!$F:$F,Sheet1!$W:$W),FIND("-",_xlfn.XLOOKUP(AE889,Sheet1!$F:$F,Sheet1!$W:$W),FIND("-",_xlfn.XLOOKUP(AE889,Sheet1!$F:$F,Sheet1!$W:$W))+1))&amp;AE889,"NOT FOUND"),LEFT(J889,FIND("-",J889,FIND("-",J889)+1))&amp;AE889))</f>
        <v>KRTS-APSU26-YETKRTSCUT5053</v>
      </c>
    </row>
    <row r="890" spans="1:34" ht="15.75" customHeight="1" x14ac:dyDescent="0.2">
      <c r="A890" s="4" t="s">
        <v>59</v>
      </c>
      <c r="B890" s="4" t="s">
        <v>1246</v>
      </c>
      <c r="C890" s="4" t="s">
        <v>1017</v>
      </c>
      <c r="D890" s="4" t="s">
        <v>1125</v>
      </c>
      <c r="E890" s="4" t="s">
        <v>34</v>
      </c>
      <c r="F890" s="4" t="s">
        <v>35</v>
      </c>
      <c r="G890" s="4" t="s">
        <v>36</v>
      </c>
      <c r="H890" s="4" t="s">
        <v>1197</v>
      </c>
      <c r="I890" s="4" t="s">
        <v>1198</v>
      </c>
      <c r="J890" s="4" t="s">
        <v>1199</v>
      </c>
      <c r="L890" s="4" t="s">
        <v>40</v>
      </c>
      <c r="M890" s="4">
        <v>1</v>
      </c>
      <c r="N890" s="4">
        <v>30</v>
      </c>
      <c r="O890" s="4">
        <v>30</v>
      </c>
      <c r="P890" s="4" t="s">
        <v>41</v>
      </c>
      <c r="Q890" s="4">
        <v>229.3</v>
      </c>
      <c r="R890" s="4">
        <v>229.3</v>
      </c>
      <c r="S890" s="4">
        <v>343.95</v>
      </c>
      <c r="T890" s="4">
        <v>6879</v>
      </c>
      <c r="U890" s="4">
        <v>5</v>
      </c>
      <c r="V890" s="4" t="s">
        <v>42</v>
      </c>
      <c r="X890" s="7" t="str">
        <f t="shared" si="45"/>
        <v>441853916</v>
      </c>
      <c r="Y890" s="8" t="str">
        <f t="shared" si="46"/>
        <v>DC</v>
      </c>
      <c r="Z890" s="8">
        <f t="shared" si="47"/>
        <v>30</v>
      </c>
      <c r="AA890" s="8">
        <f t="shared" si="48"/>
        <v>0</v>
      </c>
      <c r="AB890" s="8">
        <f t="shared" si="49"/>
        <v>0</v>
      </c>
      <c r="AC890" s="8">
        <f t="shared" si="50"/>
        <v>0</v>
      </c>
      <c r="AD890" s="8">
        <f t="shared" si="51"/>
        <v>0</v>
      </c>
      <c r="AE890" s="9" t="str" cm="1">
        <f t="array" ref="AE890">IFERROR(_xlfn.XLOOKUP(H890,Sheet1!$G:$G,Sheet1!$F:$F),IFERROR(_xlfn.XLOOKUP(1,(--($X$2:$X$1074=X890))*(--ISNUMBER(MATCH($H$2:$H$1074,Sheet1!$G:$G,0))),_xlfn.XLOOKUP($H$2:$H$1074,Sheet1!$G:$G,Sheet1!$F:$F,"")),"NOT FOUND"))</f>
        <v>YETKRTSCUT5005</v>
      </c>
      <c r="AF890" s="10" t="str">
        <f t="shared" si="54"/>
        <v>PEACH</v>
      </c>
      <c r="AG890" s="11" t="str">
        <f t="shared" si="55"/>
        <v>JHAJJAR</v>
      </c>
      <c r="AH890" s="9" t="str">
        <f>IF(OR(J890="",AE890="",AE890="NOT FOUND"),"",IF(Y890="RP",IFERROR(LEFT(_xlfn.XLOOKUP(AE890,Sheet1!$F:$F,Sheet1!$W:$W),FIND("-",_xlfn.XLOOKUP(AE890,Sheet1!$F:$F,Sheet1!$W:$W),FIND("-",_xlfn.XLOOKUP(AE890,Sheet1!$F:$F,Sheet1!$W:$W))+1))&amp;AE890,"NOT FOUND"),LEFT(J890,FIND("-",J890,FIND("-",J890)+1))&amp;AE890))</f>
        <v>KRTS-APSU26-YETKRTSCUT5005</v>
      </c>
    </row>
    <row r="891" spans="1:34" ht="15.75" customHeight="1" x14ac:dyDescent="0.2">
      <c r="A891" s="4" t="s">
        <v>59</v>
      </c>
      <c r="B891" s="4" t="s">
        <v>1246</v>
      </c>
      <c r="C891" s="4" t="s">
        <v>1017</v>
      </c>
      <c r="D891" s="4" t="s">
        <v>1125</v>
      </c>
      <c r="E891" s="4" t="s">
        <v>34</v>
      </c>
      <c r="F891" s="4" t="s">
        <v>35</v>
      </c>
      <c r="G891" s="4" t="s">
        <v>43</v>
      </c>
      <c r="H891" s="4" t="s">
        <v>1200</v>
      </c>
      <c r="I891" s="4" t="s">
        <v>1201</v>
      </c>
      <c r="J891" s="4" t="s">
        <v>1202</v>
      </c>
      <c r="L891" s="4" t="s">
        <v>40</v>
      </c>
      <c r="M891" s="4">
        <v>1</v>
      </c>
      <c r="N891" s="4">
        <v>170</v>
      </c>
      <c r="O891" s="4">
        <v>170</v>
      </c>
      <c r="P891" s="4" t="s">
        <v>41</v>
      </c>
      <c r="Q891" s="4">
        <v>229.3</v>
      </c>
      <c r="R891" s="4">
        <v>229.3</v>
      </c>
      <c r="S891" s="4">
        <v>1949.05</v>
      </c>
      <c r="T891" s="4">
        <v>38981</v>
      </c>
      <c r="U891" s="4">
        <v>5</v>
      </c>
      <c r="V891" s="4" t="s">
        <v>42</v>
      </c>
      <c r="X891" s="7" t="str">
        <f t="shared" si="45"/>
        <v>441853916</v>
      </c>
      <c r="Y891" s="8" t="str">
        <f t="shared" si="46"/>
        <v>DC</v>
      </c>
      <c r="Z891" s="8">
        <f t="shared" si="47"/>
        <v>0</v>
      </c>
      <c r="AA891" s="8">
        <f t="shared" si="48"/>
        <v>170</v>
      </c>
      <c r="AB891" s="8">
        <f t="shared" si="49"/>
        <v>0</v>
      </c>
      <c r="AC891" s="8">
        <f t="shared" si="50"/>
        <v>0</v>
      </c>
      <c r="AD891" s="8">
        <f t="shared" si="51"/>
        <v>0</v>
      </c>
      <c r="AE891" s="9" t="str" cm="1">
        <f t="array" ref="AE891">IFERROR(_xlfn.XLOOKUP(H891,Sheet1!$G:$G,Sheet1!$F:$F),IFERROR(_xlfn.XLOOKUP(1,(--($X$2:$X$1074=X891))*(--ISNUMBER(MATCH($H$2:$H$1074,Sheet1!$G:$G,0))),_xlfn.XLOOKUP($H$2:$H$1074,Sheet1!$G:$G,Sheet1!$F:$F,"")),"NOT FOUND"))</f>
        <v>YETKRTSCUT5005</v>
      </c>
      <c r="AF891" s="10" t="str">
        <f t="shared" si="54"/>
        <v>PEACH</v>
      </c>
      <c r="AG891" s="11" t="str">
        <f t="shared" si="55"/>
        <v>JHAJJAR</v>
      </c>
      <c r="AH891" s="9" t="str">
        <f>IF(OR(J891="",AE891="",AE891="NOT FOUND"),"",IF(Y891="RP",IFERROR(LEFT(_xlfn.XLOOKUP(AE891,Sheet1!$F:$F,Sheet1!$W:$W),FIND("-",_xlfn.XLOOKUP(AE891,Sheet1!$F:$F,Sheet1!$W:$W),FIND("-",_xlfn.XLOOKUP(AE891,Sheet1!$F:$F,Sheet1!$W:$W))+1))&amp;AE891,"NOT FOUND"),LEFT(J891,FIND("-",J891,FIND("-",J891)+1))&amp;AE891))</f>
        <v>KRTS-APSU26-YETKRTSCUT5005</v>
      </c>
    </row>
    <row r="892" spans="1:34" ht="15.75" customHeight="1" x14ac:dyDescent="0.2">
      <c r="A892" s="4" t="s">
        <v>59</v>
      </c>
      <c r="B892" s="4" t="s">
        <v>1246</v>
      </c>
      <c r="C892" s="4" t="s">
        <v>1017</v>
      </c>
      <c r="D892" s="4" t="s">
        <v>1125</v>
      </c>
      <c r="E892" s="4" t="s">
        <v>34</v>
      </c>
      <c r="F892" s="4" t="s">
        <v>35</v>
      </c>
      <c r="G892" s="4" t="s">
        <v>47</v>
      </c>
      <c r="H892" s="4" t="s">
        <v>1203</v>
      </c>
      <c r="I892" s="4" t="s">
        <v>1204</v>
      </c>
      <c r="J892" s="4" t="s">
        <v>1205</v>
      </c>
      <c r="L892" s="4" t="s">
        <v>40</v>
      </c>
      <c r="M892" s="4">
        <v>1</v>
      </c>
      <c r="N892" s="4">
        <v>192</v>
      </c>
      <c r="O892" s="4">
        <v>192</v>
      </c>
      <c r="P892" s="4" t="s">
        <v>41</v>
      </c>
      <c r="Q892" s="4">
        <v>229.3</v>
      </c>
      <c r="R892" s="4">
        <v>229.3</v>
      </c>
      <c r="S892" s="4">
        <v>2201.2800000000002</v>
      </c>
      <c r="T892" s="4">
        <v>44025.599999999999</v>
      </c>
      <c r="U892" s="4">
        <v>5</v>
      </c>
      <c r="V892" s="4" t="s">
        <v>42</v>
      </c>
      <c r="X892" s="7" t="str">
        <f t="shared" si="45"/>
        <v>441853916</v>
      </c>
      <c r="Y892" s="8" t="str">
        <f t="shared" si="46"/>
        <v>DC</v>
      </c>
      <c r="Z892" s="8">
        <f t="shared" si="47"/>
        <v>0</v>
      </c>
      <c r="AA892" s="8">
        <f t="shared" si="48"/>
        <v>0</v>
      </c>
      <c r="AB892" s="8">
        <f t="shared" si="49"/>
        <v>192</v>
      </c>
      <c r="AC892" s="8">
        <f t="shared" si="50"/>
        <v>0</v>
      </c>
      <c r="AD892" s="8">
        <f t="shared" si="51"/>
        <v>0</v>
      </c>
      <c r="AE892" s="9" t="str" cm="1">
        <f t="array" ref="AE892">IFERROR(_xlfn.XLOOKUP(H892,Sheet1!$G:$G,Sheet1!$F:$F),IFERROR(_xlfn.XLOOKUP(1,(--($X$2:$X$1074=X892))*(--ISNUMBER(MATCH($H$2:$H$1074,Sheet1!$G:$G,0))),_xlfn.XLOOKUP($H$2:$H$1074,Sheet1!$G:$G,Sheet1!$F:$F,"")),"NOT FOUND"))</f>
        <v>YETKRTSCUT5005</v>
      </c>
      <c r="AF892" s="10" t="str">
        <f t="shared" si="54"/>
        <v>PEACH</v>
      </c>
      <c r="AG892" s="11" t="str">
        <f t="shared" si="55"/>
        <v>JHAJJAR</v>
      </c>
      <c r="AH892" s="9" t="str">
        <f>IF(OR(J892="",AE892="",AE892="NOT FOUND"),"",IF(Y892="RP",IFERROR(LEFT(_xlfn.XLOOKUP(AE892,Sheet1!$F:$F,Sheet1!$W:$W),FIND("-",_xlfn.XLOOKUP(AE892,Sheet1!$F:$F,Sheet1!$W:$W),FIND("-",_xlfn.XLOOKUP(AE892,Sheet1!$F:$F,Sheet1!$W:$W))+1))&amp;AE892,"NOT FOUND"),LEFT(J892,FIND("-",J892,FIND("-",J892)+1))&amp;AE892))</f>
        <v>KRTS-APSU26-YETKRTSCUT5005</v>
      </c>
    </row>
    <row r="893" spans="1:34" ht="15.75" customHeight="1" x14ac:dyDescent="0.2">
      <c r="A893" s="4" t="s">
        <v>59</v>
      </c>
      <c r="B893" s="4" t="s">
        <v>1246</v>
      </c>
      <c r="C893" s="4" t="s">
        <v>1017</v>
      </c>
      <c r="D893" s="4" t="s">
        <v>1125</v>
      </c>
      <c r="E893" s="4" t="s">
        <v>34</v>
      </c>
      <c r="F893" s="4" t="s">
        <v>35</v>
      </c>
      <c r="G893" s="4" t="s">
        <v>51</v>
      </c>
      <c r="H893" s="4" t="s">
        <v>1206</v>
      </c>
      <c r="I893" s="4" t="s">
        <v>1207</v>
      </c>
      <c r="J893" s="4" t="s">
        <v>1208</v>
      </c>
      <c r="L893" s="4" t="s">
        <v>40</v>
      </c>
      <c r="M893" s="4">
        <v>1</v>
      </c>
      <c r="N893" s="4">
        <v>224</v>
      </c>
      <c r="O893" s="4">
        <v>224</v>
      </c>
      <c r="P893" s="4" t="s">
        <v>41</v>
      </c>
      <c r="Q893" s="4">
        <v>229.3</v>
      </c>
      <c r="R893" s="4">
        <v>229.3</v>
      </c>
      <c r="S893" s="4">
        <v>2568.16</v>
      </c>
      <c r="T893" s="4">
        <v>51363.199999999997</v>
      </c>
      <c r="U893" s="4">
        <v>5</v>
      </c>
      <c r="V893" s="4" t="s">
        <v>42</v>
      </c>
      <c r="X893" s="7" t="str">
        <f t="shared" si="45"/>
        <v>441853916</v>
      </c>
      <c r="Y893" s="8" t="str">
        <f t="shared" si="46"/>
        <v>DC</v>
      </c>
      <c r="Z893" s="8">
        <f t="shared" si="47"/>
        <v>0</v>
      </c>
      <c r="AA893" s="8">
        <f t="shared" si="48"/>
        <v>0</v>
      </c>
      <c r="AB893" s="8">
        <f t="shared" si="49"/>
        <v>0</v>
      </c>
      <c r="AC893" s="8">
        <f t="shared" si="50"/>
        <v>224</v>
      </c>
      <c r="AD893" s="8">
        <f t="shared" si="51"/>
        <v>0</v>
      </c>
      <c r="AE893" s="9" t="str" cm="1">
        <f t="array" ref="AE893">IFERROR(_xlfn.XLOOKUP(H893,Sheet1!$G:$G,Sheet1!$F:$F),IFERROR(_xlfn.XLOOKUP(1,(--($X$2:$X$1074=X893))*(--ISNUMBER(MATCH($H$2:$H$1074,Sheet1!$G:$G,0))),_xlfn.XLOOKUP($H$2:$H$1074,Sheet1!$G:$G,Sheet1!$F:$F,"")),"NOT FOUND"))</f>
        <v>YETKRTSCUT5005</v>
      </c>
      <c r="AF893" s="10" t="str">
        <f t="shared" si="54"/>
        <v>PEACH</v>
      </c>
      <c r="AG893" s="11" t="str">
        <f t="shared" si="55"/>
        <v>JHAJJAR</v>
      </c>
      <c r="AH893" s="9" t="str">
        <f>IF(OR(J893="",AE893="",AE893="NOT FOUND"),"",IF(Y893="RP",IFERROR(LEFT(_xlfn.XLOOKUP(AE893,Sheet1!$F:$F,Sheet1!$W:$W),FIND("-",_xlfn.XLOOKUP(AE893,Sheet1!$F:$F,Sheet1!$W:$W),FIND("-",_xlfn.XLOOKUP(AE893,Sheet1!$F:$F,Sheet1!$W:$W))+1))&amp;AE893,"NOT FOUND"),LEFT(J893,FIND("-",J893,FIND("-",J893)+1))&amp;AE893))</f>
        <v>KRTS-APSU26-YETKRTSCUT5005</v>
      </c>
    </row>
    <row r="894" spans="1:34" ht="15.75" customHeight="1" x14ac:dyDescent="0.2">
      <c r="A894" s="4" t="s">
        <v>59</v>
      </c>
      <c r="B894" s="4" t="s">
        <v>1246</v>
      </c>
      <c r="C894" s="4" t="s">
        <v>1017</v>
      </c>
      <c r="D894" s="4" t="s">
        <v>1125</v>
      </c>
      <c r="E894" s="4" t="s">
        <v>34</v>
      </c>
      <c r="F894" s="4" t="s">
        <v>35</v>
      </c>
      <c r="G894" s="4" t="s">
        <v>55</v>
      </c>
      <c r="H894" s="4" t="s">
        <v>1209</v>
      </c>
      <c r="I894" s="4" t="s">
        <v>1210</v>
      </c>
      <c r="J894" s="4" t="s">
        <v>1211</v>
      </c>
      <c r="L894" s="4" t="s">
        <v>40</v>
      </c>
      <c r="M894" s="4">
        <v>1</v>
      </c>
      <c r="N894" s="4">
        <v>42</v>
      </c>
      <c r="O894" s="4">
        <v>42</v>
      </c>
      <c r="P894" s="4" t="s">
        <v>41</v>
      </c>
      <c r="Q894" s="4">
        <v>229.3</v>
      </c>
      <c r="R894" s="4">
        <v>229.3</v>
      </c>
      <c r="S894" s="4">
        <v>481.53</v>
      </c>
      <c r="T894" s="4">
        <v>9630.6</v>
      </c>
      <c r="U894" s="4">
        <v>5</v>
      </c>
      <c r="V894" s="4" t="s">
        <v>42</v>
      </c>
      <c r="X894" s="7" t="str">
        <f t="shared" si="45"/>
        <v>441853916</v>
      </c>
      <c r="Y894" s="8" t="str">
        <f t="shared" si="46"/>
        <v>DC</v>
      </c>
      <c r="Z894" s="8">
        <f t="shared" si="47"/>
        <v>0</v>
      </c>
      <c r="AA894" s="8">
        <f t="shared" si="48"/>
        <v>0</v>
      </c>
      <c r="AB894" s="8">
        <f t="shared" si="49"/>
        <v>0</v>
      </c>
      <c r="AC894" s="8">
        <f t="shared" si="50"/>
        <v>0</v>
      </c>
      <c r="AD894" s="8">
        <f t="shared" si="51"/>
        <v>42</v>
      </c>
      <c r="AE894" s="9" t="str" cm="1">
        <f t="array" ref="AE894">IFERROR(_xlfn.XLOOKUP(H894,Sheet1!$G:$G,Sheet1!$F:$F),IFERROR(_xlfn.XLOOKUP(1,(--($X$2:$X$1074=X894))*(--ISNUMBER(MATCH($H$2:$H$1074,Sheet1!$G:$G,0))),_xlfn.XLOOKUP($H$2:$H$1074,Sheet1!$G:$G,Sheet1!$F:$F,"")),"NOT FOUND"))</f>
        <v>YETKRTSCUT5005</v>
      </c>
      <c r="AF894" s="10" t="str">
        <f t="shared" si="54"/>
        <v>PEACH</v>
      </c>
      <c r="AG894" s="11" t="str">
        <f t="shared" si="55"/>
        <v>JHAJJAR</v>
      </c>
      <c r="AH894" s="9" t="str">
        <f>IF(OR(J894="",AE894="",AE894="NOT FOUND"),"",IF(Y894="RP",IFERROR(LEFT(_xlfn.XLOOKUP(AE894,Sheet1!$F:$F,Sheet1!$W:$W),FIND("-",_xlfn.XLOOKUP(AE894,Sheet1!$F:$F,Sheet1!$W:$W),FIND("-",_xlfn.XLOOKUP(AE894,Sheet1!$F:$F,Sheet1!$W:$W))+1))&amp;AE894,"NOT FOUND"),LEFT(J894,FIND("-",J894,FIND("-",J894)+1))&amp;AE894))</f>
        <v>KRTS-APSU26-YETKRTSCUT5005</v>
      </c>
    </row>
    <row r="895" spans="1:34" ht="15.75" customHeight="1" x14ac:dyDescent="0.2">
      <c r="A895" s="4" t="s">
        <v>61</v>
      </c>
      <c r="B895" s="4" t="s">
        <v>1247</v>
      </c>
      <c r="C895" s="4" t="s">
        <v>1017</v>
      </c>
      <c r="D895" s="4" t="s">
        <v>1125</v>
      </c>
      <c r="E895" s="4" t="s">
        <v>34</v>
      </c>
      <c r="F895" s="4" t="s">
        <v>35</v>
      </c>
      <c r="G895" s="4" t="s">
        <v>36</v>
      </c>
      <c r="H895" s="4" t="s">
        <v>1197</v>
      </c>
      <c r="I895" s="4" t="s">
        <v>1198</v>
      </c>
      <c r="J895" s="4" t="s">
        <v>1199</v>
      </c>
      <c r="L895" s="4" t="s">
        <v>40</v>
      </c>
      <c r="M895" s="4">
        <v>1</v>
      </c>
      <c r="N895" s="4">
        <v>30</v>
      </c>
      <c r="O895" s="4">
        <v>30</v>
      </c>
      <c r="P895" s="4" t="s">
        <v>41</v>
      </c>
      <c r="Q895" s="4">
        <v>229.3</v>
      </c>
      <c r="R895" s="4">
        <v>229.3</v>
      </c>
      <c r="S895" s="4">
        <v>343.95</v>
      </c>
      <c r="T895" s="4">
        <v>6879</v>
      </c>
      <c r="U895" s="4">
        <v>5</v>
      </c>
      <c r="V895" s="4" t="s">
        <v>42</v>
      </c>
      <c r="X895" s="7" t="str">
        <f t="shared" si="45"/>
        <v>441853916</v>
      </c>
      <c r="Y895" s="8" t="str">
        <f t="shared" si="46"/>
        <v>DC</v>
      </c>
      <c r="Z895" s="8">
        <f t="shared" si="47"/>
        <v>30</v>
      </c>
      <c r="AA895" s="8">
        <f t="shared" si="48"/>
        <v>0</v>
      </c>
      <c r="AB895" s="8">
        <f t="shared" si="49"/>
        <v>0</v>
      </c>
      <c r="AC895" s="8">
        <f t="shared" si="50"/>
        <v>0</v>
      </c>
      <c r="AD895" s="8">
        <f t="shared" si="51"/>
        <v>0</v>
      </c>
      <c r="AE895" s="9" t="str" cm="1">
        <f t="array" ref="AE895">IFERROR(_xlfn.XLOOKUP(H895,Sheet1!$G:$G,Sheet1!$F:$F),IFERROR(_xlfn.XLOOKUP(1,(--($X$2:$X$1074=X895))*(--ISNUMBER(MATCH($H$2:$H$1074,Sheet1!$G:$G,0))),_xlfn.XLOOKUP($H$2:$H$1074,Sheet1!$G:$G,Sheet1!$F:$F,"")),"NOT FOUND"))</f>
        <v>YETKRTSCUT5005</v>
      </c>
      <c r="AF895" s="10" t="str">
        <f t="shared" si="54"/>
        <v>PEACH</v>
      </c>
      <c r="AG895" s="11" t="str">
        <f t="shared" si="55"/>
        <v>HARIPAL</v>
      </c>
      <c r="AH895" s="9" t="str">
        <f>IF(OR(J895="",AE895="",AE895="NOT FOUND"),"",IF(Y895="RP",IFERROR(LEFT(_xlfn.XLOOKUP(AE895,Sheet1!$F:$F,Sheet1!$W:$W),FIND("-",_xlfn.XLOOKUP(AE895,Sheet1!$F:$F,Sheet1!$W:$W),FIND("-",_xlfn.XLOOKUP(AE895,Sheet1!$F:$F,Sheet1!$W:$W))+1))&amp;AE895,"NOT FOUND"),LEFT(J895,FIND("-",J895,FIND("-",J895)+1))&amp;AE895))</f>
        <v>KRTS-APSU26-YETKRTSCUT5005</v>
      </c>
    </row>
    <row r="896" spans="1:34" ht="15.75" customHeight="1" x14ac:dyDescent="0.2">
      <c r="A896" s="4" t="s">
        <v>61</v>
      </c>
      <c r="B896" s="4" t="s">
        <v>1247</v>
      </c>
      <c r="C896" s="4" t="s">
        <v>1017</v>
      </c>
      <c r="D896" s="4" t="s">
        <v>1125</v>
      </c>
      <c r="E896" s="4" t="s">
        <v>34</v>
      </c>
      <c r="F896" s="4" t="s">
        <v>35</v>
      </c>
      <c r="G896" s="4" t="s">
        <v>43</v>
      </c>
      <c r="H896" s="4" t="s">
        <v>1200</v>
      </c>
      <c r="I896" s="4" t="s">
        <v>1201</v>
      </c>
      <c r="J896" s="4" t="s">
        <v>1202</v>
      </c>
      <c r="L896" s="4" t="s">
        <v>40</v>
      </c>
      <c r="M896" s="4">
        <v>1</v>
      </c>
      <c r="N896" s="4">
        <v>161</v>
      </c>
      <c r="O896" s="4">
        <v>161</v>
      </c>
      <c r="P896" s="4" t="s">
        <v>41</v>
      </c>
      <c r="Q896" s="4">
        <v>229.3</v>
      </c>
      <c r="R896" s="4">
        <v>229.3</v>
      </c>
      <c r="S896" s="4">
        <v>1845.87</v>
      </c>
      <c r="T896" s="4">
        <v>36917.300000000003</v>
      </c>
      <c r="U896" s="4">
        <v>5</v>
      </c>
      <c r="V896" s="4" t="s">
        <v>42</v>
      </c>
      <c r="X896" s="7" t="str">
        <f t="shared" si="45"/>
        <v>441853916</v>
      </c>
      <c r="Y896" s="8" t="str">
        <f t="shared" si="46"/>
        <v>DC</v>
      </c>
      <c r="Z896" s="8">
        <f t="shared" si="47"/>
        <v>0</v>
      </c>
      <c r="AA896" s="8">
        <f t="shared" si="48"/>
        <v>161</v>
      </c>
      <c r="AB896" s="8">
        <f t="shared" si="49"/>
        <v>0</v>
      </c>
      <c r="AC896" s="8">
        <f t="shared" si="50"/>
        <v>0</v>
      </c>
      <c r="AD896" s="8">
        <f t="shared" si="51"/>
        <v>0</v>
      </c>
      <c r="AE896" s="9" t="str" cm="1">
        <f t="array" ref="AE896">IFERROR(_xlfn.XLOOKUP(H896,Sheet1!$G:$G,Sheet1!$F:$F),IFERROR(_xlfn.XLOOKUP(1,(--($X$2:$X$1074=X896))*(--ISNUMBER(MATCH($H$2:$H$1074,Sheet1!$G:$G,0))),_xlfn.XLOOKUP($H$2:$H$1074,Sheet1!$G:$G,Sheet1!$F:$F,"")),"NOT FOUND"))</f>
        <v>YETKRTSCUT5005</v>
      </c>
      <c r="AF896" s="10" t="str">
        <f t="shared" si="54"/>
        <v>PEACH</v>
      </c>
      <c r="AG896" s="11" t="str">
        <f t="shared" si="55"/>
        <v>HARIPAL</v>
      </c>
      <c r="AH896" s="9" t="str">
        <f>IF(OR(J896="",AE896="",AE896="NOT FOUND"),"",IF(Y896="RP",IFERROR(LEFT(_xlfn.XLOOKUP(AE896,Sheet1!$F:$F,Sheet1!$W:$W),FIND("-",_xlfn.XLOOKUP(AE896,Sheet1!$F:$F,Sheet1!$W:$W),FIND("-",_xlfn.XLOOKUP(AE896,Sheet1!$F:$F,Sheet1!$W:$W))+1))&amp;AE896,"NOT FOUND"),LEFT(J896,FIND("-",J896,FIND("-",J896)+1))&amp;AE896))</f>
        <v>KRTS-APSU26-YETKRTSCUT5005</v>
      </c>
    </row>
    <row r="897" spans="1:34" ht="15.75" customHeight="1" x14ac:dyDescent="0.2">
      <c r="A897" s="4" t="s">
        <v>61</v>
      </c>
      <c r="B897" s="4" t="s">
        <v>1247</v>
      </c>
      <c r="C897" s="4" t="s">
        <v>1017</v>
      </c>
      <c r="D897" s="4" t="s">
        <v>1125</v>
      </c>
      <c r="E897" s="4" t="s">
        <v>34</v>
      </c>
      <c r="F897" s="4" t="s">
        <v>35</v>
      </c>
      <c r="G897" s="4" t="s">
        <v>47</v>
      </c>
      <c r="H897" s="4" t="s">
        <v>1203</v>
      </c>
      <c r="I897" s="4" t="s">
        <v>1204</v>
      </c>
      <c r="J897" s="4" t="s">
        <v>1205</v>
      </c>
      <c r="L897" s="4" t="s">
        <v>40</v>
      </c>
      <c r="M897" s="4">
        <v>1</v>
      </c>
      <c r="N897" s="4">
        <v>182</v>
      </c>
      <c r="O897" s="4">
        <v>182</v>
      </c>
      <c r="P897" s="4" t="s">
        <v>41</v>
      </c>
      <c r="Q897" s="4">
        <v>229.3</v>
      </c>
      <c r="R897" s="4">
        <v>229.3</v>
      </c>
      <c r="S897" s="4">
        <v>2086.63</v>
      </c>
      <c r="T897" s="4">
        <v>41732.6</v>
      </c>
      <c r="U897" s="4">
        <v>5</v>
      </c>
      <c r="V897" s="4" t="s">
        <v>42</v>
      </c>
      <c r="X897" s="7" t="str">
        <f t="shared" si="45"/>
        <v>441853916</v>
      </c>
      <c r="Y897" s="8" t="str">
        <f t="shared" si="46"/>
        <v>DC</v>
      </c>
      <c r="Z897" s="8">
        <f t="shared" si="47"/>
        <v>0</v>
      </c>
      <c r="AA897" s="8">
        <f t="shared" si="48"/>
        <v>0</v>
      </c>
      <c r="AB897" s="8">
        <f t="shared" si="49"/>
        <v>182</v>
      </c>
      <c r="AC897" s="8">
        <f t="shared" si="50"/>
        <v>0</v>
      </c>
      <c r="AD897" s="8">
        <f t="shared" si="51"/>
        <v>0</v>
      </c>
      <c r="AE897" s="9" t="str" cm="1">
        <f t="array" ref="AE897">IFERROR(_xlfn.XLOOKUP(H897,Sheet1!$G:$G,Sheet1!$F:$F),IFERROR(_xlfn.XLOOKUP(1,(--($X$2:$X$1074=X897))*(--ISNUMBER(MATCH($H$2:$H$1074,Sheet1!$G:$G,0))),_xlfn.XLOOKUP($H$2:$H$1074,Sheet1!$G:$G,Sheet1!$F:$F,"")),"NOT FOUND"))</f>
        <v>YETKRTSCUT5005</v>
      </c>
      <c r="AF897" s="10" t="str">
        <f t="shared" si="54"/>
        <v>PEACH</v>
      </c>
      <c r="AG897" s="11" t="str">
        <f t="shared" si="55"/>
        <v>HARIPAL</v>
      </c>
      <c r="AH897" s="9" t="str">
        <f>IF(OR(J897="",AE897="",AE897="NOT FOUND"),"",IF(Y897="RP",IFERROR(LEFT(_xlfn.XLOOKUP(AE897,Sheet1!$F:$F,Sheet1!$W:$W),FIND("-",_xlfn.XLOOKUP(AE897,Sheet1!$F:$F,Sheet1!$W:$W),FIND("-",_xlfn.XLOOKUP(AE897,Sheet1!$F:$F,Sheet1!$W:$W))+1))&amp;AE897,"NOT FOUND"),LEFT(J897,FIND("-",J897,FIND("-",J897)+1))&amp;AE897))</f>
        <v>KRTS-APSU26-YETKRTSCUT5005</v>
      </c>
    </row>
    <row r="898" spans="1:34" ht="15.75" customHeight="1" x14ac:dyDescent="0.2">
      <c r="A898" s="4" t="s">
        <v>61</v>
      </c>
      <c r="B898" s="4" t="s">
        <v>1247</v>
      </c>
      <c r="C898" s="4" t="s">
        <v>1017</v>
      </c>
      <c r="D898" s="4" t="s">
        <v>1125</v>
      </c>
      <c r="E898" s="4" t="s">
        <v>34</v>
      </c>
      <c r="F898" s="4" t="s">
        <v>35</v>
      </c>
      <c r="G898" s="4" t="s">
        <v>51</v>
      </c>
      <c r="H898" s="4" t="s">
        <v>1206</v>
      </c>
      <c r="I898" s="4" t="s">
        <v>1207</v>
      </c>
      <c r="J898" s="4" t="s">
        <v>1208</v>
      </c>
      <c r="L898" s="4" t="s">
        <v>40</v>
      </c>
      <c r="M898" s="4">
        <v>1</v>
      </c>
      <c r="N898" s="4">
        <v>212</v>
      </c>
      <c r="O898" s="4">
        <v>212</v>
      </c>
      <c r="P898" s="4" t="s">
        <v>41</v>
      </c>
      <c r="Q898" s="4">
        <v>229.3</v>
      </c>
      <c r="R898" s="4">
        <v>229.3</v>
      </c>
      <c r="S898" s="4">
        <v>2430.58</v>
      </c>
      <c r="T898" s="4">
        <v>48611.6</v>
      </c>
      <c r="U898" s="4">
        <v>5</v>
      </c>
      <c r="V898" s="4" t="s">
        <v>42</v>
      </c>
      <c r="X898" s="7" t="str">
        <f t="shared" si="45"/>
        <v>441853916</v>
      </c>
      <c r="Y898" s="8" t="str">
        <f t="shared" si="46"/>
        <v>DC</v>
      </c>
      <c r="Z898" s="8">
        <f t="shared" si="47"/>
        <v>0</v>
      </c>
      <c r="AA898" s="8">
        <f t="shared" si="48"/>
        <v>0</v>
      </c>
      <c r="AB898" s="8">
        <f t="shared" si="49"/>
        <v>0</v>
      </c>
      <c r="AC898" s="8">
        <f t="shared" si="50"/>
        <v>212</v>
      </c>
      <c r="AD898" s="8">
        <f t="shared" si="51"/>
        <v>0</v>
      </c>
      <c r="AE898" s="9" t="str" cm="1">
        <f t="array" ref="AE898">IFERROR(_xlfn.XLOOKUP(H898,Sheet1!$G:$G,Sheet1!$F:$F),IFERROR(_xlfn.XLOOKUP(1,(--($X$2:$X$1074=X898))*(--ISNUMBER(MATCH($H$2:$H$1074,Sheet1!$G:$G,0))),_xlfn.XLOOKUP($H$2:$H$1074,Sheet1!$G:$G,Sheet1!$F:$F,"")),"NOT FOUND"))</f>
        <v>YETKRTSCUT5005</v>
      </c>
      <c r="AF898" s="10" t="str">
        <f t="shared" si="54"/>
        <v>PEACH</v>
      </c>
      <c r="AG898" s="11" t="str">
        <f t="shared" si="55"/>
        <v>HARIPAL</v>
      </c>
      <c r="AH898" s="9" t="str">
        <f>IF(OR(J898="",AE898="",AE898="NOT FOUND"),"",IF(Y898="RP",IFERROR(LEFT(_xlfn.XLOOKUP(AE898,Sheet1!$F:$F,Sheet1!$W:$W),FIND("-",_xlfn.XLOOKUP(AE898,Sheet1!$F:$F,Sheet1!$W:$W),FIND("-",_xlfn.XLOOKUP(AE898,Sheet1!$F:$F,Sheet1!$W:$W))+1))&amp;AE898,"NOT FOUND"),LEFT(J898,FIND("-",J898,FIND("-",J898)+1))&amp;AE898))</f>
        <v>KRTS-APSU26-YETKRTSCUT5005</v>
      </c>
    </row>
    <row r="899" spans="1:34" ht="15.75" customHeight="1" x14ac:dyDescent="0.2">
      <c r="A899" s="4" t="s">
        <v>61</v>
      </c>
      <c r="B899" s="4" t="s">
        <v>1247</v>
      </c>
      <c r="C899" s="4" t="s">
        <v>1017</v>
      </c>
      <c r="D899" s="4" t="s">
        <v>1125</v>
      </c>
      <c r="E899" s="4" t="s">
        <v>34</v>
      </c>
      <c r="F899" s="4" t="s">
        <v>35</v>
      </c>
      <c r="G899" s="4" t="s">
        <v>55</v>
      </c>
      <c r="H899" s="4" t="s">
        <v>1209</v>
      </c>
      <c r="I899" s="4" t="s">
        <v>1210</v>
      </c>
      <c r="J899" s="4" t="s">
        <v>1211</v>
      </c>
      <c r="L899" s="4" t="s">
        <v>40</v>
      </c>
      <c r="M899" s="4">
        <v>1</v>
      </c>
      <c r="N899" s="4">
        <v>40</v>
      </c>
      <c r="O899" s="4">
        <v>40</v>
      </c>
      <c r="P899" s="4" t="s">
        <v>41</v>
      </c>
      <c r="Q899" s="4">
        <v>229.3</v>
      </c>
      <c r="R899" s="4">
        <v>229.3</v>
      </c>
      <c r="S899" s="4">
        <v>458.6</v>
      </c>
      <c r="T899" s="4">
        <v>9172</v>
      </c>
      <c r="U899" s="4">
        <v>5</v>
      </c>
      <c r="V899" s="4" t="s">
        <v>42</v>
      </c>
      <c r="X899" s="7" t="str">
        <f t="shared" si="45"/>
        <v>441853916</v>
      </c>
      <c r="Y899" s="8" t="str">
        <f t="shared" si="46"/>
        <v>DC</v>
      </c>
      <c r="Z899" s="8">
        <f t="shared" si="47"/>
        <v>0</v>
      </c>
      <c r="AA899" s="8">
        <f t="shared" si="48"/>
        <v>0</v>
      </c>
      <c r="AB899" s="8">
        <f t="shared" si="49"/>
        <v>0</v>
      </c>
      <c r="AC899" s="8">
        <f t="shared" si="50"/>
        <v>0</v>
      </c>
      <c r="AD899" s="8">
        <f t="shared" si="51"/>
        <v>40</v>
      </c>
      <c r="AE899" s="9" t="str" cm="1">
        <f t="array" ref="AE899">IFERROR(_xlfn.XLOOKUP(H899,Sheet1!$G:$G,Sheet1!$F:$F),IFERROR(_xlfn.XLOOKUP(1,(--($X$2:$X$1074=X899))*(--ISNUMBER(MATCH($H$2:$H$1074,Sheet1!$G:$G,0))),_xlfn.XLOOKUP($H$2:$H$1074,Sheet1!$G:$G,Sheet1!$F:$F,"")),"NOT FOUND"))</f>
        <v>YETKRTSCUT5005</v>
      </c>
      <c r="AF899" s="10" t="str">
        <f t="shared" ref="AF899:AF962" si="56">IFERROR(IF(ISNUMBER(SEARCH("(RP)",J899)),TRIM(SUBSTITUTE(MID(J899,10,LEN(J899)),"(RP)","")),TRIM(MID(J899,FIND(",",J899)+1,FIND(",",J899,FIND(",",J899)+1)-FIND(",",J899)-1))),"")</f>
        <v>PEACH</v>
      </c>
      <c r="AG899" s="11" t="str">
        <f t="shared" ref="AG899:AG962" si="57">IF(A899="SZAF","Bangalore",IF(A899="SAEX","JHAJJAR",IF(A899="S0EU","HARIPAL","")))</f>
        <v>HARIPAL</v>
      </c>
      <c r="AH899" s="9" t="str">
        <f>IF(OR(J899="",AE899="",AE899="NOT FOUND"),"",IF(Y899="RP",IFERROR(LEFT(_xlfn.XLOOKUP(AE899,Sheet1!$F:$F,Sheet1!$W:$W),FIND("-",_xlfn.XLOOKUP(AE899,Sheet1!$F:$F,Sheet1!$W:$W),FIND("-",_xlfn.XLOOKUP(AE899,Sheet1!$F:$F,Sheet1!$W:$W))+1))&amp;AE899,"NOT FOUND"),LEFT(J899,FIND("-",J899,FIND("-",J899)+1))&amp;AE899))</f>
        <v>KRTS-APSU26-YETKRTSCUT5005</v>
      </c>
    </row>
    <row r="900" spans="1:34" ht="15.75" customHeight="1" x14ac:dyDescent="0.2">
      <c r="A900" s="4" t="s">
        <v>30</v>
      </c>
      <c r="B900" s="4" t="s">
        <v>1248</v>
      </c>
      <c r="C900" s="4" t="s">
        <v>1249</v>
      </c>
      <c r="D900" s="4" t="s">
        <v>998</v>
      </c>
      <c r="E900" s="4" t="s">
        <v>34</v>
      </c>
      <c r="F900" s="4" t="s">
        <v>35</v>
      </c>
      <c r="G900" s="4" t="s">
        <v>36</v>
      </c>
      <c r="H900" s="4" t="s">
        <v>1250</v>
      </c>
      <c r="I900" s="4" t="s">
        <v>1251</v>
      </c>
      <c r="J900" s="4" t="s">
        <v>1252</v>
      </c>
      <c r="L900" s="4" t="s">
        <v>40</v>
      </c>
      <c r="M900" s="4">
        <v>1</v>
      </c>
      <c r="N900" s="4">
        <v>595</v>
      </c>
      <c r="O900" s="4">
        <v>595</v>
      </c>
      <c r="P900" s="4" t="s">
        <v>41</v>
      </c>
      <c r="Q900" s="4">
        <v>1171.55</v>
      </c>
      <c r="R900" s="4">
        <v>1171.55</v>
      </c>
      <c r="S900" s="4">
        <v>34853.61</v>
      </c>
      <c r="T900" s="4">
        <v>697072.25</v>
      </c>
      <c r="U900" s="4">
        <v>5</v>
      </c>
      <c r="V900" s="4" t="s">
        <v>42</v>
      </c>
      <c r="X900" s="7" t="str">
        <f t="shared" si="45"/>
        <v>441853990</v>
      </c>
      <c r="Y900" s="8" t="str">
        <f t="shared" si="46"/>
        <v>RP</v>
      </c>
      <c r="Z900" s="8">
        <f t="shared" si="47"/>
        <v>595</v>
      </c>
      <c r="AA900" s="8">
        <f t="shared" si="48"/>
        <v>595</v>
      </c>
      <c r="AB900" s="8">
        <f t="shared" si="49"/>
        <v>595</v>
      </c>
      <c r="AC900" s="8">
        <f t="shared" si="50"/>
        <v>595</v>
      </c>
      <c r="AD900" s="8">
        <f t="shared" si="51"/>
        <v>595</v>
      </c>
      <c r="AE900" s="9" t="str" cm="1">
        <f t="array" ref="AE900">IFERROR(_xlfn.XLOOKUP(H900,Sheet1!$G:$G,Sheet1!$F:$F),IFERROR(_xlfn.XLOOKUP(1,(--($X$2:$X$1074=X900))*(--ISNUMBER(MATCH($H$2:$H$1074,Sheet1!$G:$G,0))),_xlfn.XLOOKUP($H$2:$H$1074,Sheet1!$G:$G,Sheet1!$F:$F,"")),"NOT FOUND"))</f>
        <v>YETKRTSCUT5009</v>
      </c>
      <c r="AF900" s="10" t="str">
        <f t="shared" si="56"/>
        <v>PEACH</v>
      </c>
      <c r="AG900" s="11" t="str">
        <f t="shared" si="57"/>
        <v>Bangalore</v>
      </c>
      <c r="AH900" s="9" t="str">
        <f>IF(OR(J900="",AE900="",AE900="NOT FOUND"),"",IF(Y900="RP",IFERROR(LEFT(_xlfn.XLOOKUP(AE900,Sheet1!$F:$F,Sheet1!$W:$W),FIND("-",_xlfn.XLOOKUP(AE900,Sheet1!$F:$F,Sheet1!$W:$W),FIND("-",_xlfn.XLOOKUP(AE900,Sheet1!$F:$F,Sheet1!$W:$W))+1))&amp;AE900,"NOT FOUND"),LEFT(J900,FIND("-",J900,FIND("-",J900)+1))&amp;AE900))</f>
        <v>KRTS-APSU26-YETKRTSCUT5009</v>
      </c>
    </row>
    <row r="901" spans="1:34" ht="15.75" customHeight="1" x14ac:dyDescent="0.2">
      <c r="A901" s="4" t="s">
        <v>30</v>
      </c>
      <c r="B901" s="4" t="s">
        <v>1253</v>
      </c>
      <c r="C901" s="4" t="s">
        <v>1249</v>
      </c>
      <c r="D901" s="4" t="s">
        <v>998</v>
      </c>
      <c r="E901" s="4" t="s">
        <v>34</v>
      </c>
      <c r="F901" s="4" t="s">
        <v>35</v>
      </c>
      <c r="G901" s="4" t="s">
        <v>36</v>
      </c>
      <c r="H901" s="4" t="s">
        <v>1254</v>
      </c>
      <c r="I901" s="4" t="s">
        <v>1255</v>
      </c>
      <c r="J901" s="4" t="s">
        <v>1256</v>
      </c>
      <c r="L901" s="4" t="s">
        <v>40</v>
      </c>
      <c r="M901" s="4">
        <v>1</v>
      </c>
      <c r="N901" s="4">
        <v>595</v>
      </c>
      <c r="O901" s="4">
        <v>595</v>
      </c>
      <c r="P901" s="4" t="s">
        <v>41</v>
      </c>
      <c r="Q901" s="4">
        <v>1171.55</v>
      </c>
      <c r="R901" s="4">
        <v>1171.55</v>
      </c>
      <c r="S901" s="4">
        <v>34853.61</v>
      </c>
      <c r="T901" s="4">
        <v>697072.25</v>
      </c>
      <c r="U901" s="4">
        <v>5</v>
      </c>
      <c r="V901" s="4" t="s">
        <v>42</v>
      </c>
      <c r="X901" s="7" t="str">
        <f t="shared" si="45"/>
        <v>441853990</v>
      </c>
      <c r="Y901" s="8" t="str">
        <f t="shared" si="46"/>
        <v>RP</v>
      </c>
      <c r="Z901" s="8">
        <f t="shared" si="47"/>
        <v>595</v>
      </c>
      <c r="AA901" s="8">
        <f t="shared" si="48"/>
        <v>595</v>
      </c>
      <c r="AB901" s="8">
        <f t="shared" si="49"/>
        <v>595</v>
      </c>
      <c r="AC901" s="8">
        <f t="shared" si="50"/>
        <v>595</v>
      </c>
      <c r="AD901" s="8">
        <f t="shared" si="51"/>
        <v>595</v>
      </c>
      <c r="AE901" s="9" t="str" cm="1">
        <f t="array" ref="AE901">IFERROR(_xlfn.XLOOKUP(H901,Sheet1!$G:$G,Sheet1!$F:$F),IFERROR(_xlfn.XLOOKUP(1,(--($X$2:$X$1074=X901))*(--ISNUMBER(MATCH($H$2:$H$1074,Sheet1!$G:$G,0))),_xlfn.XLOOKUP($H$2:$H$1074,Sheet1!$G:$G,Sheet1!$F:$F,"")),"NOT FOUND"))</f>
        <v>YETKRTSCUT5009</v>
      </c>
      <c r="AF901" s="10" t="str">
        <f t="shared" si="56"/>
        <v>LT. YELLOW</v>
      </c>
      <c r="AG901" s="11" t="str">
        <f t="shared" si="57"/>
        <v>Bangalore</v>
      </c>
      <c r="AH901" s="9" t="str">
        <f>IF(OR(J901="",AE901="",AE901="NOT FOUND"),"",IF(Y901="RP",IFERROR(LEFT(_xlfn.XLOOKUP(AE901,Sheet1!$F:$F,Sheet1!$W:$W),FIND("-",_xlfn.XLOOKUP(AE901,Sheet1!$F:$F,Sheet1!$W:$W),FIND("-",_xlfn.XLOOKUP(AE901,Sheet1!$F:$F,Sheet1!$W:$W))+1))&amp;AE901,"NOT FOUND"),LEFT(J901,FIND("-",J901,FIND("-",J901)+1))&amp;AE901))</f>
        <v>KRTS-APSU26-YETKRTSCUT5009</v>
      </c>
    </row>
    <row r="902" spans="1:34" ht="15.75" customHeight="1" x14ac:dyDescent="0.2">
      <c r="A902" s="4" t="s">
        <v>30</v>
      </c>
      <c r="B902" s="4" t="s">
        <v>1257</v>
      </c>
      <c r="C902" s="4" t="s">
        <v>1249</v>
      </c>
      <c r="D902" s="4" t="s">
        <v>998</v>
      </c>
      <c r="E902" s="4" t="s">
        <v>34</v>
      </c>
      <c r="F902" s="4" t="s">
        <v>35</v>
      </c>
      <c r="G902" s="4" t="s">
        <v>36</v>
      </c>
      <c r="H902" s="4" t="s">
        <v>1258</v>
      </c>
      <c r="I902" s="4" t="s">
        <v>1259</v>
      </c>
      <c r="J902" s="4" t="s">
        <v>1260</v>
      </c>
      <c r="L902" s="4" t="s">
        <v>40</v>
      </c>
      <c r="M902" s="4">
        <v>1</v>
      </c>
      <c r="N902" s="4">
        <v>595</v>
      </c>
      <c r="O902" s="4">
        <v>595</v>
      </c>
      <c r="P902" s="4" t="s">
        <v>41</v>
      </c>
      <c r="Q902" s="4">
        <v>1171.55</v>
      </c>
      <c r="R902" s="4">
        <v>1171.55</v>
      </c>
      <c r="S902" s="4">
        <v>34853.61</v>
      </c>
      <c r="T902" s="4">
        <v>697072.25</v>
      </c>
      <c r="U902" s="4">
        <v>5</v>
      </c>
      <c r="V902" s="4" t="s">
        <v>42</v>
      </c>
      <c r="X902" s="7" t="str">
        <f t="shared" si="45"/>
        <v>441853990</v>
      </c>
      <c r="Y902" s="8" t="str">
        <f t="shared" si="46"/>
        <v>RP</v>
      </c>
      <c r="Z902" s="8">
        <f t="shared" si="47"/>
        <v>595</v>
      </c>
      <c r="AA902" s="8">
        <f t="shared" si="48"/>
        <v>595</v>
      </c>
      <c r="AB902" s="8">
        <f t="shared" si="49"/>
        <v>595</v>
      </c>
      <c r="AC902" s="8">
        <f t="shared" si="50"/>
        <v>595</v>
      </c>
      <c r="AD902" s="8">
        <f t="shared" si="51"/>
        <v>595</v>
      </c>
      <c r="AE902" s="9" t="str" cm="1">
        <f t="array" ref="AE902">IFERROR(_xlfn.XLOOKUP(H902,Sheet1!$G:$G,Sheet1!$F:$F),IFERROR(_xlfn.XLOOKUP(1,(--($X$2:$X$1074=X902))*(--ISNUMBER(MATCH($H$2:$H$1074,Sheet1!$G:$G,0))),_xlfn.XLOOKUP($H$2:$H$1074,Sheet1!$G:$G,Sheet1!$F:$F,"")),"NOT FOUND"))</f>
        <v>YETKRTSCUT5009</v>
      </c>
      <c r="AF902" s="10" t="str">
        <f t="shared" si="56"/>
        <v>CREAM</v>
      </c>
      <c r="AG902" s="11" t="str">
        <f t="shared" si="57"/>
        <v>Bangalore</v>
      </c>
      <c r="AH902" s="9" t="str">
        <f>IF(OR(J902="",AE902="",AE902="NOT FOUND"),"",IF(Y902="RP",IFERROR(LEFT(_xlfn.XLOOKUP(AE902,Sheet1!$F:$F,Sheet1!$W:$W),FIND("-",_xlfn.XLOOKUP(AE902,Sheet1!$F:$F,Sheet1!$W:$W),FIND("-",_xlfn.XLOOKUP(AE902,Sheet1!$F:$F,Sheet1!$W:$W))+1))&amp;AE902,"NOT FOUND"),LEFT(J902,FIND("-",J902,FIND("-",J902)+1))&amp;AE902))</f>
        <v>KRTS-APSU26-YETKRTSCUT5009</v>
      </c>
    </row>
    <row r="903" spans="1:34" ht="15.75" customHeight="1" x14ac:dyDescent="0.2">
      <c r="A903" s="4" t="s">
        <v>30</v>
      </c>
      <c r="B903" s="4" t="s">
        <v>1261</v>
      </c>
      <c r="C903" s="4" t="s">
        <v>1249</v>
      </c>
      <c r="D903" s="4" t="s">
        <v>998</v>
      </c>
      <c r="E903" s="4" t="s">
        <v>34</v>
      </c>
      <c r="F903" s="4" t="s">
        <v>35</v>
      </c>
      <c r="G903" s="4" t="s">
        <v>36</v>
      </c>
      <c r="H903" s="4" t="s">
        <v>1262</v>
      </c>
      <c r="I903" s="4" t="s">
        <v>1263</v>
      </c>
      <c r="J903" s="4" t="s">
        <v>1264</v>
      </c>
      <c r="L903" s="4" t="s">
        <v>40</v>
      </c>
      <c r="M903" s="4">
        <v>1</v>
      </c>
      <c r="N903" s="4">
        <v>595</v>
      </c>
      <c r="O903" s="4">
        <v>595</v>
      </c>
      <c r="P903" s="4" t="s">
        <v>41</v>
      </c>
      <c r="Q903" s="4">
        <v>1171.55</v>
      </c>
      <c r="R903" s="4">
        <v>1171.55</v>
      </c>
      <c r="S903" s="4">
        <v>34853.61</v>
      </c>
      <c r="T903" s="4">
        <v>697072.25</v>
      </c>
      <c r="U903" s="4">
        <v>5</v>
      </c>
      <c r="V903" s="4" t="s">
        <v>42</v>
      </c>
      <c r="X903" s="7" t="str">
        <f t="shared" si="45"/>
        <v>441853990</v>
      </c>
      <c r="Y903" s="8" t="str">
        <f t="shared" si="46"/>
        <v>RP</v>
      </c>
      <c r="Z903" s="8">
        <f t="shared" si="47"/>
        <v>595</v>
      </c>
      <c r="AA903" s="8">
        <f t="shared" si="48"/>
        <v>595</v>
      </c>
      <c r="AB903" s="8">
        <f t="shared" si="49"/>
        <v>595</v>
      </c>
      <c r="AC903" s="8">
        <f t="shared" si="50"/>
        <v>595</v>
      </c>
      <c r="AD903" s="8">
        <f t="shared" si="51"/>
        <v>595</v>
      </c>
      <c r="AE903" s="9" t="str" cm="1">
        <f t="array" ref="AE903">IFERROR(_xlfn.XLOOKUP(H903,Sheet1!$G:$G,Sheet1!$F:$F),IFERROR(_xlfn.XLOOKUP(1,(--($X$2:$X$1074=X903))*(--ISNUMBER(MATCH($H$2:$H$1074,Sheet1!$G:$G,0))),_xlfn.XLOOKUP($H$2:$H$1074,Sheet1!$G:$G,Sheet1!$F:$F,"")),"NOT FOUND"))</f>
        <v>YETKRTSCUT5009</v>
      </c>
      <c r="AF903" s="10" t="str">
        <f t="shared" si="56"/>
        <v>BLACK</v>
      </c>
      <c r="AG903" s="11" t="str">
        <f t="shared" si="57"/>
        <v>Bangalore</v>
      </c>
      <c r="AH903" s="9" t="str">
        <f>IF(OR(J903="",AE903="",AE903="NOT FOUND"),"",IF(Y903="RP",IFERROR(LEFT(_xlfn.XLOOKUP(AE903,Sheet1!$F:$F,Sheet1!$W:$W),FIND("-",_xlfn.XLOOKUP(AE903,Sheet1!$F:$F,Sheet1!$W:$W),FIND("-",_xlfn.XLOOKUP(AE903,Sheet1!$F:$F,Sheet1!$W:$W))+1))&amp;AE903,"NOT FOUND"),LEFT(J903,FIND("-",J903,FIND("-",J903)+1))&amp;AE903))</f>
        <v>KRTS-APSU26-YETKRTSCUT5009</v>
      </c>
    </row>
    <row r="904" spans="1:34" ht="15.75" customHeight="1" x14ac:dyDescent="0.2">
      <c r="A904" s="4" t="s">
        <v>59</v>
      </c>
      <c r="B904" s="4" t="s">
        <v>1265</v>
      </c>
      <c r="C904" s="4" t="s">
        <v>1249</v>
      </c>
      <c r="D904" s="4" t="s">
        <v>998</v>
      </c>
      <c r="E904" s="4" t="s">
        <v>34</v>
      </c>
      <c r="F904" s="4" t="s">
        <v>35</v>
      </c>
      <c r="G904" s="4" t="s">
        <v>36</v>
      </c>
      <c r="H904" s="4" t="s">
        <v>1254</v>
      </c>
      <c r="I904" s="4" t="s">
        <v>1255</v>
      </c>
      <c r="J904" s="4" t="s">
        <v>1256</v>
      </c>
      <c r="L904" s="4" t="s">
        <v>40</v>
      </c>
      <c r="M904" s="4">
        <v>1</v>
      </c>
      <c r="N904" s="4">
        <v>299</v>
      </c>
      <c r="O904" s="4">
        <v>299</v>
      </c>
      <c r="P904" s="4" t="s">
        <v>41</v>
      </c>
      <c r="Q904" s="4">
        <v>1171.55</v>
      </c>
      <c r="R904" s="4">
        <v>1171.55</v>
      </c>
      <c r="S904" s="4">
        <v>17514.669999999998</v>
      </c>
      <c r="T904" s="4">
        <v>350293.45</v>
      </c>
      <c r="U904" s="4">
        <v>5</v>
      </c>
      <c r="V904" s="4" t="s">
        <v>42</v>
      </c>
      <c r="X904" s="7" t="str">
        <f t="shared" si="45"/>
        <v>441853990</v>
      </c>
      <c r="Y904" s="8" t="str">
        <f t="shared" si="46"/>
        <v>RP</v>
      </c>
      <c r="Z904" s="8">
        <f t="shared" si="47"/>
        <v>299</v>
      </c>
      <c r="AA904" s="8">
        <f t="shared" si="48"/>
        <v>299</v>
      </c>
      <c r="AB904" s="8">
        <f t="shared" si="49"/>
        <v>299</v>
      </c>
      <c r="AC904" s="8">
        <f t="shared" si="50"/>
        <v>299</v>
      </c>
      <c r="AD904" s="8">
        <f t="shared" si="51"/>
        <v>299</v>
      </c>
      <c r="AE904" s="9" t="str" cm="1">
        <f t="array" ref="AE904">IFERROR(_xlfn.XLOOKUP(H904,Sheet1!$G:$G,Sheet1!$F:$F),IFERROR(_xlfn.XLOOKUP(1,(--($X$2:$X$1074=X904))*(--ISNUMBER(MATCH($H$2:$H$1074,Sheet1!$G:$G,0))),_xlfn.XLOOKUP($H$2:$H$1074,Sheet1!$G:$G,Sheet1!$F:$F,"")),"NOT FOUND"))</f>
        <v>YETKRTSCUT5009</v>
      </c>
      <c r="AF904" s="10" t="str">
        <f t="shared" si="56"/>
        <v>LT. YELLOW</v>
      </c>
      <c r="AG904" s="11" t="str">
        <f t="shared" si="57"/>
        <v>JHAJJAR</v>
      </c>
      <c r="AH904" s="9" t="str">
        <f>IF(OR(J904="",AE904="",AE904="NOT FOUND"),"",IF(Y904="RP",IFERROR(LEFT(_xlfn.XLOOKUP(AE904,Sheet1!$F:$F,Sheet1!$W:$W),FIND("-",_xlfn.XLOOKUP(AE904,Sheet1!$F:$F,Sheet1!$W:$W),FIND("-",_xlfn.XLOOKUP(AE904,Sheet1!$F:$F,Sheet1!$W:$W))+1))&amp;AE904,"NOT FOUND"),LEFT(J904,FIND("-",J904,FIND("-",J904)+1))&amp;AE904))</f>
        <v>KRTS-APSU26-YETKRTSCUT5009</v>
      </c>
    </row>
    <row r="905" spans="1:34" ht="15.75" customHeight="1" x14ac:dyDescent="0.2">
      <c r="A905" s="4" t="s">
        <v>61</v>
      </c>
      <c r="B905" s="4" t="s">
        <v>1266</v>
      </c>
      <c r="C905" s="4" t="s">
        <v>1249</v>
      </c>
      <c r="D905" s="4" t="s">
        <v>998</v>
      </c>
      <c r="E905" s="4" t="s">
        <v>34</v>
      </c>
      <c r="F905" s="4" t="s">
        <v>35</v>
      </c>
      <c r="G905" s="4" t="s">
        <v>36</v>
      </c>
      <c r="H905" s="4" t="s">
        <v>1254</v>
      </c>
      <c r="I905" s="4" t="s">
        <v>1255</v>
      </c>
      <c r="J905" s="4" t="s">
        <v>1256</v>
      </c>
      <c r="L905" s="4" t="s">
        <v>40</v>
      </c>
      <c r="M905" s="4">
        <v>1</v>
      </c>
      <c r="N905" s="4">
        <v>283</v>
      </c>
      <c r="O905" s="4">
        <v>283</v>
      </c>
      <c r="P905" s="4" t="s">
        <v>41</v>
      </c>
      <c r="Q905" s="4">
        <v>1171.55</v>
      </c>
      <c r="R905" s="4">
        <v>1171.55</v>
      </c>
      <c r="S905" s="4">
        <v>16577.43</v>
      </c>
      <c r="T905" s="4">
        <v>331548.65000000002</v>
      </c>
      <c r="U905" s="4">
        <v>5</v>
      </c>
      <c r="V905" s="4" t="s">
        <v>42</v>
      </c>
      <c r="X905" s="7" t="str">
        <f t="shared" si="45"/>
        <v>441853990</v>
      </c>
      <c r="Y905" s="8" t="str">
        <f t="shared" si="46"/>
        <v>RP</v>
      </c>
      <c r="Z905" s="8">
        <f t="shared" si="47"/>
        <v>283</v>
      </c>
      <c r="AA905" s="8">
        <f t="shared" si="48"/>
        <v>283</v>
      </c>
      <c r="AB905" s="8">
        <f t="shared" si="49"/>
        <v>283</v>
      </c>
      <c r="AC905" s="8">
        <f t="shared" si="50"/>
        <v>283</v>
      </c>
      <c r="AD905" s="8">
        <f t="shared" si="51"/>
        <v>283</v>
      </c>
      <c r="AE905" s="9" t="str" cm="1">
        <f t="array" ref="AE905">IFERROR(_xlfn.XLOOKUP(H905,Sheet1!$G:$G,Sheet1!$F:$F),IFERROR(_xlfn.XLOOKUP(1,(--($X$2:$X$1074=X905))*(--ISNUMBER(MATCH($H$2:$H$1074,Sheet1!$G:$G,0))),_xlfn.XLOOKUP($H$2:$H$1074,Sheet1!$G:$G,Sheet1!$F:$F,"")),"NOT FOUND"))</f>
        <v>YETKRTSCUT5009</v>
      </c>
      <c r="AF905" s="10" t="str">
        <f t="shared" si="56"/>
        <v>LT. YELLOW</v>
      </c>
      <c r="AG905" s="11" t="str">
        <f t="shared" si="57"/>
        <v>HARIPAL</v>
      </c>
      <c r="AH905" s="9" t="str">
        <f>IF(OR(J905="",AE905="",AE905="NOT FOUND"),"",IF(Y905="RP",IFERROR(LEFT(_xlfn.XLOOKUP(AE905,Sheet1!$F:$F,Sheet1!$W:$W),FIND("-",_xlfn.XLOOKUP(AE905,Sheet1!$F:$F,Sheet1!$W:$W),FIND("-",_xlfn.XLOOKUP(AE905,Sheet1!$F:$F,Sheet1!$W:$W))+1))&amp;AE905,"NOT FOUND"),LEFT(J905,FIND("-",J905,FIND("-",J905)+1))&amp;AE905))</f>
        <v>KRTS-APSU26-YETKRTSCUT5009</v>
      </c>
    </row>
    <row r="906" spans="1:34" ht="15.75" customHeight="1" x14ac:dyDescent="0.2">
      <c r="A906" s="4" t="s">
        <v>61</v>
      </c>
      <c r="B906" s="4" t="s">
        <v>1267</v>
      </c>
      <c r="C906" s="4" t="s">
        <v>1249</v>
      </c>
      <c r="D906" s="4" t="s">
        <v>998</v>
      </c>
      <c r="E906" s="4" t="s">
        <v>34</v>
      </c>
      <c r="F906" s="4" t="s">
        <v>35</v>
      </c>
      <c r="G906" s="4" t="s">
        <v>36</v>
      </c>
      <c r="H906" s="4" t="s">
        <v>1262</v>
      </c>
      <c r="I906" s="4" t="s">
        <v>1263</v>
      </c>
      <c r="J906" s="4" t="s">
        <v>1264</v>
      </c>
      <c r="L906" s="4" t="s">
        <v>40</v>
      </c>
      <c r="M906" s="4">
        <v>1</v>
      </c>
      <c r="N906" s="4">
        <v>283</v>
      </c>
      <c r="O906" s="4">
        <v>283</v>
      </c>
      <c r="P906" s="4" t="s">
        <v>41</v>
      </c>
      <c r="Q906" s="4">
        <v>1171.55</v>
      </c>
      <c r="R906" s="4">
        <v>1171.55</v>
      </c>
      <c r="S906" s="4">
        <v>16577.43</v>
      </c>
      <c r="T906" s="4">
        <v>331548.65000000002</v>
      </c>
      <c r="U906" s="4">
        <v>5</v>
      </c>
      <c r="V906" s="4" t="s">
        <v>42</v>
      </c>
      <c r="X906" s="7" t="str">
        <f t="shared" si="45"/>
        <v>441853990</v>
      </c>
      <c r="Y906" s="8" t="str">
        <f t="shared" si="46"/>
        <v>RP</v>
      </c>
      <c r="Z906" s="8">
        <f t="shared" si="47"/>
        <v>283</v>
      </c>
      <c r="AA906" s="8">
        <f t="shared" si="48"/>
        <v>283</v>
      </c>
      <c r="AB906" s="8">
        <f t="shared" si="49"/>
        <v>283</v>
      </c>
      <c r="AC906" s="8">
        <f t="shared" si="50"/>
        <v>283</v>
      </c>
      <c r="AD906" s="8">
        <f t="shared" si="51"/>
        <v>283</v>
      </c>
      <c r="AE906" s="9" t="str" cm="1">
        <f t="array" ref="AE906">IFERROR(_xlfn.XLOOKUP(H906,Sheet1!$G:$G,Sheet1!$F:$F),IFERROR(_xlfn.XLOOKUP(1,(--($X$2:$X$1074=X906))*(--ISNUMBER(MATCH($H$2:$H$1074,Sheet1!$G:$G,0))),_xlfn.XLOOKUP($H$2:$H$1074,Sheet1!$G:$G,Sheet1!$F:$F,"")),"NOT FOUND"))</f>
        <v>YETKRTSCUT5009</v>
      </c>
      <c r="AF906" s="10" t="str">
        <f t="shared" si="56"/>
        <v>BLACK</v>
      </c>
      <c r="AG906" s="11" t="str">
        <f t="shared" si="57"/>
        <v>HARIPAL</v>
      </c>
      <c r="AH906" s="9" t="str">
        <f>IF(OR(J906="",AE906="",AE906="NOT FOUND"),"",IF(Y906="RP",IFERROR(LEFT(_xlfn.XLOOKUP(AE906,Sheet1!$F:$F,Sheet1!$W:$W),FIND("-",_xlfn.XLOOKUP(AE906,Sheet1!$F:$F,Sheet1!$W:$W),FIND("-",_xlfn.XLOOKUP(AE906,Sheet1!$F:$F,Sheet1!$W:$W))+1))&amp;AE906,"NOT FOUND"),LEFT(J906,FIND("-",J906,FIND("-",J906)+1))&amp;AE906))</f>
        <v>KRTS-APSU26-YETKRTSCUT5009</v>
      </c>
    </row>
    <row r="907" spans="1:34" ht="15.75" customHeight="1" x14ac:dyDescent="0.2">
      <c r="A907" s="4" t="s">
        <v>61</v>
      </c>
      <c r="B907" s="4" t="s">
        <v>1268</v>
      </c>
      <c r="C907" s="4" t="s">
        <v>1249</v>
      </c>
      <c r="D907" s="4" t="s">
        <v>998</v>
      </c>
      <c r="E907" s="4" t="s">
        <v>34</v>
      </c>
      <c r="F907" s="4" t="s">
        <v>35</v>
      </c>
      <c r="G907" s="4" t="s">
        <v>36</v>
      </c>
      <c r="H907" s="4" t="s">
        <v>1258</v>
      </c>
      <c r="I907" s="4" t="s">
        <v>1259</v>
      </c>
      <c r="J907" s="4" t="s">
        <v>1260</v>
      </c>
      <c r="L907" s="4" t="s">
        <v>40</v>
      </c>
      <c r="M907" s="4">
        <v>1</v>
      </c>
      <c r="N907" s="4">
        <v>283</v>
      </c>
      <c r="O907" s="4">
        <v>283</v>
      </c>
      <c r="P907" s="4" t="s">
        <v>41</v>
      </c>
      <c r="Q907" s="4">
        <v>1171.55</v>
      </c>
      <c r="R907" s="4">
        <v>1171.55</v>
      </c>
      <c r="S907" s="4">
        <v>16577.43</v>
      </c>
      <c r="T907" s="4">
        <v>331548.65000000002</v>
      </c>
      <c r="U907" s="4">
        <v>5</v>
      </c>
      <c r="V907" s="4" t="s">
        <v>42</v>
      </c>
      <c r="X907" s="7" t="str">
        <f t="shared" si="45"/>
        <v>441853990</v>
      </c>
      <c r="Y907" s="8" t="str">
        <f t="shared" si="46"/>
        <v>RP</v>
      </c>
      <c r="Z907" s="8">
        <f t="shared" si="47"/>
        <v>283</v>
      </c>
      <c r="AA907" s="8">
        <f t="shared" si="48"/>
        <v>283</v>
      </c>
      <c r="AB907" s="8">
        <f t="shared" si="49"/>
        <v>283</v>
      </c>
      <c r="AC907" s="8">
        <f t="shared" si="50"/>
        <v>283</v>
      </c>
      <c r="AD907" s="8">
        <f t="shared" si="51"/>
        <v>283</v>
      </c>
      <c r="AE907" s="9" t="str" cm="1">
        <f t="array" ref="AE907">IFERROR(_xlfn.XLOOKUP(H907,Sheet1!$G:$G,Sheet1!$F:$F),IFERROR(_xlfn.XLOOKUP(1,(--($X$2:$X$1074=X907))*(--ISNUMBER(MATCH($H$2:$H$1074,Sheet1!$G:$G,0))),_xlfn.XLOOKUP($H$2:$H$1074,Sheet1!$G:$G,Sheet1!$F:$F,"")),"NOT FOUND"))</f>
        <v>YETKRTSCUT5009</v>
      </c>
      <c r="AF907" s="10" t="str">
        <f t="shared" si="56"/>
        <v>CREAM</v>
      </c>
      <c r="AG907" s="11" t="str">
        <f t="shared" si="57"/>
        <v>HARIPAL</v>
      </c>
      <c r="AH907" s="9" t="str">
        <f>IF(OR(J907="",AE907="",AE907="NOT FOUND"),"",IF(Y907="RP",IFERROR(LEFT(_xlfn.XLOOKUP(AE907,Sheet1!$F:$F,Sheet1!$W:$W),FIND("-",_xlfn.XLOOKUP(AE907,Sheet1!$F:$F,Sheet1!$W:$W),FIND("-",_xlfn.XLOOKUP(AE907,Sheet1!$F:$F,Sheet1!$W:$W))+1))&amp;AE907,"NOT FOUND"),LEFT(J907,FIND("-",J907,FIND("-",J907)+1))&amp;AE907))</f>
        <v>KRTS-APSU26-YETKRTSCUT5009</v>
      </c>
    </row>
    <row r="908" spans="1:34" ht="15.75" customHeight="1" x14ac:dyDescent="0.2">
      <c r="A908" s="4" t="s">
        <v>30</v>
      </c>
      <c r="B908" s="4" t="s">
        <v>1269</v>
      </c>
      <c r="C908" s="4" t="s">
        <v>1249</v>
      </c>
      <c r="D908" s="4" t="s">
        <v>998</v>
      </c>
      <c r="E908" s="4" t="s">
        <v>34</v>
      </c>
      <c r="F908" s="4" t="s">
        <v>35</v>
      </c>
      <c r="G908" s="4" t="s">
        <v>36</v>
      </c>
      <c r="H908" s="4" t="s">
        <v>1270</v>
      </c>
      <c r="I908" s="4" t="s">
        <v>1271</v>
      </c>
      <c r="J908" s="4" t="s">
        <v>1272</v>
      </c>
      <c r="L908" s="4" t="s">
        <v>40</v>
      </c>
      <c r="M908" s="4">
        <v>1</v>
      </c>
      <c r="N908" s="4">
        <v>595</v>
      </c>
      <c r="O908" s="4">
        <v>595</v>
      </c>
      <c r="P908" s="4" t="s">
        <v>41</v>
      </c>
      <c r="Q908" s="4">
        <v>1171.55</v>
      </c>
      <c r="R908" s="4">
        <v>1171.55</v>
      </c>
      <c r="S908" s="4">
        <v>34853.61</v>
      </c>
      <c r="T908" s="4">
        <v>697072.25</v>
      </c>
      <c r="U908" s="4">
        <v>5</v>
      </c>
      <c r="V908" s="4" t="s">
        <v>42</v>
      </c>
      <c r="X908" s="7" t="str">
        <f t="shared" si="45"/>
        <v>441853990</v>
      </c>
      <c r="Y908" s="8" t="str">
        <f t="shared" si="46"/>
        <v>RP</v>
      </c>
      <c r="Z908" s="8">
        <f t="shared" si="47"/>
        <v>595</v>
      </c>
      <c r="AA908" s="8">
        <f t="shared" si="48"/>
        <v>595</v>
      </c>
      <c r="AB908" s="8">
        <f t="shared" si="49"/>
        <v>595</v>
      </c>
      <c r="AC908" s="8">
        <f t="shared" si="50"/>
        <v>595</v>
      </c>
      <c r="AD908" s="8">
        <f t="shared" si="51"/>
        <v>595</v>
      </c>
      <c r="AE908" s="9" t="str" cm="1">
        <f t="array" ref="AE908">IFERROR(_xlfn.XLOOKUP(H908,Sheet1!$G:$G,Sheet1!$F:$F),IFERROR(_xlfn.XLOOKUP(1,(--($X$2:$X$1074=X908))*(--ISNUMBER(MATCH($H$2:$H$1074,Sheet1!$G:$G,0))),_xlfn.XLOOKUP($H$2:$H$1074,Sheet1!$G:$G,Sheet1!$F:$F,"")),"NOT FOUND"))</f>
        <v>YETKRTSCUT5009</v>
      </c>
      <c r="AF908" s="10" t="str">
        <f t="shared" si="56"/>
        <v>MINT</v>
      </c>
      <c r="AG908" s="11" t="str">
        <f t="shared" si="57"/>
        <v>Bangalore</v>
      </c>
      <c r="AH908" s="9" t="str">
        <f>IF(OR(J908="",AE908="",AE908="NOT FOUND"),"",IF(Y908="RP",IFERROR(LEFT(_xlfn.XLOOKUP(AE908,Sheet1!$F:$F,Sheet1!$W:$W),FIND("-",_xlfn.XLOOKUP(AE908,Sheet1!$F:$F,Sheet1!$W:$W),FIND("-",_xlfn.XLOOKUP(AE908,Sheet1!$F:$F,Sheet1!$W:$W))+1))&amp;AE908,"NOT FOUND"),LEFT(J908,FIND("-",J908,FIND("-",J908)+1))&amp;AE908))</f>
        <v>KRTS-APSU26-YETKRTSCUT5009</v>
      </c>
    </row>
    <row r="909" spans="1:34" ht="15.75" customHeight="1" x14ac:dyDescent="0.2">
      <c r="A909" s="4" t="s">
        <v>30</v>
      </c>
      <c r="B909" s="4" t="s">
        <v>1273</v>
      </c>
      <c r="C909" s="4" t="s">
        <v>1249</v>
      </c>
      <c r="D909" s="4" t="s">
        <v>998</v>
      </c>
      <c r="E909" s="4" t="s">
        <v>34</v>
      </c>
      <c r="F909" s="4" t="s">
        <v>35</v>
      </c>
      <c r="G909" s="4" t="s">
        <v>36</v>
      </c>
      <c r="H909" s="4" t="s">
        <v>1274</v>
      </c>
      <c r="I909" s="4" t="s">
        <v>1275</v>
      </c>
      <c r="J909" s="4" t="s">
        <v>1276</v>
      </c>
      <c r="L909" s="4" t="s">
        <v>40</v>
      </c>
      <c r="M909" s="4">
        <v>1</v>
      </c>
      <c r="N909" s="4">
        <v>595</v>
      </c>
      <c r="O909" s="4">
        <v>595</v>
      </c>
      <c r="P909" s="4" t="s">
        <v>41</v>
      </c>
      <c r="Q909" s="4">
        <v>1171.55</v>
      </c>
      <c r="R909" s="4">
        <v>1171.55</v>
      </c>
      <c r="S909" s="4">
        <v>34853.61</v>
      </c>
      <c r="T909" s="4">
        <v>697072.25</v>
      </c>
      <c r="U909" s="4">
        <v>5</v>
      </c>
      <c r="V909" s="4" t="s">
        <v>42</v>
      </c>
      <c r="X909" s="7" t="str">
        <f t="shared" si="45"/>
        <v>441853990</v>
      </c>
      <c r="Y909" s="8" t="str">
        <f t="shared" si="46"/>
        <v>RP</v>
      </c>
      <c r="Z909" s="8">
        <f t="shared" si="47"/>
        <v>595</v>
      </c>
      <c r="AA909" s="8">
        <f t="shared" si="48"/>
        <v>595</v>
      </c>
      <c r="AB909" s="8">
        <f t="shared" si="49"/>
        <v>595</v>
      </c>
      <c r="AC909" s="8">
        <f t="shared" si="50"/>
        <v>595</v>
      </c>
      <c r="AD909" s="8">
        <f t="shared" si="51"/>
        <v>595</v>
      </c>
      <c r="AE909" s="9" t="str" cm="1">
        <f t="array" ref="AE909">IFERROR(_xlfn.XLOOKUP(H909,Sheet1!$G:$G,Sheet1!$F:$F),IFERROR(_xlfn.XLOOKUP(1,(--($X$2:$X$1074=X909))*(--ISNUMBER(MATCH($H$2:$H$1074,Sheet1!$G:$G,0))),_xlfn.XLOOKUP($H$2:$H$1074,Sheet1!$G:$G,Sheet1!$F:$F,"")),"NOT FOUND"))</f>
        <v>YETKRTSCUT5009</v>
      </c>
      <c r="AF909" s="10" t="str">
        <f t="shared" si="56"/>
        <v>BLUE</v>
      </c>
      <c r="AG909" s="11" t="str">
        <f t="shared" si="57"/>
        <v>Bangalore</v>
      </c>
      <c r="AH909" s="9" t="str">
        <f>IF(OR(J909="",AE909="",AE909="NOT FOUND"),"",IF(Y909="RP",IFERROR(LEFT(_xlfn.XLOOKUP(AE909,Sheet1!$F:$F,Sheet1!$W:$W),FIND("-",_xlfn.XLOOKUP(AE909,Sheet1!$F:$F,Sheet1!$W:$W),FIND("-",_xlfn.XLOOKUP(AE909,Sheet1!$F:$F,Sheet1!$W:$W))+1))&amp;AE909,"NOT FOUND"),LEFT(J909,FIND("-",J909,FIND("-",J909)+1))&amp;AE909))</f>
        <v>KRTS-APSU26-YETKRTSCUT5009</v>
      </c>
    </row>
    <row r="910" spans="1:34" ht="15.75" customHeight="1" x14ac:dyDescent="0.2">
      <c r="A910" s="4" t="s">
        <v>59</v>
      </c>
      <c r="B910" s="4" t="s">
        <v>1277</v>
      </c>
      <c r="C910" s="4" t="s">
        <v>1249</v>
      </c>
      <c r="D910" s="4" t="s">
        <v>998</v>
      </c>
      <c r="E910" s="4" t="s">
        <v>34</v>
      </c>
      <c r="F910" s="4" t="s">
        <v>35</v>
      </c>
      <c r="G910" s="4" t="s">
        <v>36</v>
      </c>
      <c r="H910" s="4" t="s">
        <v>1258</v>
      </c>
      <c r="I910" s="4" t="s">
        <v>1259</v>
      </c>
      <c r="J910" s="4" t="s">
        <v>1260</v>
      </c>
      <c r="L910" s="4" t="s">
        <v>40</v>
      </c>
      <c r="M910" s="4">
        <v>1</v>
      </c>
      <c r="N910" s="4">
        <v>299</v>
      </c>
      <c r="O910" s="4">
        <v>299</v>
      </c>
      <c r="P910" s="4" t="s">
        <v>41</v>
      </c>
      <c r="Q910" s="4">
        <v>1171.55</v>
      </c>
      <c r="R910" s="4">
        <v>1171.55</v>
      </c>
      <c r="S910" s="4">
        <v>17514.669999999998</v>
      </c>
      <c r="T910" s="4">
        <v>350293.45</v>
      </c>
      <c r="U910" s="4">
        <v>5</v>
      </c>
      <c r="V910" s="4" t="s">
        <v>42</v>
      </c>
      <c r="X910" s="7" t="str">
        <f t="shared" si="45"/>
        <v>441853990</v>
      </c>
      <c r="Y910" s="8" t="str">
        <f t="shared" si="46"/>
        <v>RP</v>
      </c>
      <c r="Z910" s="8">
        <f t="shared" si="47"/>
        <v>299</v>
      </c>
      <c r="AA910" s="8">
        <f t="shared" si="48"/>
        <v>299</v>
      </c>
      <c r="AB910" s="8">
        <f t="shared" si="49"/>
        <v>299</v>
      </c>
      <c r="AC910" s="8">
        <f t="shared" si="50"/>
        <v>299</v>
      </c>
      <c r="AD910" s="8">
        <f t="shared" si="51"/>
        <v>299</v>
      </c>
      <c r="AE910" s="9" t="str" cm="1">
        <f t="array" ref="AE910">IFERROR(_xlfn.XLOOKUP(H910,Sheet1!$G:$G,Sheet1!$F:$F),IFERROR(_xlfn.XLOOKUP(1,(--($X$2:$X$1074=X910))*(--ISNUMBER(MATCH($H$2:$H$1074,Sheet1!$G:$G,0))),_xlfn.XLOOKUP($H$2:$H$1074,Sheet1!$G:$G,Sheet1!$F:$F,"")),"NOT FOUND"))</f>
        <v>YETKRTSCUT5009</v>
      </c>
      <c r="AF910" s="10" t="str">
        <f t="shared" si="56"/>
        <v>CREAM</v>
      </c>
      <c r="AG910" s="11" t="str">
        <f t="shared" si="57"/>
        <v>JHAJJAR</v>
      </c>
      <c r="AH910" s="9" t="str">
        <f>IF(OR(J910="",AE910="",AE910="NOT FOUND"),"",IF(Y910="RP",IFERROR(LEFT(_xlfn.XLOOKUP(AE910,Sheet1!$F:$F,Sheet1!$W:$W),FIND("-",_xlfn.XLOOKUP(AE910,Sheet1!$F:$F,Sheet1!$W:$W),FIND("-",_xlfn.XLOOKUP(AE910,Sheet1!$F:$F,Sheet1!$W:$W))+1))&amp;AE910,"NOT FOUND"),LEFT(J910,FIND("-",J910,FIND("-",J910)+1))&amp;AE910))</f>
        <v>KRTS-APSU26-YETKRTSCUT5009</v>
      </c>
    </row>
    <row r="911" spans="1:34" ht="15.75" customHeight="1" x14ac:dyDescent="0.2">
      <c r="A911" s="4" t="s">
        <v>59</v>
      </c>
      <c r="B911" s="4" t="s">
        <v>1278</v>
      </c>
      <c r="C911" s="4" t="s">
        <v>1249</v>
      </c>
      <c r="D911" s="4" t="s">
        <v>998</v>
      </c>
      <c r="E911" s="4" t="s">
        <v>34</v>
      </c>
      <c r="F911" s="4" t="s">
        <v>35</v>
      </c>
      <c r="G911" s="4" t="s">
        <v>36</v>
      </c>
      <c r="H911" s="4" t="s">
        <v>1250</v>
      </c>
      <c r="I911" s="4" t="s">
        <v>1251</v>
      </c>
      <c r="J911" s="4" t="s">
        <v>1252</v>
      </c>
      <c r="L911" s="4" t="s">
        <v>40</v>
      </c>
      <c r="M911" s="4">
        <v>1</v>
      </c>
      <c r="N911" s="4">
        <v>299</v>
      </c>
      <c r="O911" s="4">
        <v>299</v>
      </c>
      <c r="P911" s="4" t="s">
        <v>41</v>
      </c>
      <c r="Q911" s="4">
        <v>1171.55</v>
      </c>
      <c r="R911" s="4">
        <v>1171.55</v>
      </c>
      <c r="S911" s="4">
        <v>17514.669999999998</v>
      </c>
      <c r="T911" s="4">
        <v>350293.45</v>
      </c>
      <c r="U911" s="4">
        <v>5</v>
      </c>
      <c r="V911" s="4" t="s">
        <v>42</v>
      </c>
      <c r="X911" s="7" t="str">
        <f t="shared" si="45"/>
        <v>441853990</v>
      </c>
      <c r="Y911" s="8" t="str">
        <f t="shared" si="46"/>
        <v>RP</v>
      </c>
      <c r="Z911" s="8">
        <f t="shared" si="47"/>
        <v>299</v>
      </c>
      <c r="AA911" s="8">
        <f t="shared" si="48"/>
        <v>299</v>
      </c>
      <c r="AB911" s="8">
        <f t="shared" si="49"/>
        <v>299</v>
      </c>
      <c r="AC911" s="8">
        <f t="shared" si="50"/>
        <v>299</v>
      </c>
      <c r="AD911" s="8">
        <f t="shared" si="51"/>
        <v>299</v>
      </c>
      <c r="AE911" s="9" t="str" cm="1">
        <f t="array" ref="AE911">IFERROR(_xlfn.XLOOKUP(H911,Sheet1!$G:$G,Sheet1!$F:$F),IFERROR(_xlfn.XLOOKUP(1,(--($X$2:$X$1074=X911))*(--ISNUMBER(MATCH($H$2:$H$1074,Sheet1!$G:$G,0))),_xlfn.XLOOKUP($H$2:$H$1074,Sheet1!$G:$G,Sheet1!$F:$F,"")),"NOT FOUND"))</f>
        <v>YETKRTSCUT5009</v>
      </c>
      <c r="AF911" s="10" t="str">
        <f t="shared" si="56"/>
        <v>PEACH</v>
      </c>
      <c r="AG911" s="11" t="str">
        <f t="shared" si="57"/>
        <v>JHAJJAR</v>
      </c>
      <c r="AH911" s="9" t="str">
        <f>IF(OR(J911="",AE911="",AE911="NOT FOUND"),"",IF(Y911="RP",IFERROR(LEFT(_xlfn.XLOOKUP(AE911,Sheet1!$F:$F,Sheet1!$W:$W),FIND("-",_xlfn.XLOOKUP(AE911,Sheet1!$F:$F,Sheet1!$W:$W),FIND("-",_xlfn.XLOOKUP(AE911,Sheet1!$F:$F,Sheet1!$W:$W))+1))&amp;AE911,"NOT FOUND"),LEFT(J911,FIND("-",J911,FIND("-",J911)+1))&amp;AE911))</f>
        <v>KRTS-APSU26-YETKRTSCUT5009</v>
      </c>
    </row>
    <row r="912" spans="1:34" ht="15.75" customHeight="1" x14ac:dyDescent="0.2">
      <c r="A912" s="4" t="s">
        <v>61</v>
      </c>
      <c r="B912" s="4" t="s">
        <v>1279</v>
      </c>
      <c r="C912" s="4" t="s">
        <v>1249</v>
      </c>
      <c r="D912" s="4" t="s">
        <v>998</v>
      </c>
      <c r="E912" s="4" t="s">
        <v>34</v>
      </c>
      <c r="F912" s="4" t="s">
        <v>35</v>
      </c>
      <c r="G912" s="4" t="s">
        <v>36</v>
      </c>
      <c r="H912" s="4" t="s">
        <v>1274</v>
      </c>
      <c r="I912" s="4" t="s">
        <v>1275</v>
      </c>
      <c r="J912" s="4" t="s">
        <v>1276</v>
      </c>
      <c r="L912" s="4" t="s">
        <v>40</v>
      </c>
      <c r="M912" s="4">
        <v>1</v>
      </c>
      <c r="N912" s="4">
        <v>283</v>
      </c>
      <c r="O912" s="4">
        <v>283</v>
      </c>
      <c r="P912" s="4" t="s">
        <v>41</v>
      </c>
      <c r="Q912" s="4">
        <v>1171.55</v>
      </c>
      <c r="R912" s="4">
        <v>1171.55</v>
      </c>
      <c r="S912" s="4">
        <v>16577.43</v>
      </c>
      <c r="T912" s="4">
        <v>331548.65000000002</v>
      </c>
      <c r="U912" s="4">
        <v>5</v>
      </c>
      <c r="V912" s="4" t="s">
        <v>42</v>
      </c>
      <c r="X912" s="7" t="str">
        <f t="shared" si="45"/>
        <v>441853990</v>
      </c>
      <c r="Y912" s="8" t="str">
        <f t="shared" si="46"/>
        <v>RP</v>
      </c>
      <c r="Z912" s="8">
        <f t="shared" si="47"/>
        <v>283</v>
      </c>
      <c r="AA912" s="8">
        <f t="shared" si="48"/>
        <v>283</v>
      </c>
      <c r="AB912" s="8">
        <f t="shared" si="49"/>
        <v>283</v>
      </c>
      <c r="AC912" s="8">
        <f t="shared" si="50"/>
        <v>283</v>
      </c>
      <c r="AD912" s="8">
        <f t="shared" si="51"/>
        <v>283</v>
      </c>
      <c r="AE912" s="9" t="str" cm="1">
        <f t="array" ref="AE912">IFERROR(_xlfn.XLOOKUP(H912,Sheet1!$G:$G,Sheet1!$F:$F),IFERROR(_xlfn.XLOOKUP(1,(--($X$2:$X$1074=X912))*(--ISNUMBER(MATCH($H$2:$H$1074,Sheet1!$G:$G,0))),_xlfn.XLOOKUP($H$2:$H$1074,Sheet1!$G:$G,Sheet1!$F:$F,"")),"NOT FOUND"))</f>
        <v>YETKRTSCUT5009</v>
      </c>
      <c r="AF912" s="10" t="str">
        <f t="shared" si="56"/>
        <v>BLUE</v>
      </c>
      <c r="AG912" s="11" t="str">
        <f t="shared" si="57"/>
        <v>HARIPAL</v>
      </c>
      <c r="AH912" s="9" t="str">
        <f>IF(OR(J912="",AE912="",AE912="NOT FOUND"),"",IF(Y912="RP",IFERROR(LEFT(_xlfn.XLOOKUP(AE912,Sheet1!$F:$F,Sheet1!$W:$W),FIND("-",_xlfn.XLOOKUP(AE912,Sheet1!$F:$F,Sheet1!$W:$W),FIND("-",_xlfn.XLOOKUP(AE912,Sheet1!$F:$F,Sheet1!$W:$W))+1))&amp;AE912,"NOT FOUND"),LEFT(J912,FIND("-",J912,FIND("-",J912)+1))&amp;AE912))</f>
        <v>KRTS-APSU26-YETKRTSCUT5009</v>
      </c>
    </row>
    <row r="913" spans="1:34" ht="15.75" customHeight="1" x14ac:dyDescent="0.2">
      <c r="A913" s="4" t="s">
        <v>61</v>
      </c>
      <c r="B913" s="4" t="s">
        <v>1280</v>
      </c>
      <c r="C913" s="4" t="s">
        <v>1249</v>
      </c>
      <c r="D913" s="4" t="s">
        <v>998</v>
      </c>
      <c r="E913" s="4" t="s">
        <v>34</v>
      </c>
      <c r="F913" s="4" t="s">
        <v>35</v>
      </c>
      <c r="G913" s="4" t="s">
        <v>36</v>
      </c>
      <c r="H913" s="4" t="s">
        <v>1270</v>
      </c>
      <c r="I913" s="4" t="s">
        <v>1271</v>
      </c>
      <c r="J913" s="4" t="s">
        <v>1272</v>
      </c>
      <c r="L913" s="4" t="s">
        <v>40</v>
      </c>
      <c r="M913" s="4">
        <v>1</v>
      </c>
      <c r="N913" s="4">
        <v>283</v>
      </c>
      <c r="O913" s="4">
        <v>283</v>
      </c>
      <c r="P913" s="4" t="s">
        <v>41</v>
      </c>
      <c r="Q913" s="4">
        <v>1171.55</v>
      </c>
      <c r="R913" s="4">
        <v>1171.55</v>
      </c>
      <c r="S913" s="4">
        <v>16577.43</v>
      </c>
      <c r="T913" s="4">
        <v>331548.65000000002</v>
      </c>
      <c r="U913" s="4">
        <v>5</v>
      </c>
      <c r="V913" s="4" t="s">
        <v>42</v>
      </c>
      <c r="X913" s="7" t="str">
        <f t="shared" si="45"/>
        <v>441853990</v>
      </c>
      <c r="Y913" s="8" t="str">
        <f t="shared" si="46"/>
        <v>RP</v>
      </c>
      <c r="Z913" s="8">
        <f t="shared" si="47"/>
        <v>283</v>
      </c>
      <c r="AA913" s="8">
        <f t="shared" si="48"/>
        <v>283</v>
      </c>
      <c r="AB913" s="8">
        <f t="shared" si="49"/>
        <v>283</v>
      </c>
      <c r="AC913" s="8">
        <f t="shared" si="50"/>
        <v>283</v>
      </c>
      <c r="AD913" s="8">
        <f t="shared" si="51"/>
        <v>283</v>
      </c>
      <c r="AE913" s="9" t="str" cm="1">
        <f t="array" ref="AE913">IFERROR(_xlfn.XLOOKUP(H913,Sheet1!$G:$G,Sheet1!$F:$F),IFERROR(_xlfn.XLOOKUP(1,(--($X$2:$X$1074=X913))*(--ISNUMBER(MATCH($H$2:$H$1074,Sheet1!$G:$G,0))),_xlfn.XLOOKUP($H$2:$H$1074,Sheet1!$G:$G,Sheet1!$F:$F,"")),"NOT FOUND"))</f>
        <v>YETKRTSCUT5009</v>
      </c>
      <c r="AF913" s="10" t="str">
        <f t="shared" si="56"/>
        <v>MINT</v>
      </c>
      <c r="AG913" s="11" t="str">
        <f t="shared" si="57"/>
        <v>HARIPAL</v>
      </c>
      <c r="AH913" s="9" t="str">
        <f>IF(OR(J913="",AE913="",AE913="NOT FOUND"),"",IF(Y913="RP",IFERROR(LEFT(_xlfn.XLOOKUP(AE913,Sheet1!$F:$F,Sheet1!$W:$W),FIND("-",_xlfn.XLOOKUP(AE913,Sheet1!$F:$F,Sheet1!$W:$W),FIND("-",_xlfn.XLOOKUP(AE913,Sheet1!$F:$F,Sheet1!$W:$W))+1))&amp;AE913,"NOT FOUND"),LEFT(J913,FIND("-",J913,FIND("-",J913)+1))&amp;AE913))</f>
        <v>KRTS-APSU26-YETKRTSCUT5009</v>
      </c>
    </row>
    <row r="914" spans="1:34" ht="15.75" customHeight="1" x14ac:dyDescent="0.2">
      <c r="A914" s="4" t="s">
        <v>59</v>
      </c>
      <c r="B914" s="4" t="s">
        <v>1281</v>
      </c>
      <c r="C914" s="4" t="s">
        <v>1249</v>
      </c>
      <c r="D914" s="4" t="s">
        <v>998</v>
      </c>
      <c r="E914" s="4" t="s">
        <v>34</v>
      </c>
      <c r="F914" s="4" t="s">
        <v>35</v>
      </c>
      <c r="G914" s="4" t="s">
        <v>36</v>
      </c>
      <c r="H914" s="4" t="s">
        <v>1274</v>
      </c>
      <c r="I914" s="4" t="s">
        <v>1275</v>
      </c>
      <c r="J914" s="4" t="s">
        <v>1276</v>
      </c>
      <c r="L914" s="4" t="s">
        <v>40</v>
      </c>
      <c r="M914" s="4">
        <v>1</v>
      </c>
      <c r="N914" s="4">
        <v>299</v>
      </c>
      <c r="O914" s="4">
        <v>299</v>
      </c>
      <c r="P914" s="4" t="s">
        <v>41</v>
      </c>
      <c r="Q914" s="4">
        <v>1171.55</v>
      </c>
      <c r="R914" s="4">
        <v>1171.55</v>
      </c>
      <c r="S914" s="4">
        <v>17514.669999999998</v>
      </c>
      <c r="T914" s="4">
        <v>350293.45</v>
      </c>
      <c r="U914" s="4">
        <v>5</v>
      </c>
      <c r="V914" s="4" t="s">
        <v>42</v>
      </c>
      <c r="X914" s="7" t="str">
        <f t="shared" si="45"/>
        <v>441853990</v>
      </c>
      <c r="Y914" s="8" t="str">
        <f t="shared" si="46"/>
        <v>RP</v>
      </c>
      <c r="Z914" s="8">
        <f t="shared" si="47"/>
        <v>299</v>
      </c>
      <c r="AA914" s="8">
        <f t="shared" si="48"/>
        <v>299</v>
      </c>
      <c r="AB914" s="8">
        <f t="shared" si="49"/>
        <v>299</v>
      </c>
      <c r="AC914" s="8">
        <f t="shared" si="50"/>
        <v>299</v>
      </c>
      <c r="AD914" s="8">
        <f t="shared" si="51"/>
        <v>299</v>
      </c>
      <c r="AE914" s="9" t="str" cm="1">
        <f t="array" ref="AE914">IFERROR(_xlfn.XLOOKUP(H914,Sheet1!$G:$G,Sheet1!$F:$F),IFERROR(_xlfn.XLOOKUP(1,(--($X$2:$X$1074=X914))*(--ISNUMBER(MATCH($H$2:$H$1074,Sheet1!$G:$G,0))),_xlfn.XLOOKUP($H$2:$H$1074,Sheet1!$G:$G,Sheet1!$F:$F,"")),"NOT FOUND"))</f>
        <v>YETKRTSCUT5009</v>
      </c>
      <c r="AF914" s="10" t="str">
        <f t="shared" si="56"/>
        <v>BLUE</v>
      </c>
      <c r="AG914" s="11" t="str">
        <f t="shared" si="57"/>
        <v>JHAJJAR</v>
      </c>
      <c r="AH914" s="9" t="str">
        <f>IF(OR(J914="",AE914="",AE914="NOT FOUND"),"",IF(Y914="RP",IFERROR(LEFT(_xlfn.XLOOKUP(AE914,Sheet1!$F:$F,Sheet1!$W:$W),FIND("-",_xlfn.XLOOKUP(AE914,Sheet1!$F:$F,Sheet1!$W:$W),FIND("-",_xlfn.XLOOKUP(AE914,Sheet1!$F:$F,Sheet1!$W:$W))+1))&amp;AE914,"NOT FOUND"),LEFT(J914,FIND("-",J914,FIND("-",J914)+1))&amp;AE914))</f>
        <v>KRTS-APSU26-YETKRTSCUT5009</v>
      </c>
    </row>
    <row r="915" spans="1:34" ht="15.75" customHeight="1" x14ac:dyDescent="0.2">
      <c r="A915" s="4" t="s">
        <v>61</v>
      </c>
      <c r="B915" s="4" t="s">
        <v>1282</v>
      </c>
      <c r="C915" s="4" t="s">
        <v>1249</v>
      </c>
      <c r="D915" s="4" t="s">
        <v>998</v>
      </c>
      <c r="E915" s="4" t="s">
        <v>34</v>
      </c>
      <c r="F915" s="4" t="s">
        <v>35</v>
      </c>
      <c r="G915" s="4" t="s">
        <v>36</v>
      </c>
      <c r="H915" s="4" t="s">
        <v>1250</v>
      </c>
      <c r="I915" s="4" t="s">
        <v>1251</v>
      </c>
      <c r="J915" s="4" t="s">
        <v>1252</v>
      </c>
      <c r="L915" s="4" t="s">
        <v>40</v>
      </c>
      <c r="M915" s="4">
        <v>1</v>
      </c>
      <c r="N915" s="4">
        <v>283</v>
      </c>
      <c r="O915" s="4">
        <v>283</v>
      </c>
      <c r="P915" s="4" t="s">
        <v>41</v>
      </c>
      <c r="Q915" s="4">
        <v>1171.55</v>
      </c>
      <c r="R915" s="4">
        <v>1171.55</v>
      </c>
      <c r="S915" s="4">
        <v>16577.43</v>
      </c>
      <c r="T915" s="4">
        <v>331548.65000000002</v>
      </c>
      <c r="U915" s="4">
        <v>5</v>
      </c>
      <c r="V915" s="4" t="s">
        <v>42</v>
      </c>
      <c r="X915" s="7" t="str">
        <f t="shared" si="45"/>
        <v>441853990</v>
      </c>
      <c r="Y915" s="8" t="str">
        <f t="shared" si="46"/>
        <v>RP</v>
      </c>
      <c r="Z915" s="8">
        <f t="shared" si="47"/>
        <v>283</v>
      </c>
      <c r="AA915" s="8">
        <f t="shared" si="48"/>
        <v>283</v>
      </c>
      <c r="AB915" s="8">
        <f t="shared" si="49"/>
        <v>283</v>
      </c>
      <c r="AC915" s="8">
        <f t="shared" si="50"/>
        <v>283</v>
      </c>
      <c r="AD915" s="8">
        <f t="shared" si="51"/>
        <v>283</v>
      </c>
      <c r="AE915" s="9" t="str" cm="1">
        <f t="array" ref="AE915">IFERROR(_xlfn.XLOOKUP(H915,Sheet1!$G:$G,Sheet1!$F:$F),IFERROR(_xlfn.XLOOKUP(1,(--($X$2:$X$1074=X915))*(--ISNUMBER(MATCH($H$2:$H$1074,Sheet1!$G:$G,0))),_xlfn.XLOOKUP($H$2:$H$1074,Sheet1!$G:$G,Sheet1!$F:$F,"")),"NOT FOUND"))</f>
        <v>YETKRTSCUT5009</v>
      </c>
      <c r="AF915" s="10" t="str">
        <f t="shared" si="56"/>
        <v>PEACH</v>
      </c>
      <c r="AG915" s="11" t="str">
        <f t="shared" si="57"/>
        <v>HARIPAL</v>
      </c>
      <c r="AH915" s="9" t="str">
        <f>IF(OR(J915="",AE915="",AE915="NOT FOUND"),"",IF(Y915="RP",IFERROR(LEFT(_xlfn.XLOOKUP(AE915,Sheet1!$F:$F,Sheet1!$W:$W),FIND("-",_xlfn.XLOOKUP(AE915,Sheet1!$F:$F,Sheet1!$W:$W),FIND("-",_xlfn.XLOOKUP(AE915,Sheet1!$F:$F,Sheet1!$W:$W))+1))&amp;AE915,"NOT FOUND"),LEFT(J915,FIND("-",J915,FIND("-",J915)+1))&amp;AE915))</f>
        <v>KRTS-APSU26-YETKRTSCUT5009</v>
      </c>
    </row>
    <row r="916" spans="1:34" ht="15.75" customHeight="1" x14ac:dyDescent="0.2">
      <c r="A916" s="4" t="s">
        <v>59</v>
      </c>
      <c r="B916" s="4" t="s">
        <v>1283</v>
      </c>
      <c r="C916" s="4" t="s">
        <v>1249</v>
      </c>
      <c r="D916" s="4" t="s">
        <v>998</v>
      </c>
      <c r="E916" s="4" t="s">
        <v>34</v>
      </c>
      <c r="F916" s="4" t="s">
        <v>35</v>
      </c>
      <c r="G916" s="4" t="s">
        <v>36</v>
      </c>
      <c r="H916" s="4" t="s">
        <v>1262</v>
      </c>
      <c r="I916" s="4" t="s">
        <v>1263</v>
      </c>
      <c r="J916" s="4" t="s">
        <v>1264</v>
      </c>
      <c r="L916" s="4" t="s">
        <v>40</v>
      </c>
      <c r="M916" s="4">
        <v>1</v>
      </c>
      <c r="N916" s="4">
        <v>299</v>
      </c>
      <c r="O916" s="4">
        <v>299</v>
      </c>
      <c r="P916" s="4" t="s">
        <v>41</v>
      </c>
      <c r="Q916" s="4">
        <v>1171.55</v>
      </c>
      <c r="R916" s="4">
        <v>1171.55</v>
      </c>
      <c r="S916" s="4">
        <v>17514.669999999998</v>
      </c>
      <c r="T916" s="4">
        <v>350293.45</v>
      </c>
      <c r="U916" s="4">
        <v>5</v>
      </c>
      <c r="V916" s="4" t="s">
        <v>42</v>
      </c>
      <c r="X916" s="7" t="str">
        <f t="shared" si="45"/>
        <v>441853990</v>
      </c>
      <c r="Y916" s="8" t="str">
        <f t="shared" si="46"/>
        <v>RP</v>
      </c>
      <c r="Z916" s="8">
        <f t="shared" si="47"/>
        <v>299</v>
      </c>
      <c r="AA916" s="8">
        <f t="shared" si="48"/>
        <v>299</v>
      </c>
      <c r="AB916" s="8">
        <f t="shared" si="49"/>
        <v>299</v>
      </c>
      <c r="AC916" s="8">
        <f t="shared" si="50"/>
        <v>299</v>
      </c>
      <c r="AD916" s="8">
        <f t="shared" si="51"/>
        <v>299</v>
      </c>
      <c r="AE916" s="9" t="str" cm="1">
        <f t="array" ref="AE916">IFERROR(_xlfn.XLOOKUP(H916,Sheet1!$G:$G,Sheet1!$F:$F),IFERROR(_xlfn.XLOOKUP(1,(--($X$2:$X$1074=X916))*(--ISNUMBER(MATCH($H$2:$H$1074,Sheet1!$G:$G,0))),_xlfn.XLOOKUP($H$2:$H$1074,Sheet1!$G:$G,Sheet1!$F:$F,"")),"NOT FOUND"))</f>
        <v>YETKRTSCUT5009</v>
      </c>
      <c r="AF916" s="10" t="str">
        <f t="shared" si="56"/>
        <v>BLACK</v>
      </c>
      <c r="AG916" s="11" t="str">
        <f t="shared" si="57"/>
        <v>JHAJJAR</v>
      </c>
      <c r="AH916" s="9" t="str">
        <f>IF(OR(J916="",AE916="",AE916="NOT FOUND"),"",IF(Y916="RP",IFERROR(LEFT(_xlfn.XLOOKUP(AE916,Sheet1!$F:$F,Sheet1!$W:$W),FIND("-",_xlfn.XLOOKUP(AE916,Sheet1!$F:$F,Sheet1!$W:$W),FIND("-",_xlfn.XLOOKUP(AE916,Sheet1!$F:$F,Sheet1!$W:$W))+1))&amp;AE916,"NOT FOUND"),LEFT(J916,FIND("-",J916,FIND("-",J916)+1))&amp;AE916))</f>
        <v>KRTS-APSU26-YETKRTSCUT5009</v>
      </c>
    </row>
    <row r="917" spans="1:34" ht="15.75" customHeight="1" x14ac:dyDescent="0.2">
      <c r="A917" s="4" t="s">
        <v>59</v>
      </c>
      <c r="B917" s="4" t="s">
        <v>1284</v>
      </c>
      <c r="C917" s="4" t="s">
        <v>1285</v>
      </c>
      <c r="D917" s="4" t="s">
        <v>1125</v>
      </c>
      <c r="E917" s="4" t="s">
        <v>34</v>
      </c>
      <c r="F917" s="4" t="s">
        <v>35</v>
      </c>
      <c r="G917" s="4" t="s">
        <v>36</v>
      </c>
      <c r="H917" s="4" t="s">
        <v>1286</v>
      </c>
      <c r="I917" s="4" t="s">
        <v>1287</v>
      </c>
      <c r="J917" s="4" t="s">
        <v>1288</v>
      </c>
      <c r="L917" s="4" t="s">
        <v>40</v>
      </c>
      <c r="M917" s="4">
        <v>1</v>
      </c>
      <c r="N917" s="4">
        <v>299</v>
      </c>
      <c r="O917" s="4">
        <v>299</v>
      </c>
      <c r="P917" s="4" t="s">
        <v>41</v>
      </c>
      <c r="Q917" s="4">
        <v>1146.5</v>
      </c>
      <c r="R917" s="4">
        <v>1146.5</v>
      </c>
      <c r="S917" s="4">
        <v>17140.18</v>
      </c>
      <c r="T917" s="4">
        <v>342803.5</v>
      </c>
      <c r="U917" s="4">
        <v>5</v>
      </c>
      <c r="V917" s="4" t="s">
        <v>42</v>
      </c>
      <c r="X917" s="7" t="str">
        <f t="shared" si="45"/>
        <v>441853964</v>
      </c>
      <c r="Y917" s="8" t="str">
        <f t="shared" si="46"/>
        <v>RP</v>
      </c>
      <c r="Z917" s="8">
        <f t="shared" si="47"/>
        <v>299</v>
      </c>
      <c r="AA917" s="8">
        <f t="shared" si="48"/>
        <v>299</v>
      </c>
      <c r="AB917" s="8">
        <f t="shared" si="49"/>
        <v>299</v>
      </c>
      <c r="AC917" s="8">
        <f t="shared" si="50"/>
        <v>299</v>
      </c>
      <c r="AD917" s="8">
        <f t="shared" si="51"/>
        <v>299</v>
      </c>
      <c r="AE917" s="9" t="str" cm="1">
        <f t="array" ref="AE917">IFERROR(_xlfn.XLOOKUP(H917,Sheet1!$G:$G,Sheet1!$F:$F),IFERROR(_xlfn.XLOOKUP(1,(--($X$2:$X$1074=X917))*(--ISNUMBER(MATCH($H$2:$H$1074,Sheet1!$G:$G,0))),_xlfn.XLOOKUP($H$2:$H$1074,Sheet1!$G:$G,Sheet1!$F:$F,"")),"NOT FOUND"))</f>
        <v>YETKRTSCUT5057</v>
      </c>
      <c r="AF917" s="10" t="str">
        <f t="shared" si="56"/>
        <v>BLUE</v>
      </c>
      <c r="AG917" s="11" t="str">
        <f t="shared" si="57"/>
        <v>JHAJJAR</v>
      </c>
      <c r="AH917" s="9" t="str">
        <f>IF(OR(J917="",AE917="",AE917="NOT FOUND"),"",IF(Y917="RP",IFERROR(LEFT(_xlfn.XLOOKUP(AE917,Sheet1!$F:$F,Sheet1!$W:$W),FIND("-",_xlfn.XLOOKUP(AE917,Sheet1!$F:$F,Sheet1!$W:$W),FIND("-",_xlfn.XLOOKUP(AE917,Sheet1!$F:$F,Sheet1!$W:$W))+1))&amp;AE917,"NOT FOUND"),LEFT(J917,FIND("-",J917,FIND("-",J917)+1))&amp;AE917))</f>
        <v>KRTS-APSU26-YETKRTSCUT5057</v>
      </c>
    </row>
    <row r="918" spans="1:34" ht="15.75" customHeight="1" x14ac:dyDescent="0.2">
      <c r="A918" s="4" t="s">
        <v>59</v>
      </c>
      <c r="B918" s="4" t="s">
        <v>1289</v>
      </c>
      <c r="C918" s="4" t="s">
        <v>1285</v>
      </c>
      <c r="D918" s="4" t="s">
        <v>1125</v>
      </c>
      <c r="E918" s="4" t="s">
        <v>34</v>
      </c>
      <c r="F918" s="4" t="s">
        <v>35</v>
      </c>
      <c r="G918" s="4" t="s">
        <v>36</v>
      </c>
      <c r="H918" s="4" t="s">
        <v>1290</v>
      </c>
      <c r="I918" s="4" t="s">
        <v>1291</v>
      </c>
      <c r="J918" s="4" t="s">
        <v>1292</v>
      </c>
      <c r="L918" s="4" t="s">
        <v>40</v>
      </c>
      <c r="M918" s="4">
        <v>1</v>
      </c>
      <c r="N918" s="4">
        <v>299</v>
      </c>
      <c r="O918" s="4">
        <v>299</v>
      </c>
      <c r="P918" s="4" t="s">
        <v>41</v>
      </c>
      <c r="Q918" s="4">
        <v>1146.5</v>
      </c>
      <c r="R918" s="4">
        <v>1146.5</v>
      </c>
      <c r="S918" s="4">
        <v>17140.18</v>
      </c>
      <c r="T918" s="4">
        <v>342803.5</v>
      </c>
      <c r="U918" s="4">
        <v>5</v>
      </c>
      <c r="V918" s="4" t="s">
        <v>42</v>
      </c>
      <c r="X918" s="7" t="str">
        <f t="shared" si="45"/>
        <v>441853963</v>
      </c>
      <c r="Y918" s="8" t="str">
        <f t="shared" si="46"/>
        <v>RP</v>
      </c>
      <c r="Z918" s="8">
        <f t="shared" si="47"/>
        <v>299</v>
      </c>
      <c r="AA918" s="8">
        <f t="shared" si="48"/>
        <v>299</v>
      </c>
      <c r="AB918" s="8">
        <f t="shared" si="49"/>
        <v>299</v>
      </c>
      <c r="AC918" s="8">
        <f t="shared" si="50"/>
        <v>299</v>
      </c>
      <c r="AD918" s="8">
        <f t="shared" si="51"/>
        <v>299</v>
      </c>
      <c r="AE918" s="9" t="str" cm="1">
        <f t="array" ref="AE918">IFERROR(_xlfn.XLOOKUP(H918,Sheet1!$G:$G,Sheet1!$F:$F),IFERROR(_xlfn.XLOOKUP(1,(--($X$2:$X$1074=X918))*(--ISNUMBER(MATCH($H$2:$H$1074,Sheet1!$G:$G,0))),_xlfn.XLOOKUP($H$2:$H$1074,Sheet1!$G:$G,Sheet1!$F:$F,"")),"NOT FOUND"))</f>
        <v>YETKRTSCUT5056</v>
      </c>
      <c r="AF918" s="10" t="str">
        <f t="shared" si="56"/>
        <v>BLUE</v>
      </c>
      <c r="AG918" s="11" t="str">
        <f t="shared" si="57"/>
        <v>JHAJJAR</v>
      </c>
      <c r="AH918" s="9" t="str">
        <f>IF(OR(J918="",AE918="",AE918="NOT FOUND"),"",IF(Y918="RP",IFERROR(LEFT(_xlfn.XLOOKUP(AE918,Sheet1!$F:$F,Sheet1!$W:$W),FIND("-",_xlfn.XLOOKUP(AE918,Sheet1!$F:$F,Sheet1!$W:$W),FIND("-",_xlfn.XLOOKUP(AE918,Sheet1!$F:$F,Sheet1!$W:$W))+1))&amp;AE918,"NOT FOUND"),LEFT(J918,FIND("-",J918,FIND("-",J918)+1))&amp;AE918))</f>
        <v>KRTS-APSU26-YETKRTSCUT5056</v>
      </c>
    </row>
    <row r="919" spans="1:34" ht="15.75" customHeight="1" x14ac:dyDescent="0.2">
      <c r="A919" s="4" t="s">
        <v>59</v>
      </c>
      <c r="B919" s="4" t="s">
        <v>1293</v>
      </c>
      <c r="C919" s="4" t="s">
        <v>1285</v>
      </c>
      <c r="D919" s="4" t="s">
        <v>1125</v>
      </c>
      <c r="E919" s="4" t="s">
        <v>34</v>
      </c>
      <c r="F919" s="4" t="s">
        <v>35</v>
      </c>
      <c r="G919" s="4" t="s">
        <v>36</v>
      </c>
      <c r="H919" s="4" t="s">
        <v>1294</v>
      </c>
      <c r="I919" s="4" t="s">
        <v>1295</v>
      </c>
      <c r="J919" s="4" t="s">
        <v>1296</v>
      </c>
      <c r="L919" s="4" t="s">
        <v>40</v>
      </c>
      <c r="M919" s="4">
        <v>1</v>
      </c>
      <c r="N919" s="4">
        <v>299</v>
      </c>
      <c r="O919" s="4">
        <v>299</v>
      </c>
      <c r="P919" s="4" t="s">
        <v>41</v>
      </c>
      <c r="Q919" s="4">
        <v>1146.5</v>
      </c>
      <c r="R919" s="4">
        <v>1146.5</v>
      </c>
      <c r="S919" s="4">
        <v>17140.18</v>
      </c>
      <c r="T919" s="4">
        <v>342803.5</v>
      </c>
      <c r="U919" s="4">
        <v>5</v>
      </c>
      <c r="V919" s="4" t="s">
        <v>42</v>
      </c>
      <c r="X919" s="7" t="str">
        <f t="shared" si="45"/>
        <v>441853962</v>
      </c>
      <c r="Y919" s="8" t="str">
        <f t="shared" si="46"/>
        <v>RP</v>
      </c>
      <c r="Z919" s="8">
        <f t="shared" si="47"/>
        <v>299</v>
      </c>
      <c r="AA919" s="8">
        <f t="shared" si="48"/>
        <v>299</v>
      </c>
      <c r="AB919" s="8">
        <f t="shared" si="49"/>
        <v>299</v>
      </c>
      <c r="AC919" s="8">
        <f t="shared" si="50"/>
        <v>299</v>
      </c>
      <c r="AD919" s="8">
        <f t="shared" si="51"/>
        <v>299</v>
      </c>
      <c r="AE919" s="9" t="str" cm="1">
        <f t="array" ref="AE919">IFERROR(_xlfn.XLOOKUP(H919,Sheet1!$G:$G,Sheet1!$F:$F),IFERROR(_xlfn.XLOOKUP(1,(--($X$2:$X$1074=X919))*(--ISNUMBER(MATCH($H$2:$H$1074,Sheet1!$G:$G,0))),_xlfn.XLOOKUP($H$2:$H$1074,Sheet1!$G:$G,Sheet1!$F:$F,"")),"NOT FOUND"))</f>
        <v>YETKRTSCUT5055</v>
      </c>
      <c r="AF919" s="10" t="str">
        <f t="shared" si="56"/>
        <v>BLUE</v>
      </c>
      <c r="AG919" s="11" t="str">
        <f t="shared" si="57"/>
        <v>JHAJJAR</v>
      </c>
      <c r="AH919" s="9" t="str">
        <f>IF(OR(J919="",AE919="",AE919="NOT FOUND"),"",IF(Y919="RP",IFERROR(LEFT(_xlfn.XLOOKUP(AE919,Sheet1!$F:$F,Sheet1!$W:$W),FIND("-",_xlfn.XLOOKUP(AE919,Sheet1!$F:$F,Sheet1!$W:$W),FIND("-",_xlfn.XLOOKUP(AE919,Sheet1!$F:$F,Sheet1!$W:$W))+1))&amp;AE919,"NOT FOUND"),LEFT(J919,FIND("-",J919,FIND("-",J919)+1))&amp;AE919))</f>
        <v>KRTS-APSU26-YETKRTSCUT5055</v>
      </c>
    </row>
    <row r="920" spans="1:34" ht="15.75" customHeight="1" x14ac:dyDescent="0.2">
      <c r="A920" s="4" t="s">
        <v>61</v>
      </c>
      <c r="B920" s="4" t="s">
        <v>1297</v>
      </c>
      <c r="C920" s="4" t="s">
        <v>1285</v>
      </c>
      <c r="D920" s="4" t="s">
        <v>1125</v>
      </c>
      <c r="E920" s="4" t="s">
        <v>34</v>
      </c>
      <c r="F920" s="4" t="s">
        <v>35</v>
      </c>
      <c r="G920" s="4" t="s">
        <v>36</v>
      </c>
      <c r="H920" s="4" t="s">
        <v>1298</v>
      </c>
      <c r="I920" s="4" t="s">
        <v>1299</v>
      </c>
      <c r="J920" s="4" t="s">
        <v>1300</v>
      </c>
      <c r="L920" s="4" t="s">
        <v>40</v>
      </c>
      <c r="M920" s="4">
        <v>1</v>
      </c>
      <c r="N920" s="4">
        <v>279</v>
      </c>
      <c r="O920" s="4">
        <v>279</v>
      </c>
      <c r="P920" s="4" t="s">
        <v>41</v>
      </c>
      <c r="Q920" s="4">
        <v>1146.5</v>
      </c>
      <c r="R920" s="4">
        <v>1146.5</v>
      </c>
      <c r="S920" s="4">
        <v>15993.68</v>
      </c>
      <c r="T920" s="4">
        <v>319873.5</v>
      </c>
      <c r="U920" s="4">
        <v>5</v>
      </c>
      <c r="V920" s="4" t="s">
        <v>42</v>
      </c>
      <c r="X920" s="7" t="str">
        <f t="shared" si="45"/>
        <v>441853960</v>
      </c>
      <c r="Y920" s="8" t="str">
        <f t="shared" si="46"/>
        <v>RP</v>
      </c>
      <c r="Z920" s="8">
        <f t="shared" si="47"/>
        <v>279</v>
      </c>
      <c r="AA920" s="8">
        <f t="shared" si="48"/>
        <v>279</v>
      </c>
      <c r="AB920" s="8">
        <f t="shared" si="49"/>
        <v>279</v>
      </c>
      <c r="AC920" s="8">
        <f t="shared" si="50"/>
        <v>279</v>
      </c>
      <c r="AD920" s="8">
        <f t="shared" si="51"/>
        <v>279</v>
      </c>
      <c r="AE920" s="9" t="str" cm="1">
        <f t="array" ref="AE920">IFERROR(_xlfn.XLOOKUP(H920,Sheet1!$G:$G,Sheet1!$F:$F),IFERROR(_xlfn.XLOOKUP(1,(--($X$2:$X$1074=X920))*(--ISNUMBER(MATCH($H$2:$H$1074,Sheet1!$G:$G,0))),_xlfn.XLOOKUP($H$2:$H$1074,Sheet1!$G:$G,Sheet1!$F:$F,"")),"NOT FOUND"))</f>
        <v>YETKRTSCUT5053</v>
      </c>
      <c r="AF920" s="10" t="str">
        <f t="shared" si="56"/>
        <v>BLUE</v>
      </c>
      <c r="AG920" s="11" t="str">
        <f t="shared" si="57"/>
        <v>HARIPAL</v>
      </c>
      <c r="AH920" s="9" t="str">
        <f>IF(OR(J920="",AE920="",AE920="NOT FOUND"),"",IF(Y920="RP",IFERROR(LEFT(_xlfn.XLOOKUP(AE920,Sheet1!$F:$F,Sheet1!$W:$W),FIND("-",_xlfn.XLOOKUP(AE920,Sheet1!$F:$F,Sheet1!$W:$W),FIND("-",_xlfn.XLOOKUP(AE920,Sheet1!$F:$F,Sheet1!$W:$W))+1))&amp;AE920,"NOT FOUND"),LEFT(J920,FIND("-",J920,FIND("-",J920)+1))&amp;AE920))</f>
        <v>KRTS-APSU26-YETKRTSCUT5053</v>
      </c>
    </row>
    <row r="921" spans="1:34" ht="15.75" customHeight="1" x14ac:dyDescent="0.2">
      <c r="A921" s="4" t="s">
        <v>59</v>
      </c>
      <c r="B921" s="4" t="s">
        <v>1301</v>
      </c>
      <c r="C921" s="4" t="s">
        <v>1285</v>
      </c>
      <c r="D921" s="4" t="s">
        <v>1125</v>
      </c>
      <c r="E921" s="4" t="s">
        <v>34</v>
      </c>
      <c r="F921" s="4" t="s">
        <v>35</v>
      </c>
      <c r="G921" s="4" t="s">
        <v>36</v>
      </c>
      <c r="H921" s="4" t="s">
        <v>1302</v>
      </c>
      <c r="I921" s="4" t="s">
        <v>1303</v>
      </c>
      <c r="J921" s="4" t="s">
        <v>1304</v>
      </c>
      <c r="L921" s="4" t="s">
        <v>40</v>
      </c>
      <c r="M921" s="4">
        <v>1</v>
      </c>
      <c r="N921" s="4">
        <v>284</v>
      </c>
      <c r="O921" s="4">
        <v>284</v>
      </c>
      <c r="P921" s="4" t="s">
        <v>41</v>
      </c>
      <c r="Q921" s="4">
        <v>1146.5</v>
      </c>
      <c r="R921" s="4">
        <v>1146.5</v>
      </c>
      <c r="S921" s="4">
        <v>16280.3</v>
      </c>
      <c r="T921" s="4">
        <v>325606</v>
      </c>
      <c r="U921" s="4">
        <v>5</v>
      </c>
      <c r="V921" s="4" t="s">
        <v>42</v>
      </c>
      <c r="X921" s="7" t="str">
        <f t="shared" si="45"/>
        <v>441853967</v>
      </c>
      <c r="Y921" s="8" t="str">
        <f t="shared" si="46"/>
        <v>RP</v>
      </c>
      <c r="Z921" s="8">
        <f t="shared" si="47"/>
        <v>284</v>
      </c>
      <c r="AA921" s="8">
        <f t="shared" si="48"/>
        <v>284</v>
      </c>
      <c r="AB921" s="8">
        <f t="shared" si="49"/>
        <v>284</v>
      </c>
      <c r="AC921" s="8">
        <f t="shared" si="50"/>
        <v>284</v>
      </c>
      <c r="AD921" s="8">
        <f t="shared" si="51"/>
        <v>284</v>
      </c>
      <c r="AE921" s="9" t="str" cm="1">
        <f t="array" ref="AE921">IFERROR(_xlfn.XLOOKUP(H921,Sheet1!$G:$G,Sheet1!$F:$F),IFERROR(_xlfn.XLOOKUP(1,(--($X$2:$X$1074=X921))*(--ISNUMBER(MATCH($H$2:$H$1074,Sheet1!$G:$G,0))),_xlfn.XLOOKUP($H$2:$H$1074,Sheet1!$G:$G,Sheet1!$F:$F,"")),"NOT FOUND"))</f>
        <v>YETKRTSCUT5060</v>
      </c>
      <c r="AF921" s="10" t="str">
        <f t="shared" si="56"/>
        <v>BLUE</v>
      </c>
      <c r="AG921" s="11" t="str">
        <f t="shared" si="57"/>
        <v>JHAJJAR</v>
      </c>
      <c r="AH921" s="9" t="str">
        <f>IF(OR(J921="",AE921="",AE921="NOT FOUND"),"",IF(Y921="RP",IFERROR(LEFT(_xlfn.XLOOKUP(AE921,Sheet1!$F:$F,Sheet1!$W:$W),FIND("-",_xlfn.XLOOKUP(AE921,Sheet1!$F:$F,Sheet1!$W:$W),FIND("-",_xlfn.XLOOKUP(AE921,Sheet1!$F:$F,Sheet1!$W:$W))+1))&amp;AE921,"NOT FOUND"),LEFT(J921,FIND("-",J921,FIND("-",J921)+1))&amp;AE921))</f>
        <v>KRTS-APSU26-YETKRTSCUT5060</v>
      </c>
    </row>
    <row r="922" spans="1:34" ht="15.75" customHeight="1" x14ac:dyDescent="0.2">
      <c r="A922" s="4" t="s">
        <v>59</v>
      </c>
      <c r="B922" s="4" t="s">
        <v>1305</v>
      </c>
      <c r="C922" s="4" t="s">
        <v>1285</v>
      </c>
      <c r="D922" s="4" t="s">
        <v>1125</v>
      </c>
      <c r="E922" s="4" t="s">
        <v>34</v>
      </c>
      <c r="F922" s="4" t="s">
        <v>35</v>
      </c>
      <c r="G922" s="4" t="s">
        <v>36</v>
      </c>
      <c r="H922" s="4" t="s">
        <v>1298</v>
      </c>
      <c r="I922" s="4" t="s">
        <v>1299</v>
      </c>
      <c r="J922" s="4" t="s">
        <v>1300</v>
      </c>
      <c r="L922" s="4" t="s">
        <v>40</v>
      </c>
      <c r="M922" s="4">
        <v>1</v>
      </c>
      <c r="N922" s="4">
        <v>295</v>
      </c>
      <c r="O922" s="4">
        <v>295</v>
      </c>
      <c r="P922" s="4" t="s">
        <v>41</v>
      </c>
      <c r="Q922" s="4">
        <v>1146.5</v>
      </c>
      <c r="R922" s="4">
        <v>1146.5</v>
      </c>
      <c r="S922" s="4">
        <v>16910.88</v>
      </c>
      <c r="T922" s="4">
        <v>338217.5</v>
      </c>
      <c r="U922" s="4">
        <v>5</v>
      </c>
      <c r="V922" s="4" t="s">
        <v>42</v>
      </c>
      <c r="X922" s="7" t="str">
        <f t="shared" si="45"/>
        <v>441853960</v>
      </c>
      <c r="Y922" s="8" t="str">
        <f t="shared" si="46"/>
        <v>RP</v>
      </c>
      <c r="Z922" s="8">
        <f t="shared" si="47"/>
        <v>295</v>
      </c>
      <c r="AA922" s="8">
        <f t="shared" si="48"/>
        <v>295</v>
      </c>
      <c r="AB922" s="8">
        <f t="shared" si="49"/>
        <v>295</v>
      </c>
      <c r="AC922" s="8">
        <f t="shared" si="50"/>
        <v>295</v>
      </c>
      <c r="AD922" s="8">
        <f t="shared" si="51"/>
        <v>295</v>
      </c>
      <c r="AE922" s="9" t="str" cm="1">
        <f t="array" ref="AE922">IFERROR(_xlfn.XLOOKUP(H922,Sheet1!$G:$G,Sheet1!$F:$F),IFERROR(_xlfn.XLOOKUP(1,(--($X$2:$X$1074=X922))*(--ISNUMBER(MATCH($H$2:$H$1074,Sheet1!$G:$G,0))),_xlfn.XLOOKUP($H$2:$H$1074,Sheet1!$G:$G,Sheet1!$F:$F,"")),"NOT FOUND"))</f>
        <v>YETKRTSCUT5053</v>
      </c>
      <c r="AF922" s="10" t="str">
        <f t="shared" si="56"/>
        <v>BLUE</v>
      </c>
      <c r="AG922" s="11" t="str">
        <f t="shared" si="57"/>
        <v>JHAJJAR</v>
      </c>
      <c r="AH922" s="9" t="str">
        <f>IF(OR(J922="",AE922="",AE922="NOT FOUND"),"",IF(Y922="RP",IFERROR(LEFT(_xlfn.XLOOKUP(AE922,Sheet1!$F:$F,Sheet1!$W:$W),FIND("-",_xlfn.XLOOKUP(AE922,Sheet1!$F:$F,Sheet1!$W:$W),FIND("-",_xlfn.XLOOKUP(AE922,Sheet1!$F:$F,Sheet1!$W:$W))+1))&amp;AE922,"NOT FOUND"),LEFT(J922,FIND("-",J922,FIND("-",J922)+1))&amp;AE922))</f>
        <v>KRTS-APSU26-YETKRTSCUT5053</v>
      </c>
    </row>
    <row r="923" spans="1:34" ht="15.75" customHeight="1" x14ac:dyDescent="0.2">
      <c r="A923" s="4" t="s">
        <v>59</v>
      </c>
      <c r="B923" s="4" t="s">
        <v>1306</v>
      </c>
      <c r="C923" s="4" t="s">
        <v>1285</v>
      </c>
      <c r="D923" s="4" t="s">
        <v>1125</v>
      </c>
      <c r="E923" s="4" t="s">
        <v>34</v>
      </c>
      <c r="F923" s="4" t="s">
        <v>35</v>
      </c>
      <c r="G923" s="4" t="s">
        <v>36</v>
      </c>
      <c r="H923" s="4" t="s">
        <v>1307</v>
      </c>
      <c r="I923" s="4" t="s">
        <v>1308</v>
      </c>
      <c r="J923" s="4" t="s">
        <v>1309</v>
      </c>
      <c r="L923" s="4" t="s">
        <v>40</v>
      </c>
      <c r="M923" s="4">
        <v>1</v>
      </c>
      <c r="N923" s="4">
        <v>299</v>
      </c>
      <c r="O923" s="4">
        <v>299</v>
      </c>
      <c r="P923" s="4" t="s">
        <v>41</v>
      </c>
      <c r="Q923" s="4">
        <v>1146.5</v>
      </c>
      <c r="R923" s="4">
        <v>1146.5</v>
      </c>
      <c r="S923" s="4">
        <v>17140.18</v>
      </c>
      <c r="T923" s="4">
        <v>342803.5</v>
      </c>
      <c r="U923" s="4">
        <v>5</v>
      </c>
      <c r="V923" s="4" t="s">
        <v>42</v>
      </c>
      <c r="X923" s="7" t="str">
        <f t="shared" si="45"/>
        <v>441853916</v>
      </c>
      <c r="Y923" s="8" t="str">
        <f t="shared" si="46"/>
        <v>RP</v>
      </c>
      <c r="Z923" s="8">
        <f t="shared" si="47"/>
        <v>299</v>
      </c>
      <c r="AA923" s="8">
        <f t="shared" si="48"/>
        <v>299</v>
      </c>
      <c r="AB923" s="8">
        <f t="shared" si="49"/>
        <v>299</v>
      </c>
      <c r="AC923" s="8">
        <f t="shared" si="50"/>
        <v>299</v>
      </c>
      <c r="AD923" s="8">
        <f t="shared" si="51"/>
        <v>299</v>
      </c>
      <c r="AE923" s="9" t="str" cm="1">
        <f t="array" ref="AE923">IFERROR(_xlfn.XLOOKUP(H923,Sheet1!$G:$G,Sheet1!$F:$F),IFERROR(_xlfn.XLOOKUP(1,(--($X$2:$X$1074=X923))*(--ISNUMBER(MATCH($H$2:$H$1074,Sheet1!$G:$G,0))),_xlfn.XLOOKUP($H$2:$H$1074,Sheet1!$G:$G,Sheet1!$F:$F,"")),"NOT FOUND"))</f>
        <v>YETKRTSCUT5005</v>
      </c>
      <c r="AF923" s="10" t="str">
        <f t="shared" si="56"/>
        <v>PEACH</v>
      </c>
      <c r="AG923" s="11" t="str">
        <f t="shared" si="57"/>
        <v>JHAJJAR</v>
      </c>
      <c r="AH923" s="9" t="str">
        <f>IF(OR(J923="",AE923="",AE923="NOT FOUND"),"",IF(Y923="RP",IFERROR(LEFT(_xlfn.XLOOKUP(AE923,Sheet1!$F:$F,Sheet1!$W:$W),FIND("-",_xlfn.XLOOKUP(AE923,Sheet1!$F:$F,Sheet1!$W:$W),FIND("-",_xlfn.XLOOKUP(AE923,Sheet1!$F:$F,Sheet1!$W:$W))+1))&amp;AE923,"NOT FOUND"),LEFT(J923,FIND("-",J923,FIND("-",J923)+1))&amp;AE923))</f>
        <v>KRTS-APSU26-YETKRTSCUT5005</v>
      </c>
    </row>
    <row r="924" spans="1:34" ht="15.75" customHeight="1" x14ac:dyDescent="0.2">
      <c r="A924" s="4" t="s">
        <v>61</v>
      </c>
      <c r="B924" s="4" t="s">
        <v>1310</v>
      </c>
      <c r="C924" s="4" t="s">
        <v>1285</v>
      </c>
      <c r="D924" s="4" t="s">
        <v>1194</v>
      </c>
      <c r="E924" s="4" t="s">
        <v>34</v>
      </c>
      <c r="F924" s="4" t="s">
        <v>35</v>
      </c>
      <c r="G924" s="4" t="s">
        <v>36</v>
      </c>
      <c r="H924" s="4" t="s">
        <v>1286</v>
      </c>
      <c r="I924" s="4" t="s">
        <v>1287</v>
      </c>
      <c r="J924" s="4" t="s">
        <v>1288</v>
      </c>
      <c r="L924" s="4" t="s">
        <v>40</v>
      </c>
      <c r="M924" s="4">
        <v>1</v>
      </c>
      <c r="N924" s="4">
        <v>283</v>
      </c>
      <c r="O924" s="4">
        <v>283</v>
      </c>
      <c r="P924" s="4" t="s">
        <v>41</v>
      </c>
      <c r="Q924" s="4">
        <v>1146.5</v>
      </c>
      <c r="R924" s="4">
        <v>1146.5</v>
      </c>
      <c r="S924" s="4">
        <v>16222.98</v>
      </c>
      <c r="T924" s="4">
        <v>324459.5</v>
      </c>
      <c r="U924" s="4">
        <v>5</v>
      </c>
      <c r="V924" s="4" t="s">
        <v>42</v>
      </c>
      <c r="X924" s="7" t="str">
        <f t="shared" si="45"/>
        <v>441853964</v>
      </c>
      <c r="Y924" s="8" t="str">
        <f t="shared" si="46"/>
        <v>RP</v>
      </c>
      <c r="Z924" s="8">
        <f t="shared" si="47"/>
        <v>283</v>
      </c>
      <c r="AA924" s="8">
        <f t="shared" si="48"/>
        <v>283</v>
      </c>
      <c r="AB924" s="8">
        <f t="shared" si="49"/>
        <v>283</v>
      </c>
      <c r="AC924" s="8">
        <f t="shared" si="50"/>
        <v>283</v>
      </c>
      <c r="AD924" s="8">
        <f t="shared" si="51"/>
        <v>283</v>
      </c>
      <c r="AE924" s="9" t="str" cm="1">
        <f t="array" ref="AE924">IFERROR(_xlfn.XLOOKUP(H924,Sheet1!$G:$G,Sheet1!$F:$F),IFERROR(_xlfn.XLOOKUP(1,(--($X$2:$X$1074=X924))*(--ISNUMBER(MATCH($H$2:$H$1074,Sheet1!$G:$G,0))),_xlfn.XLOOKUP($H$2:$H$1074,Sheet1!$G:$G,Sheet1!$F:$F,"")),"NOT FOUND"))</f>
        <v>YETKRTSCUT5057</v>
      </c>
      <c r="AF924" s="10" t="str">
        <f t="shared" si="56"/>
        <v>BLUE</v>
      </c>
      <c r="AG924" s="11" t="str">
        <f t="shared" si="57"/>
        <v>HARIPAL</v>
      </c>
      <c r="AH924" s="9" t="str">
        <f>IF(OR(J924="",AE924="",AE924="NOT FOUND"),"",IF(Y924="RP",IFERROR(LEFT(_xlfn.XLOOKUP(AE924,Sheet1!$F:$F,Sheet1!$W:$W),FIND("-",_xlfn.XLOOKUP(AE924,Sheet1!$F:$F,Sheet1!$W:$W),FIND("-",_xlfn.XLOOKUP(AE924,Sheet1!$F:$F,Sheet1!$W:$W))+1))&amp;AE924,"NOT FOUND"),LEFT(J924,FIND("-",J924,FIND("-",J924)+1))&amp;AE924))</f>
        <v>KRTS-APSU26-YETKRTSCUT5057</v>
      </c>
    </row>
    <row r="925" spans="1:34" ht="15.75" customHeight="1" x14ac:dyDescent="0.2">
      <c r="A925" s="4" t="s">
        <v>30</v>
      </c>
      <c r="B925" s="4" t="s">
        <v>1311</v>
      </c>
      <c r="C925" s="4" t="s">
        <v>1312</v>
      </c>
      <c r="D925" s="4" t="s">
        <v>1125</v>
      </c>
      <c r="E925" s="4" t="s">
        <v>34</v>
      </c>
      <c r="F925" s="4" t="s">
        <v>35</v>
      </c>
      <c r="G925" s="4" t="s">
        <v>36</v>
      </c>
      <c r="H925" s="4" t="s">
        <v>1313</v>
      </c>
      <c r="I925" s="4" t="s">
        <v>1314</v>
      </c>
      <c r="J925" s="4" t="s">
        <v>1315</v>
      </c>
      <c r="L925" s="4" t="s">
        <v>40</v>
      </c>
      <c r="M925" s="4">
        <v>1</v>
      </c>
      <c r="N925" s="4">
        <v>30</v>
      </c>
      <c r="O925" s="4">
        <v>30</v>
      </c>
      <c r="P925" s="4" t="s">
        <v>41</v>
      </c>
      <c r="Q925" s="4">
        <v>314.3</v>
      </c>
      <c r="R925" s="4">
        <v>314.3</v>
      </c>
      <c r="S925" s="4">
        <v>471.45</v>
      </c>
      <c r="T925" s="4">
        <v>9429</v>
      </c>
      <c r="U925" s="4">
        <v>5</v>
      </c>
      <c r="V925" s="4" t="s">
        <v>42</v>
      </c>
      <c r="X925" s="7" t="str">
        <f t="shared" si="45"/>
        <v>441853900</v>
      </c>
      <c r="Y925" s="8" t="str">
        <f t="shared" si="46"/>
        <v>DC</v>
      </c>
      <c r="Z925" s="8">
        <f t="shared" si="47"/>
        <v>30</v>
      </c>
      <c r="AA925" s="8">
        <f t="shared" si="48"/>
        <v>0</v>
      </c>
      <c r="AB925" s="8">
        <f t="shared" si="49"/>
        <v>0</v>
      </c>
      <c r="AC925" s="8">
        <f t="shared" si="50"/>
        <v>0</v>
      </c>
      <c r="AD925" s="8">
        <f t="shared" si="51"/>
        <v>0</v>
      </c>
      <c r="AE925" s="9" t="str" cm="1">
        <f t="array" ref="AE925">IFERROR(_xlfn.XLOOKUP(H925,Sheet1!$G:$G,Sheet1!$F:$F),IFERROR(_xlfn.XLOOKUP(1,(--($X$2:$X$1074=X925))*(--ISNUMBER(MATCH($H$2:$H$1074,Sheet1!$G:$G,0))),_xlfn.XLOOKUP($H$2:$H$1074,Sheet1!$G:$G,Sheet1!$F:$F,"")),"NOT FOUND"))</f>
        <v>YETKRTSFUT4254</v>
      </c>
      <c r="AF925" s="10" t="str">
        <f t="shared" si="56"/>
        <v>BLACK</v>
      </c>
      <c r="AG925" s="11" t="str">
        <f t="shared" si="57"/>
        <v>Bangalore</v>
      </c>
      <c r="AH925" s="9" t="str">
        <f>IF(OR(J925="",AE925="",AE925="NOT FOUND"),"",IF(Y925="RP",IFERROR(LEFT(_xlfn.XLOOKUP(AE925,Sheet1!$F:$F,Sheet1!$W:$W),FIND("-",_xlfn.XLOOKUP(AE925,Sheet1!$F:$F,Sheet1!$W:$W),FIND("-",_xlfn.XLOOKUP(AE925,Sheet1!$F:$F,Sheet1!$W:$W))+1))&amp;AE925,"NOT FOUND"),LEFT(J925,FIND("-",J925,FIND("-",J925)+1))&amp;AE925))</f>
        <v>KRTS-APSU26-YETKRTSFUT4254</v>
      </c>
    </row>
    <row r="926" spans="1:34" ht="15.75" customHeight="1" x14ac:dyDescent="0.2">
      <c r="A926" s="4" t="s">
        <v>30</v>
      </c>
      <c r="B926" s="4" t="s">
        <v>1311</v>
      </c>
      <c r="C926" s="4" t="s">
        <v>1312</v>
      </c>
      <c r="D926" s="4" t="s">
        <v>1125</v>
      </c>
      <c r="E926" s="4" t="s">
        <v>34</v>
      </c>
      <c r="F926" s="4" t="s">
        <v>35</v>
      </c>
      <c r="G926" s="4" t="s">
        <v>43</v>
      </c>
      <c r="H926" s="4" t="s">
        <v>1316</v>
      </c>
      <c r="I926" s="4" t="s">
        <v>1317</v>
      </c>
      <c r="J926" s="4" t="s">
        <v>1318</v>
      </c>
      <c r="L926" s="4" t="s">
        <v>40</v>
      </c>
      <c r="M926" s="4">
        <v>1</v>
      </c>
      <c r="N926" s="4">
        <v>30</v>
      </c>
      <c r="O926" s="4">
        <v>30</v>
      </c>
      <c r="P926" s="4" t="s">
        <v>41</v>
      </c>
      <c r="Q926" s="4">
        <v>314.3</v>
      </c>
      <c r="R926" s="4">
        <v>314.3</v>
      </c>
      <c r="S926" s="4">
        <v>471.45</v>
      </c>
      <c r="T926" s="4">
        <v>9429</v>
      </c>
      <c r="U926" s="4">
        <v>5</v>
      </c>
      <c r="V926" s="4" t="s">
        <v>42</v>
      </c>
      <c r="X926" s="7" t="str">
        <f t="shared" si="45"/>
        <v>441853900</v>
      </c>
      <c r="Y926" s="8" t="str">
        <f t="shared" si="46"/>
        <v>DC</v>
      </c>
      <c r="Z926" s="8">
        <f t="shared" si="47"/>
        <v>0</v>
      </c>
      <c r="AA926" s="8">
        <f t="shared" si="48"/>
        <v>30</v>
      </c>
      <c r="AB926" s="8">
        <f t="shared" si="49"/>
        <v>0</v>
      </c>
      <c r="AC926" s="8">
        <f t="shared" si="50"/>
        <v>0</v>
      </c>
      <c r="AD926" s="8">
        <f t="shared" si="51"/>
        <v>0</v>
      </c>
      <c r="AE926" s="9" t="str" cm="1">
        <f t="array" ref="AE926">IFERROR(_xlfn.XLOOKUP(H926,Sheet1!$G:$G,Sheet1!$F:$F),IFERROR(_xlfn.XLOOKUP(1,(--($X$2:$X$1074=X926))*(--ISNUMBER(MATCH($H$2:$H$1074,Sheet1!$G:$G,0))),_xlfn.XLOOKUP($H$2:$H$1074,Sheet1!$G:$G,Sheet1!$F:$F,"")),"NOT FOUND"))</f>
        <v>YETKRTSFUT4254</v>
      </c>
      <c r="AF926" s="10" t="str">
        <f t="shared" si="56"/>
        <v>BLACK</v>
      </c>
      <c r="AG926" s="11" t="str">
        <f t="shared" si="57"/>
        <v>Bangalore</v>
      </c>
      <c r="AH926" s="9" t="str">
        <f>IF(OR(J926="",AE926="",AE926="NOT FOUND"),"",IF(Y926="RP",IFERROR(LEFT(_xlfn.XLOOKUP(AE926,Sheet1!$F:$F,Sheet1!$W:$W),FIND("-",_xlfn.XLOOKUP(AE926,Sheet1!$F:$F,Sheet1!$W:$W),FIND("-",_xlfn.XLOOKUP(AE926,Sheet1!$F:$F,Sheet1!$W:$W))+1))&amp;AE926,"NOT FOUND"),LEFT(J926,FIND("-",J926,FIND("-",J926)+1))&amp;AE926))</f>
        <v>KRTS-APSU26-YETKRTSFUT4254</v>
      </c>
    </row>
    <row r="927" spans="1:34" ht="15.75" customHeight="1" x14ac:dyDescent="0.2">
      <c r="A927" s="4" t="s">
        <v>30</v>
      </c>
      <c r="B927" s="4" t="s">
        <v>1311</v>
      </c>
      <c r="C927" s="4" t="s">
        <v>1312</v>
      </c>
      <c r="D927" s="4" t="s">
        <v>1125</v>
      </c>
      <c r="E927" s="4" t="s">
        <v>34</v>
      </c>
      <c r="F927" s="4" t="s">
        <v>35</v>
      </c>
      <c r="G927" s="4" t="s">
        <v>47</v>
      </c>
      <c r="H927" s="4" t="s">
        <v>1319</v>
      </c>
      <c r="I927" s="4" t="s">
        <v>1320</v>
      </c>
      <c r="J927" s="4" t="s">
        <v>1321</v>
      </c>
      <c r="L927" s="4" t="s">
        <v>40</v>
      </c>
      <c r="M927" s="4">
        <v>1</v>
      </c>
      <c r="N927" s="4">
        <v>30</v>
      </c>
      <c r="O927" s="4">
        <v>30</v>
      </c>
      <c r="P927" s="4" t="s">
        <v>41</v>
      </c>
      <c r="Q927" s="4">
        <v>314.3</v>
      </c>
      <c r="R927" s="4">
        <v>314.3</v>
      </c>
      <c r="S927" s="4">
        <v>471.45</v>
      </c>
      <c r="T927" s="4">
        <v>9429</v>
      </c>
      <c r="U927" s="4">
        <v>5</v>
      </c>
      <c r="V927" s="4" t="s">
        <v>42</v>
      </c>
      <c r="X927" s="7" t="str">
        <f t="shared" si="45"/>
        <v>441853900</v>
      </c>
      <c r="Y927" s="8" t="str">
        <f t="shared" si="46"/>
        <v>DC</v>
      </c>
      <c r="Z927" s="8">
        <f t="shared" si="47"/>
        <v>0</v>
      </c>
      <c r="AA927" s="8">
        <f t="shared" si="48"/>
        <v>0</v>
      </c>
      <c r="AB927" s="8">
        <f t="shared" si="49"/>
        <v>30</v>
      </c>
      <c r="AC927" s="8">
        <f t="shared" si="50"/>
        <v>0</v>
      </c>
      <c r="AD927" s="8">
        <f t="shared" si="51"/>
        <v>0</v>
      </c>
      <c r="AE927" s="9" t="str" cm="1">
        <f t="array" ref="AE927">IFERROR(_xlfn.XLOOKUP(H927,Sheet1!$G:$G,Sheet1!$F:$F),IFERROR(_xlfn.XLOOKUP(1,(--($X$2:$X$1074=X927))*(--ISNUMBER(MATCH($H$2:$H$1074,Sheet1!$G:$G,0))),_xlfn.XLOOKUP($H$2:$H$1074,Sheet1!$G:$G,Sheet1!$F:$F,"")),"NOT FOUND"))</f>
        <v>YETKRTSFUT4254</v>
      </c>
      <c r="AF927" s="10" t="str">
        <f t="shared" si="56"/>
        <v>BLACK</v>
      </c>
      <c r="AG927" s="11" t="str">
        <f t="shared" si="57"/>
        <v>Bangalore</v>
      </c>
      <c r="AH927" s="9" t="str">
        <f>IF(OR(J927="",AE927="",AE927="NOT FOUND"),"",IF(Y927="RP",IFERROR(LEFT(_xlfn.XLOOKUP(AE927,Sheet1!$F:$F,Sheet1!$W:$W),FIND("-",_xlfn.XLOOKUP(AE927,Sheet1!$F:$F,Sheet1!$W:$W),FIND("-",_xlfn.XLOOKUP(AE927,Sheet1!$F:$F,Sheet1!$W:$W))+1))&amp;AE927,"NOT FOUND"),LEFT(J927,FIND("-",J927,FIND("-",J927)+1))&amp;AE927))</f>
        <v>KRTS-APSU26-YETKRTSFUT4254</v>
      </c>
    </row>
    <row r="928" spans="1:34" ht="15.75" customHeight="1" x14ac:dyDescent="0.2">
      <c r="A928" s="4" t="s">
        <v>30</v>
      </c>
      <c r="B928" s="4" t="s">
        <v>1311</v>
      </c>
      <c r="C928" s="4" t="s">
        <v>1312</v>
      </c>
      <c r="D928" s="4" t="s">
        <v>1125</v>
      </c>
      <c r="E928" s="4" t="s">
        <v>34</v>
      </c>
      <c r="F928" s="4" t="s">
        <v>35</v>
      </c>
      <c r="G928" s="4" t="s">
        <v>51</v>
      </c>
      <c r="H928" s="4" t="s">
        <v>1322</v>
      </c>
      <c r="I928" s="4" t="s">
        <v>1323</v>
      </c>
      <c r="J928" s="4" t="s">
        <v>1324</v>
      </c>
      <c r="L928" s="4" t="s">
        <v>40</v>
      </c>
      <c r="M928" s="4">
        <v>1</v>
      </c>
      <c r="N928" s="4">
        <v>30</v>
      </c>
      <c r="O928" s="4">
        <v>30</v>
      </c>
      <c r="P928" s="4" t="s">
        <v>41</v>
      </c>
      <c r="Q928" s="4">
        <v>314.3</v>
      </c>
      <c r="R928" s="4">
        <v>314.3</v>
      </c>
      <c r="S928" s="4">
        <v>471.45</v>
      </c>
      <c r="T928" s="4">
        <v>9429</v>
      </c>
      <c r="U928" s="4">
        <v>5</v>
      </c>
      <c r="V928" s="4" t="s">
        <v>42</v>
      </c>
      <c r="X928" s="7" t="str">
        <f t="shared" si="45"/>
        <v>441853900</v>
      </c>
      <c r="Y928" s="8" t="str">
        <f t="shared" si="46"/>
        <v>DC</v>
      </c>
      <c r="Z928" s="8">
        <f t="shared" si="47"/>
        <v>0</v>
      </c>
      <c r="AA928" s="8">
        <f t="shared" si="48"/>
        <v>0</v>
      </c>
      <c r="AB928" s="8">
        <f t="shared" si="49"/>
        <v>0</v>
      </c>
      <c r="AC928" s="8">
        <f t="shared" si="50"/>
        <v>30</v>
      </c>
      <c r="AD928" s="8">
        <f t="shared" si="51"/>
        <v>0</v>
      </c>
      <c r="AE928" s="9" t="str" cm="1">
        <f t="array" ref="AE928">IFERROR(_xlfn.XLOOKUP(H928,Sheet1!$G:$G,Sheet1!$F:$F),IFERROR(_xlfn.XLOOKUP(1,(--($X$2:$X$1074=X928))*(--ISNUMBER(MATCH($H$2:$H$1074,Sheet1!$G:$G,0))),_xlfn.XLOOKUP($H$2:$H$1074,Sheet1!$G:$G,Sheet1!$F:$F,"")),"NOT FOUND"))</f>
        <v>YETKRTSFUT4254</v>
      </c>
      <c r="AF928" s="10" t="str">
        <f t="shared" si="56"/>
        <v>BLACK</v>
      </c>
      <c r="AG928" s="11" t="str">
        <f t="shared" si="57"/>
        <v>Bangalore</v>
      </c>
      <c r="AH928" s="9" t="str">
        <f>IF(OR(J928="",AE928="",AE928="NOT FOUND"),"",IF(Y928="RP",IFERROR(LEFT(_xlfn.XLOOKUP(AE928,Sheet1!$F:$F,Sheet1!$W:$W),FIND("-",_xlfn.XLOOKUP(AE928,Sheet1!$F:$F,Sheet1!$W:$W),FIND("-",_xlfn.XLOOKUP(AE928,Sheet1!$F:$F,Sheet1!$W:$W))+1))&amp;AE928,"NOT FOUND"),LEFT(J928,FIND("-",J928,FIND("-",J928)+1))&amp;AE928))</f>
        <v>KRTS-APSU26-YETKRTSFUT4254</v>
      </c>
    </row>
    <row r="929" spans="1:34" ht="15.75" customHeight="1" x14ac:dyDescent="0.2">
      <c r="A929" s="4" t="s">
        <v>30</v>
      </c>
      <c r="B929" s="4" t="s">
        <v>1311</v>
      </c>
      <c r="C929" s="4" t="s">
        <v>1312</v>
      </c>
      <c r="D929" s="4" t="s">
        <v>1125</v>
      </c>
      <c r="E929" s="4" t="s">
        <v>34</v>
      </c>
      <c r="F929" s="4" t="s">
        <v>35</v>
      </c>
      <c r="G929" s="4" t="s">
        <v>55</v>
      </c>
      <c r="H929" s="4" t="s">
        <v>1325</v>
      </c>
      <c r="I929" s="4" t="s">
        <v>1326</v>
      </c>
      <c r="J929" s="4" t="s">
        <v>1327</v>
      </c>
      <c r="L929" s="4" t="s">
        <v>40</v>
      </c>
      <c r="M929" s="4">
        <v>1</v>
      </c>
      <c r="N929" s="4">
        <v>30</v>
      </c>
      <c r="O929" s="4">
        <v>30</v>
      </c>
      <c r="P929" s="4" t="s">
        <v>41</v>
      </c>
      <c r="Q929" s="4">
        <v>314.3</v>
      </c>
      <c r="R929" s="4">
        <v>314.3</v>
      </c>
      <c r="S929" s="4">
        <v>471.45</v>
      </c>
      <c r="T929" s="4">
        <v>9429</v>
      </c>
      <c r="U929" s="4">
        <v>5</v>
      </c>
      <c r="V929" s="4" t="s">
        <v>42</v>
      </c>
      <c r="X929" s="7" t="str">
        <f t="shared" si="45"/>
        <v>441853900</v>
      </c>
      <c r="Y929" s="8" t="str">
        <f t="shared" si="46"/>
        <v>DC</v>
      </c>
      <c r="Z929" s="8">
        <f t="shared" si="47"/>
        <v>0</v>
      </c>
      <c r="AA929" s="8">
        <f t="shared" si="48"/>
        <v>0</v>
      </c>
      <c r="AB929" s="8">
        <f t="shared" si="49"/>
        <v>0</v>
      </c>
      <c r="AC929" s="8">
        <f t="shared" si="50"/>
        <v>0</v>
      </c>
      <c r="AD929" s="8">
        <f t="shared" si="51"/>
        <v>30</v>
      </c>
      <c r="AE929" s="9" t="str" cm="1">
        <f t="array" ref="AE929">IFERROR(_xlfn.XLOOKUP(H929,Sheet1!$G:$G,Sheet1!$F:$F),IFERROR(_xlfn.XLOOKUP(1,(--($X$2:$X$1074=X929))*(--ISNUMBER(MATCH($H$2:$H$1074,Sheet1!$G:$G,0))),_xlfn.XLOOKUP($H$2:$H$1074,Sheet1!$G:$G,Sheet1!$F:$F,"")),"NOT FOUND"))</f>
        <v>YETKRTSFUT4254</v>
      </c>
      <c r="AF929" s="10" t="str">
        <f t="shared" si="56"/>
        <v>BLACK</v>
      </c>
      <c r="AG929" s="11" t="str">
        <f t="shared" si="57"/>
        <v>Bangalore</v>
      </c>
      <c r="AH929" s="9" t="str">
        <f>IF(OR(J929="",AE929="",AE929="NOT FOUND"),"",IF(Y929="RP",IFERROR(LEFT(_xlfn.XLOOKUP(AE929,Sheet1!$F:$F,Sheet1!$W:$W),FIND("-",_xlfn.XLOOKUP(AE929,Sheet1!$F:$F,Sheet1!$W:$W),FIND("-",_xlfn.XLOOKUP(AE929,Sheet1!$F:$F,Sheet1!$W:$W))+1))&amp;AE929,"NOT FOUND"),LEFT(J929,FIND("-",J929,FIND("-",J929)+1))&amp;AE929))</f>
        <v>KRTS-APSU26-YETKRTSFUT4254</v>
      </c>
    </row>
    <row r="930" spans="1:34" ht="15.75" customHeight="1" x14ac:dyDescent="0.2">
      <c r="A930" s="4" t="s">
        <v>30</v>
      </c>
      <c r="B930" s="4" t="s">
        <v>1328</v>
      </c>
      <c r="C930" s="4" t="s">
        <v>1312</v>
      </c>
      <c r="D930" s="4" t="s">
        <v>1125</v>
      </c>
      <c r="E930" s="4" t="s">
        <v>34</v>
      </c>
      <c r="F930" s="4" t="s">
        <v>35</v>
      </c>
      <c r="G930" s="4" t="s">
        <v>36</v>
      </c>
      <c r="H930" s="4" t="s">
        <v>1329</v>
      </c>
      <c r="I930" s="4" t="s">
        <v>1330</v>
      </c>
      <c r="J930" s="4" t="s">
        <v>1331</v>
      </c>
      <c r="L930" s="4" t="s">
        <v>40</v>
      </c>
      <c r="M930" s="4">
        <v>1</v>
      </c>
      <c r="N930" s="4">
        <v>30</v>
      </c>
      <c r="O930" s="4">
        <v>30</v>
      </c>
      <c r="P930" s="4" t="s">
        <v>41</v>
      </c>
      <c r="Q930" s="4">
        <v>314.3</v>
      </c>
      <c r="R930" s="4">
        <v>314.3</v>
      </c>
      <c r="S930" s="4">
        <v>471.45</v>
      </c>
      <c r="T930" s="4">
        <v>9429</v>
      </c>
      <c r="U930" s="4">
        <v>5</v>
      </c>
      <c r="V930" s="4" t="s">
        <v>42</v>
      </c>
      <c r="X930" s="7" t="str">
        <f t="shared" si="45"/>
        <v>441853899</v>
      </c>
      <c r="Y930" s="8" t="str">
        <f t="shared" si="46"/>
        <v>DC</v>
      </c>
      <c r="Z930" s="8">
        <f t="shared" si="47"/>
        <v>30</v>
      </c>
      <c r="AA930" s="8">
        <f t="shared" si="48"/>
        <v>0</v>
      </c>
      <c r="AB930" s="8">
        <f t="shared" si="49"/>
        <v>0</v>
      </c>
      <c r="AC930" s="8">
        <f t="shared" si="50"/>
        <v>0</v>
      </c>
      <c r="AD930" s="8">
        <f t="shared" si="51"/>
        <v>0</v>
      </c>
      <c r="AE930" s="9" t="str" cm="1">
        <f t="array" ref="AE930">IFERROR(_xlfn.XLOOKUP(H930,Sheet1!$G:$G,Sheet1!$F:$F),IFERROR(_xlfn.XLOOKUP(1,(--($X$2:$X$1074=X930))*(--ISNUMBER(MATCH($H$2:$H$1074,Sheet1!$G:$G,0))),_xlfn.XLOOKUP($H$2:$H$1074,Sheet1!$G:$G,Sheet1!$F:$F,"")),"NOT FOUND"))</f>
        <v>RETKRTSFUT4253</v>
      </c>
      <c r="AF930" s="10" t="str">
        <f t="shared" si="56"/>
        <v>OLIVE GREEN</v>
      </c>
      <c r="AG930" s="11" t="str">
        <f t="shared" si="57"/>
        <v>Bangalore</v>
      </c>
      <c r="AH930" s="9" t="str">
        <f>IF(OR(J930="",AE930="",AE930="NOT FOUND"),"",IF(Y930="RP",IFERROR(LEFT(_xlfn.XLOOKUP(AE930,Sheet1!$F:$F,Sheet1!$W:$W),FIND("-",_xlfn.XLOOKUP(AE930,Sheet1!$F:$F,Sheet1!$W:$W),FIND("-",_xlfn.XLOOKUP(AE930,Sheet1!$F:$F,Sheet1!$W:$W))+1))&amp;AE930,"NOT FOUND"),LEFT(J930,FIND("-",J930,FIND("-",J930)+1))&amp;AE930))</f>
        <v>KRTS-APSU26-RETKRTSFUT4253</v>
      </c>
    </row>
    <row r="931" spans="1:34" ht="15.75" customHeight="1" x14ac:dyDescent="0.2">
      <c r="A931" s="4" t="s">
        <v>30</v>
      </c>
      <c r="B931" s="4" t="s">
        <v>1328</v>
      </c>
      <c r="C931" s="4" t="s">
        <v>1312</v>
      </c>
      <c r="D931" s="4" t="s">
        <v>1125</v>
      </c>
      <c r="E931" s="4" t="s">
        <v>34</v>
      </c>
      <c r="F931" s="4" t="s">
        <v>35</v>
      </c>
      <c r="G931" s="4" t="s">
        <v>43</v>
      </c>
      <c r="H931" s="4" t="s">
        <v>1332</v>
      </c>
      <c r="I931" s="4" t="s">
        <v>1333</v>
      </c>
      <c r="J931" s="4" t="s">
        <v>1334</v>
      </c>
      <c r="L931" s="4" t="s">
        <v>40</v>
      </c>
      <c r="M931" s="4">
        <v>1</v>
      </c>
      <c r="N931" s="4">
        <v>30</v>
      </c>
      <c r="O931" s="4">
        <v>30</v>
      </c>
      <c r="P931" s="4" t="s">
        <v>41</v>
      </c>
      <c r="Q931" s="4">
        <v>314.3</v>
      </c>
      <c r="R931" s="4">
        <v>314.3</v>
      </c>
      <c r="S931" s="4">
        <v>471.45</v>
      </c>
      <c r="T931" s="4">
        <v>9429</v>
      </c>
      <c r="U931" s="4">
        <v>5</v>
      </c>
      <c r="V931" s="4" t="s">
        <v>42</v>
      </c>
      <c r="X931" s="7" t="str">
        <f t="shared" si="45"/>
        <v>441853899</v>
      </c>
      <c r="Y931" s="8" t="str">
        <f t="shared" si="46"/>
        <v>DC</v>
      </c>
      <c r="Z931" s="8">
        <f t="shared" si="47"/>
        <v>0</v>
      </c>
      <c r="AA931" s="8">
        <f t="shared" si="48"/>
        <v>30</v>
      </c>
      <c r="AB931" s="8">
        <f t="shared" si="49"/>
        <v>0</v>
      </c>
      <c r="AC931" s="8">
        <f t="shared" si="50"/>
        <v>0</v>
      </c>
      <c r="AD931" s="8">
        <f t="shared" si="51"/>
        <v>0</v>
      </c>
      <c r="AE931" s="9" t="str" cm="1">
        <f t="array" ref="AE931">IFERROR(_xlfn.XLOOKUP(H931,Sheet1!$G:$G,Sheet1!$F:$F),IFERROR(_xlfn.XLOOKUP(1,(--($X$2:$X$1074=X931))*(--ISNUMBER(MATCH($H$2:$H$1074,Sheet1!$G:$G,0))),_xlfn.XLOOKUP($H$2:$H$1074,Sheet1!$G:$G,Sheet1!$F:$F,"")),"NOT FOUND"))</f>
        <v>RETKRTSFUT4253</v>
      </c>
      <c r="AF931" s="10" t="str">
        <f t="shared" si="56"/>
        <v>OLIVE GREEN</v>
      </c>
      <c r="AG931" s="11" t="str">
        <f t="shared" si="57"/>
        <v>Bangalore</v>
      </c>
      <c r="AH931" s="9" t="str">
        <f>IF(OR(J931="",AE931="",AE931="NOT FOUND"),"",IF(Y931="RP",IFERROR(LEFT(_xlfn.XLOOKUP(AE931,Sheet1!$F:$F,Sheet1!$W:$W),FIND("-",_xlfn.XLOOKUP(AE931,Sheet1!$F:$F,Sheet1!$W:$W),FIND("-",_xlfn.XLOOKUP(AE931,Sheet1!$F:$F,Sheet1!$W:$W))+1))&amp;AE931,"NOT FOUND"),LEFT(J931,FIND("-",J931,FIND("-",J931)+1))&amp;AE931))</f>
        <v>KRTS-APSU26-RETKRTSFUT4253</v>
      </c>
    </row>
    <row r="932" spans="1:34" ht="15.75" customHeight="1" x14ac:dyDescent="0.2">
      <c r="A932" s="4" t="s">
        <v>30</v>
      </c>
      <c r="B932" s="4" t="s">
        <v>1328</v>
      </c>
      <c r="C932" s="4" t="s">
        <v>1312</v>
      </c>
      <c r="D932" s="4" t="s">
        <v>1125</v>
      </c>
      <c r="E932" s="4" t="s">
        <v>34</v>
      </c>
      <c r="F932" s="4" t="s">
        <v>35</v>
      </c>
      <c r="G932" s="4" t="s">
        <v>47</v>
      </c>
      <c r="H932" s="4" t="s">
        <v>1335</v>
      </c>
      <c r="I932" s="4" t="s">
        <v>1336</v>
      </c>
      <c r="J932" s="4" t="s">
        <v>1337</v>
      </c>
      <c r="L932" s="4" t="s">
        <v>40</v>
      </c>
      <c r="M932" s="4">
        <v>1</v>
      </c>
      <c r="N932" s="4">
        <v>30</v>
      </c>
      <c r="O932" s="4">
        <v>30</v>
      </c>
      <c r="P932" s="4" t="s">
        <v>41</v>
      </c>
      <c r="Q932" s="4">
        <v>314.3</v>
      </c>
      <c r="R932" s="4">
        <v>314.3</v>
      </c>
      <c r="S932" s="4">
        <v>471.45</v>
      </c>
      <c r="T932" s="4">
        <v>9429</v>
      </c>
      <c r="U932" s="4">
        <v>5</v>
      </c>
      <c r="V932" s="4" t="s">
        <v>42</v>
      </c>
      <c r="X932" s="7" t="str">
        <f t="shared" si="45"/>
        <v>441853899</v>
      </c>
      <c r="Y932" s="8" t="str">
        <f t="shared" si="46"/>
        <v>DC</v>
      </c>
      <c r="Z932" s="8">
        <f t="shared" si="47"/>
        <v>0</v>
      </c>
      <c r="AA932" s="8">
        <f t="shared" si="48"/>
        <v>0</v>
      </c>
      <c r="AB932" s="8">
        <f t="shared" si="49"/>
        <v>30</v>
      </c>
      <c r="AC932" s="8">
        <f t="shared" si="50"/>
        <v>0</v>
      </c>
      <c r="AD932" s="8">
        <f t="shared" si="51"/>
        <v>0</v>
      </c>
      <c r="AE932" s="9" t="str" cm="1">
        <f t="array" ref="AE932">IFERROR(_xlfn.XLOOKUP(H932,Sheet1!$G:$G,Sheet1!$F:$F),IFERROR(_xlfn.XLOOKUP(1,(--($X$2:$X$1074=X932))*(--ISNUMBER(MATCH($H$2:$H$1074,Sheet1!$G:$G,0))),_xlfn.XLOOKUP($H$2:$H$1074,Sheet1!$G:$G,Sheet1!$F:$F,"")),"NOT FOUND"))</f>
        <v>RETKRTSFUT4253</v>
      </c>
      <c r="AF932" s="10" t="str">
        <f t="shared" si="56"/>
        <v>OLIVE GREEN</v>
      </c>
      <c r="AG932" s="11" t="str">
        <f t="shared" si="57"/>
        <v>Bangalore</v>
      </c>
      <c r="AH932" s="9" t="str">
        <f>IF(OR(J932="",AE932="",AE932="NOT FOUND"),"",IF(Y932="RP",IFERROR(LEFT(_xlfn.XLOOKUP(AE932,Sheet1!$F:$F,Sheet1!$W:$W),FIND("-",_xlfn.XLOOKUP(AE932,Sheet1!$F:$F,Sheet1!$W:$W),FIND("-",_xlfn.XLOOKUP(AE932,Sheet1!$F:$F,Sheet1!$W:$W))+1))&amp;AE932,"NOT FOUND"),LEFT(J932,FIND("-",J932,FIND("-",J932)+1))&amp;AE932))</f>
        <v>KRTS-APSU26-RETKRTSFUT4253</v>
      </c>
    </row>
    <row r="933" spans="1:34" ht="15.75" customHeight="1" x14ac:dyDescent="0.2">
      <c r="A933" s="4" t="s">
        <v>30</v>
      </c>
      <c r="B933" s="4" t="s">
        <v>1328</v>
      </c>
      <c r="C933" s="4" t="s">
        <v>1312</v>
      </c>
      <c r="D933" s="4" t="s">
        <v>1125</v>
      </c>
      <c r="E933" s="4" t="s">
        <v>34</v>
      </c>
      <c r="F933" s="4" t="s">
        <v>35</v>
      </c>
      <c r="G933" s="4" t="s">
        <v>51</v>
      </c>
      <c r="H933" s="4" t="s">
        <v>1338</v>
      </c>
      <c r="I933" s="4" t="s">
        <v>1339</v>
      </c>
      <c r="J933" s="4" t="s">
        <v>1340</v>
      </c>
      <c r="L933" s="4" t="s">
        <v>40</v>
      </c>
      <c r="M933" s="4">
        <v>1</v>
      </c>
      <c r="N933" s="4">
        <v>30</v>
      </c>
      <c r="O933" s="4">
        <v>30</v>
      </c>
      <c r="P933" s="4" t="s">
        <v>41</v>
      </c>
      <c r="Q933" s="4">
        <v>314.3</v>
      </c>
      <c r="R933" s="4">
        <v>314.3</v>
      </c>
      <c r="S933" s="4">
        <v>471.45</v>
      </c>
      <c r="T933" s="4">
        <v>9429</v>
      </c>
      <c r="U933" s="4">
        <v>5</v>
      </c>
      <c r="V933" s="4" t="s">
        <v>42</v>
      </c>
      <c r="X933" s="7" t="str">
        <f t="shared" si="45"/>
        <v>441853899</v>
      </c>
      <c r="Y933" s="8" t="str">
        <f t="shared" si="46"/>
        <v>DC</v>
      </c>
      <c r="Z933" s="8">
        <f t="shared" si="47"/>
        <v>0</v>
      </c>
      <c r="AA933" s="8">
        <f t="shared" si="48"/>
        <v>0</v>
      </c>
      <c r="AB933" s="8">
        <f t="shared" si="49"/>
        <v>0</v>
      </c>
      <c r="AC933" s="8">
        <f t="shared" si="50"/>
        <v>30</v>
      </c>
      <c r="AD933" s="8">
        <f t="shared" si="51"/>
        <v>0</v>
      </c>
      <c r="AE933" s="9" t="str" cm="1">
        <f t="array" ref="AE933">IFERROR(_xlfn.XLOOKUP(H933,Sheet1!$G:$G,Sheet1!$F:$F),IFERROR(_xlfn.XLOOKUP(1,(--($X$2:$X$1074=X933))*(--ISNUMBER(MATCH($H$2:$H$1074,Sheet1!$G:$G,0))),_xlfn.XLOOKUP($H$2:$H$1074,Sheet1!$G:$G,Sheet1!$F:$F,"")),"NOT FOUND"))</f>
        <v>RETKRTSFUT4253</v>
      </c>
      <c r="AF933" s="10" t="str">
        <f t="shared" si="56"/>
        <v>OLIVE GREEN</v>
      </c>
      <c r="AG933" s="11" t="str">
        <f t="shared" si="57"/>
        <v>Bangalore</v>
      </c>
      <c r="AH933" s="9" t="str">
        <f>IF(OR(J933="",AE933="",AE933="NOT FOUND"),"",IF(Y933="RP",IFERROR(LEFT(_xlfn.XLOOKUP(AE933,Sheet1!$F:$F,Sheet1!$W:$W),FIND("-",_xlfn.XLOOKUP(AE933,Sheet1!$F:$F,Sheet1!$W:$W),FIND("-",_xlfn.XLOOKUP(AE933,Sheet1!$F:$F,Sheet1!$W:$W))+1))&amp;AE933,"NOT FOUND"),LEFT(J933,FIND("-",J933,FIND("-",J933)+1))&amp;AE933))</f>
        <v>KRTS-APSU26-RETKRTSFUT4253</v>
      </c>
    </row>
    <row r="934" spans="1:34" ht="15.75" customHeight="1" x14ac:dyDescent="0.2">
      <c r="A934" s="4" t="s">
        <v>30</v>
      </c>
      <c r="B934" s="4" t="s">
        <v>1328</v>
      </c>
      <c r="C934" s="4" t="s">
        <v>1312</v>
      </c>
      <c r="D934" s="4" t="s">
        <v>1125</v>
      </c>
      <c r="E934" s="4" t="s">
        <v>34</v>
      </c>
      <c r="F934" s="4" t="s">
        <v>35</v>
      </c>
      <c r="G934" s="4" t="s">
        <v>55</v>
      </c>
      <c r="H934" s="4" t="s">
        <v>1341</v>
      </c>
      <c r="I934" s="4" t="s">
        <v>1342</v>
      </c>
      <c r="J934" s="4" t="s">
        <v>1343</v>
      </c>
      <c r="L934" s="4" t="s">
        <v>40</v>
      </c>
      <c r="M934" s="4">
        <v>1</v>
      </c>
      <c r="N934" s="4">
        <v>30</v>
      </c>
      <c r="O934" s="4">
        <v>30</v>
      </c>
      <c r="P934" s="4" t="s">
        <v>41</v>
      </c>
      <c r="Q934" s="4">
        <v>314.3</v>
      </c>
      <c r="R934" s="4">
        <v>314.3</v>
      </c>
      <c r="S934" s="4">
        <v>471.45</v>
      </c>
      <c r="T934" s="4">
        <v>9429</v>
      </c>
      <c r="U934" s="4">
        <v>5</v>
      </c>
      <c r="V934" s="4" t="s">
        <v>42</v>
      </c>
      <c r="X934" s="7" t="str">
        <f t="shared" si="45"/>
        <v>441853899</v>
      </c>
      <c r="Y934" s="8" t="str">
        <f t="shared" si="46"/>
        <v>DC</v>
      </c>
      <c r="Z934" s="8">
        <f t="shared" si="47"/>
        <v>0</v>
      </c>
      <c r="AA934" s="8">
        <f t="shared" si="48"/>
        <v>0</v>
      </c>
      <c r="AB934" s="8">
        <f t="shared" si="49"/>
        <v>0</v>
      </c>
      <c r="AC934" s="8">
        <f t="shared" si="50"/>
        <v>0</v>
      </c>
      <c r="AD934" s="8">
        <f t="shared" si="51"/>
        <v>30</v>
      </c>
      <c r="AE934" s="9" t="str" cm="1">
        <f t="array" ref="AE934">IFERROR(_xlfn.XLOOKUP(H934,Sheet1!$G:$G,Sheet1!$F:$F),IFERROR(_xlfn.XLOOKUP(1,(--($X$2:$X$1074=X934))*(--ISNUMBER(MATCH($H$2:$H$1074,Sheet1!$G:$G,0))),_xlfn.XLOOKUP($H$2:$H$1074,Sheet1!$G:$G,Sheet1!$F:$F,"")),"NOT FOUND"))</f>
        <v>RETKRTSFUT4253</v>
      </c>
      <c r="AF934" s="10" t="str">
        <f t="shared" si="56"/>
        <v>OLIVE GREEN</v>
      </c>
      <c r="AG934" s="11" t="str">
        <f t="shared" si="57"/>
        <v>Bangalore</v>
      </c>
      <c r="AH934" s="9" t="str">
        <f>IF(OR(J934="",AE934="",AE934="NOT FOUND"),"",IF(Y934="RP",IFERROR(LEFT(_xlfn.XLOOKUP(AE934,Sheet1!$F:$F,Sheet1!$W:$W),FIND("-",_xlfn.XLOOKUP(AE934,Sheet1!$F:$F,Sheet1!$W:$W),FIND("-",_xlfn.XLOOKUP(AE934,Sheet1!$F:$F,Sheet1!$W:$W))+1))&amp;AE934,"NOT FOUND"),LEFT(J934,FIND("-",J934,FIND("-",J934)+1))&amp;AE934))</f>
        <v>KRTS-APSU26-RETKRTSFUT4253</v>
      </c>
    </row>
    <row r="935" spans="1:34" ht="15.75" customHeight="1" x14ac:dyDescent="0.2">
      <c r="A935" s="4" t="s">
        <v>30</v>
      </c>
      <c r="B935" s="4" t="s">
        <v>1344</v>
      </c>
      <c r="C935" s="4" t="s">
        <v>1312</v>
      </c>
      <c r="D935" s="4" t="s">
        <v>1125</v>
      </c>
      <c r="E935" s="4" t="s">
        <v>34</v>
      </c>
      <c r="F935" s="4" t="s">
        <v>35</v>
      </c>
      <c r="G935" s="4" t="s">
        <v>36</v>
      </c>
      <c r="H935" s="4" t="s">
        <v>1345</v>
      </c>
      <c r="I935" s="4" t="s">
        <v>1346</v>
      </c>
      <c r="J935" s="4" t="s">
        <v>1347</v>
      </c>
      <c r="L935" s="4" t="s">
        <v>40</v>
      </c>
      <c r="M935" s="4">
        <v>1</v>
      </c>
      <c r="N935" s="4">
        <v>30</v>
      </c>
      <c r="O935" s="4">
        <v>30</v>
      </c>
      <c r="P935" s="4" t="s">
        <v>41</v>
      </c>
      <c r="Q935" s="4">
        <v>314.3</v>
      </c>
      <c r="R935" s="4">
        <v>314.3</v>
      </c>
      <c r="S935" s="4">
        <v>471.45</v>
      </c>
      <c r="T935" s="4">
        <v>9429</v>
      </c>
      <c r="U935" s="4">
        <v>5</v>
      </c>
      <c r="V935" s="4" t="s">
        <v>42</v>
      </c>
      <c r="X935" s="7" t="str">
        <f t="shared" si="45"/>
        <v>441853898</v>
      </c>
      <c r="Y935" s="8" t="str">
        <f t="shared" si="46"/>
        <v>DC</v>
      </c>
      <c r="Z935" s="8">
        <f t="shared" si="47"/>
        <v>30</v>
      </c>
      <c r="AA935" s="8">
        <f t="shared" si="48"/>
        <v>0</v>
      </c>
      <c r="AB935" s="8">
        <f t="shared" si="49"/>
        <v>0</v>
      </c>
      <c r="AC935" s="8">
        <f t="shared" si="50"/>
        <v>0</v>
      </c>
      <c r="AD935" s="8">
        <f t="shared" si="51"/>
        <v>0</v>
      </c>
      <c r="AE935" s="9" t="str" cm="1">
        <f t="array" ref="AE935">IFERROR(_xlfn.XLOOKUP(H935,Sheet1!$G:$G,Sheet1!$F:$F),IFERROR(_xlfn.XLOOKUP(1,(--($X$2:$X$1074=X935))*(--ISNUMBER(MATCH($H$2:$H$1074,Sheet1!$G:$G,0))),_xlfn.XLOOKUP($H$2:$H$1074,Sheet1!$G:$G,Sheet1!$F:$F,"")),"NOT FOUND"))</f>
        <v>YETKRTSFUT4252</v>
      </c>
      <c r="AF935" s="10" t="str">
        <f t="shared" si="56"/>
        <v>MUSTARD</v>
      </c>
      <c r="AG935" s="11" t="str">
        <f t="shared" si="57"/>
        <v>Bangalore</v>
      </c>
      <c r="AH935" s="9" t="str">
        <f>IF(OR(J935="",AE935="",AE935="NOT FOUND"),"",IF(Y935="RP",IFERROR(LEFT(_xlfn.XLOOKUP(AE935,Sheet1!$F:$F,Sheet1!$W:$W),FIND("-",_xlfn.XLOOKUP(AE935,Sheet1!$F:$F,Sheet1!$W:$W),FIND("-",_xlfn.XLOOKUP(AE935,Sheet1!$F:$F,Sheet1!$W:$W))+1))&amp;AE935,"NOT FOUND"),LEFT(J935,FIND("-",J935,FIND("-",J935)+1))&amp;AE935))</f>
        <v>KRTS-APSU26-YETKRTSFUT4252</v>
      </c>
    </row>
    <row r="936" spans="1:34" ht="15.75" customHeight="1" x14ac:dyDescent="0.2">
      <c r="A936" s="4" t="s">
        <v>30</v>
      </c>
      <c r="B936" s="4" t="s">
        <v>1344</v>
      </c>
      <c r="C936" s="4" t="s">
        <v>1312</v>
      </c>
      <c r="D936" s="4" t="s">
        <v>1125</v>
      </c>
      <c r="E936" s="4" t="s">
        <v>34</v>
      </c>
      <c r="F936" s="4" t="s">
        <v>35</v>
      </c>
      <c r="G936" s="4" t="s">
        <v>43</v>
      </c>
      <c r="H936" s="4" t="s">
        <v>1348</v>
      </c>
      <c r="I936" s="4" t="s">
        <v>1349</v>
      </c>
      <c r="J936" s="4" t="s">
        <v>1350</v>
      </c>
      <c r="L936" s="4" t="s">
        <v>40</v>
      </c>
      <c r="M936" s="4">
        <v>1</v>
      </c>
      <c r="N936" s="4">
        <v>30</v>
      </c>
      <c r="O936" s="4">
        <v>30</v>
      </c>
      <c r="P936" s="4" t="s">
        <v>41</v>
      </c>
      <c r="Q936" s="4">
        <v>314.3</v>
      </c>
      <c r="R936" s="4">
        <v>314.3</v>
      </c>
      <c r="S936" s="4">
        <v>471.45</v>
      </c>
      <c r="T936" s="4">
        <v>9429</v>
      </c>
      <c r="U936" s="4">
        <v>5</v>
      </c>
      <c r="V936" s="4" t="s">
        <v>42</v>
      </c>
      <c r="X936" s="7" t="str">
        <f t="shared" si="45"/>
        <v>441853898</v>
      </c>
      <c r="Y936" s="8" t="str">
        <f t="shared" si="46"/>
        <v>DC</v>
      </c>
      <c r="Z936" s="8">
        <f t="shared" si="47"/>
        <v>0</v>
      </c>
      <c r="AA936" s="8">
        <f t="shared" si="48"/>
        <v>30</v>
      </c>
      <c r="AB936" s="8">
        <f t="shared" si="49"/>
        <v>0</v>
      </c>
      <c r="AC936" s="8">
        <f t="shared" si="50"/>
        <v>0</v>
      </c>
      <c r="AD936" s="8">
        <f t="shared" si="51"/>
        <v>0</v>
      </c>
      <c r="AE936" s="9" t="str" cm="1">
        <f t="array" ref="AE936">IFERROR(_xlfn.XLOOKUP(H936,Sheet1!$G:$G,Sheet1!$F:$F),IFERROR(_xlfn.XLOOKUP(1,(--($X$2:$X$1074=X936))*(--ISNUMBER(MATCH($H$2:$H$1074,Sheet1!$G:$G,0))),_xlfn.XLOOKUP($H$2:$H$1074,Sheet1!$G:$G,Sheet1!$F:$F,"")),"NOT FOUND"))</f>
        <v>YETKRTSFUT4252</v>
      </c>
      <c r="AF936" s="10" t="str">
        <f t="shared" si="56"/>
        <v>MUSTARD</v>
      </c>
      <c r="AG936" s="11" t="str">
        <f t="shared" si="57"/>
        <v>Bangalore</v>
      </c>
      <c r="AH936" s="9" t="str">
        <f>IF(OR(J936="",AE936="",AE936="NOT FOUND"),"",IF(Y936="RP",IFERROR(LEFT(_xlfn.XLOOKUP(AE936,Sheet1!$F:$F,Sheet1!$W:$W),FIND("-",_xlfn.XLOOKUP(AE936,Sheet1!$F:$F,Sheet1!$W:$W),FIND("-",_xlfn.XLOOKUP(AE936,Sheet1!$F:$F,Sheet1!$W:$W))+1))&amp;AE936,"NOT FOUND"),LEFT(J936,FIND("-",J936,FIND("-",J936)+1))&amp;AE936))</f>
        <v>KRTS-APSU26-YETKRTSFUT4252</v>
      </c>
    </row>
    <row r="937" spans="1:34" ht="15.75" customHeight="1" x14ac:dyDescent="0.2">
      <c r="A937" s="4" t="s">
        <v>30</v>
      </c>
      <c r="B937" s="4" t="s">
        <v>1344</v>
      </c>
      <c r="C937" s="4" t="s">
        <v>1312</v>
      </c>
      <c r="D937" s="4" t="s">
        <v>1125</v>
      </c>
      <c r="E937" s="4" t="s">
        <v>34</v>
      </c>
      <c r="F937" s="4" t="s">
        <v>35</v>
      </c>
      <c r="G937" s="4" t="s">
        <v>47</v>
      </c>
      <c r="H937" s="4" t="s">
        <v>1351</v>
      </c>
      <c r="I937" s="4" t="s">
        <v>1352</v>
      </c>
      <c r="J937" s="4" t="s">
        <v>1353</v>
      </c>
      <c r="L937" s="4" t="s">
        <v>40</v>
      </c>
      <c r="M937" s="4">
        <v>1</v>
      </c>
      <c r="N937" s="4">
        <v>30</v>
      </c>
      <c r="O937" s="4">
        <v>30</v>
      </c>
      <c r="P937" s="4" t="s">
        <v>41</v>
      </c>
      <c r="Q937" s="4">
        <v>314.3</v>
      </c>
      <c r="R937" s="4">
        <v>314.3</v>
      </c>
      <c r="S937" s="4">
        <v>471.45</v>
      </c>
      <c r="T937" s="4">
        <v>9429</v>
      </c>
      <c r="U937" s="4">
        <v>5</v>
      </c>
      <c r="V937" s="4" t="s">
        <v>42</v>
      </c>
      <c r="X937" s="7" t="str">
        <f t="shared" si="45"/>
        <v>441853898</v>
      </c>
      <c r="Y937" s="8" t="str">
        <f t="shared" si="46"/>
        <v>DC</v>
      </c>
      <c r="Z937" s="8">
        <f t="shared" si="47"/>
        <v>0</v>
      </c>
      <c r="AA937" s="8">
        <f t="shared" si="48"/>
        <v>0</v>
      </c>
      <c r="AB937" s="8">
        <f t="shared" si="49"/>
        <v>30</v>
      </c>
      <c r="AC937" s="8">
        <f t="shared" si="50"/>
        <v>0</v>
      </c>
      <c r="AD937" s="8">
        <f t="shared" si="51"/>
        <v>0</v>
      </c>
      <c r="AE937" s="9" t="str" cm="1">
        <f t="array" ref="AE937">IFERROR(_xlfn.XLOOKUP(H937,Sheet1!$G:$G,Sheet1!$F:$F),IFERROR(_xlfn.XLOOKUP(1,(--($X$2:$X$1074=X937))*(--ISNUMBER(MATCH($H$2:$H$1074,Sheet1!$G:$G,0))),_xlfn.XLOOKUP($H$2:$H$1074,Sheet1!$G:$G,Sheet1!$F:$F,"")),"NOT FOUND"))</f>
        <v>YETKRTSFUT4252</v>
      </c>
      <c r="AF937" s="10" t="str">
        <f t="shared" si="56"/>
        <v>MUSTARD</v>
      </c>
      <c r="AG937" s="11" t="str">
        <f t="shared" si="57"/>
        <v>Bangalore</v>
      </c>
      <c r="AH937" s="9" t="str">
        <f>IF(OR(J937="",AE937="",AE937="NOT FOUND"),"",IF(Y937="RP",IFERROR(LEFT(_xlfn.XLOOKUP(AE937,Sheet1!$F:$F,Sheet1!$W:$W),FIND("-",_xlfn.XLOOKUP(AE937,Sheet1!$F:$F,Sheet1!$W:$W),FIND("-",_xlfn.XLOOKUP(AE937,Sheet1!$F:$F,Sheet1!$W:$W))+1))&amp;AE937,"NOT FOUND"),LEFT(J937,FIND("-",J937,FIND("-",J937)+1))&amp;AE937))</f>
        <v>KRTS-APSU26-YETKRTSFUT4252</v>
      </c>
    </row>
    <row r="938" spans="1:34" ht="15.75" customHeight="1" x14ac:dyDescent="0.2">
      <c r="A938" s="4" t="s">
        <v>30</v>
      </c>
      <c r="B938" s="4" t="s">
        <v>1344</v>
      </c>
      <c r="C938" s="4" t="s">
        <v>1312</v>
      </c>
      <c r="D938" s="4" t="s">
        <v>1125</v>
      </c>
      <c r="E938" s="4" t="s">
        <v>34</v>
      </c>
      <c r="F938" s="4" t="s">
        <v>35</v>
      </c>
      <c r="G938" s="4" t="s">
        <v>51</v>
      </c>
      <c r="H938" s="4" t="s">
        <v>1354</v>
      </c>
      <c r="I938" s="4" t="s">
        <v>1355</v>
      </c>
      <c r="J938" s="4" t="s">
        <v>1356</v>
      </c>
      <c r="L938" s="4" t="s">
        <v>40</v>
      </c>
      <c r="M938" s="4">
        <v>1</v>
      </c>
      <c r="N938" s="4">
        <v>30</v>
      </c>
      <c r="O938" s="4">
        <v>30</v>
      </c>
      <c r="P938" s="4" t="s">
        <v>41</v>
      </c>
      <c r="Q938" s="4">
        <v>314.3</v>
      </c>
      <c r="R938" s="4">
        <v>314.3</v>
      </c>
      <c r="S938" s="4">
        <v>471.45</v>
      </c>
      <c r="T938" s="4">
        <v>9429</v>
      </c>
      <c r="U938" s="4">
        <v>5</v>
      </c>
      <c r="V938" s="4" t="s">
        <v>42</v>
      </c>
      <c r="X938" s="7" t="str">
        <f t="shared" si="45"/>
        <v>441853898</v>
      </c>
      <c r="Y938" s="8" t="str">
        <f t="shared" si="46"/>
        <v>DC</v>
      </c>
      <c r="Z938" s="8">
        <f t="shared" si="47"/>
        <v>0</v>
      </c>
      <c r="AA938" s="8">
        <f t="shared" si="48"/>
        <v>0</v>
      </c>
      <c r="AB938" s="8">
        <f t="shared" si="49"/>
        <v>0</v>
      </c>
      <c r="AC938" s="8">
        <f t="shared" si="50"/>
        <v>30</v>
      </c>
      <c r="AD938" s="8">
        <f t="shared" si="51"/>
        <v>0</v>
      </c>
      <c r="AE938" s="9" t="str" cm="1">
        <f t="array" ref="AE938">IFERROR(_xlfn.XLOOKUP(H938,Sheet1!$G:$G,Sheet1!$F:$F),IFERROR(_xlfn.XLOOKUP(1,(--($X$2:$X$1074=X938))*(--ISNUMBER(MATCH($H$2:$H$1074,Sheet1!$G:$G,0))),_xlfn.XLOOKUP($H$2:$H$1074,Sheet1!$G:$G,Sheet1!$F:$F,"")),"NOT FOUND"))</f>
        <v>YETKRTSFUT4252</v>
      </c>
      <c r="AF938" s="10" t="str">
        <f t="shared" si="56"/>
        <v>MUSTARD</v>
      </c>
      <c r="AG938" s="11" t="str">
        <f t="shared" si="57"/>
        <v>Bangalore</v>
      </c>
      <c r="AH938" s="9" t="str">
        <f>IF(OR(J938="",AE938="",AE938="NOT FOUND"),"",IF(Y938="RP",IFERROR(LEFT(_xlfn.XLOOKUP(AE938,Sheet1!$F:$F,Sheet1!$W:$W),FIND("-",_xlfn.XLOOKUP(AE938,Sheet1!$F:$F,Sheet1!$W:$W),FIND("-",_xlfn.XLOOKUP(AE938,Sheet1!$F:$F,Sheet1!$W:$W))+1))&amp;AE938,"NOT FOUND"),LEFT(J938,FIND("-",J938,FIND("-",J938)+1))&amp;AE938))</f>
        <v>KRTS-APSU26-YETKRTSFUT4252</v>
      </c>
    </row>
    <row r="939" spans="1:34" ht="15.75" customHeight="1" x14ac:dyDescent="0.2">
      <c r="A939" s="4" t="s">
        <v>30</v>
      </c>
      <c r="B939" s="4" t="s">
        <v>1344</v>
      </c>
      <c r="C939" s="4" t="s">
        <v>1312</v>
      </c>
      <c r="D939" s="4" t="s">
        <v>1125</v>
      </c>
      <c r="E939" s="4" t="s">
        <v>34</v>
      </c>
      <c r="F939" s="4" t="s">
        <v>35</v>
      </c>
      <c r="G939" s="4" t="s">
        <v>55</v>
      </c>
      <c r="H939" s="4" t="s">
        <v>1357</v>
      </c>
      <c r="I939" s="4" t="s">
        <v>1358</v>
      </c>
      <c r="J939" s="4" t="s">
        <v>1359</v>
      </c>
      <c r="L939" s="4" t="s">
        <v>40</v>
      </c>
      <c r="M939" s="4">
        <v>1</v>
      </c>
      <c r="N939" s="4">
        <v>30</v>
      </c>
      <c r="O939" s="4">
        <v>30</v>
      </c>
      <c r="P939" s="4" t="s">
        <v>41</v>
      </c>
      <c r="Q939" s="4">
        <v>314.3</v>
      </c>
      <c r="R939" s="4">
        <v>314.3</v>
      </c>
      <c r="S939" s="4">
        <v>471.45</v>
      </c>
      <c r="T939" s="4">
        <v>9429</v>
      </c>
      <c r="U939" s="4">
        <v>5</v>
      </c>
      <c r="V939" s="4" t="s">
        <v>42</v>
      </c>
      <c r="X939" s="7" t="str">
        <f t="shared" si="45"/>
        <v>441853898</v>
      </c>
      <c r="Y939" s="8" t="str">
        <f t="shared" si="46"/>
        <v>DC</v>
      </c>
      <c r="Z939" s="8">
        <f t="shared" si="47"/>
        <v>0</v>
      </c>
      <c r="AA939" s="8">
        <f t="shared" si="48"/>
        <v>0</v>
      </c>
      <c r="AB939" s="8">
        <f t="shared" si="49"/>
        <v>0</v>
      </c>
      <c r="AC939" s="8">
        <f t="shared" si="50"/>
        <v>0</v>
      </c>
      <c r="AD939" s="8">
        <f t="shared" si="51"/>
        <v>30</v>
      </c>
      <c r="AE939" s="9" t="str" cm="1">
        <f t="array" ref="AE939">IFERROR(_xlfn.XLOOKUP(H939,Sheet1!$G:$G,Sheet1!$F:$F),IFERROR(_xlfn.XLOOKUP(1,(--($X$2:$X$1074=X939))*(--ISNUMBER(MATCH($H$2:$H$1074,Sheet1!$G:$G,0))),_xlfn.XLOOKUP($H$2:$H$1074,Sheet1!$G:$G,Sheet1!$F:$F,"")),"NOT FOUND"))</f>
        <v>YETKRTSFUT4252</v>
      </c>
      <c r="AF939" s="10" t="str">
        <f t="shared" si="56"/>
        <v>MUSTARD</v>
      </c>
      <c r="AG939" s="11" t="str">
        <f t="shared" si="57"/>
        <v>Bangalore</v>
      </c>
      <c r="AH939" s="9" t="str">
        <f>IF(OR(J939="",AE939="",AE939="NOT FOUND"),"",IF(Y939="RP",IFERROR(LEFT(_xlfn.XLOOKUP(AE939,Sheet1!$F:$F,Sheet1!$W:$W),FIND("-",_xlfn.XLOOKUP(AE939,Sheet1!$F:$F,Sheet1!$W:$W),FIND("-",_xlfn.XLOOKUP(AE939,Sheet1!$F:$F,Sheet1!$W:$W))+1))&amp;AE939,"NOT FOUND"),LEFT(J939,FIND("-",J939,FIND("-",J939)+1))&amp;AE939))</f>
        <v>KRTS-APSU26-YETKRTSFUT4252</v>
      </c>
    </row>
    <row r="940" spans="1:34" ht="15.75" customHeight="1" x14ac:dyDescent="0.2">
      <c r="A940" s="4" t="s">
        <v>59</v>
      </c>
      <c r="B940" s="4" t="s">
        <v>1360</v>
      </c>
      <c r="C940" s="4" t="s">
        <v>1312</v>
      </c>
      <c r="D940" s="4" t="s">
        <v>1125</v>
      </c>
      <c r="E940" s="4" t="s">
        <v>34</v>
      </c>
      <c r="F940" s="4" t="s">
        <v>35</v>
      </c>
      <c r="G940" s="4" t="s">
        <v>36</v>
      </c>
      <c r="H940" s="4" t="s">
        <v>1313</v>
      </c>
      <c r="I940" s="4" t="s">
        <v>1314</v>
      </c>
      <c r="J940" s="4" t="s">
        <v>1315</v>
      </c>
      <c r="L940" s="4" t="s">
        <v>40</v>
      </c>
      <c r="M940" s="4">
        <v>1</v>
      </c>
      <c r="N940" s="4">
        <v>30</v>
      </c>
      <c r="O940" s="4">
        <v>30</v>
      </c>
      <c r="P940" s="4" t="s">
        <v>41</v>
      </c>
      <c r="Q940" s="4">
        <v>314.3</v>
      </c>
      <c r="R940" s="4">
        <v>314.3</v>
      </c>
      <c r="S940" s="4">
        <v>471.45</v>
      </c>
      <c r="T940" s="4">
        <v>9429</v>
      </c>
      <c r="U940" s="4">
        <v>5</v>
      </c>
      <c r="V940" s="4" t="s">
        <v>42</v>
      </c>
      <c r="X940" s="7" t="str">
        <f t="shared" si="45"/>
        <v>441853900</v>
      </c>
      <c r="Y940" s="8" t="str">
        <f t="shared" si="46"/>
        <v>DC</v>
      </c>
      <c r="Z940" s="8">
        <f t="shared" si="47"/>
        <v>30</v>
      </c>
      <c r="AA940" s="8">
        <f t="shared" si="48"/>
        <v>0</v>
      </c>
      <c r="AB940" s="8">
        <f t="shared" si="49"/>
        <v>0</v>
      </c>
      <c r="AC940" s="8">
        <f t="shared" si="50"/>
        <v>0</v>
      </c>
      <c r="AD940" s="8">
        <f t="shared" si="51"/>
        <v>0</v>
      </c>
      <c r="AE940" s="9" t="str" cm="1">
        <f t="array" ref="AE940">IFERROR(_xlfn.XLOOKUP(H940,Sheet1!$G:$G,Sheet1!$F:$F),IFERROR(_xlfn.XLOOKUP(1,(--($X$2:$X$1074=X940))*(--ISNUMBER(MATCH($H$2:$H$1074,Sheet1!$G:$G,0))),_xlfn.XLOOKUP($H$2:$H$1074,Sheet1!$G:$G,Sheet1!$F:$F,"")),"NOT FOUND"))</f>
        <v>YETKRTSFUT4254</v>
      </c>
      <c r="AF940" s="10" t="str">
        <f t="shared" si="56"/>
        <v>BLACK</v>
      </c>
      <c r="AG940" s="11" t="str">
        <f t="shared" si="57"/>
        <v>JHAJJAR</v>
      </c>
      <c r="AH940" s="9" t="str">
        <f>IF(OR(J940="",AE940="",AE940="NOT FOUND"),"",IF(Y940="RP",IFERROR(LEFT(_xlfn.XLOOKUP(AE940,Sheet1!$F:$F,Sheet1!$W:$W),FIND("-",_xlfn.XLOOKUP(AE940,Sheet1!$F:$F,Sheet1!$W:$W),FIND("-",_xlfn.XLOOKUP(AE940,Sheet1!$F:$F,Sheet1!$W:$W))+1))&amp;AE940,"NOT FOUND"),LEFT(J940,FIND("-",J940,FIND("-",J940)+1))&amp;AE940))</f>
        <v>KRTS-APSU26-YETKRTSFUT4254</v>
      </c>
    </row>
    <row r="941" spans="1:34" ht="15.75" customHeight="1" x14ac:dyDescent="0.2">
      <c r="A941" s="4" t="s">
        <v>59</v>
      </c>
      <c r="B941" s="4" t="s">
        <v>1360</v>
      </c>
      <c r="C941" s="4" t="s">
        <v>1312</v>
      </c>
      <c r="D941" s="4" t="s">
        <v>1125</v>
      </c>
      <c r="E941" s="4" t="s">
        <v>34</v>
      </c>
      <c r="F941" s="4" t="s">
        <v>35</v>
      </c>
      <c r="G941" s="4" t="s">
        <v>43</v>
      </c>
      <c r="H941" s="4" t="s">
        <v>1316</v>
      </c>
      <c r="I941" s="4" t="s">
        <v>1317</v>
      </c>
      <c r="J941" s="4" t="s">
        <v>1318</v>
      </c>
      <c r="L941" s="4" t="s">
        <v>40</v>
      </c>
      <c r="M941" s="4">
        <v>1</v>
      </c>
      <c r="N941" s="4">
        <v>30</v>
      </c>
      <c r="O941" s="4">
        <v>30</v>
      </c>
      <c r="P941" s="4" t="s">
        <v>41</v>
      </c>
      <c r="Q941" s="4">
        <v>314.3</v>
      </c>
      <c r="R941" s="4">
        <v>314.3</v>
      </c>
      <c r="S941" s="4">
        <v>471.45</v>
      </c>
      <c r="T941" s="4">
        <v>9429</v>
      </c>
      <c r="U941" s="4">
        <v>5</v>
      </c>
      <c r="V941" s="4" t="s">
        <v>42</v>
      </c>
      <c r="X941" s="7" t="str">
        <f t="shared" si="45"/>
        <v>441853900</v>
      </c>
      <c r="Y941" s="8" t="str">
        <f t="shared" si="46"/>
        <v>DC</v>
      </c>
      <c r="Z941" s="8">
        <f t="shared" si="47"/>
        <v>0</v>
      </c>
      <c r="AA941" s="8">
        <f t="shared" si="48"/>
        <v>30</v>
      </c>
      <c r="AB941" s="8">
        <f t="shared" si="49"/>
        <v>0</v>
      </c>
      <c r="AC941" s="8">
        <f t="shared" si="50"/>
        <v>0</v>
      </c>
      <c r="AD941" s="8">
        <f t="shared" si="51"/>
        <v>0</v>
      </c>
      <c r="AE941" s="9" t="str" cm="1">
        <f t="array" ref="AE941">IFERROR(_xlfn.XLOOKUP(H941,Sheet1!$G:$G,Sheet1!$F:$F),IFERROR(_xlfn.XLOOKUP(1,(--($X$2:$X$1074=X941))*(--ISNUMBER(MATCH($H$2:$H$1074,Sheet1!$G:$G,0))),_xlfn.XLOOKUP($H$2:$H$1074,Sheet1!$G:$G,Sheet1!$F:$F,"")),"NOT FOUND"))</f>
        <v>YETKRTSFUT4254</v>
      </c>
      <c r="AF941" s="10" t="str">
        <f t="shared" si="56"/>
        <v>BLACK</v>
      </c>
      <c r="AG941" s="11" t="str">
        <f t="shared" si="57"/>
        <v>JHAJJAR</v>
      </c>
      <c r="AH941" s="9" t="str">
        <f>IF(OR(J941="",AE941="",AE941="NOT FOUND"),"",IF(Y941="RP",IFERROR(LEFT(_xlfn.XLOOKUP(AE941,Sheet1!$F:$F,Sheet1!$W:$W),FIND("-",_xlfn.XLOOKUP(AE941,Sheet1!$F:$F,Sheet1!$W:$W),FIND("-",_xlfn.XLOOKUP(AE941,Sheet1!$F:$F,Sheet1!$W:$W))+1))&amp;AE941,"NOT FOUND"),LEFT(J941,FIND("-",J941,FIND("-",J941)+1))&amp;AE941))</f>
        <v>KRTS-APSU26-YETKRTSFUT4254</v>
      </c>
    </row>
    <row r="942" spans="1:34" ht="15.75" customHeight="1" x14ac:dyDescent="0.2">
      <c r="A942" s="4" t="s">
        <v>59</v>
      </c>
      <c r="B942" s="4" t="s">
        <v>1360</v>
      </c>
      <c r="C942" s="4" t="s">
        <v>1312</v>
      </c>
      <c r="D942" s="4" t="s">
        <v>1125</v>
      </c>
      <c r="E942" s="4" t="s">
        <v>34</v>
      </c>
      <c r="F942" s="4" t="s">
        <v>35</v>
      </c>
      <c r="G942" s="4" t="s">
        <v>47</v>
      </c>
      <c r="H942" s="4" t="s">
        <v>1319</v>
      </c>
      <c r="I942" s="4" t="s">
        <v>1320</v>
      </c>
      <c r="J942" s="4" t="s">
        <v>1321</v>
      </c>
      <c r="L942" s="4" t="s">
        <v>40</v>
      </c>
      <c r="M942" s="4">
        <v>1</v>
      </c>
      <c r="N942" s="4">
        <v>30</v>
      </c>
      <c r="O942" s="4">
        <v>30</v>
      </c>
      <c r="P942" s="4" t="s">
        <v>41</v>
      </c>
      <c r="Q942" s="4">
        <v>314.3</v>
      </c>
      <c r="R942" s="4">
        <v>314.3</v>
      </c>
      <c r="S942" s="4">
        <v>471.45</v>
      </c>
      <c r="T942" s="4">
        <v>9429</v>
      </c>
      <c r="U942" s="4">
        <v>5</v>
      </c>
      <c r="V942" s="4" t="s">
        <v>42</v>
      </c>
      <c r="X942" s="7" t="str">
        <f t="shared" si="45"/>
        <v>441853900</v>
      </c>
      <c r="Y942" s="8" t="str">
        <f t="shared" si="46"/>
        <v>DC</v>
      </c>
      <c r="Z942" s="8">
        <f t="shared" si="47"/>
        <v>0</v>
      </c>
      <c r="AA942" s="8">
        <f t="shared" si="48"/>
        <v>0</v>
      </c>
      <c r="AB942" s="8">
        <f t="shared" si="49"/>
        <v>30</v>
      </c>
      <c r="AC942" s="8">
        <f t="shared" si="50"/>
        <v>0</v>
      </c>
      <c r="AD942" s="8">
        <f t="shared" si="51"/>
        <v>0</v>
      </c>
      <c r="AE942" s="9" t="str" cm="1">
        <f t="array" ref="AE942">IFERROR(_xlfn.XLOOKUP(H942,Sheet1!$G:$G,Sheet1!$F:$F),IFERROR(_xlfn.XLOOKUP(1,(--($X$2:$X$1074=X942))*(--ISNUMBER(MATCH($H$2:$H$1074,Sheet1!$G:$G,0))),_xlfn.XLOOKUP($H$2:$H$1074,Sheet1!$G:$G,Sheet1!$F:$F,"")),"NOT FOUND"))</f>
        <v>YETKRTSFUT4254</v>
      </c>
      <c r="AF942" s="10" t="str">
        <f t="shared" si="56"/>
        <v>BLACK</v>
      </c>
      <c r="AG942" s="11" t="str">
        <f t="shared" si="57"/>
        <v>JHAJJAR</v>
      </c>
      <c r="AH942" s="9" t="str">
        <f>IF(OR(J942="",AE942="",AE942="NOT FOUND"),"",IF(Y942="RP",IFERROR(LEFT(_xlfn.XLOOKUP(AE942,Sheet1!$F:$F,Sheet1!$W:$W),FIND("-",_xlfn.XLOOKUP(AE942,Sheet1!$F:$F,Sheet1!$W:$W),FIND("-",_xlfn.XLOOKUP(AE942,Sheet1!$F:$F,Sheet1!$W:$W))+1))&amp;AE942,"NOT FOUND"),LEFT(J942,FIND("-",J942,FIND("-",J942)+1))&amp;AE942))</f>
        <v>KRTS-APSU26-YETKRTSFUT4254</v>
      </c>
    </row>
    <row r="943" spans="1:34" ht="15.75" customHeight="1" x14ac:dyDescent="0.2">
      <c r="A943" s="4" t="s">
        <v>59</v>
      </c>
      <c r="B943" s="4" t="s">
        <v>1360</v>
      </c>
      <c r="C943" s="4" t="s">
        <v>1312</v>
      </c>
      <c r="D943" s="4" t="s">
        <v>1125</v>
      </c>
      <c r="E943" s="4" t="s">
        <v>34</v>
      </c>
      <c r="F943" s="4" t="s">
        <v>35</v>
      </c>
      <c r="G943" s="4" t="s">
        <v>51</v>
      </c>
      <c r="H943" s="4" t="s">
        <v>1322</v>
      </c>
      <c r="I943" s="4" t="s">
        <v>1323</v>
      </c>
      <c r="J943" s="4" t="s">
        <v>1324</v>
      </c>
      <c r="L943" s="4" t="s">
        <v>40</v>
      </c>
      <c r="M943" s="4">
        <v>1</v>
      </c>
      <c r="N943" s="4">
        <v>30</v>
      </c>
      <c r="O943" s="4">
        <v>30</v>
      </c>
      <c r="P943" s="4" t="s">
        <v>41</v>
      </c>
      <c r="Q943" s="4">
        <v>314.3</v>
      </c>
      <c r="R943" s="4">
        <v>314.3</v>
      </c>
      <c r="S943" s="4">
        <v>471.45</v>
      </c>
      <c r="T943" s="4">
        <v>9429</v>
      </c>
      <c r="U943" s="4">
        <v>5</v>
      </c>
      <c r="V943" s="4" t="s">
        <v>42</v>
      </c>
      <c r="X943" s="7" t="str">
        <f t="shared" si="45"/>
        <v>441853900</v>
      </c>
      <c r="Y943" s="8" t="str">
        <f t="shared" si="46"/>
        <v>DC</v>
      </c>
      <c r="Z943" s="8">
        <f t="shared" si="47"/>
        <v>0</v>
      </c>
      <c r="AA943" s="8">
        <f t="shared" si="48"/>
        <v>0</v>
      </c>
      <c r="AB943" s="8">
        <f t="shared" si="49"/>
        <v>0</v>
      </c>
      <c r="AC943" s="8">
        <f t="shared" si="50"/>
        <v>30</v>
      </c>
      <c r="AD943" s="8">
        <f t="shared" si="51"/>
        <v>0</v>
      </c>
      <c r="AE943" s="9" t="str" cm="1">
        <f t="array" ref="AE943">IFERROR(_xlfn.XLOOKUP(H943,Sheet1!$G:$G,Sheet1!$F:$F),IFERROR(_xlfn.XLOOKUP(1,(--($X$2:$X$1074=X943))*(--ISNUMBER(MATCH($H$2:$H$1074,Sheet1!$G:$G,0))),_xlfn.XLOOKUP($H$2:$H$1074,Sheet1!$G:$G,Sheet1!$F:$F,"")),"NOT FOUND"))</f>
        <v>YETKRTSFUT4254</v>
      </c>
      <c r="AF943" s="10" t="str">
        <f t="shared" si="56"/>
        <v>BLACK</v>
      </c>
      <c r="AG943" s="11" t="str">
        <f t="shared" si="57"/>
        <v>JHAJJAR</v>
      </c>
      <c r="AH943" s="9" t="str">
        <f>IF(OR(J943="",AE943="",AE943="NOT FOUND"),"",IF(Y943="RP",IFERROR(LEFT(_xlfn.XLOOKUP(AE943,Sheet1!$F:$F,Sheet1!$W:$W),FIND("-",_xlfn.XLOOKUP(AE943,Sheet1!$F:$F,Sheet1!$W:$W),FIND("-",_xlfn.XLOOKUP(AE943,Sheet1!$F:$F,Sheet1!$W:$W))+1))&amp;AE943,"NOT FOUND"),LEFT(J943,FIND("-",J943,FIND("-",J943)+1))&amp;AE943))</f>
        <v>KRTS-APSU26-YETKRTSFUT4254</v>
      </c>
    </row>
    <row r="944" spans="1:34" ht="15.75" customHeight="1" x14ac:dyDescent="0.2">
      <c r="A944" s="4" t="s">
        <v>59</v>
      </c>
      <c r="B944" s="4" t="s">
        <v>1360</v>
      </c>
      <c r="C944" s="4" t="s">
        <v>1312</v>
      </c>
      <c r="D944" s="4" t="s">
        <v>1125</v>
      </c>
      <c r="E944" s="4" t="s">
        <v>34</v>
      </c>
      <c r="F944" s="4" t="s">
        <v>35</v>
      </c>
      <c r="G944" s="4" t="s">
        <v>55</v>
      </c>
      <c r="H944" s="4" t="s">
        <v>1325</v>
      </c>
      <c r="I944" s="4" t="s">
        <v>1326</v>
      </c>
      <c r="J944" s="4" t="s">
        <v>1327</v>
      </c>
      <c r="L944" s="4" t="s">
        <v>40</v>
      </c>
      <c r="M944" s="4">
        <v>1</v>
      </c>
      <c r="N944" s="4">
        <v>30</v>
      </c>
      <c r="O944" s="4">
        <v>30</v>
      </c>
      <c r="P944" s="4" t="s">
        <v>41</v>
      </c>
      <c r="Q944" s="4">
        <v>314.3</v>
      </c>
      <c r="R944" s="4">
        <v>314.3</v>
      </c>
      <c r="S944" s="4">
        <v>471.45</v>
      </c>
      <c r="T944" s="4">
        <v>9429</v>
      </c>
      <c r="U944" s="4">
        <v>5</v>
      </c>
      <c r="V944" s="4" t="s">
        <v>42</v>
      </c>
      <c r="X944" s="7" t="str">
        <f t="shared" si="45"/>
        <v>441853900</v>
      </c>
      <c r="Y944" s="8" t="str">
        <f t="shared" si="46"/>
        <v>DC</v>
      </c>
      <c r="Z944" s="8">
        <f t="shared" si="47"/>
        <v>0</v>
      </c>
      <c r="AA944" s="8">
        <f t="shared" si="48"/>
        <v>0</v>
      </c>
      <c r="AB944" s="8">
        <f t="shared" si="49"/>
        <v>0</v>
      </c>
      <c r="AC944" s="8">
        <f t="shared" si="50"/>
        <v>0</v>
      </c>
      <c r="AD944" s="8">
        <f t="shared" si="51"/>
        <v>30</v>
      </c>
      <c r="AE944" s="9" t="str" cm="1">
        <f t="array" ref="AE944">IFERROR(_xlfn.XLOOKUP(H944,Sheet1!$G:$G,Sheet1!$F:$F),IFERROR(_xlfn.XLOOKUP(1,(--($X$2:$X$1074=X944))*(--ISNUMBER(MATCH($H$2:$H$1074,Sheet1!$G:$G,0))),_xlfn.XLOOKUP($H$2:$H$1074,Sheet1!$G:$G,Sheet1!$F:$F,"")),"NOT FOUND"))</f>
        <v>YETKRTSFUT4254</v>
      </c>
      <c r="AF944" s="10" t="str">
        <f t="shared" si="56"/>
        <v>BLACK</v>
      </c>
      <c r="AG944" s="11" t="str">
        <f t="shared" si="57"/>
        <v>JHAJJAR</v>
      </c>
      <c r="AH944" s="9" t="str">
        <f>IF(OR(J944="",AE944="",AE944="NOT FOUND"),"",IF(Y944="RP",IFERROR(LEFT(_xlfn.XLOOKUP(AE944,Sheet1!$F:$F,Sheet1!$W:$W),FIND("-",_xlfn.XLOOKUP(AE944,Sheet1!$F:$F,Sheet1!$W:$W),FIND("-",_xlfn.XLOOKUP(AE944,Sheet1!$F:$F,Sheet1!$W:$W))+1))&amp;AE944,"NOT FOUND"),LEFT(J944,FIND("-",J944,FIND("-",J944)+1))&amp;AE944))</f>
        <v>KRTS-APSU26-YETKRTSFUT4254</v>
      </c>
    </row>
    <row r="945" spans="1:34" ht="15.75" customHeight="1" x14ac:dyDescent="0.2">
      <c r="A945" s="4" t="s">
        <v>59</v>
      </c>
      <c r="B945" s="4" t="s">
        <v>1361</v>
      </c>
      <c r="C945" s="4" t="s">
        <v>1312</v>
      </c>
      <c r="D945" s="4" t="s">
        <v>1125</v>
      </c>
      <c r="E945" s="4" t="s">
        <v>34</v>
      </c>
      <c r="F945" s="4" t="s">
        <v>35</v>
      </c>
      <c r="G945" s="4" t="s">
        <v>36</v>
      </c>
      <c r="H945" s="4" t="s">
        <v>1329</v>
      </c>
      <c r="I945" s="4" t="s">
        <v>1330</v>
      </c>
      <c r="J945" s="4" t="s">
        <v>1331</v>
      </c>
      <c r="L945" s="4" t="s">
        <v>40</v>
      </c>
      <c r="M945" s="4">
        <v>1</v>
      </c>
      <c r="N945" s="4">
        <v>30</v>
      </c>
      <c r="O945" s="4">
        <v>30</v>
      </c>
      <c r="P945" s="4" t="s">
        <v>41</v>
      </c>
      <c r="Q945" s="4">
        <v>314.3</v>
      </c>
      <c r="R945" s="4">
        <v>314.3</v>
      </c>
      <c r="S945" s="4">
        <v>471.45</v>
      </c>
      <c r="T945" s="4">
        <v>9429</v>
      </c>
      <c r="U945" s="4">
        <v>5</v>
      </c>
      <c r="V945" s="4" t="s">
        <v>42</v>
      </c>
      <c r="X945" s="7" t="str">
        <f t="shared" si="45"/>
        <v>441853899</v>
      </c>
      <c r="Y945" s="8" t="str">
        <f t="shared" si="46"/>
        <v>DC</v>
      </c>
      <c r="Z945" s="8">
        <f t="shared" si="47"/>
        <v>30</v>
      </c>
      <c r="AA945" s="8">
        <f t="shared" si="48"/>
        <v>0</v>
      </c>
      <c r="AB945" s="8">
        <f t="shared" si="49"/>
        <v>0</v>
      </c>
      <c r="AC945" s="8">
        <f t="shared" si="50"/>
        <v>0</v>
      </c>
      <c r="AD945" s="8">
        <f t="shared" si="51"/>
        <v>0</v>
      </c>
      <c r="AE945" s="9" t="str" cm="1">
        <f t="array" ref="AE945">IFERROR(_xlfn.XLOOKUP(H945,Sheet1!$G:$G,Sheet1!$F:$F),IFERROR(_xlfn.XLOOKUP(1,(--($X$2:$X$1074=X945))*(--ISNUMBER(MATCH($H$2:$H$1074,Sheet1!$G:$G,0))),_xlfn.XLOOKUP($H$2:$H$1074,Sheet1!$G:$G,Sheet1!$F:$F,"")),"NOT FOUND"))</f>
        <v>RETKRTSFUT4253</v>
      </c>
      <c r="AF945" s="10" t="str">
        <f t="shared" si="56"/>
        <v>OLIVE GREEN</v>
      </c>
      <c r="AG945" s="11" t="str">
        <f t="shared" si="57"/>
        <v>JHAJJAR</v>
      </c>
      <c r="AH945" s="9" t="str">
        <f>IF(OR(J945="",AE945="",AE945="NOT FOUND"),"",IF(Y945="RP",IFERROR(LEFT(_xlfn.XLOOKUP(AE945,Sheet1!$F:$F,Sheet1!$W:$W),FIND("-",_xlfn.XLOOKUP(AE945,Sheet1!$F:$F,Sheet1!$W:$W),FIND("-",_xlfn.XLOOKUP(AE945,Sheet1!$F:$F,Sheet1!$W:$W))+1))&amp;AE945,"NOT FOUND"),LEFT(J945,FIND("-",J945,FIND("-",J945)+1))&amp;AE945))</f>
        <v>KRTS-APSU26-RETKRTSFUT4253</v>
      </c>
    </row>
    <row r="946" spans="1:34" ht="15.75" customHeight="1" x14ac:dyDescent="0.2">
      <c r="A946" s="4" t="s">
        <v>59</v>
      </c>
      <c r="B946" s="4" t="s">
        <v>1361</v>
      </c>
      <c r="C946" s="4" t="s">
        <v>1312</v>
      </c>
      <c r="D946" s="4" t="s">
        <v>1125</v>
      </c>
      <c r="E946" s="4" t="s">
        <v>34</v>
      </c>
      <c r="F946" s="4" t="s">
        <v>35</v>
      </c>
      <c r="G946" s="4" t="s">
        <v>43</v>
      </c>
      <c r="H946" s="4" t="s">
        <v>1332</v>
      </c>
      <c r="I946" s="4" t="s">
        <v>1333</v>
      </c>
      <c r="J946" s="4" t="s">
        <v>1334</v>
      </c>
      <c r="L946" s="4" t="s">
        <v>40</v>
      </c>
      <c r="M946" s="4">
        <v>1</v>
      </c>
      <c r="N946" s="4">
        <v>30</v>
      </c>
      <c r="O946" s="4">
        <v>30</v>
      </c>
      <c r="P946" s="4" t="s">
        <v>41</v>
      </c>
      <c r="Q946" s="4">
        <v>314.3</v>
      </c>
      <c r="R946" s="4">
        <v>314.3</v>
      </c>
      <c r="S946" s="4">
        <v>471.45</v>
      </c>
      <c r="T946" s="4">
        <v>9429</v>
      </c>
      <c r="U946" s="4">
        <v>5</v>
      </c>
      <c r="V946" s="4" t="s">
        <v>42</v>
      </c>
      <c r="X946" s="7" t="str">
        <f t="shared" si="45"/>
        <v>441853899</v>
      </c>
      <c r="Y946" s="8" t="str">
        <f t="shared" si="46"/>
        <v>DC</v>
      </c>
      <c r="Z946" s="8">
        <f t="shared" si="47"/>
        <v>0</v>
      </c>
      <c r="AA946" s="8">
        <f t="shared" si="48"/>
        <v>30</v>
      </c>
      <c r="AB946" s="8">
        <f t="shared" si="49"/>
        <v>0</v>
      </c>
      <c r="AC946" s="8">
        <f t="shared" si="50"/>
        <v>0</v>
      </c>
      <c r="AD946" s="8">
        <f t="shared" si="51"/>
        <v>0</v>
      </c>
      <c r="AE946" s="9" t="str" cm="1">
        <f t="array" ref="AE946">IFERROR(_xlfn.XLOOKUP(H946,Sheet1!$G:$G,Sheet1!$F:$F),IFERROR(_xlfn.XLOOKUP(1,(--($X$2:$X$1074=X946))*(--ISNUMBER(MATCH($H$2:$H$1074,Sheet1!$G:$G,0))),_xlfn.XLOOKUP($H$2:$H$1074,Sheet1!$G:$G,Sheet1!$F:$F,"")),"NOT FOUND"))</f>
        <v>RETKRTSFUT4253</v>
      </c>
      <c r="AF946" s="10" t="str">
        <f t="shared" si="56"/>
        <v>OLIVE GREEN</v>
      </c>
      <c r="AG946" s="11" t="str">
        <f t="shared" si="57"/>
        <v>JHAJJAR</v>
      </c>
      <c r="AH946" s="9" t="str">
        <f>IF(OR(J946="",AE946="",AE946="NOT FOUND"),"",IF(Y946="RP",IFERROR(LEFT(_xlfn.XLOOKUP(AE946,Sheet1!$F:$F,Sheet1!$W:$W),FIND("-",_xlfn.XLOOKUP(AE946,Sheet1!$F:$F,Sheet1!$W:$W),FIND("-",_xlfn.XLOOKUP(AE946,Sheet1!$F:$F,Sheet1!$W:$W))+1))&amp;AE946,"NOT FOUND"),LEFT(J946,FIND("-",J946,FIND("-",J946)+1))&amp;AE946))</f>
        <v>KRTS-APSU26-RETKRTSFUT4253</v>
      </c>
    </row>
    <row r="947" spans="1:34" ht="15.75" customHeight="1" x14ac:dyDescent="0.2">
      <c r="A947" s="4" t="s">
        <v>59</v>
      </c>
      <c r="B947" s="4" t="s">
        <v>1361</v>
      </c>
      <c r="C947" s="4" t="s">
        <v>1312</v>
      </c>
      <c r="D947" s="4" t="s">
        <v>1125</v>
      </c>
      <c r="E947" s="4" t="s">
        <v>34</v>
      </c>
      <c r="F947" s="4" t="s">
        <v>35</v>
      </c>
      <c r="G947" s="4" t="s">
        <v>47</v>
      </c>
      <c r="H947" s="4" t="s">
        <v>1335</v>
      </c>
      <c r="I947" s="4" t="s">
        <v>1336</v>
      </c>
      <c r="J947" s="4" t="s">
        <v>1337</v>
      </c>
      <c r="L947" s="4" t="s">
        <v>40</v>
      </c>
      <c r="M947" s="4">
        <v>1</v>
      </c>
      <c r="N947" s="4">
        <v>30</v>
      </c>
      <c r="O947" s="4">
        <v>30</v>
      </c>
      <c r="P947" s="4" t="s">
        <v>41</v>
      </c>
      <c r="Q947" s="4">
        <v>314.3</v>
      </c>
      <c r="R947" s="4">
        <v>314.3</v>
      </c>
      <c r="S947" s="4">
        <v>471.45</v>
      </c>
      <c r="T947" s="4">
        <v>9429</v>
      </c>
      <c r="U947" s="4">
        <v>5</v>
      </c>
      <c r="V947" s="4" t="s">
        <v>42</v>
      </c>
      <c r="X947" s="7" t="str">
        <f t="shared" si="45"/>
        <v>441853899</v>
      </c>
      <c r="Y947" s="8" t="str">
        <f t="shared" si="46"/>
        <v>DC</v>
      </c>
      <c r="Z947" s="8">
        <f t="shared" si="47"/>
        <v>0</v>
      </c>
      <c r="AA947" s="8">
        <f t="shared" si="48"/>
        <v>0</v>
      </c>
      <c r="AB947" s="8">
        <f t="shared" si="49"/>
        <v>30</v>
      </c>
      <c r="AC947" s="8">
        <f t="shared" si="50"/>
        <v>0</v>
      </c>
      <c r="AD947" s="8">
        <f t="shared" si="51"/>
        <v>0</v>
      </c>
      <c r="AE947" s="9" t="str" cm="1">
        <f t="array" ref="AE947">IFERROR(_xlfn.XLOOKUP(H947,Sheet1!$G:$G,Sheet1!$F:$F),IFERROR(_xlfn.XLOOKUP(1,(--($X$2:$X$1074=X947))*(--ISNUMBER(MATCH($H$2:$H$1074,Sheet1!$G:$G,0))),_xlfn.XLOOKUP($H$2:$H$1074,Sheet1!$G:$G,Sheet1!$F:$F,"")),"NOT FOUND"))</f>
        <v>RETKRTSFUT4253</v>
      </c>
      <c r="AF947" s="10" t="str">
        <f t="shared" si="56"/>
        <v>OLIVE GREEN</v>
      </c>
      <c r="AG947" s="11" t="str">
        <f t="shared" si="57"/>
        <v>JHAJJAR</v>
      </c>
      <c r="AH947" s="9" t="str">
        <f>IF(OR(J947="",AE947="",AE947="NOT FOUND"),"",IF(Y947="RP",IFERROR(LEFT(_xlfn.XLOOKUP(AE947,Sheet1!$F:$F,Sheet1!$W:$W),FIND("-",_xlfn.XLOOKUP(AE947,Sheet1!$F:$F,Sheet1!$W:$W),FIND("-",_xlfn.XLOOKUP(AE947,Sheet1!$F:$F,Sheet1!$W:$W))+1))&amp;AE947,"NOT FOUND"),LEFT(J947,FIND("-",J947,FIND("-",J947)+1))&amp;AE947))</f>
        <v>KRTS-APSU26-RETKRTSFUT4253</v>
      </c>
    </row>
    <row r="948" spans="1:34" ht="15.75" customHeight="1" x14ac:dyDescent="0.2">
      <c r="A948" s="4" t="s">
        <v>59</v>
      </c>
      <c r="B948" s="4" t="s">
        <v>1361</v>
      </c>
      <c r="C948" s="4" t="s">
        <v>1312</v>
      </c>
      <c r="D948" s="4" t="s">
        <v>1125</v>
      </c>
      <c r="E948" s="4" t="s">
        <v>34</v>
      </c>
      <c r="F948" s="4" t="s">
        <v>35</v>
      </c>
      <c r="G948" s="4" t="s">
        <v>51</v>
      </c>
      <c r="H948" s="4" t="s">
        <v>1338</v>
      </c>
      <c r="I948" s="4" t="s">
        <v>1339</v>
      </c>
      <c r="J948" s="4" t="s">
        <v>1340</v>
      </c>
      <c r="L948" s="4" t="s">
        <v>40</v>
      </c>
      <c r="M948" s="4">
        <v>1</v>
      </c>
      <c r="N948" s="4">
        <v>30</v>
      </c>
      <c r="O948" s="4">
        <v>30</v>
      </c>
      <c r="P948" s="4" t="s">
        <v>41</v>
      </c>
      <c r="Q948" s="4">
        <v>314.3</v>
      </c>
      <c r="R948" s="4">
        <v>314.3</v>
      </c>
      <c r="S948" s="4">
        <v>471.45</v>
      </c>
      <c r="T948" s="4">
        <v>9429</v>
      </c>
      <c r="U948" s="4">
        <v>5</v>
      </c>
      <c r="V948" s="4" t="s">
        <v>42</v>
      </c>
      <c r="X948" s="7" t="str">
        <f t="shared" si="45"/>
        <v>441853899</v>
      </c>
      <c r="Y948" s="8" t="str">
        <f t="shared" si="46"/>
        <v>DC</v>
      </c>
      <c r="Z948" s="8">
        <f t="shared" si="47"/>
        <v>0</v>
      </c>
      <c r="AA948" s="8">
        <f t="shared" si="48"/>
        <v>0</v>
      </c>
      <c r="AB948" s="8">
        <f t="shared" si="49"/>
        <v>0</v>
      </c>
      <c r="AC948" s="8">
        <f t="shared" si="50"/>
        <v>30</v>
      </c>
      <c r="AD948" s="8">
        <f t="shared" si="51"/>
        <v>0</v>
      </c>
      <c r="AE948" s="9" t="str" cm="1">
        <f t="array" ref="AE948">IFERROR(_xlfn.XLOOKUP(H948,Sheet1!$G:$G,Sheet1!$F:$F),IFERROR(_xlfn.XLOOKUP(1,(--($X$2:$X$1074=X948))*(--ISNUMBER(MATCH($H$2:$H$1074,Sheet1!$G:$G,0))),_xlfn.XLOOKUP($H$2:$H$1074,Sheet1!$G:$G,Sheet1!$F:$F,"")),"NOT FOUND"))</f>
        <v>RETKRTSFUT4253</v>
      </c>
      <c r="AF948" s="10" t="str">
        <f t="shared" si="56"/>
        <v>OLIVE GREEN</v>
      </c>
      <c r="AG948" s="11" t="str">
        <f t="shared" si="57"/>
        <v>JHAJJAR</v>
      </c>
      <c r="AH948" s="9" t="str">
        <f>IF(OR(J948="",AE948="",AE948="NOT FOUND"),"",IF(Y948="RP",IFERROR(LEFT(_xlfn.XLOOKUP(AE948,Sheet1!$F:$F,Sheet1!$W:$W),FIND("-",_xlfn.XLOOKUP(AE948,Sheet1!$F:$F,Sheet1!$W:$W),FIND("-",_xlfn.XLOOKUP(AE948,Sheet1!$F:$F,Sheet1!$W:$W))+1))&amp;AE948,"NOT FOUND"),LEFT(J948,FIND("-",J948,FIND("-",J948)+1))&amp;AE948))</f>
        <v>KRTS-APSU26-RETKRTSFUT4253</v>
      </c>
    </row>
    <row r="949" spans="1:34" ht="15.75" customHeight="1" x14ac:dyDescent="0.2">
      <c r="A949" s="4" t="s">
        <v>59</v>
      </c>
      <c r="B949" s="4" t="s">
        <v>1361</v>
      </c>
      <c r="C949" s="4" t="s">
        <v>1312</v>
      </c>
      <c r="D949" s="4" t="s">
        <v>1125</v>
      </c>
      <c r="E949" s="4" t="s">
        <v>34</v>
      </c>
      <c r="F949" s="4" t="s">
        <v>35</v>
      </c>
      <c r="G949" s="4" t="s">
        <v>55</v>
      </c>
      <c r="H949" s="4" t="s">
        <v>1341</v>
      </c>
      <c r="I949" s="4" t="s">
        <v>1342</v>
      </c>
      <c r="J949" s="4" t="s">
        <v>1343</v>
      </c>
      <c r="L949" s="4" t="s">
        <v>40</v>
      </c>
      <c r="M949" s="4">
        <v>1</v>
      </c>
      <c r="N949" s="4">
        <v>30</v>
      </c>
      <c r="O949" s="4">
        <v>30</v>
      </c>
      <c r="P949" s="4" t="s">
        <v>41</v>
      </c>
      <c r="Q949" s="4">
        <v>314.3</v>
      </c>
      <c r="R949" s="4">
        <v>314.3</v>
      </c>
      <c r="S949" s="4">
        <v>471.45</v>
      </c>
      <c r="T949" s="4">
        <v>9429</v>
      </c>
      <c r="U949" s="4">
        <v>5</v>
      </c>
      <c r="V949" s="4" t="s">
        <v>42</v>
      </c>
      <c r="X949" s="7" t="str">
        <f t="shared" si="45"/>
        <v>441853899</v>
      </c>
      <c r="Y949" s="8" t="str">
        <f t="shared" si="46"/>
        <v>DC</v>
      </c>
      <c r="Z949" s="8">
        <f t="shared" si="47"/>
        <v>0</v>
      </c>
      <c r="AA949" s="8">
        <f t="shared" si="48"/>
        <v>0</v>
      </c>
      <c r="AB949" s="8">
        <f t="shared" si="49"/>
        <v>0</v>
      </c>
      <c r="AC949" s="8">
        <f t="shared" si="50"/>
        <v>0</v>
      </c>
      <c r="AD949" s="8">
        <f t="shared" si="51"/>
        <v>30</v>
      </c>
      <c r="AE949" s="9" t="str" cm="1">
        <f t="array" ref="AE949">IFERROR(_xlfn.XLOOKUP(H949,Sheet1!$G:$G,Sheet1!$F:$F),IFERROR(_xlfn.XLOOKUP(1,(--($X$2:$X$1074=X949))*(--ISNUMBER(MATCH($H$2:$H$1074,Sheet1!$G:$G,0))),_xlfn.XLOOKUP($H$2:$H$1074,Sheet1!$G:$G,Sheet1!$F:$F,"")),"NOT FOUND"))</f>
        <v>RETKRTSFUT4253</v>
      </c>
      <c r="AF949" s="10" t="str">
        <f t="shared" si="56"/>
        <v>OLIVE GREEN</v>
      </c>
      <c r="AG949" s="11" t="str">
        <f t="shared" si="57"/>
        <v>JHAJJAR</v>
      </c>
      <c r="AH949" s="9" t="str">
        <f>IF(OR(J949="",AE949="",AE949="NOT FOUND"),"",IF(Y949="RP",IFERROR(LEFT(_xlfn.XLOOKUP(AE949,Sheet1!$F:$F,Sheet1!$W:$W),FIND("-",_xlfn.XLOOKUP(AE949,Sheet1!$F:$F,Sheet1!$W:$W),FIND("-",_xlfn.XLOOKUP(AE949,Sheet1!$F:$F,Sheet1!$W:$W))+1))&amp;AE949,"NOT FOUND"),LEFT(J949,FIND("-",J949,FIND("-",J949)+1))&amp;AE949))</f>
        <v>KRTS-APSU26-RETKRTSFUT4253</v>
      </c>
    </row>
    <row r="950" spans="1:34" ht="15.75" customHeight="1" x14ac:dyDescent="0.2">
      <c r="A950" s="4" t="s">
        <v>59</v>
      </c>
      <c r="B950" s="4" t="s">
        <v>1362</v>
      </c>
      <c r="C950" s="4" t="s">
        <v>1312</v>
      </c>
      <c r="D950" s="4" t="s">
        <v>1125</v>
      </c>
      <c r="E950" s="4" t="s">
        <v>34</v>
      </c>
      <c r="F950" s="4" t="s">
        <v>35</v>
      </c>
      <c r="G950" s="4" t="s">
        <v>36</v>
      </c>
      <c r="H950" s="4" t="s">
        <v>1345</v>
      </c>
      <c r="I950" s="4" t="s">
        <v>1346</v>
      </c>
      <c r="J950" s="4" t="s">
        <v>1347</v>
      </c>
      <c r="L950" s="4" t="s">
        <v>40</v>
      </c>
      <c r="M950" s="4">
        <v>1</v>
      </c>
      <c r="N950" s="4">
        <v>30</v>
      </c>
      <c r="O950" s="4">
        <v>30</v>
      </c>
      <c r="P950" s="4" t="s">
        <v>41</v>
      </c>
      <c r="Q950" s="4">
        <v>314.3</v>
      </c>
      <c r="R950" s="4">
        <v>314.3</v>
      </c>
      <c r="S950" s="4">
        <v>471.45</v>
      </c>
      <c r="T950" s="4">
        <v>9429</v>
      </c>
      <c r="U950" s="4">
        <v>5</v>
      </c>
      <c r="V950" s="4" t="s">
        <v>42</v>
      </c>
      <c r="X950" s="7" t="str">
        <f t="shared" si="45"/>
        <v>441853898</v>
      </c>
      <c r="Y950" s="8" t="str">
        <f t="shared" si="46"/>
        <v>DC</v>
      </c>
      <c r="Z950" s="8">
        <f t="shared" si="47"/>
        <v>30</v>
      </c>
      <c r="AA950" s="8">
        <f t="shared" si="48"/>
        <v>0</v>
      </c>
      <c r="AB950" s="8">
        <f t="shared" si="49"/>
        <v>0</v>
      </c>
      <c r="AC950" s="8">
        <f t="shared" si="50"/>
        <v>0</v>
      </c>
      <c r="AD950" s="8">
        <f t="shared" si="51"/>
        <v>0</v>
      </c>
      <c r="AE950" s="9" t="str" cm="1">
        <f t="array" ref="AE950">IFERROR(_xlfn.XLOOKUP(H950,Sheet1!$G:$G,Sheet1!$F:$F),IFERROR(_xlfn.XLOOKUP(1,(--($X$2:$X$1074=X950))*(--ISNUMBER(MATCH($H$2:$H$1074,Sheet1!$G:$G,0))),_xlfn.XLOOKUP($H$2:$H$1074,Sheet1!$G:$G,Sheet1!$F:$F,"")),"NOT FOUND"))</f>
        <v>YETKRTSFUT4252</v>
      </c>
      <c r="AF950" s="10" t="str">
        <f t="shared" si="56"/>
        <v>MUSTARD</v>
      </c>
      <c r="AG950" s="11" t="str">
        <f t="shared" si="57"/>
        <v>JHAJJAR</v>
      </c>
      <c r="AH950" s="9" t="str">
        <f>IF(OR(J950="",AE950="",AE950="NOT FOUND"),"",IF(Y950="RP",IFERROR(LEFT(_xlfn.XLOOKUP(AE950,Sheet1!$F:$F,Sheet1!$W:$W),FIND("-",_xlfn.XLOOKUP(AE950,Sheet1!$F:$F,Sheet1!$W:$W),FIND("-",_xlfn.XLOOKUP(AE950,Sheet1!$F:$F,Sheet1!$W:$W))+1))&amp;AE950,"NOT FOUND"),LEFT(J950,FIND("-",J950,FIND("-",J950)+1))&amp;AE950))</f>
        <v>KRTS-APSU26-YETKRTSFUT4252</v>
      </c>
    </row>
    <row r="951" spans="1:34" ht="15.75" customHeight="1" x14ac:dyDescent="0.2">
      <c r="A951" s="4" t="s">
        <v>59</v>
      </c>
      <c r="B951" s="4" t="s">
        <v>1362</v>
      </c>
      <c r="C951" s="4" t="s">
        <v>1312</v>
      </c>
      <c r="D951" s="4" t="s">
        <v>1125</v>
      </c>
      <c r="E951" s="4" t="s">
        <v>34</v>
      </c>
      <c r="F951" s="4" t="s">
        <v>35</v>
      </c>
      <c r="G951" s="4" t="s">
        <v>43</v>
      </c>
      <c r="H951" s="4" t="s">
        <v>1348</v>
      </c>
      <c r="I951" s="4" t="s">
        <v>1349</v>
      </c>
      <c r="J951" s="4" t="s">
        <v>1350</v>
      </c>
      <c r="L951" s="4" t="s">
        <v>40</v>
      </c>
      <c r="M951" s="4">
        <v>1</v>
      </c>
      <c r="N951" s="4">
        <v>30</v>
      </c>
      <c r="O951" s="4">
        <v>30</v>
      </c>
      <c r="P951" s="4" t="s">
        <v>41</v>
      </c>
      <c r="Q951" s="4">
        <v>314.3</v>
      </c>
      <c r="R951" s="4">
        <v>314.3</v>
      </c>
      <c r="S951" s="4">
        <v>471.45</v>
      </c>
      <c r="T951" s="4">
        <v>9429</v>
      </c>
      <c r="U951" s="4">
        <v>5</v>
      </c>
      <c r="V951" s="4" t="s">
        <v>42</v>
      </c>
      <c r="X951" s="7" t="str">
        <f t="shared" si="45"/>
        <v>441853898</v>
      </c>
      <c r="Y951" s="8" t="str">
        <f t="shared" si="46"/>
        <v>DC</v>
      </c>
      <c r="Z951" s="8">
        <f t="shared" si="47"/>
        <v>0</v>
      </c>
      <c r="AA951" s="8">
        <f t="shared" si="48"/>
        <v>30</v>
      </c>
      <c r="AB951" s="8">
        <f t="shared" si="49"/>
        <v>0</v>
      </c>
      <c r="AC951" s="8">
        <f t="shared" si="50"/>
        <v>0</v>
      </c>
      <c r="AD951" s="8">
        <f t="shared" si="51"/>
        <v>0</v>
      </c>
      <c r="AE951" s="9" t="str" cm="1">
        <f t="array" ref="AE951">IFERROR(_xlfn.XLOOKUP(H951,Sheet1!$G:$G,Sheet1!$F:$F),IFERROR(_xlfn.XLOOKUP(1,(--($X$2:$X$1074=X951))*(--ISNUMBER(MATCH($H$2:$H$1074,Sheet1!$G:$G,0))),_xlfn.XLOOKUP($H$2:$H$1074,Sheet1!$G:$G,Sheet1!$F:$F,"")),"NOT FOUND"))</f>
        <v>YETKRTSFUT4252</v>
      </c>
      <c r="AF951" s="10" t="str">
        <f t="shared" si="56"/>
        <v>MUSTARD</v>
      </c>
      <c r="AG951" s="11" t="str">
        <f t="shared" si="57"/>
        <v>JHAJJAR</v>
      </c>
      <c r="AH951" s="9" t="str">
        <f>IF(OR(J951="",AE951="",AE951="NOT FOUND"),"",IF(Y951="RP",IFERROR(LEFT(_xlfn.XLOOKUP(AE951,Sheet1!$F:$F,Sheet1!$W:$W),FIND("-",_xlfn.XLOOKUP(AE951,Sheet1!$F:$F,Sheet1!$W:$W),FIND("-",_xlfn.XLOOKUP(AE951,Sheet1!$F:$F,Sheet1!$W:$W))+1))&amp;AE951,"NOT FOUND"),LEFT(J951,FIND("-",J951,FIND("-",J951)+1))&amp;AE951))</f>
        <v>KRTS-APSU26-YETKRTSFUT4252</v>
      </c>
    </row>
    <row r="952" spans="1:34" ht="15.75" customHeight="1" x14ac:dyDescent="0.2">
      <c r="A952" s="4" t="s">
        <v>59</v>
      </c>
      <c r="B952" s="4" t="s">
        <v>1362</v>
      </c>
      <c r="C952" s="4" t="s">
        <v>1312</v>
      </c>
      <c r="D952" s="4" t="s">
        <v>1125</v>
      </c>
      <c r="E952" s="4" t="s">
        <v>34</v>
      </c>
      <c r="F952" s="4" t="s">
        <v>35</v>
      </c>
      <c r="G952" s="4" t="s">
        <v>47</v>
      </c>
      <c r="H952" s="4" t="s">
        <v>1351</v>
      </c>
      <c r="I952" s="4" t="s">
        <v>1352</v>
      </c>
      <c r="J952" s="4" t="s">
        <v>1353</v>
      </c>
      <c r="L952" s="4" t="s">
        <v>40</v>
      </c>
      <c r="M952" s="4">
        <v>1</v>
      </c>
      <c r="N952" s="4">
        <v>30</v>
      </c>
      <c r="O952" s="4">
        <v>30</v>
      </c>
      <c r="P952" s="4" t="s">
        <v>41</v>
      </c>
      <c r="Q952" s="4">
        <v>314.3</v>
      </c>
      <c r="R952" s="4">
        <v>314.3</v>
      </c>
      <c r="S952" s="4">
        <v>471.45</v>
      </c>
      <c r="T952" s="4">
        <v>9429</v>
      </c>
      <c r="U952" s="4">
        <v>5</v>
      </c>
      <c r="V952" s="4" t="s">
        <v>42</v>
      </c>
      <c r="X952" s="7" t="str">
        <f t="shared" si="45"/>
        <v>441853898</v>
      </c>
      <c r="Y952" s="8" t="str">
        <f t="shared" si="46"/>
        <v>DC</v>
      </c>
      <c r="Z952" s="8">
        <f t="shared" si="47"/>
        <v>0</v>
      </c>
      <c r="AA952" s="8">
        <f t="shared" si="48"/>
        <v>0</v>
      </c>
      <c r="AB952" s="8">
        <f t="shared" si="49"/>
        <v>30</v>
      </c>
      <c r="AC952" s="8">
        <f t="shared" si="50"/>
        <v>0</v>
      </c>
      <c r="AD952" s="8">
        <f t="shared" si="51"/>
        <v>0</v>
      </c>
      <c r="AE952" s="9" t="str" cm="1">
        <f t="array" ref="AE952">IFERROR(_xlfn.XLOOKUP(H952,Sheet1!$G:$G,Sheet1!$F:$F),IFERROR(_xlfn.XLOOKUP(1,(--($X$2:$X$1074=X952))*(--ISNUMBER(MATCH($H$2:$H$1074,Sheet1!$G:$G,0))),_xlfn.XLOOKUP($H$2:$H$1074,Sheet1!$G:$G,Sheet1!$F:$F,"")),"NOT FOUND"))</f>
        <v>YETKRTSFUT4252</v>
      </c>
      <c r="AF952" s="10" t="str">
        <f t="shared" si="56"/>
        <v>MUSTARD</v>
      </c>
      <c r="AG952" s="11" t="str">
        <f t="shared" si="57"/>
        <v>JHAJJAR</v>
      </c>
      <c r="AH952" s="9" t="str">
        <f>IF(OR(J952="",AE952="",AE952="NOT FOUND"),"",IF(Y952="RP",IFERROR(LEFT(_xlfn.XLOOKUP(AE952,Sheet1!$F:$F,Sheet1!$W:$W),FIND("-",_xlfn.XLOOKUP(AE952,Sheet1!$F:$F,Sheet1!$W:$W),FIND("-",_xlfn.XLOOKUP(AE952,Sheet1!$F:$F,Sheet1!$W:$W))+1))&amp;AE952,"NOT FOUND"),LEFT(J952,FIND("-",J952,FIND("-",J952)+1))&amp;AE952))</f>
        <v>KRTS-APSU26-YETKRTSFUT4252</v>
      </c>
    </row>
    <row r="953" spans="1:34" ht="15.75" customHeight="1" x14ac:dyDescent="0.2">
      <c r="A953" s="4" t="s">
        <v>59</v>
      </c>
      <c r="B953" s="4" t="s">
        <v>1362</v>
      </c>
      <c r="C953" s="4" t="s">
        <v>1312</v>
      </c>
      <c r="D953" s="4" t="s">
        <v>1125</v>
      </c>
      <c r="E953" s="4" t="s">
        <v>34</v>
      </c>
      <c r="F953" s="4" t="s">
        <v>35</v>
      </c>
      <c r="G953" s="4" t="s">
        <v>51</v>
      </c>
      <c r="H953" s="4" t="s">
        <v>1354</v>
      </c>
      <c r="I953" s="4" t="s">
        <v>1355</v>
      </c>
      <c r="J953" s="4" t="s">
        <v>1356</v>
      </c>
      <c r="L953" s="4" t="s">
        <v>40</v>
      </c>
      <c r="M953" s="4">
        <v>1</v>
      </c>
      <c r="N953" s="4">
        <v>30</v>
      </c>
      <c r="O953" s="4">
        <v>30</v>
      </c>
      <c r="P953" s="4" t="s">
        <v>41</v>
      </c>
      <c r="Q953" s="4">
        <v>314.3</v>
      </c>
      <c r="R953" s="4">
        <v>314.3</v>
      </c>
      <c r="S953" s="4">
        <v>471.45</v>
      </c>
      <c r="T953" s="4">
        <v>9429</v>
      </c>
      <c r="U953" s="4">
        <v>5</v>
      </c>
      <c r="V953" s="4" t="s">
        <v>42</v>
      </c>
      <c r="X953" s="7" t="str">
        <f t="shared" si="45"/>
        <v>441853898</v>
      </c>
      <c r="Y953" s="8" t="str">
        <f t="shared" si="46"/>
        <v>DC</v>
      </c>
      <c r="Z953" s="8">
        <f t="shared" si="47"/>
        <v>0</v>
      </c>
      <c r="AA953" s="8">
        <f t="shared" si="48"/>
        <v>0</v>
      </c>
      <c r="AB953" s="8">
        <f t="shared" si="49"/>
        <v>0</v>
      </c>
      <c r="AC953" s="8">
        <f t="shared" si="50"/>
        <v>30</v>
      </c>
      <c r="AD953" s="8">
        <f t="shared" si="51"/>
        <v>0</v>
      </c>
      <c r="AE953" s="9" t="str" cm="1">
        <f t="array" ref="AE953">IFERROR(_xlfn.XLOOKUP(H953,Sheet1!$G:$G,Sheet1!$F:$F),IFERROR(_xlfn.XLOOKUP(1,(--($X$2:$X$1074=X953))*(--ISNUMBER(MATCH($H$2:$H$1074,Sheet1!$G:$G,0))),_xlfn.XLOOKUP($H$2:$H$1074,Sheet1!$G:$G,Sheet1!$F:$F,"")),"NOT FOUND"))</f>
        <v>YETKRTSFUT4252</v>
      </c>
      <c r="AF953" s="10" t="str">
        <f t="shared" si="56"/>
        <v>MUSTARD</v>
      </c>
      <c r="AG953" s="11" t="str">
        <f t="shared" si="57"/>
        <v>JHAJJAR</v>
      </c>
      <c r="AH953" s="9" t="str">
        <f>IF(OR(J953="",AE953="",AE953="NOT FOUND"),"",IF(Y953="RP",IFERROR(LEFT(_xlfn.XLOOKUP(AE953,Sheet1!$F:$F,Sheet1!$W:$W),FIND("-",_xlfn.XLOOKUP(AE953,Sheet1!$F:$F,Sheet1!$W:$W),FIND("-",_xlfn.XLOOKUP(AE953,Sheet1!$F:$F,Sheet1!$W:$W))+1))&amp;AE953,"NOT FOUND"),LEFT(J953,FIND("-",J953,FIND("-",J953)+1))&amp;AE953))</f>
        <v>KRTS-APSU26-YETKRTSFUT4252</v>
      </c>
    </row>
    <row r="954" spans="1:34" ht="15.75" customHeight="1" x14ac:dyDescent="0.2">
      <c r="A954" s="4" t="s">
        <v>59</v>
      </c>
      <c r="B954" s="4" t="s">
        <v>1362</v>
      </c>
      <c r="C954" s="4" t="s">
        <v>1312</v>
      </c>
      <c r="D954" s="4" t="s">
        <v>1125</v>
      </c>
      <c r="E954" s="4" t="s">
        <v>34</v>
      </c>
      <c r="F954" s="4" t="s">
        <v>35</v>
      </c>
      <c r="G954" s="4" t="s">
        <v>55</v>
      </c>
      <c r="H954" s="4" t="s">
        <v>1357</v>
      </c>
      <c r="I954" s="4" t="s">
        <v>1358</v>
      </c>
      <c r="J954" s="4" t="s">
        <v>1359</v>
      </c>
      <c r="L954" s="4" t="s">
        <v>40</v>
      </c>
      <c r="M954" s="4">
        <v>1</v>
      </c>
      <c r="N954" s="4">
        <v>30</v>
      </c>
      <c r="O954" s="4">
        <v>30</v>
      </c>
      <c r="P954" s="4" t="s">
        <v>41</v>
      </c>
      <c r="Q954" s="4">
        <v>314.3</v>
      </c>
      <c r="R954" s="4">
        <v>314.3</v>
      </c>
      <c r="S954" s="4">
        <v>471.45</v>
      </c>
      <c r="T954" s="4">
        <v>9429</v>
      </c>
      <c r="U954" s="4">
        <v>5</v>
      </c>
      <c r="V954" s="4" t="s">
        <v>42</v>
      </c>
      <c r="X954" s="7" t="str">
        <f t="shared" si="45"/>
        <v>441853898</v>
      </c>
      <c r="Y954" s="8" t="str">
        <f t="shared" si="46"/>
        <v>DC</v>
      </c>
      <c r="Z954" s="8">
        <f t="shared" si="47"/>
        <v>0</v>
      </c>
      <c r="AA954" s="8">
        <f t="shared" si="48"/>
        <v>0</v>
      </c>
      <c r="AB954" s="8">
        <f t="shared" si="49"/>
        <v>0</v>
      </c>
      <c r="AC954" s="8">
        <f t="shared" si="50"/>
        <v>0</v>
      </c>
      <c r="AD954" s="8">
        <f t="shared" si="51"/>
        <v>30</v>
      </c>
      <c r="AE954" s="9" t="str" cm="1">
        <f t="array" ref="AE954">IFERROR(_xlfn.XLOOKUP(H954,Sheet1!$G:$G,Sheet1!$F:$F),IFERROR(_xlfn.XLOOKUP(1,(--($X$2:$X$1074=X954))*(--ISNUMBER(MATCH($H$2:$H$1074,Sheet1!$G:$G,0))),_xlfn.XLOOKUP($H$2:$H$1074,Sheet1!$G:$G,Sheet1!$F:$F,"")),"NOT FOUND"))</f>
        <v>YETKRTSFUT4252</v>
      </c>
      <c r="AF954" s="10" t="str">
        <f t="shared" si="56"/>
        <v>MUSTARD</v>
      </c>
      <c r="AG954" s="11" t="str">
        <f t="shared" si="57"/>
        <v>JHAJJAR</v>
      </c>
      <c r="AH954" s="9" t="str">
        <f>IF(OR(J954="",AE954="",AE954="NOT FOUND"),"",IF(Y954="RP",IFERROR(LEFT(_xlfn.XLOOKUP(AE954,Sheet1!$F:$F,Sheet1!$W:$W),FIND("-",_xlfn.XLOOKUP(AE954,Sheet1!$F:$F,Sheet1!$W:$W),FIND("-",_xlfn.XLOOKUP(AE954,Sheet1!$F:$F,Sheet1!$W:$W))+1))&amp;AE954,"NOT FOUND"),LEFT(J954,FIND("-",J954,FIND("-",J954)+1))&amp;AE954))</f>
        <v>KRTS-APSU26-YETKRTSFUT4252</v>
      </c>
    </row>
    <row r="955" spans="1:34" ht="15.75" customHeight="1" x14ac:dyDescent="0.2">
      <c r="A955" s="4" t="s">
        <v>30</v>
      </c>
      <c r="B955" s="4" t="s">
        <v>1363</v>
      </c>
      <c r="C955" s="4" t="s">
        <v>1312</v>
      </c>
      <c r="D955" s="4" t="s">
        <v>1125</v>
      </c>
      <c r="E955" s="4" t="s">
        <v>34</v>
      </c>
      <c r="F955" s="4" t="s">
        <v>35</v>
      </c>
      <c r="G955" s="4" t="s">
        <v>36</v>
      </c>
      <c r="H955" s="4" t="s">
        <v>1364</v>
      </c>
      <c r="I955" s="4" t="s">
        <v>1365</v>
      </c>
      <c r="J955" s="4" t="s">
        <v>1366</v>
      </c>
      <c r="L955" s="4" t="s">
        <v>40</v>
      </c>
      <c r="M955" s="4">
        <v>1</v>
      </c>
      <c r="N955" s="4">
        <v>38</v>
      </c>
      <c r="O955" s="4">
        <v>38</v>
      </c>
      <c r="P955" s="4" t="s">
        <v>41</v>
      </c>
      <c r="Q955" s="4">
        <v>1571.5</v>
      </c>
      <c r="R955" s="4">
        <v>1571.5</v>
      </c>
      <c r="S955" s="4">
        <v>2985.85</v>
      </c>
      <c r="T955" s="4">
        <v>59717</v>
      </c>
      <c r="U955" s="4">
        <v>5</v>
      </c>
      <c r="V955" s="4" t="s">
        <v>42</v>
      </c>
      <c r="X955" s="7" t="str">
        <f t="shared" si="45"/>
        <v>441853899</v>
      </c>
      <c r="Y955" s="8" t="str">
        <f t="shared" si="46"/>
        <v>RP</v>
      </c>
      <c r="Z955" s="8">
        <f t="shared" si="47"/>
        <v>38</v>
      </c>
      <c r="AA955" s="8">
        <f t="shared" si="48"/>
        <v>38</v>
      </c>
      <c r="AB955" s="8">
        <f t="shared" si="49"/>
        <v>38</v>
      </c>
      <c r="AC955" s="8">
        <f t="shared" si="50"/>
        <v>38</v>
      </c>
      <c r="AD955" s="8">
        <f t="shared" si="51"/>
        <v>38</v>
      </c>
      <c r="AE955" s="9" t="str" cm="1">
        <f t="array" ref="AE955">IFERROR(_xlfn.XLOOKUP(H955,Sheet1!$G:$G,Sheet1!$F:$F),IFERROR(_xlfn.XLOOKUP(1,(--($X$2:$X$1074=X955))*(--ISNUMBER(MATCH($H$2:$H$1074,Sheet1!$G:$G,0))),_xlfn.XLOOKUP($H$2:$H$1074,Sheet1!$G:$G,Sheet1!$F:$F,"")),"NOT FOUND"))</f>
        <v>RETKRTSFUT4253</v>
      </c>
      <c r="AF955" s="10" t="str">
        <f t="shared" si="56"/>
        <v>OLIVE GREEN</v>
      </c>
      <c r="AG955" s="11" t="str">
        <f t="shared" si="57"/>
        <v>Bangalore</v>
      </c>
      <c r="AH955" s="9" t="str">
        <f>IF(OR(J955="",AE955="",AE955="NOT FOUND"),"",IF(Y955="RP",IFERROR(LEFT(_xlfn.XLOOKUP(AE955,Sheet1!$F:$F,Sheet1!$W:$W),FIND("-",_xlfn.XLOOKUP(AE955,Sheet1!$F:$F,Sheet1!$W:$W),FIND("-",_xlfn.XLOOKUP(AE955,Sheet1!$F:$F,Sheet1!$W:$W))+1))&amp;AE955,"NOT FOUND"),LEFT(J955,FIND("-",J955,FIND("-",J955)+1))&amp;AE955))</f>
        <v>KRTS-APSU26-RETKRTSFUT4253</v>
      </c>
    </row>
    <row r="956" spans="1:34" ht="15.75" customHeight="1" x14ac:dyDescent="0.2">
      <c r="A956" s="4" t="s">
        <v>30</v>
      </c>
      <c r="B956" s="4" t="s">
        <v>1367</v>
      </c>
      <c r="C956" s="4" t="s">
        <v>1312</v>
      </c>
      <c r="D956" s="4" t="s">
        <v>1125</v>
      </c>
      <c r="E956" s="4" t="s">
        <v>34</v>
      </c>
      <c r="F956" s="4" t="s">
        <v>35</v>
      </c>
      <c r="G956" s="4" t="s">
        <v>36</v>
      </c>
      <c r="H956" s="4" t="s">
        <v>1368</v>
      </c>
      <c r="I956" s="4" t="s">
        <v>1369</v>
      </c>
      <c r="J956" s="4" t="s">
        <v>1370</v>
      </c>
      <c r="L956" s="4" t="s">
        <v>40</v>
      </c>
      <c r="M956" s="4">
        <v>1</v>
      </c>
      <c r="N956" s="4">
        <v>38</v>
      </c>
      <c r="O956" s="4">
        <v>38</v>
      </c>
      <c r="P956" s="4" t="s">
        <v>41</v>
      </c>
      <c r="Q956" s="4">
        <v>1571.5</v>
      </c>
      <c r="R956" s="4">
        <v>1571.5</v>
      </c>
      <c r="S956" s="4">
        <v>2985.85</v>
      </c>
      <c r="T956" s="4">
        <v>59717</v>
      </c>
      <c r="U956" s="4">
        <v>5</v>
      </c>
      <c r="V956" s="4" t="s">
        <v>42</v>
      </c>
      <c r="X956" s="7" t="str">
        <f t="shared" si="45"/>
        <v>441853898</v>
      </c>
      <c r="Y956" s="8" t="str">
        <f t="shared" si="46"/>
        <v>RP</v>
      </c>
      <c r="Z956" s="8">
        <f t="shared" si="47"/>
        <v>38</v>
      </c>
      <c r="AA956" s="8">
        <f t="shared" si="48"/>
        <v>38</v>
      </c>
      <c r="AB956" s="8">
        <f t="shared" si="49"/>
        <v>38</v>
      </c>
      <c r="AC956" s="8">
        <f t="shared" si="50"/>
        <v>38</v>
      </c>
      <c r="AD956" s="8">
        <f t="shared" si="51"/>
        <v>38</v>
      </c>
      <c r="AE956" s="9" t="str" cm="1">
        <f t="array" ref="AE956">IFERROR(_xlfn.XLOOKUP(H956,Sheet1!$G:$G,Sheet1!$F:$F),IFERROR(_xlfn.XLOOKUP(1,(--($X$2:$X$1074=X956))*(--ISNUMBER(MATCH($H$2:$H$1074,Sheet1!$G:$G,0))),_xlfn.XLOOKUP($H$2:$H$1074,Sheet1!$G:$G,Sheet1!$F:$F,"")),"NOT FOUND"))</f>
        <v>YETKRTSFUT4252</v>
      </c>
      <c r="AF956" s="10" t="str">
        <f t="shared" si="56"/>
        <v>MUSTARD</v>
      </c>
      <c r="AG956" s="11" t="str">
        <f t="shared" si="57"/>
        <v>Bangalore</v>
      </c>
      <c r="AH956" s="9" t="str">
        <f>IF(OR(J956="",AE956="",AE956="NOT FOUND"),"",IF(Y956="RP",IFERROR(LEFT(_xlfn.XLOOKUP(AE956,Sheet1!$F:$F,Sheet1!$W:$W),FIND("-",_xlfn.XLOOKUP(AE956,Sheet1!$F:$F,Sheet1!$W:$W),FIND("-",_xlfn.XLOOKUP(AE956,Sheet1!$F:$F,Sheet1!$W:$W))+1))&amp;AE956,"NOT FOUND"),LEFT(J956,FIND("-",J956,FIND("-",J956)+1))&amp;AE956))</f>
        <v>KRTS-APSU26-YETKRTSFUT4252</v>
      </c>
    </row>
    <row r="957" spans="1:34" ht="15.75" customHeight="1" x14ac:dyDescent="0.2">
      <c r="A957" s="4" t="s">
        <v>30</v>
      </c>
      <c r="B957" s="4" t="s">
        <v>1371</v>
      </c>
      <c r="C957" s="4" t="s">
        <v>1312</v>
      </c>
      <c r="D957" s="4" t="s">
        <v>797</v>
      </c>
      <c r="E957" s="4" t="s">
        <v>34</v>
      </c>
      <c r="F957" s="4" t="s">
        <v>35</v>
      </c>
      <c r="G957" s="4" t="s">
        <v>36</v>
      </c>
      <c r="H957" s="4" t="s">
        <v>1372</v>
      </c>
      <c r="I957" s="4" t="s">
        <v>1373</v>
      </c>
      <c r="J957" s="4" t="s">
        <v>1374</v>
      </c>
      <c r="L957" s="4" t="s">
        <v>40</v>
      </c>
      <c r="M957" s="4">
        <v>1</v>
      </c>
      <c r="N957" s="4">
        <v>157</v>
      </c>
      <c r="O957" s="4">
        <v>157</v>
      </c>
      <c r="P957" s="4" t="s">
        <v>41</v>
      </c>
      <c r="Q957" s="4">
        <v>2596.5500000000002</v>
      </c>
      <c r="R957" s="4">
        <v>2596.5500000000002</v>
      </c>
      <c r="S957" s="4">
        <v>20382.919999999998</v>
      </c>
      <c r="T957" s="4">
        <v>407658.35</v>
      </c>
      <c r="U957" s="4">
        <v>5</v>
      </c>
      <c r="V957" s="4" t="s">
        <v>42</v>
      </c>
      <c r="X957" s="7" t="str">
        <f t="shared" si="45"/>
        <v>441853743</v>
      </c>
      <c r="Y957" s="8" t="str">
        <f t="shared" si="46"/>
        <v>RP</v>
      </c>
      <c r="Z957" s="8">
        <f t="shared" si="47"/>
        <v>157</v>
      </c>
      <c r="AA957" s="8">
        <f t="shared" si="48"/>
        <v>157</v>
      </c>
      <c r="AB957" s="8">
        <f t="shared" si="49"/>
        <v>157</v>
      </c>
      <c r="AC957" s="8">
        <f t="shared" si="50"/>
        <v>157</v>
      </c>
      <c r="AD957" s="8">
        <f t="shared" si="51"/>
        <v>157</v>
      </c>
      <c r="AE957" s="9" t="str" cm="1">
        <f t="array" ref="AE957">IFERROR(_xlfn.XLOOKUP(H957,Sheet1!$G:$G,Sheet1!$F:$F),IFERROR(_xlfn.XLOOKUP(1,(--($X$2:$X$1074=X957))*(--ISNUMBER(MATCH($H$2:$H$1074,Sheet1!$G:$G,0))),_xlfn.XLOOKUP($H$2:$H$1074,Sheet1!$G:$G,Sheet1!$F:$F,"")),"NOT FOUND"))</f>
        <v>YETCRDSFUT4017</v>
      </c>
      <c r="AF957" s="10" t="str">
        <f t="shared" si="56"/>
        <v>NAVY</v>
      </c>
      <c r="AG957" s="11" t="str">
        <f t="shared" si="57"/>
        <v>Bangalore</v>
      </c>
      <c r="AH957" s="9" t="str">
        <f>IF(OR(J957="",AE957="",AE957="NOT FOUND"),"",IF(Y957="RP",IFERROR(LEFT(_xlfn.XLOOKUP(AE957,Sheet1!$F:$F,Sheet1!$W:$W),FIND("-",_xlfn.XLOOKUP(AE957,Sheet1!$F:$F,Sheet1!$W:$W),FIND("-",_xlfn.XLOOKUP(AE957,Sheet1!$F:$F,Sheet1!$W:$W))+1))&amp;AE957,"NOT FOUND"),LEFT(J957,FIND("-",J957,FIND("-",J957)+1))&amp;AE957))</f>
        <v>NOT FOUND</v>
      </c>
    </row>
    <row r="958" spans="1:34" ht="15.75" customHeight="1" x14ac:dyDescent="0.2">
      <c r="A958" s="4" t="s">
        <v>30</v>
      </c>
      <c r="B958" s="4" t="s">
        <v>1371</v>
      </c>
      <c r="C958" s="4" t="s">
        <v>1312</v>
      </c>
      <c r="D958" s="4" t="s">
        <v>797</v>
      </c>
      <c r="E958" s="4" t="s">
        <v>34</v>
      </c>
      <c r="F958" s="4" t="s">
        <v>35</v>
      </c>
      <c r="G958" s="4" t="s">
        <v>43</v>
      </c>
      <c r="H958" s="4" t="s">
        <v>1375</v>
      </c>
      <c r="I958" s="4" t="s">
        <v>1376</v>
      </c>
      <c r="J958" s="4" t="s">
        <v>1377</v>
      </c>
      <c r="L958" s="4" t="s">
        <v>40</v>
      </c>
      <c r="M958" s="4">
        <v>1</v>
      </c>
      <c r="N958" s="4">
        <v>157</v>
      </c>
      <c r="O958" s="4">
        <v>157</v>
      </c>
      <c r="P958" s="4" t="s">
        <v>41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 t="s">
        <v>42</v>
      </c>
      <c r="X958" s="7" t="str">
        <f t="shared" si="45"/>
        <v>441853743</v>
      </c>
      <c r="Y958" s="8" t="str">
        <f t="shared" si="46"/>
        <v>DC</v>
      </c>
      <c r="Z958" s="8">
        <f t="shared" si="47"/>
        <v>157</v>
      </c>
      <c r="AA958" s="8">
        <f t="shared" si="48"/>
        <v>0</v>
      </c>
      <c r="AB958" s="8">
        <f t="shared" si="49"/>
        <v>0</v>
      </c>
      <c r="AC958" s="8">
        <f t="shared" si="50"/>
        <v>0</v>
      </c>
      <c r="AD958" s="8">
        <f t="shared" si="51"/>
        <v>0</v>
      </c>
      <c r="AE958" s="9" t="str" cm="1">
        <f t="array" ref="AE958">IFERROR(_xlfn.XLOOKUP(H958,Sheet1!$G:$G,Sheet1!$F:$F),IFERROR(_xlfn.XLOOKUP(1,(--($X$2:$X$1074=X958))*(--ISNUMBER(MATCH($H$2:$H$1074,Sheet1!$G:$G,0))),_xlfn.XLOOKUP($H$2:$H$1074,Sheet1!$G:$G,Sheet1!$F:$F,"")),"NOT FOUND"))</f>
        <v>YETCRDSFUT4017</v>
      </c>
      <c r="AF958" s="10" t="str">
        <f t="shared" si="56"/>
        <v>NAVY</v>
      </c>
      <c r="AG958" s="11" t="str">
        <f t="shared" si="57"/>
        <v>Bangalore</v>
      </c>
      <c r="AH958" s="9" t="str">
        <f>IF(OR(J958="",AE958="",AE958="NOT FOUND"),"",IF(Y958="RP",IFERROR(LEFT(_xlfn.XLOOKUP(AE958,Sheet1!$F:$F,Sheet1!$W:$W),FIND("-",_xlfn.XLOOKUP(AE958,Sheet1!$F:$F,Sheet1!$W:$W),FIND("-",_xlfn.XLOOKUP(AE958,Sheet1!$F:$F,Sheet1!$W:$W))+1))&amp;AE958,"NOT FOUND"),LEFT(J958,FIND("-",J958,FIND("-",J958)+1))&amp;AE958))</f>
        <v>SKD-APSU26-YETCRDSFUT4017</v>
      </c>
    </row>
    <row r="959" spans="1:34" ht="15.75" customHeight="1" x14ac:dyDescent="0.2">
      <c r="A959" s="4" t="s">
        <v>30</v>
      </c>
      <c r="B959" s="4" t="s">
        <v>1371</v>
      </c>
      <c r="C959" s="4" t="s">
        <v>1312</v>
      </c>
      <c r="D959" s="4" t="s">
        <v>797</v>
      </c>
      <c r="E959" s="4" t="s">
        <v>34</v>
      </c>
      <c r="F959" s="4" t="s">
        <v>35</v>
      </c>
      <c r="G959" s="4" t="s">
        <v>47</v>
      </c>
      <c r="H959" s="4" t="s">
        <v>1378</v>
      </c>
      <c r="I959" s="4" t="s">
        <v>1379</v>
      </c>
      <c r="J959" s="4" t="s">
        <v>1380</v>
      </c>
      <c r="L959" s="4" t="s">
        <v>40</v>
      </c>
      <c r="M959" s="4">
        <v>1</v>
      </c>
      <c r="N959" s="4">
        <v>157</v>
      </c>
      <c r="O959" s="4">
        <v>157</v>
      </c>
      <c r="P959" s="4" t="s">
        <v>41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 t="s">
        <v>42</v>
      </c>
      <c r="X959" s="7" t="str">
        <f t="shared" si="45"/>
        <v>441853743</v>
      </c>
      <c r="Y959" s="8" t="str">
        <f t="shared" si="46"/>
        <v>DC</v>
      </c>
      <c r="Z959" s="8">
        <f t="shared" si="47"/>
        <v>0</v>
      </c>
      <c r="AA959" s="8">
        <f t="shared" si="48"/>
        <v>157</v>
      </c>
      <c r="AB959" s="8">
        <f t="shared" si="49"/>
        <v>0</v>
      </c>
      <c r="AC959" s="8">
        <f t="shared" si="50"/>
        <v>0</v>
      </c>
      <c r="AD959" s="8">
        <f t="shared" si="51"/>
        <v>0</v>
      </c>
      <c r="AE959" s="9" t="str" cm="1">
        <f t="array" ref="AE959">IFERROR(_xlfn.XLOOKUP(H959,Sheet1!$G:$G,Sheet1!$F:$F),IFERROR(_xlfn.XLOOKUP(1,(--($X$2:$X$1074=X959))*(--ISNUMBER(MATCH($H$2:$H$1074,Sheet1!$G:$G,0))),_xlfn.XLOOKUP($H$2:$H$1074,Sheet1!$G:$G,Sheet1!$F:$F,"")),"NOT FOUND"))</f>
        <v>YETCRDSFUT4017</v>
      </c>
      <c r="AF959" s="10" t="str">
        <f t="shared" si="56"/>
        <v>NAVY</v>
      </c>
      <c r="AG959" s="11" t="str">
        <f t="shared" si="57"/>
        <v>Bangalore</v>
      </c>
      <c r="AH959" s="9" t="str">
        <f>IF(OR(J959="",AE959="",AE959="NOT FOUND"),"",IF(Y959="RP",IFERROR(LEFT(_xlfn.XLOOKUP(AE959,Sheet1!$F:$F,Sheet1!$W:$W),FIND("-",_xlfn.XLOOKUP(AE959,Sheet1!$F:$F,Sheet1!$W:$W),FIND("-",_xlfn.XLOOKUP(AE959,Sheet1!$F:$F,Sheet1!$W:$W))+1))&amp;AE959,"NOT FOUND"),LEFT(J959,FIND("-",J959,FIND("-",J959)+1))&amp;AE959))</f>
        <v>SKD-APSU26-YETCRDSFUT4017</v>
      </c>
    </row>
    <row r="960" spans="1:34" ht="15.75" customHeight="1" x14ac:dyDescent="0.2">
      <c r="A960" s="4" t="s">
        <v>30</v>
      </c>
      <c r="B960" s="4" t="s">
        <v>1371</v>
      </c>
      <c r="C960" s="4" t="s">
        <v>1312</v>
      </c>
      <c r="D960" s="4" t="s">
        <v>797</v>
      </c>
      <c r="E960" s="4" t="s">
        <v>34</v>
      </c>
      <c r="F960" s="4" t="s">
        <v>35</v>
      </c>
      <c r="G960" s="4" t="s">
        <v>51</v>
      </c>
      <c r="H960" s="4" t="s">
        <v>1381</v>
      </c>
      <c r="I960" s="4" t="s">
        <v>1382</v>
      </c>
      <c r="J960" s="4" t="s">
        <v>1383</v>
      </c>
      <c r="L960" s="4" t="s">
        <v>40</v>
      </c>
      <c r="M960" s="4">
        <v>1</v>
      </c>
      <c r="N960" s="4">
        <v>157</v>
      </c>
      <c r="O960" s="4">
        <v>157</v>
      </c>
      <c r="P960" s="4" t="s">
        <v>41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 t="s">
        <v>42</v>
      </c>
      <c r="X960" s="7" t="str">
        <f t="shared" si="45"/>
        <v>441853743</v>
      </c>
      <c r="Y960" s="8" t="str">
        <f t="shared" si="46"/>
        <v>DC</v>
      </c>
      <c r="Z960" s="8">
        <f t="shared" si="47"/>
        <v>0</v>
      </c>
      <c r="AA960" s="8">
        <f t="shared" si="48"/>
        <v>0</v>
      </c>
      <c r="AB960" s="8">
        <f t="shared" si="49"/>
        <v>157</v>
      </c>
      <c r="AC960" s="8">
        <f t="shared" si="50"/>
        <v>0</v>
      </c>
      <c r="AD960" s="8">
        <f t="shared" si="51"/>
        <v>0</v>
      </c>
      <c r="AE960" s="9" t="str" cm="1">
        <f t="array" ref="AE960">IFERROR(_xlfn.XLOOKUP(H960,Sheet1!$G:$G,Sheet1!$F:$F),IFERROR(_xlfn.XLOOKUP(1,(--($X$2:$X$1074=X960))*(--ISNUMBER(MATCH($H$2:$H$1074,Sheet1!$G:$G,0))),_xlfn.XLOOKUP($H$2:$H$1074,Sheet1!$G:$G,Sheet1!$F:$F,"")),"NOT FOUND"))</f>
        <v>YETCRDSFUT4017</v>
      </c>
      <c r="AF960" s="10" t="str">
        <f t="shared" si="56"/>
        <v>NAVY</v>
      </c>
      <c r="AG960" s="11" t="str">
        <f t="shared" si="57"/>
        <v>Bangalore</v>
      </c>
      <c r="AH960" s="9" t="str">
        <f>IF(OR(J960="",AE960="",AE960="NOT FOUND"),"",IF(Y960="RP",IFERROR(LEFT(_xlfn.XLOOKUP(AE960,Sheet1!$F:$F,Sheet1!$W:$W),FIND("-",_xlfn.XLOOKUP(AE960,Sheet1!$F:$F,Sheet1!$W:$W),FIND("-",_xlfn.XLOOKUP(AE960,Sheet1!$F:$F,Sheet1!$W:$W))+1))&amp;AE960,"NOT FOUND"),LEFT(J960,FIND("-",J960,FIND("-",J960)+1))&amp;AE960))</f>
        <v>SKD-APSU26-YETCRDSFUT4017</v>
      </c>
    </row>
    <row r="961" spans="1:34" ht="15.75" customHeight="1" x14ac:dyDescent="0.2">
      <c r="A961" s="4" t="s">
        <v>30</v>
      </c>
      <c r="B961" s="4" t="s">
        <v>1371</v>
      </c>
      <c r="C961" s="4" t="s">
        <v>1312</v>
      </c>
      <c r="D961" s="4" t="s">
        <v>797</v>
      </c>
      <c r="E961" s="4" t="s">
        <v>34</v>
      </c>
      <c r="F961" s="4" t="s">
        <v>35</v>
      </c>
      <c r="G961" s="4" t="s">
        <v>55</v>
      </c>
      <c r="H961" s="4" t="s">
        <v>1384</v>
      </c>
      <c r="I961" s="4" t="s">
        <v>1385</v>
      </c>
      <c r="J961" s="4" t="s">
        <v>1386</v>
      </c>
      <c r="L961" s="4" t="s">
        <v>40</v>
      </c>
      <c r="M961" s="4">
        <v>1</v>
      </c>
      <c r="N961" s="4">
        <v>157</v>
      </c>
      <c r="O961" s="4">
        <v>157</v>
      </c>
      <c r="P961" s="4" t="s">
        <v>41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 t="s">
        <v>42</v>
      </c>
      <c r="X961" s="7" t="str">
        <f t="shared" si="45"/>
        <v>441853743</v>
      </c>
      <c r="Y961" s="8" t="str">
        <f t="shared" si="46"/>
        <v>DC</v>
      </c>
      <c r="Z961" s="8">
        <f t="shared" si="47"/>
        <v>0</v>
      </c>
      <c r="AA961" s="8">
        <f t="shared" si="48"/>
        <v>0</v>
      </c>
      <c r="AB961" s="8">
        <f t="shared" si="49"/>
        <v>0</v>
      </c>
      <c r="AC961" s="8">
        <f t="shared" si="50"/>
        <v>157</v>
      </c>
      <c r="AD961" s="8">
        <f t="shared" si="51"/>
        <v>0</v>
      </c>
      <c r="AE961" s="9" t="str" cm="1">
        <f t="array" ref="AE961">IFERROR(_xlfn.XLOOKUP(H961,Sheet1!$G:$G,Sheet1!$F:$F),IFERROR(_xlfn.XLOOKUP(1,(--($X$2:$X$1074=X961))*(--ISNUMBER(MATCH($H$2:$H$1074,Sheet1!$G:$G,0))),_xlfn.XLOOKUP($H$2:$H$1074,Sheet1!$G:$G,Sheet1!$F:$F,"")),"NOT FOUND"))</f>
        <v>YETCRDSFUT4017</v>
      </c>
      <c r="AF961" s="10" t="str">
        <f t="shared" si="56"/>
        <v>NAVY</v>
      </c>
      <c r="AG961" s="11" t="str">
        <f t="shared" si="57"/>
        <v>Bangalore</v>
      </c>
      <c r="AH961" s="9" t="str">
        <f>IF(OR(J961="",AE961="",AE961="NOT FOUND"),"",IF(Y961="RP",IFERROR(LEFT(_xlfn.XLOOKUP(AE961,Sheet1!$F:$F,Sheet1!$W:$W),FIND("-",_xlfn.XLOOKUP(AE961,Sheet1!$F:$F,Sheet1!$W:$W),FIND("-",_xlfn.XLOOKUP(AE961,Sheet1!$F:$F,Sheet1!$W:$W))+1))&amp;AE961,"NOT FOUND"),LEFT(J961,FIND("-",J961,FIND("-",J961)+1))&amp;AE961))</f>
        <v>SKD-APSU26-YETCRDSFUT4017</v>
      </c>
    </row>
    <row r="962" spans="1:34" ht="15.75" customHeight="1" x14ac:dyDescent="0.2">
      <c r="A962" s="4" t="s">
        <v>30</v>
      </c>
      <c r="B962" s="4" t="s">
        <v>1371</v>
      </c>
      <c r="C962" s="4" t="s">
        <v>1312</v>
      </c>
      <c r="D962" s="4" t="s">
        <v>797</v>
      </c>
      <c r="E962" s="4" t="s">
        <v>34</v>
      </c>
      <c r="F962" s="4" t="s">
        <v>35</v>
      </c>
      <c r="G962" s="4" t="s">
        <v>884</v>
      </c>
      <c r="H962" s="4" t="s">
        <v>1387</v>
      </c>
      <c r="I962" s="4" t="s">
        <v>1388</v>
      </c>
      <c r="J962" s="4" t="s">
        <v>1389</v>
      </c>
      <c r="L962" s="4" t="s">
        <v>40</v>
      </c>
      <c r="M962" s="4">
        <v>1</v>
      </c>
      <c r="N962" s="4">
        <v>157</v>
      </c>
      <c r="O962" s="4">
        <v>157</v>
      </c>
      <c r="P962" s="4" t="s">
        <v>41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X962" s="7" t="str">
        <f t="shared" si="45"/>
        <v>441853743</v>
      </c>
      <c r="Y962" s="8" t="str">
        <f t="shared" si="46"/>
        <v>DC</v>
      </c>
      <c r="Z962" s="8">
        <f t="shared" si="47"/>
        <v>0</v>
      </c>
      <c r="AA962" s="8">
        <f t="shared" si="48"/>
        <v>0</v>
      </c>
      <c r="AB962" s="8">
        <f t="shared" si="49"/>
        <v>0</v>
      </c>
      <c r="AC962" s="8">
        <f t="shared" si="50"/>
        <v>0</v>
      </c>
      <c r="AD962" s="8">
        <f t="shared" si="51"/>
        <v>157</v>
      </c>
      <c r="AE962" s="9" t="str" cm="1">
        <f t="array" ref="AE962">IFERROR(_xlfn.XLOOKUP(H962,Sheet1!$G:$G,Sheet1!$F:$F),IFERROR(_xlfn.XLOOKUP(1,(--($X$2:$X$1074=X962))*(--ISNUMBER(MATCH($H$2:$H$1074,Sheet1!$G:$G,0))),_xlfn.XLOOKUP($H$2:$H$1074,Sheet1!$G:$G,Sheet1!$F:$F,"")),"NOT FOUND"))</f>
        <v>YETCRDSFUT4017</v>
      </c>
      <c r="AF962" s="10" t="str">
        <f t="shared" si="56"/>
        <v>NAVY</v>
      </c>
      <c r="AG962" s="11" t="str">
        <f t="shared" si="57"/>
        <v>Bangalore</v>
      </c>
      <c r="AH962" s="9" t="str">
        <f>IF(OR(J962="",AE962="",AE962="NOT FOUND"),"",IF(Y962="RP",IFERROR(LEFT(_xlfn.XLOOKUP(AE962,Sheet1!$F:$F,Sheet1!$W:$W),FIND("-",_xlfn.XLOOKUP(AE962,Sheet1!$F:$F,Sheet1!$W:$W),FIND("-",_xlfn.XLOOKUP(AE962,Sheet1!$F:$F,Sheet1!$W:$W))+1))&amp;AE962,"NOT FOUND"),LEFT(J962,FIND("-",J962,FIND("-",J962)+1))&amp;AE962))</f>
        <v>SKD-APSU26-YETCRDSFUT4017</v>
      </c>
    </row>
    <row r="963" spans="1:34" ht="15.75" customHeight="1" x14ac:dyDescent="0.2">
      <c r="A963" s="4" t="s">
        <v>59</v>
      </c>
      <c r="B963" s="4" t="s">
        <v>1390</v>
      </c>
      <c r="C963" s="4" t="s">
        <v>1312</v>
      </c>
      <c r="D963" s="4" t="s">
        <v>1125</v>
      </c>
      <c r="E963" s="4" t="s">
        <v>34</v>
      </c>
      <c r="F963" s="4" t="s">
        <v>35</v>
      </c>
      <c r="G963" s="4" t="s">
        <v>36</v>
      </c>
      <c r="H963" s="4" t="s">
        <v>1368</v>
      </c>
      <c r="I963" s="4" t="s">
        <v>1369</v>
      </c>
      <c r="J963" s="4" t="s">
        <v>1370</v>
      </c>
      <c r="L963" s="4" t="s">
        <v>40</v>
      </c>
      <c r="M963" s="4">
        <v>1</v>
      </c>
      <c r="N963" s="4">
        <v>22</v>
      </c>
      <c r="O963" s="4">
        <v>22</v>
      </c>
      <c r="P963" s="4" t="s">
        <v>41</v>
      </c>
      <c r="Q963" s="4">
        <v>1571.5</v>
      </c>
      <c r="R963" s="4">
        <v>1571.5</v>
      </c>
      <c r="S963" s="4">
        <v>1728.65</v>
      </c>
      <c r="T963" s="4">
        <v>34573</v>
      </c>
      <c r="U963" s="4">
        <v>5</v>
      </c>
      <c r="V963" s="4" t="s">
        <v>42</v>
      </c>
      <c r="X963" s="7" t="str">
        <f t="shared" si="45"/>
        <v>441853898</v>
      </c>
      <c r="Y963" s="8" t="str">
        <f t="shared" si="46"/>
        <v>RP</v>
      </c>
      <c r="Z963" s="8">
        <f t="shared" si="47"/>
        <v>22</v>
      </c>
      <c r="AA963" s="8">
        <f t="shared" si="48"/>
        <v>22</v>
      </c>
      <c r="AB963" s="8">
        <f t="shared" si="49"/>
        <v>22</v>
      </c>
      <c r="AC963" s="8">
        <f t="shared" si="50"/>
        <v>22</v>
      </c>
      <c r="AD963" s="8">
        <f t="shared" si="51"/>
        <v>22</v>
      </c>
      <c r="AE963" s="9" t="str" cm="1">
        <f t="array" ref="AE963">IFERROR(_xlfn.XLOOKUP(H963,Sheet1!$G:$G,Sheet1!$F:$F),IFERROR(_xlfn.XLOOKUP(1,(--($X$2:$X$1074=X963))*(--ISNUMBER(MATCH($H$2:$H$1074,Sheet1!$G:$G,0))),_xlfn.XLOOKUP($H$2:$H$1074,Sheet1!$G:$G,Sheet1!$F:$F,"")),"NOT FOUND"))</f>
        <v>YETKRTSFUT4252</v>
      </c>
      <c r="AF963" s="10" t="str">
        <f t="shared" ref="AF963:AF1026" si="58">IFERROR(IF(ISNUMBER(SEARCH("(RP)",J963)),TRIM(SUBSTITUTE(MID(J963,10,LEN(J963)),"(RP)","")),TRIM(MID(J963,FIND(",",J963)+1,FIND(",",J963,FIND(",",J963)+1)-FIND(",",J963)-1))),"")</f>
        <v>MUSTARD</v>
      </c>
      <c r="AG963" s="11" t="str">
        <f t="shared" ref="AG963:AG1026" si="59">IF(A963="SZAF","Bangalore",IF(A963="SAEX","JHAJJAR",IF(A963="S0EU","HARIPAL","")))</f>
        <v>JHAJJAR</v>
      </c>
      <c r="AH963" s="9" t="str">
        <f>IF(OR(J963="",AE963="",AE963="NOT FOUND"),"",IF(Y963="RP",IFERROR(LEFT(_xlfn.XLOOKUP(AE963,Sheet1!$F:$F,Sheet1!$W:$W),FIND("-",_xlfn.XLOOKUP(AE963,Sheet1!$F:$F,Sheet1!$W:$W),FIND("-",_xlfn.XLOOKUP(AE963,Sheet1!$F:$F,Sheet1!$W:$W))+1))&amp;AE963,"NOT FOUND"),LEFT(J963,FIND("-",J963,FIND("-",J963)+1))&amp;AE963))</f>
        <v>KRTS-APSU26-YETKRTSFUT4252</v>
      </c>
    </row>
    <row r="964" spans="1:34" ht="15.75" customHeight="1" x14ac:dyDescent="0.2">
      <c r="A964" s="4" t="s">
        <v>59</v>
      </c>
      <c r="B964" s="4" t="s">
        <v>1391</v>
      </c>
      <c r="C964" s="4" t="s">
        <v>1312</v>
      </c>
      <c r="D964" s="4" t="s">
        <v>1125</v>
      </c>
      <c r="E964" s="4" t="s">
        <v>34</v>
      </c>
      <c r="F964" s="4" t="s">
        <v>35</v>
      </c>
      <c r="G964" s="4" t="s">
        <v>36</v>
      </c>
      <c r="H964" s="4" t="s">
        <v>1364</v>
      </c>
      <c r="I964" s="4" t="s">
        <v>1365</v>
      </c>
      <c r="J964" s="4" t="s">
        <v>1366</v>
      </c>
      <c r="L964" s="4" t="s">
        <v>40</v>
      </c>
      <c r="M964" s="4">
        <v>1</v>
      </c>
      <c r="N964" s="4">
        <v>22</v>
      </c>
      <c r="O964" s="4">
        <v>22</v>
      </c>
      <c r="P964" s="4" t="s">
        <v>41</v>
      </c>
      <c r="Q964" s="4">
        <v>1571.5</v>
      </c>
      <c r="R964" s="4">
        <v>1571.5</v>
      </c>
      <c r="S964" s="4">
        <v>1728.65</v>
      </c>
      <c r="T964" s="4">
        <v>34573</v>
      </c>
      <c r="U964" s="4">
        <v>5</v>
      </c>
      <c r="V964" s="4" t="s">
        <v>42</v>
      </c>
      <c r="X964" s="7" t="str">
        <f t="shared" si="45"/>
        <v>441853899</v>
      </c>
      <c r="Y964" s="8" t="str">
        <f t="shared" si="46"/>
        <v>RP</v>
      </c>
      <c r="Z964" s="8">
        <f t="shared" si="47"/>
        <v>22</v>
      </c>
      <c r="AA964" s="8">
        <f t="shared" si="48"/>
        <v>22</v>
      </c>
      <c r="AB964" s="8">
        <f t="shared" si="49"/>
        <v>22</v>
      </c>
      <c r="AC964" s="8">
        <f t="shared" si="50"/>
        <v>22</v>
      </c>
      <c r="AD964" s="8">
        <f t="shared" si="51"/>
        <v>22</v>
      </c>
      <c r="AE964" s="9" t="str" cm="1">
        <f t="array" ref="AE964">IFERROR(_xlfn.XLOOKUP(H964,Sheet1!$G:$G,Sheet1!$F:$F),IFERROR(_xlfn.XLOOKUP(1,(--($X$2:$X$1074=X964))*(--ISNUMBER(MATCH($H$2:$H$1074,Sheet1!$G:$G,0))),_xlfn.XLOOKUP($H$2:$H$1074,Sheet1!$G:$G,Sheet1!$F:$F,"")),"NOT FOUND"))</f>
        <v>RETKRTSFUT4253</v>
      </c>
      <c r="AF964" s="10" t="str">
        <f t="shared" si="58"/>
        <v>OLIVE GREEN</v>
      </c>
      <c r="AG964" s="11" t="str">
        <f t="shared" si="59"/>
        <v>JHAJJAR</v>
      </c>
      <c r="AH964" s="9" t="str">
        <f>IF(OR(J964="",AE964="",AE964="NOT FOUND"),"",IF(Y964="RP",IFERROR(LEFT(_xlfn.XLOOKUP(AE964,Sheet1!$F:$F,Sheet1!$W:$W),FIND("-",_xlfn.XLOOKUP(AE964,Sheet1!$F:$F,Sheet1!$W:$W),FIND("-",_xlfn.XLOOKUP(AE964,Sheet1!$F:$F,Sheet1!$W:$W))+1))&amp;AE964,"NOT FOUND"),LEFT(J964,FIND("-",J964,FIND("-",J964)+1))&amp;AE964))</f>
        <v>KRTS-APSU26-RETKRTSFUT4253</v>
      </c>
    </row>
    <row r="965" spans="1:34" ht="15.75" customHeight="1" x14ac:dyDescent="0.2">
      <c r="A965" s="4" t="s">
        <v>61</v>
      </c>
      <c r="B965" s="4" t="s">
        <v>1392</v>
      </c>
      <c r="C965" s="4" t="s">
        <v>1312</v>
      </c>
      <c r="D965" s="4" t="s">
        <v>1125</v>
      </c>
      <c r="E965" s="4" t="s">
        <v>34</v>
      </c>
      <c r="F965" s="4" t="s">
        <v>35</v>
      </c>
      <c r="G965" s="4" t="s">
        <v>36</v>
      </c>
      <c r="H965" s="4" t="s">
        <v>1364</v>
      </c>
      <c r="I965" s="4" t="s">
        <v>1365</v>
      </c>
      <c r="J965" s="4" t="s">
        <v>1366</v>
      </c>
      <c r="L965" s="4" t="s">
        <v>40</v>
      </c>
      <c r="M965" s="4">
        <v>1</v>
      </c>
      <c r="N965" s="4">
        <v>22</v>
      </c>
      <c r="O965" s="4">
        <v>22</v>
      </c>
      <c r="P965" s="4" t="s">
        <v>41</v>
      </c>
      <c r="Q965" s="4">
        <v>1571.5</v>
      </c>
      <c r="R965" s="4">
        <v>1571.5</v>
      </c>
      <c r="S965" s="4">
        <v>1728.65</v>
      </c>
      <c r="T965" s="4">
        <v>34573</v>
      </c>
      <c r="U965" s="4">
        <v>5</v>
      </c>
      <c r="V965" s="4" t="s">
        <v>42</v>
      </c>
      <c r="X965" s="7" t="str">
        <f t="shared" si="45"/>
        <v>441853899</v>
      </c>
      <c r="Y965" s="8" t="str">
        <f t="shared" si="46"/>
        <v>RP</v>
      </c>
      <c r="Z965" s="8">
        <f t="shared" si="47"/>
        <v>22</v>
      </c>
      <c r="AA965" s="8">
        <f t="shared" si="48"/>
        <v>22</v>
      </c>
      <c r="AB965" s="8">
        <f t="shared" si="49"/>
        <v>22</v>
      </c>
      <c r="AC965" s="8">
        <f t="shared" si="50"/>
        <v>22</v>
      </c>
      <c r="AD965" s="8">
        <f t="shared" si="51"/>
        <v>22</v>
      </c>
      <c r="AE965" s="9" t="str" cm="1">
        <f t="array" ref="AE965">IFERROR(_xlfn.XLOOKUP(H965,Sheet1!$G:$G,Sheet1!$F:$F),IFERROR(_xlfn.XLOOKUP(1,(--($X$2:$X$1074=X965))*(--ISNUMBER(MATCH($H$2:$H$1074,Sheet1!$G:$G,0))),_xlfn.XLOOKUP($H$2:$H$1074,Sheet1!$G:$G,Sheet1!$F:$F,"")),"NOT FOUND"))</f>
        <v>RETKRTSFUT4253</v>
      </c>
      <c r="AF965" s="10" t="str">
        <f t="shared" si="58"/>
        <v>OLIVE GREEN</v>
      </c>
      <c r="AG965" s="11" t="str">
        <f t="shared" si="59"/>
        <v>HARIPAL</v>
      </c>
      <c r="AH965" s="9" t="str">
        <f>IF(OR(J965="",AE965="",AE965="NOT FOUND"),"",IF(Y965="RP",IFERROR(LEFT(_xlfn.XLOOKUP(AE965,Sheet1!$F:$F,Sheet1!$W:$W),FIND("-",_xlfn.XLOOKUP(AE965,Sheet1!$F:$F,Sheet1!$W:$W),FIND("-",_xlfn.XLOOKUP(AE965,Sheet1!$F:$F,Sheet1!$W:$W))+1))&amp;AE965,"NOT FOUND"),LEFT(J965,FIND("-",J965,FIND("-",J965)+1))&amp;AE965))</f>
        <v>KRTS-APSU26-RETKRTSFUT4253</v>
      </c>
    </row>
    <row r="966" spans="1:34" ht="15.75" customHeight="1" x14ac:dyDescent="0.2">
      <c r="A966" s="4" t="s">
        <v>61</v>
      </c>
      <c r="B966" s="4" t="s">
        <v>1393</v>
      </c>
      <c r="C966" s="4" t="s">
        <v>1312</v>
      </c>
      <c r="D966" s="4" t="s">
        <v>1125</v>
      </c>
      <c r="E966" s="4" t="s">
        <v>34</v>
      </c>
      <c r="F966" s="4" t="s">
        <v>35</v>
      </c>
      <c r="G966" s="4" t="s">
        <v>36</v>
      </c>
      <c r="H966" s="4" t="s">
        <v>1368</v>
      </c>
      <c r="I966" s="4" t="s">
        <v>1369</v>
      </c>
      <c r="J966" s="4" t="s">
        <v>1370</v>
      </c>
      <c r="L966" s="4" t="s">
        <v>40</v>
      </c>
      <c r="M966" s="4">
        <v>1</v>
      </c>
      <c r="N966" s="4">
        <v>22</v>
      </c>
      <c r="O966" s="4">
        <v>22</v>
      </c>
      <c r="P966" s="4" t="s">
        <v>41</v>
      </c>
      <c r="Q966" s="4">
        <v>1571.5</v>
      </c>
      <c r="R966" s="4">
        <v>1571.5</v>
      </c>
      <c r="S966" s="4">
        <v>1728.65</v>
      </c>
      <c r="T966" s="4">
        <v>34573</v>
      </c>
      <c r="U966" s="4">
        <v>5</v>
      </c>
      <c r="V966" s="4" t="s">
        <v>42</v>
      </c>
      <c r="X966" s="7" t="str">
        <f t="shared" si="45"/>
        <v>441853898</v>
      </c>
      <c r="Y966" s="8" t="str">
        <f t="shared" si="46"/>
        <v>RP</v>
      </c>
      <c r="Z966" s="8">
        <f t="shared" si="47"/>
        <v>22</v>
      </c>
      <c r="AA966" s="8">
        <f t="shared" si="48"/>
        <v>22</v>
      </c>
      <c r="AB966" s="8">
        <f t="shared" si="49"/>
        <v>22</v>
      </c>
      <c r="AC966" s="8">
        <f t="shared" si="50"/>
        <v>22</v>
      </c>
      <c r="AD966" s="8">
        <f t="shared" si="51"/>
        <v>22</v>
      </c>
      <c r="AE966" s="9" t="str" cm="1">
        <f t="array" ref="AE966">IFERROR(_xlfn.XLOOKUP(H966,Sheet1!$G:$G,Sheet1!$F:$F),IFERROR(_xlfn.XLOOKUP(1,(--($X$2:$X$1074=X966))*(--ISNUMBER(MATCH($H$2:$H$1074,Sheet1!$G:$G,0))),_xlfn.XLOOKUP($H$2:$H$1074,Sheet1!$G:$G,Sheet1!$F:$F,"")),"NOT FOUND"))</f>
        <v>YETKRTSFUT4252</v>
      </c>
      <c r="AF966" s="10" t="str">
        <f t="shared" si="58"/>
        <v>MUSTARD</v>
      </c>
      <c r="AG966" s="11" t="str">
        <f t="shared" si="59"/>
        <v>HARIPAL</v>
      </c>
      <c r="AH966" s="9" t="str">
        <f>IF(OR(J966="",AE966="",AE966="NOT FOUND"),"",IF(Y966="RP",IFERROR(LEFT(_xlfn.XLOOKUP(AE966,Sheet1!$F:$F,Sheet1!$W:$W),FIND("-",_xlfn.XLOOKUP(AE966,Sheet1!$F:$F,Sheet1!$W:$W),FIND("-",_xlfn.XLOOKUP(AE966,Sheet1!$F:$F,Sheet1!$W:$W))+1))&amp;AE966,"NOT FOUND"),LEFT(J966,FIND("-",J966,FIND("-",J966)+1))&amp;AE966))</f>
        <v>KRTS-APSU26-YETKRTSFUT4252</v>
      </c>
    </row>
    <row r="967" spans="1:34" ht="15.75" customHeight="1" x14ac:dyDescent="0.2">
      <c r="A967" s="4" t="s">
        <v>61</v>
      </c>
      <c r="B967" s="4" t="s">
        <v>1394</v>
      </c>
      <c r="C967" s="4" t="s">
        <v>1312</v>
      </c>
      <c r="D967" s="4" t="s">
        <v>1395</v>
      </c>
      <c r="E967" s="4" t="s">
        <v>34</v>
      </c>
      <c r="F967" s="4" t="s">
        <v>35</v>
      </c>
      <c r="G967" s="4" t="s">
        <v>36</v>
      </c>
      <c r="H967" s="4" t="s">
        <v>1396</v>
      </c>
      <c r="I967" s="4" t="s">
        <v>1397</v>
      </c>
      <c r="J967" s="4" t="s">
        <v>1398</v>
      </c>
      <c r="L967" s="4" t="s">
        <v>40</v>
      </c>
      <c r="M967" s="4">
        <v>1</v>
      </c>
      <c r="N967" s="4">
        <v>219</v>
      </c>
      <c r="O967" s="4">
        <v>219</v>
      </c>
      <c r="P967" s="4" t="s">
        <v>41</v>
      </c>
      <c r="Q967" s="4">
        <v>1571.5</v>
      </c>
      <c r="R967" s="4">
        <v>1571.5</v>
      </c>
      <c r="S967" s="4">
        <v>17207.93</v>
      </c>
      <c r="T967" s="4">
        <v>344158.5</v>
      </c>
      <c r="U967" s="4">
        <v>5</v>
      </c>
      <c r="V967" s="4" t="s">
        <v>42</v>
      </c>
      <c r="X967" s="7" t="str">
        <f t="shared" si="45"/>
        <v>441853807</v>
      </c>
      <c r="Y967" s="8" t="str">
        <f t="shared" si="46"/>
        <v>RP</v>
      </c>
      <c r="Z967" s="8">
        <f t="shared" si="47"/>
        <v>219</v>
      </c>
      <c r="AA967" s="8">
        <f t="shared" si="48"/>
        <v>219</v>
      </c>
      <c r="AB967" s="8">
        <f t="shared" si="49"/>
        <v>219</v>
      </c>
      <c r="AC967" s="8">
        <f t="shared" si="50"/>
        <v>219</v>
      </c>
      <c r="AD967" s="8">
        <f t="shared" si="51"/>
        <v>219</v>
      </c>
      <c r="AE967" s="9" t="str" cm="1">
        <f t="array" ref="AE967">IFERROR(_xlfn.XLOOKUP(H967,Sheet1!$G:$G,Sheet1!$F:$F),IFERROR(_xlfn.XLOOKUP(1,(--($X$2:$X$1074=X967))*(--ISNUMBER(MATCH($H$2:$H$1074,Sheet1!$G:$G,0))),_xlfn.XLOOKUP($H$2:$H$1074,Sheet1!$G:$G,Sheet1!$F:$F,"")),"NOT FOUND"))</f>
        <v>RETKRTSFUT4114</v>
      </c>
      <c r="AF967" s="10" t="str">
        <f t="shared" si="58"/>
        <v>SEA GREEN</v>
      </c>
      <c r="AG967" s="11" t="str">
        <f t="shared" si="59"/>
        <v>HARIPAL</v>
      </c>
      <c r="AH967" s="9" t="str">
        <f>IF(OR(J967="",AE967="",AE967="NOT FOUND"),"",IF(Y967="RP",IFERROR(LEFT(_xlfn.XLOOKUP(AE967,Sheet1!$F:$F,Sheet1!$W:$W),FIND("-",_xlfn.XLOOKUP(AE967,Sheet1!$F:$F,Sheet1!$W:$W),FIND("-",_xlfn.XLOOKUP(AE967,Sheet1!$F:$F,Sheet1!$W:$W))+1))&amp;AE967,"NOT FOUND"),LEFT(J967,FIND("-",J967,FIND("-",J967)+1))&amp;AE967))</f>
        <v>NOT FOUND</v>
      </c>
    </row>
    <row r="968" spans="1:34" ht="15.75" customHeight="1" x14ac:dyDescent="0.2">
      <c r="A968" s="4" t="s">
        <v>61</v>
      </c>
      <c r="B968" s="4" t="s">
        <v>1399</v>
      </c>
      <c r="C968" s="4" t="s">
        <v>1312</v>
      </c>
      <c r="D968" s="4" t="s">
        <v>1125</v>
      </c>
      <c r="E968" s="4" t="s">
        <v>34</v>
      </c>
      <c r="F968" s="4" t="s">
        <v>35</v>
      </c>
      <c r="G968" s="4" t="s">
        <v>36</v>
      </c>
      <c r="H968" s="4" t="s">
        <v>1400</v>
      </c>
      <c r="I968" s="4" t="s">
        <v>1401</v>
      </c>
      <c r="J968" s="4" t="s">
        <v>1402</v>
      </c>
      <c r="L968" s="4" t="s">
        <v>40</v>
      </c>
      <c r="M968" s="4">
        <v>1</v>
      </c>
      <c r="N968" s="4">
        <v>114</v>
      </c>
      <c r="O968" s="4">
        <v>114</v>
      </c>
      <c r="P968" s="4" t="s">
        <v>41</v>
      </c>
      <c r="Q968" s="4">
        <v>2121.5</v>
      </c>
      <c r="R968" s="4">
        <v>2121.5</v>
      </c>
      <c r="S968" s="4">
        <v>12092.55</v>
      </c>
      <c r="T968" s="4">
        <v>241851</v>
      </c>
      <c r="U968" s="4">
        <v>5</v>
      </c>
      <c r="V968" s="4" t="s">
        <v>42</v>
      </c>
      <c r="X968" s="7" t="str">
        <f t="shared" si="45"/>
        <v>441853803</v>
      </c>
      <c r="Y968" s="8" t="str">
        <f t="shared" si="46"/>
        <v>RP</v>
      </c>
      <c r="Z968" s="8">
        <f t="shared" si="47"/>
        <v>114</v>
      </c>
      <c r="AA968" s="8">
        <f t="shared" si="48"/>
        <v>114</v>
      </c>
      <c r="AB968" s="8">
        <f t="shared" si="49"/>
        <v>114</v>
      </c>
      <c r="AC968" s="8">
        <f t="shared" si="50"/>
        <v>114</v>
      </c>
      <c r="AD968" s="8">
        <f t="shared" si="51"/>
        <v>114</v>
      </c>
      <c r="AE968" s="9" t="str" cm="1">
        <f t="array" ref="AE968">IFERROR(_xlfn.XLOOKUP(H968,Sheet1!$G:$G,Sheet1!$F:$F),IFERROR(_xlfn.XLOOKUP(1,(--($X$2:$X$1074=X968))*(--ISNUMBER(MATCH($H$2:$H$1074,Sheet1!$G:$G,0))),_xlfn.XLOOKUP($H$2:$H$1074,Sheet1!$G:$G,Sheet1!$F:$F,"")),"NOT FOUND"))</f>
        <v>YETCRDSFUT4111</v>
      </c>
      <c r="AF968" s="10" t="str">
        <f t="shared" si="58"/>
        <v>BLACK</v>
      </c>
      <c r="AG968" s="11" t="str">
        <f t="shared" si="59"/>
        <v>HARIPAL</v>
      </c>
      <c r="AH968" s="9" t="str">
        <f>IF(OR(J968="",AE968="",AE968="NOT FOUND"),"",IF(Y968="RP",IFERROR(LEFT(_xlfn.XLOOKUP(AE968,Sheet1!$F:$F,Sheet1!$W:$W),FIND("-",_xlfn.XLOOKUP(AE968,Sheet1!$F:$F,Sheet1!$W:$W),FIND("-",_xlfn.XLOOKUP(AE968,Sheet1!$F:$F,Sheet1!$W:$W))+1))&amp;AE968,"NOT FOUND"),LEFT(J968,FIND("-",J968,FIND("-",J968)+1))&amp;AE968))</f>
        <v>NOT FOUND</v>
      </c>
    </row>
    <row r="969" spans="1:34" ht="15.75" customHeight="1" x14ac:dyDescent="0.2">
      <c r="A969" s="4" t="s">
        <v>61</v>
      </c>
      <c r="B969" s="4" t="s">
        <v>1403</v>
      </c>
      <c r="C969" s="4" t="s">
        <v>1312</v>
      </c>
      <c r="D969" s="4" t="s">
        <v>797</v>
      </c>
      <c r="E969" s="4" t="s">
        <v>34</v>
      </c>
      <c r="F969" s="4" t="s">
        <v>35</v>
      </c>
      <c r="G969" s="4" t="s">
        <v>36</v>
      </c>
      <c r="H969" s="4" t="s">
        <v>1372</v>
      </c>
      <c r="I969" s="4" t="s">
        <v>1373</v>
      </c>
      <c r="J969" s="4" t="s">
        <v>1374</v>
      </c>
      <c r="L969" s="4" t="s">
        <v>40</v>
      </c>
      <c r="M969" s="4">
        <v>1</v>
      </c>
      <c r="N969" s="4">
        <v>91</v>
      </c>
      <c r="O969" s="4">
        <v>91</v>
      </c>
      <c r="P969" s="4" t="s">
        <v>41</v>
      </c>
      <c r="Q969" s="4">
        <v>2596.5500000000002</v>
      </c>
      <c r="R969" s="4">
        <v>2596.5500000000002</v>
      </c>
      <c r="S969" s="4">
        <v>11814.3</v>
      </c>
      <c r="T969" s="4">
        <v>236286.05</v>
      </c>
      <c r="U969" s="4">
        <v>5</v>
      </c>
      <c r="V969" s="4" t="s">
        <v>42</v>
      </c>
      <c r="X969" s="7" t="str">
        <f t="shared" si="45"/>
        <v>441853743</v>
      </c>
      <c r="Y969" s="8" t="str">
        <f t="shared" si="46"/>
        <v>RP</v>
      </c>
      <c r="Z969" s="8">
        <f t="shared" si="47"/>
        <v>91</v>
      </c>
      <c r="AA969" s="8">
        <f t="shared" si="48"/>
        <v>91</v>
      </c>
      <c r="AB969" s="8">
        <f t="shared" si="49"/>
        <v>91</v>
      </c>
      <c r="AC969" s="8">
        <f t="shared" si="50"/>
        <v>91</v>
      </c>
      <c r="AD969" s="8">
        <f t="shared" si="51"/>
        <v>91</v>
      </c>
      <c r="AE969" s="9" t="str" cm="1">
        <f t="array" ref="AE969">IFERROR(_xlfn.XLOOKUP(H969,Sheet1!$G:$G,Sheet1!$F:$F),IFERROR(_xlfn.XLOOKUP(1,(--($X$2:$X$1074=X969))*(--ISNUMBER(MATCH($H$2:$H$1074,Sheet1!$G:$G,0))),_xlfn.XLOOKUP($H$2:$H$1074,Sheet1!$G:$G,Sheet1!$F:$F,"")),"NOT FOUND"))</f>
        <v>YETCRDSFUT4017</v>
      </c>
      <c r="AF969" s="10" t="str">
        <f t="shared" si="58"/>
        <v>NAVY</v>
      </c>
      <c r="AG969" s="11" t="str">
        <f t="shared" si="59"/>
        <v>HARIPAL</v>
      </c>
      <c r="AH969" s="9" t="str">
        <f>IF(OR(J969="",AE969="",AE969="NOT FOUND"),"",IF(Y969="RP",IFERROR(LEFT(_xlfn.XLOOKUP(AE969,Sheet1!$F:$F,Sheet1!$W:$W),FIND("-",_xlfn.XLOOKUP(AE969,Sheet1!$F:$F,Sheet1!$W:$W),FIND("-",_xlfn.XLOOKUP(AE969,Sheet1!$F:$F,Sheet1!$W:$W))+1))&amp;AE969,"NOT FOUND"),LEFT(J969,FIND("-",J969,FIND("-",J969)+1))&amp;AE969))</f>
        <v>NOT FOUND</v>
      </c>
    </row>
    <row r="970" spans="1:34" ht="15.75" customHeight="1" x14ac:dyDescent="0.2">
      <c r="A970" s="4" t="s">
        <v>61</v>
      </c>
      <c r="B970" s="4" t="s">
        <v>1403</v>
      </c>
      <c r="C970" s="4" t="s">
        <v>1312</v>
      </c>
      <c r="D970" s="4" t="s">
        <v>797</v>
      </c>
      <c r="E970" s="4" t="s">
        <v>34</v>
      </c>
      <c r="F970" s="4" t="s">
        <v>35</v>
      </c>
      <c r="G970" s="4" t="s">
        <v>43</v>
      </c>
      <c r="H970" s="4" t="s">
        <v>1375</v>
      </c>
      <c r="I970" s="4" t="s">
        <v>1376</v>
      </c>
      <c r="J970" s="4" t="s">
        <v>1377</v>
      </c>
      <c r="L970" s="4" t="s">
        <v>40</v>
      </c>
      <c r="M970" s="4">
        <v>1</v>
      </c>
      <c r="N970" s="4">
        <v>91</v>
      </c>
      <c r="O970" s="4">
        <v>91</v>
      </c>
      <c r="P970" s="4" t="s">
        <v>41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 t="s">
        <v>42</v>
      </c>
      <c r="X970" s="7" t="str">
        <f t="shared" si="45"/>
        <v>441853743</v>
      </c>
      <c r="Y970" s="8" t="str">
        <f t="shared" si="46"/>
        <v>DC</v>
      </c>
      <c r="Z970" s="8">
        <f t="shared" si="47"/>
        <v>91</v>
      </c>
      <c r="AA970" s="8">
        <f t="shared" si="48"/>
        <v>0</v>
      </c>
      <c r="AB970" s="8">
        <f t="shared" si="49"/>
        <v>0</v>
      </c>
      <c r="AC970" s="8">
        <f t="shared" si="50"/>
        <v>0</v>
      </c>
      <c r="AD970" s="8">
        <f t="shared" si="51"/>
        <v>0</v>
      </c>
      <c r="AE970" s="9" t="str" cm="1">
        <f t="array" ref="AE970">IFERROR(_xlfn.XLOOKUP(H970,Sheet1!$G:$G,Sheet1!$F:$F),IFERROR(_xlfn.XLOOKUP(1,(--($X$2:$X$1074=X970))*(--ISNUMBER(MATCH($H$2:$H$1074,Sheet1!$G:$G,0))),_xlfn.XLOOKUP($H$2:$H$1074,Sheet1!$G:$G,Sheet1!$F:$F,"")),"NOT FOUND"))</f>
        <v>YETCRDSFUT4017</v>
      </c>
      <c r="AF970" s="10" t="str">
        <f t="shared" si="58"/>
        <v>NAVY</v>
      </c>
      <c r="AG970" s="11" t="str">
        <f t="shared" si="59"/>
        <v>HARIPAL</v>
      </c>
      <c r="AH970" s="9" t="str">
        <f>IF(OR(J970="",AE970="",AE970="NOT FOUND"),"",IF(Y970="RP",IFERROR(LEFT(_xlfn.XLOOKUP(AE970,Sheet1!$F:$F,Sheet1!$W:$W),FIND("-",_xlfn.XLOOKUP(AE970,Sheet1!$F:$F,Sheet1!$W:$W),FIND("-",_xlfn.XLOOKUP(AE970,Sheet1!$F:$F,Sheet1!$W:$W))+1))&amp;AE970,"NOT FOUND"),LEFT(J970,FIND("-",J970,FIND("-",J970)+1))&amp;AE970))</f>
        <v>SKD-APSU26-YETCRDSFUT4017</v>
      </c>
    </row>
    <row r="971" spans="1:34" ht="15.75" customHeight="1" x14ac:dyDescent="0.2">
      <c r="A971" s="4" t="s">
        <v>61</v>
      </c>
      <c r="B971" s="4" t="s">
        <v>1403</v>
      </c>
      <c r="C971" s="4" t="s">
        <v>1312</v>
      </c>
      <c r="D971" s="4" t="s">
        <v>797</v>
      </c>
      <c r="E971" s="4" t="s">
        <v>34</v>
      </c>
      <c r="F971" s="4" t="s">
        <v>35</v>
      </c>
      <c r="G971" s="4" t="s">
        <v>47</v>
      </c>
      <c r="H971" s="4" t="s">
        <v>1378</v>
      </c>
      <c r="I971" s="4" t="s">
        <v>1379</v>
      </c>
      <c r="J971" s="4" t="s">
        <v>1380</v>
      </c>
      <c r="L971" s="4" t="s">
        <v>40</v>
      </c>
      <c r="M971" s="4">
        <v>1</v>
      </c>
      <c r="N971" s="4">
        <v>91</v>
      </c>
      <c r="O971" s="4">
        <v>91</v>
      </c>
      <c r="P971" s="4" t="s">
        <v>41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 t="s">
        <v>42</v>
      </c>
      <c r="X971" s="7" t="str">
        <f t="shared" si="45"/>
        <v>441853743</v>
      </c>
      <c r="Y971" s="8" t="str">
        <f t="shared" si="46"/>
        <v>DC</v>
      </c>
      <c r="Z971" s="8">
        <f t="shared" si="47"/>
        <v>0</v>
      </c>
      <c r="AA971" s="8">
        <f t="shared" si="48"/>
        <v>91</v>
      </c>
      <c r="AB971" s="8">
        <f t="shared" si="49"/>
        <v>0</v>
      </c>
      <c r="AC971" s="8">
        <f t="shared" si="50"/>
        <v>0</v>
      </c>
      <c r="AD971" s="8">
        <f t="shared" si="51"/>
        <v>0</v>
      </c>
      <c r="AE971" s="9" t="str" cm="1">
        <f t="array" ref="AE971">IFERROR(_xlfn.XLOOKUP(H971,Sheet1!$G:$G,Sheet1!$F:$F),IFERROR(_xlfn.XLOOKUP(1,(--($X$2:$X$1074=X971))*(--ISNUMBER(MATCH($H$2:$H$1074,Sheet1!$G:$G,0))),_xlfn.XLOOKUP($H$2:$H$1074,Sheet1!$G:$G,Sheet1!$F:$F,"")),"NOT FOUND"))</f>
        <v>YETCRDSFUT4017</v>
      </c>
      <c r="AF971" s="10" t="str">
        <f t="shared" si="58"/>
        <v>NAVY</v>
      </c>
      <c r="AG971" s="11" t="str">
        <f t="shared" si="59"/>
        <v>HARIPAL</v>
      </c>
      <c r="AH971" s="9" t="str">
        <f>IF(OR(J971="",AE971="",AE971="NOT FOUND"),"",IF(Y971="RP",IFERROR(LEFT(_xlfn.XLOOKUP(AE971,Sheet1!$F:$F,Sheet1!$W:$W),FIND("-",_xlfn.XLOOKUP(AE971,Sheet1!$F:$F,Sheet1!$W:$W),FIND("-",_xlfn.XLOOKUP(AE971,Sheet1!$F:$F,Sheet1!$W:$W))+1))&amp;AE971,"NOT FOUND"),LEFT(J971,FIND("-",J971,FIND("-",J971)+1))&amp;AE971))</f>
        <v>SKD-APSU26-YETCRDSFUT4017</v>
      </c>
    </row>
    <row r="972" spans="1:34" ht="15.75" customHeight="1" x14ac:dyDescent="0.2">
      <c r="A972" s="4" t="s">
        <v>61</v>
      </c>
      <c r="B972" s="4" t="s">
        <v>1403</v>
      </c>
      <c r="C972" s="4" t="s">
        <v>1312</v>
      </c>
      <c r="D972" s="4" t="s">
        <v>797</v>
      </c>
      <c r="E972" s="4" t="s">
        <v>34</v>
      </c>
      <c r="F972" s="4" t="s">
        <v>35</v>
      </c>
      <c r="G972" s="4" t="s">
        <v>51</v>
      </c>
      <c r="H972" s="4" t="s">
        <v>1381</v>
      </c>
      <c r="I972" s="4" t="s">
        <v>1382</v>
      </c>
      <c r="J972" s="4" t="s">
        <v>1383</v>
      </c>
      <c r="L972" s="4" t="s">
        <v>40</v>
      </c>
      <c r="M972" s="4">
        <v>1</v>
      </c>
      <c r="N972" s="4">
        <v>91</v>
      </c>
      <c r="O972" s="4">
        <v>91</v>
      </c>
      <c r="P972" s="4" t="s">
        <v>41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 t="s">
        <v>42</v>
      </c>
      <c r="X972" s="7" t="str">
        <f t="shared" si="45"/>
        <v>441853743</v>
      </c>
      <c r="Y972" s="8" t="str">
        <f t="shared" si="46"/>
        <v>DC</v>
      </c>
      <c r="Z972" s="8">
        <f t="shared" si="47"/>
        <v>0</v>
      </c>
      <c r="AA972" s="8">
        <f t="shared" si="48"/>
        <v>0</v>
      </c>
      <c r="AB972" s="8">
        <f t="shared" si="49"/>
        <v>91</v>
      </c>
      <c r="AC972" s="8">
        <f t="shared" si="50"/>
        <v>0</v>
      </c>
      <c r="AD972" s="8">
        <f t="shared" si="51"/>
        <v>0</v>
      </c>
      <c r="AE972" s="9" t="str" cm="1">
        <f t="array" ref="AE972">IFERROR(_xlfn.XLOOKUP(H972,Sheet1!$G:$G,Sheet1!$F:$F),IFERROR(_xlfn.XLOOKUP(1,(--($X$2:$X$1074=X972))*(--ISNUMBER(MATCH($H$2:$H$1074,Sheet1!$G:$G,0))),_xlfn.XLOOKUP($H$2:$H$1074,Sheet1!$G:$G,Sheet1!$F:$F,"")),"NOT FOUND"))</f>
        <v>YETCRDSFUT4017</v>
      </c>
      <c r="AF972" s="10" t="str">
        <f t="shared" si="58"/>
        <v>NAVY</v>
      </c>
      <c r="AG972" s="11" t="str">
        <f t="shared" si="59"/>
        <v>HARIPAL</v>
      </c>
      <c r="AH972" s="9" t="str">
        <f>IF(OR(J972="",AE972="",AE972="NOT FOUND"),"",IF(Y972="RP",IFERROR(LEFT(_xlfn.XLOOKUP(AE972,Sheet1!$F:$F,Sheet1!$W:$W),FIND("-",_xlfn.XLOOKUP(AE972,Sheet1!$F:$F,Sheet1!$W:$W),FIND("-",_xlfn.XLOOKUP(AE972,Sheet1!$F:$F,Sheet1!$W:$W))+1))&amp;AE972,"NOT FOUND"),LEFT(J972,FIND("-",J972,FIND("-",J972)+1))&amp;AE972))</f>
        <v>SKD-APSU26-YETCRDSFUT4017</v>
      </c>
    </row>
    <row r="973" spans="1:34" ht="15.75" customHeight="1" x14ac:dyDescent="0.2">
      <c r="A973" s="4" t="s">
        <v>61</v>
      </c>
      <c r="B973" s="4" t="s">
        <v>1403</v>
      </c>
      <c r="C973" s="4" t="s">
        <v>1312</v>
      </c>
      <c r="D973" s="4" t="s">
        <v>797</v>
      </c>
      <c r="E973" s="4" t="s">
        <v>34</v>
      </c>
      <c r="F973" s="4" t="s">
        <v>35</v>
      </c>
      <c r="G973" s="4" t="s">
        <v>55</v>
      </c>
      <c r="H973" s="4" t="s">
        <v>1384</v>
      </c>
      <c r="I973" s="4" t="s">
        <v>1385</v>
      </c>
      <c r="J973" s="4" t="s">
        <v>1386</v>
      </c>
      <c r="L973" s="4" t="s">
        <v>40</v>
      </c>
      <c r="M973" s="4">
        <v>1</v>
      </c>
      <c r="N973" s="4">
        <v>91</v>
      </c>
      <c r="O973" s="4">
        <v>91</v>
      </c>
      <c r="P973" s="4" t="s">
        <v>41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 t="s">
        <v>42</v>
      </c>
      <c r="X973" s="7" t="str">
        <f t="shared" si="45"/>
        <v>441853743</v>
      </c>
      <c r="Y973" s="8" t="str">
        <f t="shared" si="46"/>
        <v>DC</v>
      </c>
      <c r="Z973" s="8">
        <f t="shared" si="47"/>
        <v>0</v>
      </c>
      <c r="AA973" s="8">
        <f t="shared" si="48"/>
        <v>0</v>
      </c>
      <c r="AB973" s="8">
        <f t="shared" si="49"/>
        <v>0</v>
      </c>
      <c r="AC973" s="8">
        <f t="shared" si="50"/>
        <v>91</v>
      </c>
      <c r="AD973" s="8">
        <f t="shared" si="51"/>
        <v>0</v>
      </c>
      <c r="AE973" s="9" t="str" cm="1">
        <f t="array" ref="AE973">IFERROR(_xlfn.XLOOKUP(H973,Sheet1!$G:$G,Sheet1!$F:$F),IFERROR(_xlfn.XLOOKUP(1,(--($X$2:$X$1074=X973))*(--ISNUMBER(MATCH($H$2:$H$1074,Sheet1!$G:$G,0))),_xlfn.XLOOKUP($H$2:$H$1074,Sheet1!$G:$G,Sheet1!$F:$F,"")),"NOT FOUND"))</f>
        <v>YETCRDSFUT4017</v>
      </c>
      <c r="AF973" s="10" t="str">
        <f t="shared" si="58"/>
        <v>NAVY</v>
      </c>
      <c r="AG973" s="11" t="str">
        <f t="shared" si="59"/>
        <v>HARIPAL</v>
      </c>
      <c r="AH973" s="9" t="str">
        <f>IF(OR(J973="",AE973="",AE973="NOT FOUND"),"",IF(Y973="RP",IFERROR(LEFT(_xlfn.XLOOKUP(AE973,Sheet1!$F:$F,Sheet1!$W:$W),FIND("-",_xlfn.XLOOKUP(AE973,Sheet1!$F:$F,Sheet1!$W:$W),FIND("-",_xlfn.XLOOKUP(AE973,Sheet1!$F:$F,Sheet1!$W:$W))+1))&amp;AE973,"NOT FOUND"),LEFT(J973,FIND("-",J973,FIND("-",J973)+1))&amp;AE973))</f>
        <v>SKD-APSU26-YETCRDSFUT4017</v>
      </c>
    </row>
    <row r="974" spans="1:34" ht="15.75" customHeight="1" x14ac:dyDescent="0.2">
      <c r="A974" s="4" t="s">
        <v>61</v>
      </c>
      <c r="B974" s="4" t="s">
        <v>1403</v>
      </c>
      <c r="C974" s="4" t="s">
        <v>1312</v>
      </c>
      <c r="D974" s="4" t="s">
        <v>797</v>
      </c>
      <c r="E974" s="4" t="s">
        <v>34</v>
      </c>
      <c r="F974" s="4" t="s">
        <v>35</v>
      </c>
      <c r="G974" s="4" t="s">
        <v>884</v>
      </c>
      <c r="H974" s="4" t="s">
        <v>1387</v>
      </c>
      <c r="I974" s="4" t="s">
        <v>1388</v>
      </c>
      <c r="J974" s="4" t="s">
        <v>1389</v>
      </c>
      <c r="L974" s="4" t="s">
        <v>40</v>
      </c>
      <c r="M974" s="4">
        <v>1</v>
      </c>
      <c r="N974" s="4">
        <v>91</v>
      </c>
      <c r="O974" s="4">
        <v>91</v>
      </c>
      <c r="P974" s="4" t="s">
        <v>41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X974" s="7" t="str">
        <f t="shared" si="45"/>
        <v>441853743</v>
      </c>
      <c r="Y974" s="8" t="str">
        <f t="shared" si="46"/>
        <v>DC</v>
      </c>
      <c r="Z974" s="8">
        <f t="shared" si="47"/>
        <v>0</v>
      </c>
      <c r="AA974" s="8">
        <f t="shared" si="48"/>
        <v>0</v>
      </c>
      <c r="AB974" s="8">
        <f t="shared" si="49"/>
        <v>0</v>
      </c>
      <c r="AC974" s="8">
        <f t="shared" si="50"/>
        <v>0</v>
      </c>
      <c r="AD974" s="8">
        <f t="shared" si="51"/>
        <v>91</v>
      </c>
      <c r="AE974" s="9" t="str" cm="1">
        <f t="array" ref="AE974">IFERROR(_xlfn.XLOOKUP(H974,Sheet1!$G:$G,Sheet1!$F:$F),IFERROR(_xlfn.XLOOKUP(1,(--($X$2:$X$1074=X974))*(--ISNUMBER(MATCH($H$2:$H$1074,Sheet1!$G:$G,0))),_xlfn.XLOOKUP($H$2:$H$1074,Sheet1!$G:$G,Sheet1!$F:$F,"")),"NOT FOUND"))</f>
        <v>YETCRDSFUT4017</v>
      </c>
      <c r="AF974" s="10" t="str">
        <f t="shared" si="58"/>
        <v>NAVY</v>
      </c>
      <c r="AG974" s="11" t="str">
        <f t="shared" si="59"/>
        <v>HARIPAL</v>
      </c>
      <c r="AH974" s="9" t="str">
        <f>IF(OR(J974="",AE974="",AE974="NOT FOUND"),"",IF(Y974="RP",IFERROR(LEFT(_xlfn.XLOOKUP(AE974,Sheet1!$F:$F,Sheet1!$W:$W),FIND("-",_xlfn.XLOOKUP(AE974,Sheet1!$F:$F,Sheet1!$W:$W),FIND("-",_xlfn.XLOOKUP(AE974,Sheet1!$F:$F,Sheet1!$W:$W))+1))&amp;AE974,"NOT FOUND"),LEFT(J974,FIND("-",J974,FIND("-",J974)+1))&amp;AE974))</f>
        <v>SKD-APSU26-YETCRDSFUT4017</v>
      </c>
    </row>
    <row r="975" spans="1:34" ht="15.75" customHeight="1" x14ac:dyDescent="0.2">
      <c r="A975" s="4" t="s">
        <v>30</v>
      </c>
      <c r="B975" s="4" t="s">
        <v>1404</v>
      </c>
      <c r="C975" s="4" t="s">
        <v>1312</v>
      </c>
      <c r="D975" s="4" t="s">
        <v>1125</v>
      </c>
      <c r="E975" s="4" t="s">
        <v>34</v>
      </c>
      <c r="F975" s="4" t="s">
        <v>35</v>
      </c>
      <c r="G975" s="4" t="s">
        <v>36</v>
      </c>
      <c r="H975" s="4" t="s">
        <v>1405</v>
      </c>
      <c r="I975" s="4" t="s">
        <v>1406</v>
      </c>
      <c r="J975" s="4" t="s">
        <v>1407</v>
      </c>
      <c r="L975" s="4" t="s">
        <v>40</v>
      </c>
      <c r="M975" s="4">
        <v>1</v>
      </c>
      <c r="N975" s="4">
        <v>38</v>
      </c>
      <c r="O975" s="4">
        <v>38</v>
      </c>
      <c r="P975" s="4" t="s">
        <v>41</v>
      </c>
      <c r="Q975" s="4">
        <v>1571.5</v>
      </c>
      <c r="R975" s="4">
        <v>1571.5</v>
      </c>
      <c r="S975" s="4">
        <v>2985.85</v>
      </c>
      <c r="T975" s="4">
        <v>59717</v>
      </c>
      <c r="U975" s="4">
        <v>5</v>
      </c>
      <c r="V975" s="4" t="s">
        <v>42</v>
      </c>
      <c r="X975" s="7" t="str">
        <f t="shared" si="45"/>
        <v>441853900</v>
      </c>
      <c r="Y975" s="8" t="str">
        <f t="shared" si="46"/>
        <v>RP</v>
      </c>
      <c r="Z975" s="8">
        <f t="shared" si="47"/>
        <v>38</v>
      </c>
      <c r="AA975" s="8">
        <f t="shared" si="48"/>
        <v>38</v>
      </c>
      <c r="AB975" s="8">
        <f t="shared" si="49"/>
        <v>38</v>
      </c>
      <c r="AC975" s="8">
        <f t="shared" si="50"/>
        <v>38</v>
      </c>
      <c r="AD975" s="8">
        <f t="shared" si="51"/>
        <v>38</v>
      </c>
      <c r="AE975" s="9" t="str" cm="1">
        <f t="array" ref="AE975">IFERROR(_xlfn.XLOOKUP(H975,Sheet1!$G:$G,Sheet1!$F:$F),IFERROR(_xlfn.XLOOKUP(1,(--($X$2:$X$1074=X975))*(--ISNUMBER(MATCH($H$2:$H$1074,Sheet1!$G:$G,0))),_xlfn.XLOOKUP($H$2:$H$1074,Sheet1!$G:$G,Sheet1!$F:$F,"")),"NOT FOUND"))</f>
        <v>YETKRTSFUT4254</v>
      </c>
      <c r="AF975" s="10" t="str">
        <f t="shared" si="58"/>
        <v>BLACK</v>
      </c>
      <c r="AG975" s="11" t="str">
        <f t="shared" si="59"/>
        <v>Bangalore</v>
      </c>
      <c r="AH975" s="9" t="str">
        <f>IF(OR(J975="",AE975="",AE975="NOT FOUND"),"",IF(Y975="RP",IFERROR(LEFT(_xlfn.XLOOKUP(AE975,Sheet1!$F:$F,Sheet1!$W:$W),FIND("-",_xlfn.XLOOKUP(AE975,Sheet1!$F:$F,Sheet1!$W:$W),FIND("-",_xlfn.XLOOKUP(AE975,Sheet1!$F:$F,Sheet1!$W:$W))+1))&amp;AE975,"NOT FOUND"),LEFT(J975,FIND("-",J975,FIND("-",J975)+1))&amp;AE975))</f>
        <v>KRTS-APSU26-YETKRTSFUT4254</v>
      </c>
    </row>
    <row r="976" spans="1:34" ht="15.75" customHeight="1" x14ac:dyDescent="0.2">
      <c r="A976" s="4" t="s">
        <v>30</v>
      </c>
      <c r="B976" s="4" t="s">
        <v>1408</v>
      </c>
      <c r="C976" s="4" t="s">
        <v>1312</v>
      </c>
      <c r="D976" s="4" t="s">
        <v>1125</v>
      </c>
      <c r="E976" s="4" t="s">
        <v>34</v>
      </c>
      <c r="F976" s="4" t="s">
        <v>35</v>
      </c>
      <c r="G976" s="4" t="s">
        <v>36</v>
      </c>
      <c r="H976" s="4" t="s">
        <v>1400</v>
      </c>
      <c r="I976" s="4" t="s">
        <v>1401</v>
      </c>
      <c r="J976" s="4" t="s">
        <v>1402</v>
      </c>
      <c r="L976" s="4" t="s">
        <v>40</v>
      </c>
      <c r="M976" s="4">
        <v>1</v>
      </c>
      <c r="N976" s="4">
        <v>196</v>
      </c>
      <c r="O976" s="4">
        <v>196</v>
      </c>
      <c r="P976" s="4" t="s">
        <v>41</v>
      </c>
      <c r="Q976" s="4">
        <v>2121.5</v>
      </c>
      <c r="R976" s="4">
        <v>2121.5</v>
      </c>
      <c r="S976" s="4">
        <v>20790.7</v>
      </c>
      <c r="T976" s="4">
        <v>415814</v>
      </c>
      <c r="U976" s="4">
        <v>5</v>
      </c>
      <c r="V976" s="4" t="s">
        <v>42</v>
      </c>
      <c r="X976" s="7" t="str">
        <f t="shared" si="45"/>
        <v>441853803</v>
      </c>
      <c r="Y976" s="8" t="str">
        <f t="shared" si="46"/>
        <v>RP</v>
      </c>
      <c r="Z976" s="8">
        <f t="shared" si="47"/>
        <v>196</v>
      </c>
      <c r="AA976" s="8">
        <f t="shared" si="48"/>
        <v>196</v>
      </c>
      <c r="AB976" s="8">
        <f t="shared" si="49"/>
        <v>196</v>
      </c>
      <c r="AC976" s="8">
        <f t="shared" si="50"/>
        <v>196</v>
      </c>
      <c r="AD976" s="8">
        <f t="shared" si="51"/>
        <v>196</v>
      </c>
      <c r="AE976" s="9" t="str" cm="1">
        <f t="array" ref="AE976">IFERROR(_xlfn.XLOOKUP(H976,Sheet1!$G:$G,Sheet1!$F:$F),IFERROR(_xlfn.XLOOKUP(1,(--($X$2:$X$1074=X976))*(--ISNUMBER(MATCH($H$2:$H$1074,Sheet1!$G:$G,0))),_xlfn.XLOOKUP($H$2:$H$1074,Sheet1!$G:$G,Sheet1!$F:$F,"")),"NOT FOUND"))</f>
        <v>YETCRDSFUT4111</v>
      </c>
      <c r="AF976" s="10" t="str">
        <f t="shared" si="58"/>
        <v>BLACK</v>
      </c>
      <c r="AG976" s="11" t="str">
        <f t="shared" si="59"/>
        <v>Bangalore</v>
      </c>
      <c r="AH976" s="9" t="str">
        <f>IF(OR(J976="",AE976="",AE976="NOT FOUND"),"",IF(Y976="RP",IFERROR(LEFT(_xlfn.XLOOKUP(AE976,Sheet1!$F:$F,Sheet1!$W:$W),FIND("-",_xlfn.XLOOKUP(AE976,Sheet1!$F:$F,Sheet1!$W:$W),FIND("-",_xlfn.XLOOKUP(AE976,Sheet1!$F:$F,Sheet1!$W:$W))+1))&amp;AE976,"NOT FOUND"),LEFT(J976,FIND("-",J976,FIND("-",J976)+1))&amp;AE976))</f>
        <v>NOT FOUND</v>
      </c>
    </row>
    <row r="977" spans="1:34" ht="15.75" customHeight="1" x14ac:dyDescent="0.2">
      <c r="A977" s="4" t="s">
        <v>59</v>
      </c>
      <c r="B977" s="4" t="s">
        <v>1409</v>
      </c>
      <c r="C977" s="4" t="s">
        <v>1312</v>
      </c>
      <c r="D977" s="4" t="s">
        <v>1125</v>
      </c>
      <c r="E977" s="4" t="s">
        <v>34</v>
      </c>
      <c r="F977" s="4" t="s">
        <v>35</v>
      </c>
      <c r="G977" s="4" t="s">
        <v>36</v>
      </c>
      <c r="H977" s="4" t="s">
        <v>1405</v>
      </c>
      <c r="I977" s="4" t="s">
        <v>1406</v>
      </c>
      <c r="J977" s="4" t="s">
        <v>1407</v>
      </c>
      <c r="L977" s="4" t="s">
        <v>40</v>
      </c>
      <c r="M977" s="4">
        <v>1</v>
      </c>
      <c r="N977" s="4">
        <v>22</v>
      </c>
      <c r="O977" s="4">
        <v>22</v>
      </c>
      <c r="P977" s="4" t="s">
        <v>41</v>
      </c>
      <c r="Q977" s="4">
        <v>1571.5</v>
      </c>
      <c r="R977" s="4">
        <v>1571.5</v>
      </c>
      <c r="S977" s="4">
        <v>1728.65</v>
      </c>
      <c r="T977" s="4">
        <v>34573</v>
      </c>
      <c r="U977" s="4">
        <v>5</v>
      </c>
      <c r="V977" s="4" t="s">
        <v>42</v>
      </c>
      <c r="X977" s="7" t="str">
        <f t="shared" si="45"/>
        <v>441853900</v>
      </c>
      <c r="Y977" s="8" t="str">
        <f t="shared" si="46"/>
        <v>RP</v>
      </c>
      <c r="Z977" s="8">
        <f t="shared" si="47"/>
        <v>22</v>
      </c>
      <c r="AA977" s="8">
        <f t="shared" si="48"/>
        <v>22</v>
      </c>
      <c r="AB977" s="8">
        <f t="shared" si="49"/>
        <v>22</v>
      </c>
      <c r="AC977" s="8">
        <f t="shared" si="50"/>
        <v>22</v>
      </c>
      <c r="AD977" s="8">
        <f t="shared" si="51"/>
        <v>22</v>
      </c>
      <c r="AE977" s="9" t="str" cm="1">
        <f t="array" ref="AE977">IFERROR(_xlfn.XLOOKUP(H977,Sheet1!$G:$G,Sheet1!$F:$F),IFERROR(_xlfn.XLOOKUP(1,(--($X$2:$X$1074=X977))*(--ISNUMBER(MATCH($H$2:$H$1074,Sheet1!$G:$G,0))),_xlfn.XLOOKUP($H$2:$H$1074,Sheet1!$G:$G,Sheet1!$F:$F,"")),"NOT FOUND"))</f>
        <v>YETKRTSFUT4254</v>
      </c>
      <c r="AF977" s="10" t="str">
        <f t="shared" si="58"/>
        <v>BLACK</v>
      </c>
      <c r="AG977" s="11" t="str">
        <f t="shared" si="59"/>
        <v>JHAJJAR</v>
      </c>
      <c r="AH977" s="9" t="str">
        <f>IF(OR(J977="",AE977="",AE977="NOT FOUND"),"",IF(Y977="RP",IFERROR(LEFT(_xlfn.XLOOKUP(AE977,Sheet1!$F:$F,Sheet1!$W:$W),FIND("-",_xlfn.XLOOKUP(AE977,Sheet1!$F:$F,Sheet1!$W:$W),FIND("-",_xlfn.XLOOKUP(AE977,Sheet1!$F:$F,Sheet1!$W:$W))+1))&amp;AE977,"NOT FOUND"),LEFT(J977,FIND("-",J977,FIND("-",J977)+1))&amp;AE977))</f>
        <v>KRTS-APSU26-YETKRTSFUT4254</v>
      </c>
    </row>
    <row r="978" spans="1:34" ht="15.75" customHeight="1" x14ac:dyDescent="0.2">
      <c r="A978" s="4" t="s">
        <v>59</v>
      </c>
      <c r="B978" s="4" t="s">
        <v>1410</v>
      </c>
      <c r="C978" s="4" t="s">
        <v>1312</v>
      </c>
      <c r="D978" s="4" t="s">
        <v>797</v>
      </c>
      <c r="E978" s="4" t="s">
        <v>34</v>
      </c>
      <c r="F978" s="4" t="s">
        <v>35</v>
      </c>
      <c r="G978" s="4" t="s">
        <v>36</v>
      </c>
      <c r="H978" s="4" t="s">
        <v>1372</v>
      </c>
      <c r="I978" s="4" t="s">
        <v>1373</v>
      </c>
      <c r="J978" s="4" t="s">
        <v>1374</v>
      </c>
      <c r="L978" s="4" t="s">
        <v>40</v>
      </c>
      <c r="M978" s="4">
        <v>1</v>
      </c>
      <c r="N978" s="4">
        <v>89</v>
      </c>
      <c r="O978" s="4">
        <v>89</v>
      </c>
      <c r="P978" s="4" t="s">
        <v>41</v>
      </c>
      <c r="Q978" s="4">
        <v>2596.5500000000002</v>
      </c>
      <c r="R978" s="4">
        <v>2596.5500000000002</v>
      </c>
      <c r="S978" s="4">
        <v>11554.65</v>
      </c>
      <c r="T978" s="4">
        <v>231092.95</v>
      </c>
      <c r="U978" s="4">
        <v>5</v>
      </c>
      <c r="V978" s="4" t="s">
        <v>42</v>
      </c>
      <c r="X978" s="7" t="str">
        <f t="shared" si="45"/>
        <v>441853743</v>
      </c>
      <c r="Y978" s="8" t="str">
        <f t="shared" si="46"/>
        <v>RP</v>
      </c>
      <c r="Z978" s="8">
        <f t="shared" si="47"/>
        <v>89</v>
      </c>
      <c r="AA978" s="8">
        <f t="shared" si="48"/>
        <v>89</v>
      </c>
      <c r="AB978" s="8">
        <f t="shared" si="49"/>
        <v>89</v>
      </c>
      <c r="AC978" s="8">
        <f t="shared" si="50"/>
        <v>89</v>
      </c>
      <c r="AD978" s="8">
        <f t="shared" si="51"/>
        <v>89</v>
      </c>
      <c r="AE978" s="9" t="str" cm="1">
        <f t="array" ref="AE978">IFERROR(_xlfn.XLOOKUP(H978,Sheet1!$G:$G,Sheet1!$F:$F),IFERROR(_xlfn.XLOOKUP(1,(--($X$2:$X$1074=X978))*(--ISNUMBER(MATCH($H$2:$H$1074,Sheet1!$G:$G,0))),_xlfn.XLOOKUP($H$2:$H$1074,Sheet1!$G:$G,Sheet1!$F:$F,"")),"NOT FOUND"))</f>
        <v>YETCRDSFUT4017</v>
      </c>
      <c r="AF978" s="10" t="str">
        <f t="shared" si="58"/>
        <v>NAVY</v>
      </c>
      <c r="AG978" s="11" t="str">
        <f t="shared" si="59"/>
        <v>JHAJJAR</v>
      </c>
      <c r="AH978" s="9" t="str">
        <f>IF(OR(J978="",AE978="",AE978="NOT FOUND"),"",IF(Y978="RP",IFERROR(LEFT(_xlfn.XLOOKUP(AE978,Sheet1!$F:$F,Sheet1!$W:$W),FIND("-",_xlfn.XLOOKUP(AE978,Sheet1!$F:$F,Sheet1!$W:$W),FIND("-",_xlfn.XLOOKUP(AE978,Sheet1!$F:$F,Sheet1!$W:$W))+1))&amp;AE978,"NOT FOUND"),LEFT(J978,FIND("-",J978,FIND("-",J978)+1))&amp;AE978))</f>
        <v>NOT FOUND</v>
      </c>
    </row>
    <row r="979" spans="1:34" ht="15.75" customHeight="1" x14ac:dyDescent="0.2">
      <c r="A979" s="4" t="s">
        <v>59</v>
      </c>
      <c r="B979" s="4" t="s">
        <v>1410</v>
      </c>
      <c r="C979" s="4" t="s">
        <v>1312</v>
      </c>
      <c r="D979" s="4" t="s">
        <v>797</v>
      </c>
      <c r="E979" s="4" t="s">
        <v>34</v>
      </c>
      <c r="F979" s="4" t="s">
        <v>35</v>
      </c>
      <c r="G979" s="4" t="s">
        <v>43</v>
      </c>
      <c r="H979" s="4" t="s">
        <v>1375</v>
      </c>
      <c r="I979" s="4" t="s">
        <v>1376</v>
      </c>
      <c r="J979" s="4" t="s">
        <v>1377</v>
      </c>
      <c r="L979" s="4" t="s">
        <v>40</v>
      </c>
      <c r="M979" s="4">
        <v>1</v>
      </c>
      <c r="N979" s="4">
        <v>89</v>
      </c>
      <c r="O979" s="4">
        <v>89</v>
      </c>
      <c r="P979" s="4" t="s">
        <v>41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 t="s">
        <v>42</v>
      </c>
      <c r="X979" s="7" t="str">
        <f t="shared" si="45"/>
        <v>441853743</v>
      </c>
      <c r="Y979" s="8" t="str">
        <f t="shared" si="46"/>
        <v>DC</v>
      </c>
      <c r="Z979" s="8">
        <f t="shared" si="47"/>
        <v>89</v>
      </c>
      <c r="AA979" s="8">
        <f t="shared" si="48"/>
        <v>0</v>
      </c>
      <c r="AB979" s="8">
        <f t="shared" si="49"/>
        <v>0</v>
      </c>
      <c r="AC979" s="8">
        <f t="shared" si="50"/>
        <v>0</v>
      </c>
      <c r="AD979" s="8">
        <f t="shared" si="51"/>
        <v>0</v>
      </c>
      <c r="AE979" s="9" t="str" cm="1">
        <f t="array" ref="AE979">IFERROR(_xlfn.XLOOKUP(H979,Sheet1!$G:$G,Sheet1!$F:$F),IFERROR(_xlfn.XLOOKUP(1,(--($X$2:$X$1074=X979))*(--ISNUMBER(MATCH($H$2:$H$1074,Sheet1!$G:$G,0))),_xlfn.XLOOKUP($H$2:$H$1074,Sheet1!$G:$G,Sheet1!$F:$F,"")),"NOT FOUND"))</f>
        <v>YETCRDSFUT4017</v>
      </c>
      <c r="AF979" s="10" t="str">
        <f t="shared" si="58"/>
        <v>NAVY</v>
      </c>
      <c r="AG979" s="11" t="str">
        <f t="shared" si="59"/>
        <v>JHAJJAR</v>
      </c>
      <c r="AH979" s="9" t="str">
        <f>IF(OR(J979="",AE979="",AE979="NOT FOUND"),"",IF(Y979="RP",IFERROR(LEFT(_xlfn.XLOOKUP(AE979,Sheet1!$F:$F,Sheet1!$W:$W),FIND("-",_xlfn.XLOOKUP(AE979,Sheet1!$F:$F,Sheet1!$W:$W),FIND("-",_xlfn.XLOOKUP(AE979,Sheet1!$F:$F,Sheet1!$W:$W))+1))&amp;AE979,"NOT FOUND"),LEFT(J979,FIND("-",J979,FIND("-",J979)+1))&amp;AE979))</f>
        <v>SKD-APSU26-YETCRDSFUT4017</v>
      </c>
    </row>
    <row r="980" spans="1:34" ht="15.75" customHeight="1" x14ac:dyDescent="0.2">
      <c r="A980" s="4" t="s">
        <v>59</v>
      </c>
      <c r="B980" s="4" t="s">
        <v>1410</v>
      </c>
      <c r="C980" s="4" t="s">
        <v>1312</v>
      </c>
      <c r="D980" s="4" t="s">
        <v>797</v>
      </c>
      <c r="E980" s="4" t="s">
        <v>34</v>
      </c>
      <c r="F980" s="4" t="s">
        <v>35</v>
      </c>
      <c r="G980" s="4" t="s">
        <v>47</v>
      </c>
      <c r="H980" s="4" t="s">
        <v>1378</v>
      </c>
      <c r="I980" s="4" t="s">
        <v>1379</v>
      </c>
      <c r="J980" s="4" t="s">
        <v>1380</v>
      </c>
      <c r="L980" s="4" t="s">
        <v>40</v>
      </c>
      <c r="M980" s="4">
        <v>1</v>
      </c>
      <c r="N980" s="4">
        <v>89</v>
      </c>
      <c r="O980" s="4">
        <v>89</v>
      </c>
      <c r="P980" s="4" t="s">
        <v>41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 t="s">
        <v>42</v>
      </c>
      <c r="X980" s="7" t="str">
        <f t="shared" si="45"/>
        <v>441853743</v>
      </c>
      <c r="Y980" s="8" t="str">
        <f t="shared" si="46"/>
        <v>DC</v>
      </c>
      <c r="Z980" s="8">
        <f t="shared" si="47"/>
        <v>0</v>
      </c>
      <c r="AA980" s="8">
        <f t="shared" si="48"/>
        <v>89</v>
      </c>
      <c r="AB980" s="8">
        <f t="shared" si="49"/>
        <v>0</v>
      </c>
      <c r="AC980" s="8">
        <f t="shared" si="50"/>
        <v>0</v>
      </c>
      <c r="AD980" s="8">
        <f t="shared" si="51"/>
        <v>0</v>
      </c>
      <c r="AE980" s="9" t="str" cm="1">
        <f t="array" ref="AE980">IFERROR(_xlfn.XLOOKUP(H980,Sheet1!$G:$G,Sheet1!$F:$F),IFERROR(_xlfn.XLOOKUP(1,(--($X$2:$X$1074=X980))*(--ISNUMBER(MATCH($H$2:$H$1074,Sheet1!$G:$G,0))),_xlfn.XLOOKUP($H$2:$H$1074,Sheet1!$G:$G,Sheet1!$F:$F,"")),"NOT FOUND"))</f>
        <v>YETCRDSFUT4017</v>
      </c>
      <c r="AF980" s="10" t="str">
        <f t="shared" si="58"/>
        <v>NAVY</v>
      </c>
      <c r="AG980" s="11" t="str">
        <f t="shared" si="59"/>
        <v>JHAJJAR</v>
      </c>
      <c r="AH980" s="9" t="str">
        <f>IF(OR(J980="",AE980="",AE980="NOT FOUND"),"",IF(Y980="RP",IFERROR(LEFT(_xlfn.XLOOKUP(AE980,Sheet1!$F:$F,Sheet1!$W:$W),FIND("-",_xlfn.XLOOKUP(AE980,Sheet1!$F:$F,Sheet1!$W:$W),FIND("-",_xlfn.XLOOKUP(AE980,Sheet1!$F:$F,Sheet1!$W:$W))+1))&amp;AE980,"NOT FOUND"),LEFT(J980,FIND("-",J980,FIND("-",J980)+1))&amp;AE980))</f>
        <v>SKD-APSU26-YETCRDSFUT4017</v>
      </c>
    </row>
    <row r="981" spans="1:34" ht="15.75" customHeight="1" x14ac:dyDescent="0.2">
      <c r="A981" s="4" t="s">
        <v>59</v>
      </c>
      <c r="B981" s="4" t="s">
        <v>1410</v>
      </c>
      <c r="C981" s="4" t="s">
        <v>1312</v>
      </c>
      <c r="D981" s="4" t="s">
        <v>797</v>
      </c>
      <c r="E981" s="4" t="s">
        <v>34</v>
      </c>
      <c r="F981" s="4" t="s">
        <v>35</v>
      </c>
      <c r="G981" s="4" t="s">
        <v>51</v>
      </c>
      <c r="H981" s="4" t="s">
        <v>1381</v>
      </c>
      <c r="I981" s="4" t="s">
        <v>1382</v>
      </c>
      <c r="J981" s="4" t="s">
        <v>1383</v>
      </c>
      <c r="L981" s="4" t="s">
        <v>40</v>
      </c>
      <c r="M981" s="4">
        <v>1</v>
      </c>
      <c r="N981" s="4">
        <v>89</v>
      </c>
      <c r="O981" s="4">
        <v>89</v>
      </c>
      <c r="P981" s="4" t="s">
        <v>41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 t="s">
        <v>42</v>
      </c>
      <c r="X981" s="7" t="str">
        <f t="shared" si="45"/>
        <v>441853743</v>
      </c>
      <c r="Y981" s="8" t="str">
        <f t="shared" si="46"/>
        <v>DC</v>
      </c>
      <c r="Z981" s="8">
        <f t="shared" si="47"/>
        <v>0</v>
      </c>
      <c r="AA981" s="8">
        <f t="shared" si="48"/>
        <v>0</v>
      </c>
      <c r="AB981" s="8">
        <f t="shared" si="49"/>
        <v>89</v>
      </c>
      <c r="AC981" s="8">
        <f t="shared" si="50"/>
        <v>0</v>
      </c>
      <c r="AD981" s="8">
        <f t="shared" si="51"/>
        <v>0</v>
      </c>
      <c r="AE981" s="9" t="str" cm="1">
        <f t="array" ref="AE981">IFERROR(_xlfn.XLOOKUP(H981,Sheet1!$G:$G,Sheet1!$F:$F),IFERROR(_xlfn.XLOOKUP(1,(--($X$2:$X$1074=X981))*(--ISNUMBER(MATCH($H$2:$H$1074,Sheet1!$G:$G,0))),_xlfn.XLOOKUP($H$2:$H$1074,Sheet1!$G:$G,Sheet1!$F:$F,"")),"NOT FOUND"))</f>
        <v>YETCRDSFUT4017</v>
      </c>
      <c r="AF981" s="10" t="str">
        <f t="shared" si="58"/>
        <v>NAVY</v>
      </c>
      <c r="AG981" s="11" t="str">
        <f t="shared" si="59"/>
        <v>JHAJJAR</v>
      </c>
      <c r="AH981" s="9" t="str">
        <f>IF(OR(J981="",AE981="",AE981="NOT FOUND"),"",IF(Y981="RP",IFERROR(LEFT(_xlfn.XLOOKUP(AE981,Sheet1!$F:$F,Sheet1!$W:$W),FIND("-",_xlfn.XLOOKUP(AE981,Sheet1!$F:$F,Sheet1!$W:$W),FIND("-",_xlfn.XLOOKUP(AE981,Sheet1!$F:$F,Sheet1!$W:$W))+1))&amp;AE981,"NOT FOUND"),LEFT(J981,FIND("-",J981,FIND("-",J981)+1))&amp;AE981))</f>
        <v>SKD-APSU26-YETCRDSFUT4017</v>
      </c>
    </row>
    <row r="982" spans="1:34" ht="15.75" customHeight="1" x14ac:dyDescent="0.2">
      <c r="A982" s="4" t="s">
        <v>59</v>
      </c>
      <c r="B982" s="4" t="s">
        <v>1410</v>
      </c>
      <c r="C982" s="4" t="s">
        <v>1312</v>
      </c>
      <c r="D982" s="4" t="s">
        <v>797</v>
      </c>
      <c r="E982" s="4" t="s">
        <v>34</v>
      </c>
      <c r="F982" s="4" t="s">
        <v>35</v>
      </c>
      <c r="G982" s="4" t="s">
        <v>55</v>
      </c>
      <c r="H982" s="4" t="s">
        <v>1384</v>
      </c>
      <c r="I982" s="4" t="s">
        <v>1385</v>
      </c>
      <c r="J982" s="4" t="s">
        <v>1386</v>
      </c>
      <c r="L982" s="4" t="s">
        <v>40</v>
      </c>
      <c r="M982" s="4">
        <v>1</v>
      </c>
      <c r="N982" s="4">
        <v>89</v>
      </c>
      <c r="O982" s="4">
        <v>89</v>
      </c>
      <c r="P982" s="4" t="s">
        <v>41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 t="s">
        <v>42</v>
      </c>
      <c r="X982" s="7" t="str">
        <f t="shared" si="45"/>
        <v>441853743</v>
      </c>
      <c r="Y982" s="8" t="str">
        <f t="shared" si="46"/>
        <v>DC</v>
      </c>
      <c r="Z982" s="8">
        <f t="shared" si="47"/>
        <v>0</v>
      </c>
      <c r="AA982" s="8">
        <f t="shared" si="48"/>
        <v>0</v>
      </c>
      <c r="AB982" s="8">
        <f t="shared" si="49"/>
        <v>0</v>
      </c>
      <c r="AC982" s="8">
        <f t="shared" si="50"/>
        <v>89</v>
      </c>
      <c r="AD982" s="8">
        <f t="shared" si="51"/>
        <v>0</v>
      </c>
      <c r="AE982" s="9" t="str" cm="1">
        <f t="array" ref="AE982">IFERROR(_xlfn.XLOOKUP(H982,Sheet1!$G:$G,Sheet1!$F:$F),IFERROR(_xlfn.XLOOKUP(1,(--($X$2:$X$1074=X982))*(--ISNUMBER(MATCH($H$2:$H$1074,Sheet1!$G:$G,0))),_xlfn.XLOOKUP($H$2:$H$1074,Sheet1!$G:$G,Sheet1!$F:$F,"")),"NOT FOUND"))</f>
        <v>YETCRDSFUT4017</v>
      </c>
      <c r="AF982" s="10" t="str">
        <f t="shared" si="58"/>
        <v>NAVY</v>
      </c>
      <c r="AG982" s="11" t="str">
        <f t="shared" si="59"/>
        <v>JHAJJAR</v>
      </c>
      <c r="AH982" s="9" t="str">
        <f>IF(OR(J982="",AE982="",AE982="NOT FOUND"),"",IF(Y982="RP",IFERROR(LEFT(_xlfn.XLOOKUP(AE982,Sheet1!$F:$F,Sheet1!$W:$W),FIND("-",_xlfn.XLOOKUP(AE982,Sheet1!$F:$F,Sheet1!$W:$W),FIND("-",_xlfn.XLOOKUP(AE982,Sheet1!$F:$F,Sheet1!$W:$W))+1))&amp;AE982,"NOT FOUND"),LEFT(J982,FIND("-",J982,FIND("-",J982)+1))&amp;AE982))</f>
        <v>SKD-APSU26-YETCRDSFUT4017</v>
      </c>
    </row>
    <row r="983" spans="1:34" ht="15.75" customHeight="1" x14ac:dyDescent="0.2">
      <c r="A983" s="4" t="s">
        <v>59</v>
      </c>
      <c r="B983" s="4" t="s">
        <v>1410</v>
      </c>
      <c r="C983" s="4" t="s">
        <v>1312</v>
      </c>
      <c r="D983" s="4" t="s">
        <v>797</v>
      </c>
      <c r="E983" s="4" t="s">
        <v>34</v>
      </c>
      <c r="F983" s="4" t="s">
        <v>35</v>
      </c>
      <c r="G983" s="4" t="s">
        <v>884</v>
      </c>
      <c r="H983" s="4" t="s">
        <v>1387</v>
      </c>
      <c r="I983" s="4" t="s">
        <v>1388</v>
      </c>
      <c r="J983" s="4" t="s">
        <v>1389</v>
      </c>
      <c r="L983" s="4" t="s">
        <v>40</v>
      </c>
      <c r="M983" s="4">
        <v>1</v>
      </c>
      <c r="N983" s="4">
        <v>89</v>
      </c>
      <c r="O983" s="4">
        <v>89</v>
      </c>
      <c r="P983" s="4" t="s">
        <v>41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X983" s="7" t="str">
        <f t="shared" si="45"/>
        <v>441853743</v>
      </c>
      <c r="Y983" s="8" t="str">
        <f t="shared" si="46"/>
        <v>DC</v>
      </c>
      <c r="Z983" s="8">
        <f t="shared" si="47"/>
        <v>0</v>
      </c>
      <c r="AA983" s="8">
        <f t="shared" si="48"/>
        <v>0</v>
      </c>
      <c r="AB983" s="8">
        <f t="shared" si="49"/>
        <v>0</v>
      </c>
      <c r="AC983" s="8">
        <f t="shared" si="50"/>
        <v>0</v>
      </c>
      <c r="AD983" s="8">
        <f t="shared" si="51"/>
        <v>89</v>
      </c>
      <c r="AE983" s="9" t="str" cm="1">
        <f t="array" ref="AE983">IFERROR(_xlfn.XLOOKUP(H983,Sheet1!$G:$G,Sheet1!$F:$F),IFERROR(_xlfn.XLOOKUP(1,(--($X$2:$X$1074=X983))*(--ISNUMBER(MATCH($H$2:$H$1074,Sheet1!$G:$G,0))),_xlfn.XLOOKUP($H$2:$H$1074,Sheet1!$G:$G,Sheet1!$F:$F,"")),"NOT FOUND"))</f>
        <v>YETCRDSFUT4017</v>
      </c>
      <c r="AF983" s="10" t="str">
        <f t="shared" si="58"/>
        <v>NAVY</v>
      </c>
      <c r="AG983" s="11" t="str">
        <f t="shared" si="59"/>
        <v>JHAJJAR</v>
      </c>
      <c r="AH983" s="9" t="str">
        <f>IF(OR(J983="",AE983="",AE983="NOT FOUND"),"",IF(Y983="RP",IFERROR(LEFT(_xlfn.XLOOKUP(AE983,Sheet1!$F:$F,Sheet1!$W:$W),FIND("-",_xlfn.XLOOKUP(AE983,Sheet1!$F:$F,Sheet1!$W:$W),FIND("-",_xlfn.XLOOKUP(AE983,Sheet1!$F:$F,Sheet1!$W:$W))+1))&amp;AE983,"NOT FOUND"),LEFT(J983,FIND("-",J983,FIND("-",J983)+1))&amp;AE983))</f>
        <v>SKD-APSU26-YETCRDSFUT4017</v>
      </c>
    </row>
    <row r="984" spans="1:34" ht="15.75" customHeight="1" x14ac:dyDescent="0.2">
      <c r="A984" s="4" t="s">
        <v>59</v>
      </c>
      <c r="B984" s="4" t="s">
        <v>1411</v>
      </c>
      <c r="C984" s="4" t="s">
        <v>1312</v>
      </c>
      <c r="D984" s="4" t="s">
        <v>1125</v>
      </c>
      <c r="E984" s="4" t="s">
        <v>34</v>
      </c>
      <c r="F984" s="4" t="s">
        <v>35</v>
      </c>
      <c r="G984" s="4" t="s">
        <v>36</v>
      </c>
      <c r="H984" s="4" t="s">
        <v>1400</v>
      </c>
      <c r="I984" s="4" t="s">
        <v>1401</v>
      </c>
      <c r="J984" s="4" t="s">
        <v>1402</v>
      </c>
      <c r="L984" s="4" t="s">
        <v>40</v>
      </c>
      <c r="M984" s="4">
        <v>1</v>
      </c>
      <c r="N984" s="4">
        <v>111</v>
      </c>
      <c r="O984" s="4">
        <v>111</v>
      </c>
      <c r="P984" s="4" t="s">
        <v>41</v>
      </c>
      <c r="Q984" s="4">
        <v>2121.5</v>
      </c>
      <c r="R984" s="4">
        <v>2121.5</v>
      </c>
      <c r="S984" s="4">
        <v>11774.33</v>
      </c>
      <c r="T984" s="4">
        <v>235486.5</v>
      </c>
      <c r="U984" s="4">
        <v>5</v>
      </c>
      <c r="V984" s="4" t="s">
        <v>42</v>
      </c>
      <c r="X984" s="7" t="str">
        <f t="shared" si="45"/>
        <v>441853803</v>
      </c>
      <c r="Y984" s="8" t="str">
        <f t="shared" si="46"/>
        <v>RP</v>
      </c>
      <c r="Z984" s="8">
        <f t="shared" si="47"/>
        <v>111</v>
      </c>
      <c r="AA984" s="8">
        <f t="shared" si="48"/>
        <v>111</v>
      </c>
      <c r="AB984" s="8">
        <f t="shared" si="49"/>
        <v>111</v>
      </c>
      <c r="AC984" s="8">
        <f t="shared" si="50"/>
        <v>111</v>
      </c>
      <c r="AD984" s="8">
        <f t="shared" si="51"/>
        <v>111</v>
      </c>
      <c r="AE984" s="9" t="str" cm="1">
        <f t="array" ref="AE984">IFERROR(_xlfn.XLOOKUP(H984,Sheet1!$G:$G,Sheet1!$F:$F),IFERROR(_xlfn.XLOOKUP(1,(--($X$2:$X$1074=X984))*(--ISNUMBER(MATCH($H$2:$H$1074,Sheet1!$G:$G,0))),_xlfn.XLOOKUP($H$2:$H$1074,Sheet1!$G:$G,Sheet1!$F:$F,"")),"NOT FOUND"))</f>
        <v>YETCRDSFUT4111</v>
      </c>
      <c r="AF984" s="10" t="str">
        <f t="shared" si="58"/>
        <v>BLACK</v>
      </c>
      <c r="AG984" s="11" t="str">
        <f t="shared" si="59"/>
        <v>JHAJJAR</v>
      </c>
      <c r="AH984" s="9" t="str">
        <f>IF(OR(J984="",AE984="",AE984="NOT FOUND"),"",IF(Y984="RP",IFERROR(LEFT(_xlfn.XLOOKUP(AE984,Sheet1!$F:$F,Sheet1!$W:$W),FIND("-",_xlfn.XLOOKUP(AE984,Sheet1!$F:$F,Sheet1!$W:$W),FIND("-",_xlfn.XLOOKUP(AE984,Sheet1!$F:$F,Sheet1!$W:$W))+1))&amp;AE984,"NOT FOUND"),LEFT(J984,FIND("-",J984,FIND("-",J984)+1))&amp;AE984))</f>
        <v>NOT FOUND</v>
      </c>
    </row>
    <row r="985" spans="1:34" ht="15.75" customHeight="1" x14ac:dyDescent="0.2">
      <c r="A985" s="4" t="s">
        <v>61</v>
      </c>
      <c r="B985" s="4" t="s">
        <v>1412</v>
      </c>
      <c r="C985" s="4" t="s">
        <v>1312</v>
      </c>
      <c r="D985" s="4" t="s">
        <v>1125</v>
      </c>
      <c r="E985" s="4" t="s">
        <v>34</v>
      </c>
      <c r="F985" s="4" t="s">
        <v>35</v>
      </c>
      <c r="G985" s="4" t="s">
        <v>36</v>
      </c>
      <c r="H985" s="4" t="s">
        <v>1405</v>
      </c>
      <c r="I985" s="4" t="s">
        <v>1406</v>
      </c>
      <c r="J985" s="4" t="s">
        <v>1407</v>
      </c>
      <c r="L985" s="4" t="s">
        <v>40</v>
      </c>
      <c r="M985" s="4">
        <v>1</v>
      </c>
      <c r="N985" s="4">
        <v>22</v>
      </c>
      <c r="O985" s="4">
        <v>22</v>
      </c>
      <c r="P985" s="4" t="s">
        <v>41</v>
      </c>
      <c r="Q985" s="4">
        <v>1571.5</v>
      </c>
      <c r="R985" s="4">
        <v>1571.5</v>
      </c>
      <c r="S985" s="4">
        <v>1728.65</v>
      </c>
      <c r="T985" s="4">
        <v>34573</v>
      </c>
      <c r="U985" s="4">
        <v>5</v>
      </c>
      <c r="V985" s="4" t="s">
        <v>42</v>
      </c>
      <c r="X985" s="7" t="str">
        <f t="shared" si="45"/>
        <v>441853900</v>
      </c>
      <c r="Y985" s="8" t="str">
        <f t="shared" si="46"/>
        <v>RP</v>
      </c>
      <c r="Z985" s="8">
        <f t="shared" si="47"/>
        <v>22</v>
      </c>
      <c r="AA985" s="8">
        <f t="shared" si="48"/>
        <v>22</v>
      </c>
      <c r="AB985" s="8">
        <f t="shared" si="49"/>
        <v>22</v>
      </c>
      <c r="AC985" s="8">
        <f t="shared" si="50"/>
        <v>22</v>
      </c>
      <c r="AD985" s="8">
        <f t="shared" si="51"/>
        <v>22</v>
      </c>
      <c r="AE985" s="9" t="str" cm="1">
        <f t="array" ref="AE985">IFERROR(_xlfn.XLOOKUP(H985,Sheet1!$G:$G,Sheet1!$F:$F),IFERROR(_xlfn.XLOOKUP(1,(--($X$2:$X$1074=X985))*(--ISNUMBER(MATCH($H$2:$H$1074,Sheet1!$G:$G,0))),_xlfn.XLOOKUP($H$2:$H$1074,Sheet1!$G:$G,Sheet1!$F:$F,"")),"NOT FOUND"))</f>
        <v>YETKRTSFUT4254</v>
      </c>
      <c r="AF985" s="10" t="str">
        <f t="shared" si="58"/>
        <v>BLACK</v>
      </c>
      <c r="AG985" s="11" t="str">
        <f t="shared" si="59"/>
        <v>HARIPAL</v>
      </c>
      <c r="AH985" s="9" t="str">
        <f>IF(OR(J985="",AE985="",AE985="NOT FOUND"),"",IF(Y985="RP",IFERROR(LEFT(_xlfn.XLOOKUP(AE985,Sheet1!$F:$F,Sheet1!$W:$W),FIND("-",_xlfn.XLOOKUP(AE985,Sheet1!$F:$F,Sheet1!$W:$W),FIND("-",_xlfn.XLOOKUP(AE985,Sheet1!$F:$F,Sheet1!$W:$W))+1))&amp;AE985,"NOT FOUND"),LEFT(J985,FIND("-",J985,FIND("-",J985)+1))&amp;AE985))</f>
        <v>KRTS-APSU26-YETKRTSFUT4254</v>
      </c>
    </row>
    <row r="986" spans="1:34" ht="15.75" customHeight="1" x14ac:dyDescent="0.2">
      <c r="A986" s="4" t="s">
        <v>61</v>
      </c>
      <c r="B986" s="4" t="s">
        <v>1413</v>
      </c>
      <c r="C986" s="4" t="s">
        <v>1312</v>
      </c>
      <c r="D986" s="4" t="s">
        <v>1125</v>
      </c>
      <c r="E986" s="4" t="s">
        <v>34</v>
      </c>
      <c r="F986" s="4" t="s">
        <v>35</v>
      </c>
      <c r="G986" s="4" t="s">
        <v>36</v>
      </c>
      <c r="H986" s="4" t="s">
        <v>1313</v>
      </c>
      <c r="I986" s="4" t="s">
        <v>1314</v>
      </c>
      <c r="J986" s="4" t="s">
        <v>1315</v>
      </c>
      <c r="L986" s="4" t="s">
        <v>40</v>
      </c>
      <c r="M986" s="4">
        <v>1</v>
      </c>
      <c r="N986" s="4">
        <v>30</v>
      </c>
      <c r="O986" s="4">
        <v>30</v>
      </c>
      <c r="P986" s="4" t="s">
        <v>41</v>
      </c>
      <c r="Q986" s="4">
        <v>314.3</v>
      </c>
      <c r="R986" s="4">
        <v>314.3</v>
      </c>
      <c r="S986" s="4">
        <v>471.45</v>
      </c>
      <c r="T986" s="4">
        <v>9429</v>
      </c>
      <c r="U986" s="4">
        <v>5</v>
      </c>
      <c r="V986" s="4" t="s">
        <v>42</v>
      </c>
      <c r="X986" s="7" t="str">
        <f t="shared" si="45"/>
        <v>441853900</v>
      </c>
      <c r="Y986" s="8" t="str">
        <f t="shared" si="46"/>
        <v>DC</v>
      </c>
      <c r="Z986" s="8">
        <f t="shared" si="47"/>
        <v>30</v>
      </c>
      <c r="AA986" s="8">
        <f t="shared" si="48"/>
        <v>0</v>
      </c>
      <c r="AB986" s="8">
        <f t="shared" si="49"/>
        <v>0</v>
      </c>
      <c r="AC986" s="8">
        <f t="shared" si="50"/>
        <v>0</v>
      </c>
      <c r="AD986" s="8">
        <f t="shared" si="51"/>
        <v>0</v>
      </c>
      <c r="AE986" s="9" t="str" cm="1">
        <f t="array" ref="AE986">IFERROR(_xlfn.XLOOKUP(H986,Sheet1!$G:$G,Sheet1!$F:$F),IFERROR(_xlfn.XLOOKUP(1,(--($X$2:$X$1074=X986))*(--ISNUMBER(MATCH($H$2:$H$1074,Sheet1!$G:$G,0))),_xlfn.XLOOKUP($H$2:$H$1074,Sheet1!$G:$G,Sheet1!$F:$F,"")),"NOT FOUND"))</f>
        <v>YETKRTSFUT4254</v>
      </c>
      <c r="AF986" s="10" t="str">
        <f t="shared" si="58"/>
        <v>BLACK</v>
      </c>
      <c r="AG986" s="11" t="str">
        <f t="shared" si="59"/>
        <v>HARIPAL</v>
      </c>
      <c r="AH986" s="9" t="str">
        <f>IF(OR(J986="",AE986="",AE986="NOT FOUND"),"",IF(Y986="RP",IFERROR(LEFT(_xlfn.XLOOKUP(AE986,Sheet1!$F:$F,Sheet1!$W:$W),FIND("-",_xlfn.XLOOKUP(AE986,Sheet1!$F:$F,Sheet1!$W:$W),FIND("-",_xlfn.XLOOKUP(AE986,Sheet1!$F:$F,Sheet1!$W:$W))+1))&amp;AE986,"NOT FOUND"),LEFT(J986,FIND("-",J986,FIND("-",J986)+1))&amp;AE986))</f>
        <v>KRTS-APSU26-YETKRTSFUT4254</v>
      </c>
    </row>
    <row r="987" spans="1:34" ht="15.75" customHeight="1" x14ac:dyDescent="0.2">
      <c r="A987" s="4" t="s">
        <v>61</v>
      </c>
      <c r="B987" s="4" t="s">
        <v>1413</v>
      </c>
      <c r="C987" s="4" t="s">
        <v>1312</v>
      </c>
      <c r="D987" s="4" t="s">
        <v>1125</v>
      </c>
      <c r="E987" s="4" t="s">
        <v>34</v>
      </c>
      <c r="F987" s="4" t="s">
        <v>35</v>
      </c>
      <c r="G987" s="4" t="s">
        <v>43</v>
      </c>
      <c r="H987" s="4" t="s">
        <v>1316</v>
      </c>
      <c r="I987" s="4" t="s">
        <v>1317</v>
      </c>
      <c r="J987" s="4" t="s">
        <v>1318</v>
      </c>
      <c r="L987" s="4" t="s">
        <v>40</v>
      </c>
      <c r="M987" s="4">
        <v>1</v>
      </c>
      <c r="N987" s="4">
        <v>30</v>
      </c>
      <c r="O987" s="4">
        <v>30</v>
      </c>
      <c r="P987" s="4" t="s">
        <v>41</v>
      </c>
      <c r="Q987" s="4">
        <v>314.3</v>
      </c>
      <c r="R987" s="4">
        <v>314.3</v>
      </c>
      <c r="S987" s="4">
        <v>471.45</v>
      </c>
      <c r="T987" s="4">
        <v>9429</v>
      </c>
      <c r="U987" s="4">
        <v>5</v>
      </c>
      <c r="V987" s="4" t="s">
        <v>42</v>
      </c>
      <c r="X987" s="7" t="str">
        <f t="shared" si="45"/>
        <v>441853900</v>
      </c>
      <c r="Y987" s="8" t="str">
        <f t="shared" si="46"/>
        <v>DC</v>
      </c>
      <c r="Z987" s="8">
        <f t="shared" si="47"/>
        <v>0</v>
      </c>
      <c r="AA987" s="8">
        <f t="shared" si="48"/>
        <v>30</v>
      </c>
      <c r="AB987" s="8">
        <f t="shared" si="49"/>
        <v>0</v>
      </c>
      <c r="AC987" s="8">
        <f t="shared" si="50"/>
        <v>0</v>
      </c>
      <c r="AD987" s="8">
        <f t="shared" si="51"/>
        <v>0</v>
      </c>
      <c r="AE987" s="9" t="str" cm="1">
        <f t="array" ref="AE987">IFERROR(_xlfn.XLOOKUP(H987,Sheet1!$G:$G,Sheet1!$F:$F),IFERROR(_xlfn.XLOOKUP(1,(--($X$2:$X$1074=X987))*(--ISNUMBER(MATCH($H$2:$H$1074,Sheet1!$G:$G,0))),_xlfn.XLOOKUP($H$2:$H$1074,Sheet1!$G:$G,Sheet1!$F:$F,"")),"NOT FOUND"))</f>
        <v>YETKRTSFUT4254</v>
      </c>
      <c r="AF987" s="10" t="str">
        <f t="shared" si="58"/>
        <v>BLACK</v>
      </c>
      <c r="AG987" s="11" t="str">
        <f t="shared" si="59"/>
        <v>HARIPAL</v>
      </c>
      <c r="AH987" s="9" t="str">
        <f>IF(OR(J987="",AE987="",AE987="NOT FOUND"),"",IF(Y987="RP",IFERROR(LEFT(_xlfn.XLOOKUP(AE987,Sheet1!$F:$F,Sheet1!$W:$W),FIND("-",_xlfn.XLOOKUP(AE987,Sheet1!$F:$F,Sheet1!$W:$W),FIND("-",_xlfn.XLOOKUP(AE987,Sheet1!$F:$F,Sheet1!$W:$W))+1))&amp;AE987,"NOT FOUND"),LEFT(J987,FIND("-",J987,FIND("-",J987)+1))&amp;AE987))</f>
        <v>KRTS-APSU26-YETKRTSFUT4254</v>
      </c>
    </row>
    <row r="988" spans="1:34" ht="15.75" customHeight="1" x14ac:dyDescent="0.2">
      <c r="A988" s="4" t="s">
        <v>61</v>
      </c>
      <c r="B988" s="4" t="s">
        <v>1413</v>
      </c>
      <c r="C988" s="4" t="s">
        <v>1312</v>
      </c>
      <c r="D988" s="4" t="s">
        <v>1125</v>
      </c>
      <c r="E988" s="4" t="s">
        <v>34</v>
      </c>
      <c r="F988" s="4" t="s">
        <v>35</v>
      </c>
      <c r="G988" s="4" t="s">
        <v>47</v>
      </c>
      <c r="H988" s="4" t="s">
        <v>1319</v>
      </c>
      <c r="I988" s="4" t="s">
        <v>1320</v>
      </c>
      <c r="J988" s="4" t="s">
        <v>1321</v>
      </c>
      <c r="L988" s="4" t="s">
        <v>40</v>
      </c>
      <c r="M988" s="4">
        <v>1</v>
      </c>
      <c r="N988" s="4">
        <v>30</v>
      </c>
      <c r="O988" s="4">
        <v>30</v>
      </c>
      <c r="P988" s="4" t="s">
        <v>41</v>
      </c>
      <c r="Q988" s="4">
        <v>314.3</v>
      </c>
      <c r="R988" s="4">
        <v>314.3</v>
      </c>
      <c r="S988" s="4">
        <v>471.45</v>
      </c>
      <c r="T988" s="4">
        <v>9429</v>
      </c>
      <c r="U988" s="4">
        <v>5</v>
      </c>
      <c r="V988" s="4" t="s">
        <v>42</v>
      </c>
      <c r="X988" s="7" t="str">
        <f t="shared" si="45"/>
        <v>441853900</v>
      </c>
      <c r="Y988" s="8" t="str">
        <f t="shared" si="46"/>
        <v>DC</v>
      </c>
      <c r="Z988" s="8">
        <f t="shared" si="47"/>
        <v>0</v>
      </c>
      <c r="AA988" s="8">
        <f t="shared" si="48"/>
        <v>0</v>
      </c>
      <c r="AB988" s="8">
        <f t="shared" si="49"/>
        <v>30</v>
      </c>
      <c r="AC988" s="8">
        <f t="shared" si="50"/>
        <v>0</v>
      </c>
      <c r="AD988" s="8">
        <f t="shared" si="51"/>
        <v>0</v>
      </c>
      <c r="AE988" s="9" t="str" cm="1">
        <f t="array" ref="AE988">IFERROR(_xlfn.XLOOKUP(H988,Sheet1!$G:$G,Sheet1!$F:$F),IFERROR(_xlfn.XLOOKUP(1,(--($X$2:$X$1074=X988))*(--ISNUMBER(MATCH($H$2:$H$1074,Sheet1!$G:$G,0))),_xlfn.XLOOKUP($H$2:$H$1074,Sheet1!$G:$G,Sheet1!$F:$F,"")),"NOT FOUND"))</f>
        <v>YETKRTSFUT4254</v>
      </c>
      <c r="AF988" s="10" t="str">
        <f t="shared" si="58"/>
        <v>BLACK</v>
      </c>
      <c r="AG988" s="11" t="str">
        <f t="shared" si="59"/>
        <v>HARIPAL</v>
      </c>
      <c r="AH988" s="9" t="str">
        <f>IF(OR(J988="",AE988="",AE988="NOT FOUND"),"",IF(Y988="RP",IFERROR(LEFT(_xlfn.XLOOKUP(AE988,Sheet1!$F:$F,Sheet1!$W:$W),FIND("-",_xlfn.XLOOKUP(AE988,Sheet1!$F:$F,Sheet1!$W:$W),FIND("-",_xlfn.XLOOKUP(AE988,Sheet1!$F:$F,Sheet1!$W:$W))+1))&amp;AE988,"NOT FOUND"),LEFT(J988,FIND("-",J988,FIND("-",J988)+1))&amp;AE988))</f>
        <v>KRTS-APSU26-YETKRTSFUT4254</v>
      </c>
    </row>
    <row r="989" spans="1:34" ht="15.75" customHeight="1" x14ac:dyDescent="0.2">
      <c r="A989" s="4" t="s">
        <v>61</v>
      </c>
      <c r="B989" s="4" t="s">
        <v>1413</v>
      </c>
      <c r="C989" s="4" t="s">
        <v>1312</v>
      </c>
      <c r="D989" s="4" t="s">
        <v>1125</v>
      </c>
      <c r="E989" s="4" t="s">
        <v>34</v>
      </c>
      <c r="F989" s="4" t="s">
        <v>35</v>
      </c>
      <c r="G989" s="4" t="s">
        <v>51</v>
      </c>
      <c r="H989" s="4" t="s">
        <v>1322</v>
      </c>
      <c r="I989" s="4" t="s">
        <v>1323</v>
      </c>
      <c r="J989" s="4" t="s">
        <v>1324</v>
      </c>
      <c r="L989" s="4" t="s">
        <v>40</v>
      </c>
      <c r="M989" s="4">
        <v>1</v>
      </c>
      <c r="N989" s="4">
        <v>30</v>
      </c>
      <c r="O989" s="4">
        <v>30</v>
      </c>
      <c r="P989" s="4" t="s">
        <v>41</v>
      </c>
      <c r="Q989" s="4">
        <v>314.3</v>
      </c>
      <c r="R989" s="4">
        <v>314.3</v>
      </c>
      <c r="S989" s="4">
        <v>471.45</v>
      </c>
      <c r="T989" s="4">
        <v>9429</v>
      </c>
      <c r="U989" s="4">
        <v>5</v>
      </c>
      <c r="V989" s="4" t="s">
        <v>42</v>
      </c>
      <c r="X989" s="7" t="str">
        <f t="shared" si="45"/>
        <v>441853900</v>
      </c>
      <c r="Y989" s="8" t="str">
        <f t="shared" si="46"/>
        <v>DC</v>
      </c>
      <c r="Z989" s="8">
        <f t="shared" si="47"/>
        <v>0</v>
      </c>
      <c r="AA989" s="8">
        <f t="shared" si="48"/>
        <v>0</v>
      </c>
      <c r="AB989" s="8">
        <f t="shared" si="49"/>
        <v>0</v>
      </c>
      <c r="AC989" s="8">
        <f t="shared" si="50"/>
        <v>30</v>
      </c>
      <c r="AD989" s="8">
        <f t="shared" si="51"/>
        <v>0</v>
      </c>
      <c r="AE989" s="9" t="str" cm="1">
        <f t="array" ref="AE989">IFERROR(_xlfn.XLOOKUP(H989,Sheet1!$G:$G,Sheet1!$F:$F),IFERROR(_xlfn.XLOOKUP(1,(--($X$2:$X$1074=X989))*(--ISNUMBER(MATCH($H$2:$H$1074,Sheet1!$G:$G,0))),_xlfn.XLOOKUP($H$2:$H$1074,Sheet1!$G:$G,Sheet1!$F:$F,"")),"NOT FOUND"))</f>
        <v>YETKRTSFUT4254</v>
      </c>
      <c r="AF989" s="10" t="str">
        <f t="shared" si="58"/>
        <v>BLACK</v>
      </c>
      <c r="AG989" s="11" t="str">
        <f t="shared" si="59"/>
        <v>HARIPAL</v>
      </c>
      <c r="AH989" s="9" t="str">
        <f>IF(OR(J989="",AE989="",AE989="NOT FOUND"),"",IF(Y989="RP",IFERROR(LEFT(_xlfn.XLOOKUP(AE989,Sheet1!$F:$F,Sheet1!$W:$W),FIND("-",_xlfn.XLOOKUP(AE989,Sheet1!$F:$F,Sheet1!$W:$W),FIND("-",_xlfn.XLOOKUP(AE989,Sheet1!$F:$F,Sheet1!$W:$W))+1))&amp;AE989,"NOT FOUND"),LEFT(J989,FIND("-",J989,FIND("-",J989)+1))&amp;AE989))</f>
        <v>KRTS-APSU26-YETKRTSFUT4254</v>
      </c>
    </row>
    <row r="990" spans="1:34" ht="15.75" customHeight="1" x14ac:dyDescent="0.2">
      <c r="A990" s="4" t="s">
        <v>61</v>
      </c>
      <c r="B990" s="4" t="s">
        <v>1413</v>
      </c>
      <c r="C990" s="4" t="s">
        <v>1312</v>
      </c>
      <c r="D990" s="4" t="s">
        <v>1125</v>
      </c>
      <c r="E990" s="4" t="s">
        <v>34</v>
      </c>
      <c r="F990" s="4" t="s">
        <v>35</v>
      </c>
      <c r="G990" s="4" t="s">
        <v>55</v>
      </c>
      <c r="H990" s="4" t="s">
        <v>1325</v>
      </c>
      <c r="I990" s="4" t="s">
        <v>1326</v>
      </c>
      <c r="J990" s="4" t="s">
        <v>1327</v>
      </c>
      <c r="L990" s="4" t="s">
        <v>40</v>
      </c>
      <c r="M990" s="4">
        <v>1</v>
      </c>
      <c r="N990" s="4">
        <v>30</v>
      </c>
      <c r="O990" s="4">
        <v>30</v>
      </c>
      <c r="P990" s="4" t="s">
        <v>41</v>
      </c>
      <c r="Q990" s="4">
        <v>314.3</v>
      </c>
      <c r="R990" s="4">
        <v>314.3</v>
      </c>
      <c r="S990" s="4">
        <v>471.45</v>
      </c>
      <c r="T990" s="4">
        <v>9429</v>
      </c>
      <c r="U990" s="4">
        <v>5</v>
      </c>
      <c r="V990" s="4" t="s">
        <v>42</v>
      </c>
      <c r="X990" s="7" t="str">
        <f t="shared" si="45"/>
        <v>441853900</v>
      </c>
      <c r="Y990" s="8" t="str">
        <f t="shared" si="46"/>
        <v>DC</v>
      </c>
      <c r="Z990" s="8">
        <f t="shared" si="47"/>
        <v>0</v>
      </c>
      <c r="AA990" s="8">
        <f t="shared" si="48"/>
        <v>0</v>
      </c>
      <c r="AB990" s="8">
        <f t="shared" si="49"/>
        <v>0</v>
      </c>
      <c r="AC990" s="8">
        <f t="shared" si="50"/>
        <v>0</v>
      </c>
      <c r="AD990" s="8">
        <f t="shared" si="51"/>
        <v>30</v>
      </c>
      <c r="AE990" s="9" t="str" cm="1">
        <f t="array" ref="AE990">IFERROR(_xlfn.XLOOKUP(H990,Sheet1!$G:$G,Sheet1!$F:$F),IFERROR(_xlfn.XLOOKUP(1,(--($X$2:$X$1074=X990))*(--ISNUMBER(MATCH($H$2:$H$1074,Sheet1!$G:$G,0))),_xlfn.XLOOKUP($H$2:$H$1074,Sheet1!$G:$G,Sheet1!$F:$F,"")),"NOT FOUND"))</f>
        <v>YETKRTSFUT4254</v>
      </c>
      <c r="AF990" s="10" t="str">
        <f t="shared" si="58"/>
        <v>BLACK</v>
      </c>
      <c r="AG990" s="11" t="str">
        <f t="shared" si="59"/>
        <v>HARIPAL</v>
      </c>
      <c r="AH990" s="9" t="str">
        <f>IF(OR(J990="",AE990="",AE990="NOT FOUND"),"",IF(Y990="RP",IFERROR(LEFT(_xlfn.XLOOKUP(AE990,Sheet1!$F:$F,Sheet1!$W:$W),FIND("-",_xlfn.XLOOKUP(AE990,Sheet1!$F:$F,Sheet1!$W:$W),FIND("-",_xlfn.XLOOKUP(AE990,Sheet1!$F:$F,Sheet1!$W:$W))+1))&amp;AE990,"NOT FOUND"),LEFT(J990,FIND("-",J990,FIND("-",J990)+1))&amp;AE990))</f>
        <v>KRTS-APSU26-YETKRTSFUT4254</v>
      </c>
    </row>
    <row r="991" spans="1:34" ht="15.75" customHeight="1" x14ac:dyDescent="0.2">
      <c r="A991" s="4" t="s">
        <v>61</v>
      </c>
      <c r="B991" s="4" t="s">
        <v>1414</v>
      </c>
      <c r="C991" s="4" t="s">
        <v>1312</v>
      </c>
      <c r="D991" s="4" t="s">
        <v>1125</v>
      </c>
      <c r="E991" s="4" t="s">
        <v>34</v>
      </c>
      <c r="F991" s="4" t="s">
        <v>35</v>
      </c>
      <c r="G991" s="4" t="s">
        <v>36</v>
      </c>
      <c r="H991" s="4" t="s">
        <v>1329</v>
      </c>
      <c r="I991" s="4" t="s">
        <v>1330</v>
      </c>
      <c r="J991" s="4" t="s">
        <v>1331</v>
      </c>
      <c r="L991" s="4" t="s">
        <v>40</v>
      </c>
      <c r="M991" s="4">
        <v>1</v>
      </c>
      <c r="N991" s="4">
        <v>30</v>
      </c>
      <c r="O991" s="4">
        <v>30</v>
      </c>
      <c r="P991" s="4" t="s">
        <v>41</v>
      </c>
      <c r="Q991" s="4">
        <v>314.3</v>
      </c>
      <c r="R991" s="4">
        <v>314.3</v>
      </c>
      <c r="S991" s="4">
        <v>471.45</v>
      </c>
      <c r="T991" s="4">
        <v>9429</v>
      </c>
      <c r="U991" s="4">
        <v>5</v>
      </c>
      <c r="V991" s="4" t="s">
        <v>42</v>
      </c>
      <c r="X991" s="7" t="str">
        <f t="shared" si="45"/>
        <v>441853899</v>
      </c>
      <c r="Y991" s="8" t="str">
        <f t="shared" si="46"/>
        <v>DC</v>
      </c>
      <c r="Z991" s="8">
        <f t="shared" si="47"/>
        <v>30</v>
      </c>
      <c r="AA991" s="8">
        <f t="shared" si="48"/>
        <v>0</v>
      </c>
      <c r="AB991" s="8">
        <f t="shared" si="49"/>
        <v>0</v>
      </c>
      <c r="AC991" s="8">
        <f t="shared" si="50"/>
        <v>0</v>
      </c>
      <c r="AD991" s="8">
        <f t="shared" si="51"/>
        <v>0</v>
      </c>
      <c r="AE991" s="9" t="str" cm="1">
        <f t="array" ref="AE991">IFERROR(_xlfn.XLOOKUP(H991,Sheet1!$G:$G,Sheet1!$F:$F),IFERROR(_xlfn.XLOOKUP(1,(--($X$2:$X$1074=X991))*(--ISNUMBER(MATCH($H$2:$H$1074,Sheet1!$G:$G,0))),_xlfn.XLOOKUP($H$2:$H$1074,Sheet1!$G:$G,Sheet1!$F:$F,"")),"NOT FOUND"))</f>
        <v>RETKRTSFUT4253</v>
      </c>
      <c r="AF991" s="10" t="str">
        <f t="shared" si="58"/>
        <v>OLIVE GREEN</v>
      </c>
      <c r="AG991" s="11" t="str">
        <f t="shared" si="59"/>
        <v>HARIPAL</v>
      </c>
      <c r="AH991" s="9" t="str">
        <f>IF(OR(J991="",AE991="",AE991="NOT FOUND"),"",IF(Y991="RP",IFERROR(LEFT(_xlfn.XLOOKUP(AE991,Sheet1!$F:$F,Sheet1!$W:$W),FIND("-",_xlfn.XLOOKUP(AE991,Sheet1!$F:$F,Sheet1!$W:$W),FIND("-",_xlfn.XLOOKUP(AE991,Sheet1!$F:$F,Sheet1!$W:$W))+1))&amp;AE991,"NOT FOUND"),LEFT(J991,FIND("-",J991,FIND("-",J991)+1))&amp;AE991))</f>
        <v>KRTS-APSU26-RETKRTSFUT4253</v>
      </c>
    </row>
    <row r="992" spans="1:34" ht="15.75" customHeight="1" x14ac:dyDescent="0.2">
      <c r="A992" s="4" t="s">
        <v>61</v>
      </c>
      <c r="B992" s="4" t="s">
        <v>1414</v>
      </c>
      <c r="C992" s="4" t="s">
        <v>1312</v>
      </c>
      <c r="D992" s="4" t="s">
        <v>1125</v>
      </c>
      <c r="E992" s="4" t="s">
        <v>34</v>
      </c>
      <c r="F992" s="4" t="s">
        <v>35</v>
      </c>
      <c r="G992" s="4" t="s">
        <v>43</v>
      </c>
      <c r="H992" s="4" t="s">
        <v>1332</v>
      </c>
      <c r="I992" s="4" t="s">
        <v>1333</v>
      </c>
      <c r="J992" s="4" t="s">
        <v>1334</v>
      </c>
      <c r="L992" s="4" t="s">
        <v>40</v>
      </c>
      <c r="M992" s="4">
        <v>1</v>
      </c>
      <c r="N992" s="4">
        <v>30</v>
      </c>
      <c r="O992" s="4">
        <v>30</v>
      </c>
      <c r="P992" s="4" t="s">
        <v>41</v>
      </c>
      <c r="Q992" s="4">
        <v>314.3</v>
      </c>
      <c r="R992" s="4">
        <v>314.3</v>
      </c>
      <c r="S992" s="4">
        <v>471.45</v>
      </c>
      <c r="T992" s="4">
        <v>9429</v>
      </c>
      <c r="U992" s="4">
        <v>5</v>
      </c>
      <c r="V992" s="4" t="s">
        <v>42</v>
      </c>
      <c r="X992" s="7" t="str">
        <f t="shared" si="45"/>
        <v>441853899</v>
      </c>
      <c r="Y992" s="8" t="str">
        <f t="shared" si="46"/>
        <v>DC</v>
      </c>
      <c r="Z992" s="8">
        <f t="shared" si="47"/>
        <v>0</v>
      </c>
      <c r="AA992" s="8">
        <f t="shared" si="48"/>
        <v>30</v>
      </c>
      <c r="AB992" s="8">
        <f t="shared" si="49"/>
        <v>0</v>
      </c>
      <c r="AC992" s="8">
        <f t="shared" si="50"/>
        <v>0</v>
      </c>
      <c r="AD992" s="8">
        <f t="shared" si="51"/>
        <v>0</v>
      </c>
      <c r="AE992" s="9" t="str" cm="1">
        <f t="array" ref="AE992">IFERROR(_xlfn.XLOOKUP(H992,Sheet1!$G:$G,Sheet1!$F:$F),IFERROR(_xlfn.XLOOKUP(1,(--($X$2:$X$1074=X992))*(--ISNUMBER(MATCH($H$2:$H$1074,Sheet1!$G:$G,0))),_xlfn.XLOOKUP($H$2:$H$1074,Sheet1!$G:$G,Sheet1!$F:$F,"")),"NOT FOUND"))</f>
        <v>RETKRTSFUT4253</v>
      </c>
      <c r="AF992" s="10" t="str">
        <f t="shared" si="58"/>
        <v>OLIVE GREEN</v>
      </c>
      <c r="AG992" s="11" t="str">
        <f t="shared" si="59"/>
        <v>HARIPAL</v>
      </c>
      <c r="AH992" s="9" t="str">
        <f>IF(OR(J992="",AE992="",AE992="NOT FOUND"),"",IF(Y992="RP",IFERROR(LEFT(_xlfn.XLOOKUP(AE992,Sheet1!$F:$F,Sheet1!$W:$W),FIND("-",_xlfn.XLOOKUP(AE992,Sheet1!$F:$F,Sheet1!$W:$W),FIND("-",_xlfn.XLOOKUP(AE992,Sheet1!$F:$F,Sheet1!$W:$W))+1))&amp;AE992,"NOT FOUND"),LEFT(J992,FIND("-",J992,FIND("-",J992)+1))&amp;AE992))</f>
        <v>KRTS-APSU26-RETKRTSFUT4253</v>
      </c>
    </row>
    <row r="993" spans="1:34" ht="15.75" customHeight="1" x14ac:dyDescent="0.2">
      <c r="A993" s="4" t="s">
        <v>61</v>
      </c>
      <c r="B993" s="4" t="s">
        <v>1414</v>
      </c>
      <c r="C993" s="4" t="s">
        <v>1312</v>
      </c>
      <c r="D993" s="4" t="s">
        <v>1125</v>
      </c>
      <c r="E993" s="4" t="s">
        <v>34</v>
      </c>
      <c r="F993" s="4" t="s">
        <v>35</v>
      </c>
      <c r="G993" s="4" t="s">
        <v>47</v>
      </c>
      <c r="H993" s="4" t="s">
        <v>1335</v>
      </c>
      <c r="I993" s="4" t="s">
        <v>1336</v>
      </c>
      <c r="J993" s="4" t="s">
        <v>1337</v>
      </c>
      <c r="L993" s="4" t="s">
        <v>40</v>
      </c>
      <c r="M993" s="4">
        <v>1</v>
      </c>
      <c r="N993" s="4">
        <v>30</v>
      </c>
      <c r="O993" s="4">
        <v>30</v>
      </c>
      <c r="P993" s="4" t="s">
        <v>41</v>
      </c>
      <c r="Q993" s="4">
        <v>314.3</v>
      </c>
      <c r="R993" s="4">
        <v>314.3</v>
      </c>
      <c r="S993" s="4">
        <v>471.45</v>
      </c>
      <c r="T993" s="4">
        <v>9429</v>
      </c>
      <c r="U993" s="4">
        <v>5</v>
      </c>
      <c r="V993" s="4" t="s">
        <v>42</v>
      </c>
      <c r="X993" s="7" t="str">
        <f t="shared" si="45"/>
        <v>441853899</v>
      </c>
      <c r="Y993" s="8" t="str">
        <f t="shared" si="46"/>
        <v>DC</v>
      </c>
      <c r="Z993" s="8">
        <f t="shared" si="47"/>
        <v>0</v>
      </c>
      <c r="AA993" s="8">
        <f t="shared" si="48"/>
        <v>0</v>
      </c>
      <c r="AB993" s="8">
        <f t="shared" si="49"/>
        <v>30</v>
      </c>
      <c r="AC993" s="8">
        <f t="shared" si="50"/>
        <v>0</v>
      </c>
      <c r="AD993" s="8">
        <f t="shared" si="51"/>
        <v>0</v>
      </c>
      <c r="AE993" s="9" t="str" cm="1">
        <f t="array" ref="AE993">IFERROR(_xlfn.XLOOKUP(H993,Sheet1!$G:$G,Sheet1!$F:$F),IFERROR(_xlfn.XLOOKUP(1,(--($X$2:$X$1074=X993))*(--ISNUMBER(MATCH($H$2:$H$1074,Sheet1!$G:$G,0))),_xlfn.XLOOKUP($H$2:$H$1074,Sheet1!$G:$G,Sheet1!$F:$F,"")),"NOT FOUND"))</f>
        <v>RETKRTSFUT4253</v>
      </c>
      <c r="AF993" s="10" t="str">
        <f t="shared" si="58"/>
        <v>OLIVE GREEN</v>
      </c>
      <c r="AG993" s="11" t="str">
        <f t="shared" si="59"/>
        <v>HARIPAL</v>
      </c>
      <c r="AH993" s="9" t="str">
        <f>IF(OR(J993="",AE993="",AE993="NOT FOUND"),"",IF(Y993="RP",IFERROR(LEFT(_xlfn.XLOOKUP(AE993,Sheet1!$F:$F,Sheet1!$W:$W),FIND("-",_xlfn.XLOOKUP(AE993,Sheet1!$F:$F,Sheet1!$W:$W),FIND("-",_xlfn.XLOOKUP(AE993,Sheet1!$F:$F,Sheet1!$W:$W))+1))&amp;AE993,"NOT FOUND"),LEFT(J993,FIND("-",J993,FIND("-",J993)+1))&amp;AE993))</f>
        <v>KRTS-APSU26-RETKRTSFUT4253</v>
      </c>
    </row>
    <row r="994" spans="1:34" ht="15.75" customHeight="1" x14ac:dyDescent="0.2">
      <c r="A994" s="4" t="s">
        <v>61</v>
      </c>
      <c r="B994" s="4" t="s">
        <v>1414</v>
      </c>
      <c r="C994" s="4" t="s">
        <v>1312</v>
      </c>
      <c r="D994" s="4" t="s">
        <v>1125</v>
      </c>
      <c r="E994" s="4" t="s">
        <v>34</v>
      </c>
      <c r="F994" s="4" t="s">
        <v>35</v>
      </c>
      <c r="G994" s="4" t="s">
        <v>51</v>
      </c>
      <c r="H994" s="4" t="s">
        <v>1338</v>
      </c>
      <c r="I994" s="4" t="s">
        <v>1339</v>
      </c>
      <c r="J994" s="4" t="s">
        <v>1340</v>
      </c>
      <c r="L994" s="4" t="s">
        <v>40</v>
      </c>
      <c r="M994" s="4">
        <v>1</v>
      </c>
      <c r="N994" s="4">
        <v>30</v>
      </c>
      <c r="O994" s="4">
        <v>30</v>
      </c>
      <c r="P994" s="4" t="s">
        <v>41</v>
      </c>
      <c r="Q994" s="4">
        <v>314.3</v>
      </c>
      <c r="R994" s="4">
        <v>314.3</v>
      </c>
      <c r="S994" s="4">
        <v>471.45</v>
      </c>
      <c r="T994" s="4">
        <v>9429</v>
      </c>
      <c r="U994" s="4">
        <v>5</v>
      </c>
      <c r="V994" s="4" t="s">
        <v>42</v>
      </c>
      <c r="X994" s="7" t="str">
        <f t="shared" si="45"/>
        <v>441853899</v>
      </c>
      <c r="Y994" s="8" t="str">
        <f t="shared" si="46"/>
        <v>DC</v>
      </c>
      <c r="Z994" s="8">
        <f t="shared" si="47"/>
        <v>0</v>
      </c>
      <c r="AA994" s="8">
        <f t="shared" si="48"/>
        <v>0</v>
      </c>
      <c r="AB994" s="8">
        <f t="shared" si="49"/>
        <v>0</v>
      </c>
      <c r="AC994" s="8">
        <f t="shared" si="50"/>
        <v>30</v>
      </c>
      <c r="AD994" s="8">
        <f t="shared" si="51"/>
        <v>0</v>
      </c>
      <c r="AE994" s="9" t="str" cm="1">
        <f t="array" ref="AE994">IFERROR(_xlfn.XLOOKUP(H994,Sheet1!$G:$G,Sheet1!$F:$F),IFERROR(_xlfn.XLOOKUP(1,(--($X$2:$X$1074=X994))*(--ISNUMBER(MATCH($H$2:$H$1074,Sheet1!$G:$G,0))),_xlfn.XLOOKUP($H$2:$H$1074,Sheet1!$G:$G,Sheet1!$F:$F,"")),"NOT FOUND"))</f>
        <v>RETKRTSFUT4253</v>
      </c>
      <c r="AF994" s="10" t="str">
        <f t="shared" si="58"/>
        <v>OLIVE GREEN</v>
      </c>
      <c r="AG994" s="11" t="str">
        <f t="shared" si="59"/>
        <v>HARIPAL</v>
      </c>
      <c r="AH994" s="9" t="str">
        <f>IF(OR(J994="",AE994="",AE994="NOT FOUND"),"",IF(Y994="RP",IFERROR(LEFT(_xlfn.XLOOKUP(AE994,Sheet1!$F:$F,Sheet1!$W:$W),FIND("-",_xlfn.XLOOKUP(AE994,Sheet1!$F:$F,Sheet1!$W:$W),FIND("-",_xlfn.XLOOKUP(AE994,Sheet1!$F:$F,Sheet1!$W:$W))+1))&amp;AE994,"NOT FOUND"),LEFT(J994,FIND("-",J994,FIND("-",J994)+1))&amp;AE994))</f>
        <v>KRTS-APSU26-RETKRTSFUT4253</v>
      </c>
    </row>
    <row r="995" spans="1:34" ht="15.75" customHeight="1" x14ac:dyDescent="0.2">
      <c r="A995" s="4" t="s">
        <v>61</v>
      </c>
      <c r="B995" s="4" t="s">
        <v>1414</v>
      </c>
      <c r="C995" s="4" t="s">
        <v>1312</v>
      </c>
      <c r="D995" s="4" t="s">
        <v>1125</v>
      </c>
      <c r="E995" s="4" t="s">
        <v>34</v>
      </c>
      <c r="F995" s="4" t="s">
        <v>35</v>
      </c>
      <c r="G995" s="4" t="s">
        <v>55</v>
      </c>
      <c r="H995" s="4" t="s">
        <v>1341</v>
      </c>
      <c r="I995" s="4" t="s">
        <v>1342</v>
      </c>
      <c r="J995" s="4" t="s">
        <v>1343</v>
      </c>
      <c r="L995" s="4" t="s">
        <v>40</v>
      </c>
      <c r="M995" s="4">
        <v>1</v>
      </c>
      <c r="N995" s="4">
        <v>30</v>
      </c>
      <c r="O995" s="4">
        <v>30</v>
      </c>
      <c r="P995" s="4" t="s">
        <v>41</v>
      </c>
      <c r="Q995" s="4">
        <v>314.3</v>
      </c>
      <c r="R995" s="4">
        <v>314.3</v>
      </c>
      <c r="S995" s="4">
        <v>471.45</v>
      </c>
      <c r="T995" s="4">
        <v>9429</v>
      </c>
      <c r="U995" s="4">
        <v>5</v>
      </c>
      <c r="V995" s="4" t="s">
        <v>42</v>
      </c>
      <c r="X995" s="7" t="str">
        <f t="shared" si="45"/>
        <v>441853899</v>
      </c>
      <c r="Y995" s="8" t="str">
        <f t="shared" si="46"/>
        <v>DC</v>
      </c>
      <c r="Z995" s="8">
        <f t="shared" si="47"/>
        <v>0</v>
      </c>
      <c r="AA995" s="8">
        <f t="shared" si="48"/>
        <v>0</v>
      </c>
      <c r="AB995" s="8">
        <f t="shared" si="49"/>
        <v>0</v>
      </c>
      <c r="AC995" s="8">
        <f t="shared" si="50"/>
        <v>0</v>
      </c>
      <c r="AD995" s="8">
        <f t="shared" si="51"/>
        <v>30</v>
      </c>
      <c r="AE995" s="9" t="str" cm="1">
        <f t="array" ref="AE995">IFERROR(_xlfn.XLOOKUP(H995,Sheet1!$G:$G,Sheet1!$F:$F),IFERROR(_xlfn.XLOOKUP(1,(--($X$2:$X$1074=X995))*(--ISNUMBER(MATCH($H$2:$H$1074,Sheet1!$G:$G,0))),_xlfn.XLOOKUP($H$2:$H$1074,Sheet1!$G:$G,Sheet1!$F:$F,"")),"NOT FOUND"))</f>
        <v>RETKRTSFUT4253</v>
      </c>
      <c r="AF995" s="10" t="str">
        <f t="shared" si="58"/>
        <v>OLIVE GREEN</v>
      </c>
      <c r="AG995" s="11" t="str">
        <f t="shared" si="59"/>
        <v>HARIPAL</v>
      </c>
      <c r="AH995" s="9" t="str">
        <f>IF(OR(J995="",AE995="",AE995="NOT FOUND"),"",IF(Y995="RP",IFERROR(LEFT(_xlfn.XLOOKUP(AE995,Sheet1!$F:$F,Sheet1!$W:$W),FIND("-",_xlfn.XLOOKUP(AE995,Sheet1!$F:$F,Sheet1!$W:$W),FIND("-",_xlfn.XLOOKUP(AE995,Sheet1!$F:$F,Sheet1!$W:$W))+1))&amp;AE995,"NOT FOUND"),LEFT(J995,FIND("-",J995,FIND("-",J995)+1))&amp;AE995))</f>
        <v>KRTS-APSU26-RETKRTSFUT4253</v>
      </c>
    </row>
    <row r="996" spans="1:34" ht="15.75" customHeight="1" x14ac:dyDescent="0.2">
      <c r="A996" s="4" t="s">
        <v>61</v>
      </c>
      <c r="B996" s="4" t="s">
        <v>1415</v>
      </c>
      <c r="C996" s="4" t="s">
        <v>1312</v>
      </c>
      <c r="D996" s="4" t="s">
        <v>1125</v>
      </c>
      <c r="E996" s="4" t="s">
        <v>34</v>
      </c>
      <c r="F996" s="4" t="s">
        <v>35</v>
      </c>
      <c r="G996" s="4" t="s">
        <v>36</v>
      </c>
      <c r="H996" s="4" t="s">
        <v>1345</v>
      </c>
      <c r="I996" s="4" t="s">
        <v>1346</v>
      </c>
      <c r="J996" s="4" t="s">
        <v>1347</v>
      </c>
      <c r="L996" s="4" t="s">
        <v>40</v>
      </c>
      <c r="M996" s="4">
        <v>1</v>
      </c>
      <c r="N996" s="4">
        <v>30</v>
      </c>
      <c r="O996" s="4">
        <v>30</v>
      </c>
      <c r="P996" s="4" t="s">
        <v>41</v>
      </c>
      <c r="Q996" s="4">
        <v>314.3</v>
      </c>
      <c r="R996" s="4">
        <v>314.3</v>
      </c>
      <c r="S996" s="4">
        <v>471.45</v>
      </c>
      <c r="T996" s="4">
        <v>9429</v>
      </c>
      <c r="U996" s="4">
        <v>5</v>
      </c>
      <c r="V996" s="4" t="s">
        <v>42</v>
      </c>
      <c r="X996" s="7" t="str">
        <f t="shared" si="45"/>
        <v>441853898</v>
      </c>
      <c r="Y996" s="8" t="str">
        <f t="shared" si="46"/>
        <v>DC</v>
      </c>
      <c r="Z996" s="8">
        <f t="shared" si="47"/>
        <v>30</v>
      </c>
      <c r="AA996" s="8">
        <f t="shared" si="48"/>
        <v>0</v>
      </c>
      <c r="AB996" s="8">
        <f t="shared" si="49"/>
        <v>0</v>
      </c>
      <c r="AC996" s="8">
        <f t="shared" si="50"/>
        <v>0</v>
      </c>
      <c r="AD996" s="8">
        <f t="shared" si="51"/>
        <v>0</v>
      </c>
      <c r="AE996" s="9" t="str" cm="1">
        <f t="array" ref="AE996">IFERROR(_xlfn.XLOOKUP(H996,Sheet1!$G:$G,Sheet1!$F:$F),IFERROR(_xlfn.XLOOKUP(1,(--($X$2:$X$1074=X996))*(--ISNUMBER(MATCH($H$2:$H$1074,Sheet1!$G:$G,0))),_xlfn.XLOOKUP($H$2:$H$1074,Sheet1!$G:$G,Sheet1!$F:$F,"")),"NOT FOUND"))</f>
        <v>YETKRTSFUT4252</v>
      </c>
      <c r="AF996" s="10" t="str">
        <f t="shared" si="58"/>
        <v>MUSTARD</v>
      </c>
      <c r="AG996" s="11" t="str">
        <f t="shared" si="59"/>
        <v>HARIPAL</v>
      </c>
      <c r="AH996" s="9" t="str">
        <f>IF(OR(J996="",AE996="",AE996="NOT FOUND"),"",IF(Y996="RP",IFERROR(LEFT(_xlfn.XLOOKUP(AE996,Sheet1!$F:$F,Sheet1!$W:$W),FIND("-",_xlfn.XLOOKUP(AE996,Sheet1!$F:$F,Sheet1!$W:$W),FIND("-",_xlfn.XLOOKUP(AE996,Sheet1!$F:$F,Sheet1!$W:$W))+1))&amp;AE996,"NOT FOUND"),LEFT(J996,FIND("-",J996,FIND("-",J996)+1))&amp;AE996))</f>
        <v>KRTS-APSU26-YETKRTSFUT4252</v>
      </c>
    </row>
    <row r="997" spans="1:34" ht="15.75" customHeight="1" x14ac:dyDescent="0.2">
      <c r="A997" s="4" t="s">
        <v>61</v>
      </c>
      <c r="B997" s="4" t="s">
        <v>1415</v>
      </c>
      <c r="C997" s="4" t="s">
        <v>1312</v>
      </c>
      <c r="D997" s="4" t="s">
        <v>1125</v>
      </c>
      <c r="E997" s="4" t="s">
        <v>34</v>
      </c>
      <c r="F997" s="4" t="s">
        <v>35</v>
      </c>
      <c r="G997" s="4" t="s">
        <v>43</v>
      </c>
      <c r="H997" s="4" t="s">
        <v>1348</v>
      </c>
      <c r="I997" s="4" t="s">
        <v>1349</v>
      </c>
      <c r="J997" s="4" t="s">
        <v>1350</v>
      </c>
      <c r="L997" s="4" t="s">
        <v>40</v>
      </c>
      <c r="M997" s="4">
        <v>1</v>
      </c>
      <c r="N997" s="4">
        <v>30</v>
      </c>
      <c r="O997" s="4">
        <v>30</v>
      </c>
      <c r="P997" s="4" t="s">
        <v>41</v>
      </c>
      <c r="Q997" s="4">
        <v>314.3</v>
      </c>
      <c r="R997" s="4">
        <v>314.3</v>
      </c>
      <c r="S997" s="4">
        <v>471.45</v>
      </c>
      <c r="T997" s="4">
        <v>9429</v>
      </c>
      <c r="U997" s="4">
        <v>5</v>
      </c>
      <c r="V997" s="4" t="s">
        <v>42</v>
      </c>
      <c r="X997" s="7" t="str">
        <f t="shared" si="45"/>
        <v>441853898</v>
      </c>
      <c r="Y997" s="8" t="str">
        <f t="shared" si="46"/>
        <v>DC</v>
      </c>
      <c r="Z997" s="8">
        <f t="shared" si="47"/>
        <v>0</v>
      </c>
      <c r="AA997" s="8">
        <f t="shared" si="48"/>
        <v>30</v>
      </c>
      <c r="AB997" s="8">
        <f t="shared" si="49"/>
        <v>0</v>
      </c>
      <c r="AC997" s="8">
        <f t="shared" si="50"/>
        <v>0</v>
      </c>
      <c r="AD997" s="8">
        <f t="shared" si="51"/>
        <v>0</v>
      </c>
      <c r="AE997" s="9" t="str" cm="1">
        <f t="array" ref="AE997">IFERROR(_xlfn.XLOOKUP(H997,Sheet1!$G:$G,Sheet1!$F:$F),IFERROR(_xlfn.XLOOKUP(1,(--($X$2:$X$1074=X997))*(--ISNUMBER(MATCH($H$2:$H$1074,Sheet1!$G:$G,0))),_xlfn.XLOOKUP($H$2:$H$1074,Sheet1!$G:$G,Sheet1!$F:$F,"")),"NOT FOUND"))</f>
        <v>YETKRTSFUT4252</v>
      </c>
      <c r="AF997" s="10" t="str">
        <f t="shared" si="58"/>
        <v>MUSTARD</v>
      </c>
      <c r="AG997" s="11" t="str">
        <f t="shared" si="59"/>
        <v>HARIPAL</v>
      </c>
      <c r="AH997" s="9" t="str">
        <f>IF(OR(J997="",AE997="",AE997="NOT FOUND"),"",IF(Y997="RP",IFERROR(LEFT(_xlfn.XLOOKUP(AE997,Sheet1!$F:$F,Sheet1!$W:$W),FIND("-",_xlfn.XLOOKUP(AE997,Sheet1!$F:$F,Sheet1!$W:$W),FIND("-",_xlfn.XLOOKUP(AE997,Sheet1!$F:$F,Sheet1!$W:$W))+1))&amp;AE997,"NOT FOUND"),LEFT(J997,FIND("-",J997,FIND("-",J997)+1))&amp;AE997))</f>
        <v>KRTS-APSU26-YETKRTSFUT4252</v>
      </c>
    </row>
    <row r="998" spans="1:34" ht="15.75" customHeight="1" x14ac:dyDescent="0.2">
      <c r="A998" s="4" t="s">
        <v>61</v>
      </c>
      <c r="B998" s="4" t="s">
        <v>1415</v>
      </c>
      <c r="C998" s="4" t="s">
        <v>1312</v>
      </c>
      <c r="D998" s="4" t="s">
        <v>1125</v>
      </c>
      <c r="E998" s="4" t="s">
        <v>34</v>
      </c>
      <c r="F998" s="4" t="s">
        <v>35</v>
      </c>
      <c r="G998" s="4" t="s">
        <v>47</v>
      </c>
      <c r="H998" s="4" t="s">
        <v>1351</v>
      </c>
      <c r="I998" s="4" t="s">
        <v>1352</v>
      </c>
      <c r="J998" s="4" t="s">
        <v>1353</v>
      </c>
      <c r="L998" s="4" t="s">
        <v>40</v>
      </c>
      <c r="M998" s="4">
        <v>1</v>
      </c>
      <c r="N998" s="4">
        <v>30</v>
      </c>
      <c r="O998" s="4">
        <v>30</v>
      </c>
      <c r="P998" s="4" t="s">
        <v>41</v>
      </c>
      <c r="Q998" s="4">
        <v>314.3</v>
      </c>
      <c r="R998" s="4">
        <v>314.3</v>
      </c>
      <c r="S998" s="4">
        <v>471.45</v>
      </c>
      <c r="T998" s="4">
        <v>9429</v>
      </c>
      <c r="U998" s="4">
        <v>5</v>
      </c>
      <c r="V998" s="4" t="s">
        <v>42</v>
      </c>
      <c r="X998" s="7" t="str">
        <f t="shared" si="45"/>
        <v>441853898</v>
      </c>
      <c r="Y998" s="8" t="str">
        <f t="shared" si="46"/>
        <v>DC</v>
      </c>
      <c r="Z998" s="8">
        <f t="shared" si="47"/>
        <v>0</v>
      </c>
      <c r="AA998" s="8">
        <f t="shared" si="48"/>
        <v>0</v>
      </c>
      <c r="AB998" s="8">
        <f t="shared" si="49"/>
        <v>30</v>
      </c>
      <c r="AC998" s="8">
        <f t="shared" si="50"/>
        <v>0</v>
      </c>
      <c r="AD998" s="8">
        <f t="shared" si="51"/>
        <v>0</v>
      </c>
      <c r="AE998" s="9" t="str" cm="1">
        <f t="array" ref="AE998">IFERROR(_xlfn.XLOOKUP(H998,Sheet1!$G:$G,Sheet1!$F:$F),IFERROR(_xlfn.XLOOKUP(1,(--($X$2:$X$1074=X998))*(--ISNUMBER(MATCH($H$2:$H$1074,Sheet1!$G:$G,0))),_xlfn.XLOOKUP($H$2:$H$1074,Sheet1!$G:$G,Sheet1!$F:$F,"")),"NOT FOUND"))</f>
        <v>YETKRTSFUT4252</v>
      </c>
      <c r="AF998" s="10" t="str">
        <f t="shared" si="58"/>
        <v>MUSTARD</v>
      </c>
      <c r="AG998" s="11" t="str">
        <f t="shared" si="59"/>
        <v>HARIPAL</v>
      </c>
      <c r="AH998" s="9" t="str">
        <f>IF(OR(J998="",AE998="",AE998="NOT FOUND"),"",IF(Y998="RP",IFERROR(LEFT(_xlfn.XLOOKUP(AE998,Sheet1!$F:$F,Sheet1!$W:$W),FIND("-",_xlfn.XLOOKUP(AE998,Sheet1!$F:$F,Sheet1!$W:$W),FIND("-",_xlfn.XLOOKUP(AE998,Sheet1!$F:$F,Sheet1!$W:$W))+1))&amp;AE998,"NOT FOUND"),LEFT(J998,FIND("-",J998,FIND("-",J998)+1))&amp;AE998))</f>
        <v>KRTS-APSU26-YETKRTSFUT4252</v>
      </c>
    </row>
    <row r="999" spans="1:34" ht="15.75" customHeight="1" x14ac:dyDescent="0.2">
      <c r="A999" s="4" t="s">
        <v>61</v>
      </c>
      <c r="B999" s="4" t="s">
        <v>1415</v>
      </c>
      <c r="C999" s="4" t="s">
        <v>1312</v>
      </c>
      <c r="D999" s="4" t="s">
        <v>1125</v>
      </c>
      <c r="E999" s="4" t="s">
        <v>34</v>
      </c>
      <c r="F999" s="4" t="s">
        <v>35</v>
      </c>
      <c r="G999" s="4" t="s">
        <v>51</v>
      </c>
      <c r="H999" s="4" t="s">
        <v>1354</v>
      </c>
      <c r="I999" s="4" t="s">
        <v>1355</v>
      </c>
      <c r="J999" s="4" t="s">
        <v>1356</v>
      </c>
      <c r="L999" s="4" t="s">
        <v>40</v>
      </c>
      <c r="M999" s="4">
        <v>1</v>
      </c>
      <c r="N999" s="4">
        <v>30</v>
      </c>
      <c r="O999" s="4">
        <v>30</v>
      </c>
      <c r="P999" s="4" t="s">
        <v>41</v>
      </c>
      <c r="Q999" s="4">
        <v>314.3</v>
      </c>
      <c r="R999" s="4">
        <v>314.3</v>
      </c>
      <c r="S999" s="4">
        <v>471.45</v>
      </c>
      <c r="T999" s="4">
        <v>9429</v>
      </c>
      <c r="U999" s="4">
        <v>5</v>
      </c>
      <c r="V999" s="4" t="s">
        <v>42</v>
      </c>
      <c r="X999" s="7" t="str">
        <f t="shared" si="45"/>
        <v>441853898</v>
      </c>
      <c r="Y999" s="8" t="str">
        <f t="shared" si="46"/>
        <v>DC</v>
      </c>
      <c r="Z999" s="8">
        <f t="shared" si="47"/>
        <v>0</v>
      </c>
      <c r="AA999" s="8">
        <f t="shared" si="48"/>
        <v>0</v>
      </c>
      <c r="AB999" s="8">
        <f t="shared" si="49"/>
        <v>0</v>
      </c>
      <c r="AC999" s="8">
        <f t="shared" si="50"/>
        <v>30</v>
      </c>
      <c r="AD999" s="8">
        <f t="shared" si="51"/>
        <v>0</v>
      </c>
      <c r="AE999" s="9" t="str" cm="1">
        <f t="array" ref="AE999">IFERROR(_xlfn.XLOOKUP(H999,Sheet1!$G:$G,Sheet1!$F:$F),IFERROR(_xlfn.XLOOKUP(1,(--($X$2:$X$1074=X999))*(--ISNUMBER(MATCH($H$2:$H$1074,Sheet1!$G:$G,0))),_xlfn.XLOOKUP($H$2:$H$1074,Sheet1!$G:$G,Sheet1!$F:$F,"")),"NOT FOUND"))</f>
        <v>YETKRTSFUT4252</v>
      </c>
      <c r="AF999" s="10" t="str">
        <f t="shared" si="58"/>
        <v>MUSTARD</v>
      </c>
      <c r="AG999" s="11" t="str">
        <f t="shared" si="59"/>
        <v>HARIPAL</v>
      </c>
      <c r="AH999" s="9" t="str">
        <f>IF(OR(J999="",AE999="",AE999="NOT FOUND"),"",IF(Y999="RP",IFERROR(LEFT(_xlfn.XLOOKUP(AE999,Sheet1!$F:$F,Sheet1!$W:$W),FIND("-",_xlfn.XLOOKUP(AE999,Sheet1!$F:$F,Sheet1!$W:$W),FIND("-",_xlfn.XLOOKUP(AE999,Sheet1!$F:$F,Sheet1!$W:$W))+1))&amp;AE999,"NOT FOUND"),LEFT(J999,FIND("-",J999,FIND("-",J999)+1))&amp;AE999))</f>
        <v>KRTS-APSU26-YETKRTSFUT4252</v>
      </c>
    </row>
    <row r="1000" spans="1:34" ht="15.75" customHeight="1" x14ac:dyDescent="0.2">
      <c r="A1000" s="4" t="s">
        <v>61</v>
      </c>
      <c r="B1000" s="4" t="s">
        <v>1415</v>
      </c>
      <c r="C1000" s="4" t="s">
        <v>1312</v>
      </c>
      <c r="D1000" s="4" t="s">
        <v>1125</v>
      </c>
      <c r="E1000" s="4" t="s">
        <v>34</v>
      </c>
      <c r="F1000" s="4" t="s">
        <v>35</v>
      </c>
      <c r="G1000" s="4" t="s">
        <v>55</v>
      </c>
      <c r="H1000" s="4" t="s">
        <v>1357</v>
      </c>
      <c r="I1000" s="4" t="s">
        <v>1358</v>
      </c>
      <c r="J1000" s="4" t="s">
        <v>1359</v>
      </c>
      <c r="L1000" s="4" t="s">
        <v>40</v>
      </c>
      <c r="M1000" s="4">
        <v>1</v>
      </c>
      <c r="N1000" s="4">
        <v>30</v>
      </c>
      <c r="O1000" s="4">
        <v>30</v>
      </c>
      <c r="P1000" s="4" t="s">
        <v>41</v>
      </c>
      <c r="Q1000" s="4">
        <v>314.3</v>
      </c>
      <c r="R1000" s="4">
        <v>314.3</v>
      </c>
      <c r="S1000" s="4">
        <v>471.45</v>
      </c>
      <c r="T1000" s="4">
        <v>9429</v>
      </c>
      <c r="U1000" s="4">
        <v>5</v>
      </c>
      <c r="V1000" s="4" t="s">
        <v>42</v>
      </c>
      <c r="X1000" s="7" t="str">
        <f t="shared" si="45"/>
        <v>441853898</v>
      </c>
      <c r="Y1000" s="8" t="str">
        <f t="shared" si="46"/>
        <v>DC</v>
      </c>
      <c r="Z1000" s="8">
        <f t="shared" si="47"/>
        <v>0</v>
      </c>
      <c r="AA1000" s="8">
        <f t="shared" si="48"/>
        <v>0</v>
      </c>
      <c r="AB1000" s="8">
        <f t="shared" si="49"/>
        <v>0</v>
      </c>
      <c r="AC1000" s="8">
        <f t="shared" si="50"/>
        <v>0</v>
      </c>
      <c r="AD1000" s="8">
        <f t="shared" si="51"/>
        <v>30</v>
      </c>
      <c r="AE1000" s="9" t="str" cm="1">
        <f t="array" ref="AE1000">IFERROR(_xlfn.XLOOKUP(H1000,Sheet1!$G:$G,Sheet1!$F:$F),IFERROR(_xlfn.XLOOKUP(1,(--($X$2:$X$1074=X1000))*(--ISNUMBER(MATCH($H$2:$H$1074,Sheet1!$G:$G,0))),_xlfn.XLOOKUP($H$2:$H$1074,Sheet1!$G:$G,Sheet1!$F:$F,"")),"NOT FOUND"))</f>
        <v>YETKRTSFUT4252</v>
      </c>
      <c r="AF1000" s="10" t="str">
        <f t="shared" si="58"/>
        <v>MUSTARD</v>
      </c>
      <c r="AG1000" s="11" t="str">
        <f t="shared" si="59"/>
        <v>HARIPAL</v>
      </c>
      <c r="AH1000" s="9" t="str">
        <f>IF(OR(J1000="",AE1000="",AE1000="NOT FOUND"),"",IF(Y1000="RP",IFERROR(LEFT(_xlfn.XLOOKUP(AE1000,Sheet1!$F:$F,Sheet1!$W:$W),FIND("-",_xlfn.XLOOKUP(AE1000,Sheet1!$F:$F,Sheet1!$W:$W),FIND("-",_xlfn.XLOOKUP(AE1000,Sheet1!$F:$F,Sheet1!$W:$W))+1))&amp;AE1000,"NOT FOUND"),LEFT(J1000,FIND("-",J1000,FIND("-",J1000)+1))&amp;AE1000))</f>
        <v>KRTS-APSU26-YETKRTSFUT4252</v>
      </c>
    </row>
    <row r="1001" spans="1:34" ht="15.75" customHeight="1" x14ac:dyDescent="0.2">
      <c r="A1001" s="4" t="s">
        <v>30</v>
      </c>
      <c r="B1001" s="4" t="s">
        <v>1416</v>
      </c>
      <c r="C1001" s="4" t="s">
        <v>1312</v>
      </c>
      <c r="D1001" s="4" t="s">
        <v>1417</v>
      </c>
      <c r="E1001" s="4" t="s">
        <v>34</v>
      </c>
      <c r="F1001" s="4" t="s">
        <v>35</v>
      </c>
      <c r="G1001" s="4" t="s">
        <v>36</v>
      </c>
      <c r="H1001" s="4" t="s">
        <v>1418</v>
      </c>
      <c r="I1001" s="4" t="s">
        <v>1419</v>
      </c>
      <c r="J1001" s="4" t="s">
        <v>1420</v>
      </c>
      <c r="L1001" s="4" t="s">
        <v>40</v>
      </c>
      <c r="M1001" s="4">
        <v>1</v>
      </c>
      <c r="N1001" s="4">
        <v>30</v>
      </c>
      <c r="O1001" s="4">
        <v>30</v>
      </c>
      <c r="P1001" s="4" t="s">
        <v>41</v>
      </c>
      <c r="Q1001" s="4">
        <v>314.3</v>
      </c>
      <c r="R1001" s="4">
        <v>314.3</v>
      </c>
      <c r="S1001" s="4">
        <v>471.45</v>
      </c>
      <c r="T1001" s="4">
        <v>9429</v>
      </c>
      <c r="U1001" s="4">
        <v>5</v>
      </c>
      <c r="V1001" s="4" t="s">
        <v>42</v>
      </c>
      <c r="X1001" s="7" t="str">
        <f t="shared" si="45"/>
        <v>441853807</v>
      </c>
      <c r="Y1001" s="8" t="str">
        <f t="shared" si="46"/>
        <v>DC</v>
      </c>
      <c r="Z1001" s="8">
        <f t="shared" si="47"/>
        <v>30</v>
      </c>
      <c r="AA1001" s="8">
        <f t="shared" si="48"/>
        <v>0</v>
      </c>
      <c r="AB1001" s="8">
        <f t="shared" si="49"/>
        <v>0</v>
      </c>
      <c r="AC1001" s="8">
        <f t="shared" si="50"/>
        <v>0</v>
      </c>
      <c r="AD1001" s="8">
        <f t="shared" si="51"/>
        <v>0</v>
      </c>
      <c r="AE1001" s="9" t="str" cm="1">
        <f t="array" ref="AE1001">IFERROR(_xlfn.XLOOKUP(H1001,Sheet1!$G:$G,Sheet1!$F:$F),IFERROR(_xlfn.XLOOKUP(1,(--($X$2:$X$1074=X1001))*(--ISNUMBER(MATCH($H$2:$H$1074,Sheet1!$G:$G,0))),_xlfn.XLOOKUP($H$2:$H$1074,Sheet1!$G:$G,Sheet1!$F:$F,"")),"NOT FOUND"))</f>
        <v>RETKRTSFUT4114</v>
      </c>
      <c r="AF1001" s="10" t="str">
        <f t="shared" si="58"/>
        <v>Sea Green</v>
      </c>
      <c r="AG1001" s="11" t="str">
        <f t="shared" si="59"/>
        <v>Bangalore</v>
      </c>
      <c r="AH1001" s="9" t="str">
        <f>IF(OR(J1001="",AE1001="",AE1001="NOT FOUND"),"",IF(Y1001="RP",IFERROR(LEFT(_xlfn.XLOOKUP(AE1001,Sheet1!$F:$F,Sheet1!$W:$W),FIND("-",_xlfn.XLOOKUP(AE1001,Sheet1!$F:$F,Sheet1!$W:$W),FIND("-",_xlfn.XLOOKUP(AE1001,Sheet1!$F:$F,Sheet1!$W:$W))+1))&amp;AE1001,"NOT FOUND"),LEFT(J1001,FIND("-",J1001,FIND("-",J1001)+1))&amp;AE1001))</f>
        <v>KRTS-APSU26-RETKRTSFUT4114</v>
      </c>
    </row>
    <row r="1002" spans="1:34" ht="15.75" customHeight="1" x14ac:dyDescent="0.2">
      <c r="A1002" s="4" t="s">
        <v>30</v>
      </c>
      <c r="B1002" s="4" t="s">
        <v>1416</v>
      </c>
      <c r="C1002" s="4" t="s">
        <v>1312</v>
      </c>
      <c r="D1002" s="4" t="s">
        <v>1417</v>
      </c>
      <c r="E1002" s="4" t="s">
        <v>34</v>
      </c>
      <c r="F1002" s="4" t="s">
        <v>35</v>
      </c>
      <c r="G1002" s="4" t="s">
        <v>43</v>
      </c>
      <c r="H1002" s="4" t="s">
        <v>1421</v>
      </c>
      <c r="I1002" s="4" t="s">
        <v>1422</v>
      </c>
      <c r="J1002" s="4" t="s">
        <v>1423</v>
      </c>
      <c r="L1002" s="4" t="s">
        <v>40</v>
      </c>
      <c r="M1002" s="4">
        <v>1</v>
      </c>
      <c r="N1002" s="4">
        <v>244</v>
      </c>
      <c r="O1002" s="4">
        <v>244</v>
      </c>
      <c r="P1002" s="4" t="s">
        <v>41</v>
      </c>
      <c r="Q1002" s="4">
        <v>314.3</v>
      </c>
      <c r="R1002" s="4">
        <v>314.3</v>
      </c>
      <c r="S1002" s="4">
        <v>3834.46</v>
      </c>
      <c r="T1002" s="4">
        <v>76689.2</v>
      </c>
      <c r="U1002" s="4">
        <v>5</v>
      </c>
      <c r="V1002" s="4" t="s">
        <v>42</v>
      </c>
      <c r="X1002" s="7" t="str">
        <f t="shared" si="45"/>
        <v>441853807</v>
      </c>
      <c r="Y1002" s="8" t="str">
        <f t="shared" si="46"/>
        <v>DC</v>
      </c>
      <c r="Z1002" s="8">
        <f t="shared" si="47"/>
        <v>0</v>
      </c>
      <c r="AA1002" s="8">
        <f t="shared" si="48"/>
        <v>244</v>
      </c>
      <c r="AB1002" s="8">
        <f t="shared" si="49"/>
        <v>0</v>
      </c>
      <c r="AC1002" s="8">
        <f t="shared" si="50"/>
        <v>0</v>
      </c>
      <c r="AD1002" s="8">
        <f t="shared" si="51"/>
        <v>0</v>
      </c>
      <c r="AE1002" s="9" t="str" cm="1">
        <f t="array" ref="AE1002">IFERROR(_xlfn.XLOOKUP(H1002,Sheet1!$G:$G,Sheet1!$F:$F),IFERROR(_xlfn.XLOOKUP(1,(--($X$2:$X$1074=X1002))*(--ISNUMBER(MATCH($H$2:$H$1074,Sheet1!$G:$G,0))),_xlfn.XLOOKUP($H$2:$H$1074,Sheet1!$G:$G,Sheet1!$F:$F,"")),"NOT FOUND"))</f>
        <v>RETKRTSFUT4114</v>
      </c>
      <c r="AF1002" s="10" t="str">
        <f t="shared" si="58"/>
        <v>Sea Green</v>
      </c>
      <c r="AG1002" s="11" t="str">
        <f t="shared" si="59"/>
        <v>Bangalore</v>
      </c>
      <c r="AH1002" s="9" t="str">
        <f>IF(OR(J1002="",AE1002="",AE1002="NOT FOUND"),"",IF(Y1002="RP",IFERROR(LEFT(_xlfn.XLOOKUP(AE1002,Sheet1!$F:$F,Sheet1!$W:$W),FIND("-",_xlfn.XLOOKUP(AE1002,Sheet1!$F:$F,Sheet1!$W:$W),FIND("-",_xlfn.XLOOKUP(AE1002,Sheet1!$F:$F,Sheet1!$W:$W))+1))&amp;AE1002,"NOT FOUND"),LEFT(J1002,FIND("-",J1002,FIND("-",J1002)+1))&amp;AE1002))</f>
        <v>KRTS-APSU26-RETKRTSFUT4114</v>
      </c>
    </row>
    <row r="1003" spans="1:34" ht="15.75" customHeight="1" x14ac:dyDescent="0.2">
      <c r="A1003" s="4" t="s">
        <v>30</v>
      </c>
      <c r="B1003" s="4" t="s">
        <v>1416</v>
      </c>
      <c r="C1003" s="4" t="s">
        <v>1312</v>
      </c>
      <c r="D1003" s="4" t="s">
        <v>1417</v>
      </c>
      <c r="E1003" s="4" t="s">
        <v>34</v>
      </c>
      <c r="F1003" s="4" t="s">
        <v>35</v>
      </c>
      <c r="G1003" s="4" t="s">
        <v>47</v>
      </c>
      <c r="H1003" s="4" t="s">
        <v>1424</v>
      </c>
      <c r="I1003" s="4" t="s">
        <v>1425</v>
      </c>
      <c r="J1003" s="4" t="s">
        <v>1426</v>
      </c>
      <c r="L1003" s="4" t="s">
        <v>40</v>
      </c>
      <c r="M1003" s="4">
        <v>1</v>
      </c>
      <c r="N1003" s="4">
        <v>217</v>
      </c>
      <c r="O1003" s="4">
        <v>217</v>
      </c>
      <c r="P1003" s="4" t="s">
        <v>41</v>
      </c>
      <c r="Q1003" s="4">
        <v>314.3</v>
      </c>
      <c r="R1003" s="4">
        <v>314.3</v>
      </c>
      <c r="S1003" s="4">
        <v>3410.16</v>
      </c>
      <c r="T1003" s="4">
        <v>68203.100000000006</v>
      </c>
      <c r="U1003" s="4">
        <v>5</v>
      </c>
      <c r="V1003" s="4" t="s">
        <v>42</v>
      </c>
      <c r="X1003" s="7" t="str">
        <f t="shared" si="45"/>
        <v>441853807</v>
      </c>
      <c r="Y1003" s="8" t="str">
        <f t="shared" si="46"/>
        <v>DC</v>
      </c>
      <c r="Z1003" s="8">
        <f t="shared" si="47"/>
        <v>0</v>
      </c>
      <c r="AA1003" s="8">
        <f t="shared" si="48"/>
        <v>0</v>
      </c>
      <c r="AB1003" s="8">
        <f t="shared" si="49"/>
        <v>217</v>
      </c>
      <c r="AC1003" s="8">
        <f t="shared" si="50"/>
        <v>0</v>
      </c>
      <c r="AD1003" s="8">
        <f t="shared" si="51"/>
        <v>0</v>
      </c>
      <c r="AE1003" s="9" t="str" cm="1">
        <f t="array" ref="AE1003">IFERROR(_xlfn.XLOOKUP(H1003,Sheet1!$G:$G,Sheet1!$F:$F),IFERROR(_xlfn.XLOOKUP(1,(--($X$2:$X$1074=X1003))*(--ISNUMBER(MATCH($H$2:$H$1074,Sheet1!$G:$G,0))),_xlfn.XLOOKUP($H$2:$H$1074,Sheet1!$G:$G,Sheet1!$F:$F,"")),"NOT FOUND"))</f>
        <v>RETKRTSFUT4114</v>
      </c>
      <c r="AF1003" s="10" t="str">
        <f t="shared" si="58"/>
        <v>Sea Green</v>
      </c>
      <c r="AG1003" s="11" t="str">
        <f t="shared" si="59"/>
        <v>Bangalore</v>
      </c>
      <c r="AH1003" s="9" t="str">
        <f>IF(OR(J1003="",AE1003="",AE1003="NOT FOUND"),"",IF(Y1003="RP",IFERROR(LEFT(_xlfn.XLOOKUP(AE1003,Sheet1!$F:$F,Sheet1!$W:$W),FIND("-",_xlfn.XLOOKUP(AE1003,Sheet1!$F:$F,Sheet1!$W:$W),FIND("-",_xlfn.XLOOKUP(AE1003,Sheet1!$F:$F,Sheet1!$W:$W))+1))&amp;AE1003,"NOT FOUND"),LEFT(J1003,FIND("-",J1003,FIND("-",J1003)+1))&amp;AE1003))</f>
        <v>KRTS-APSU26-RETKRTSFUT4114</v>
      </c>
    </row>
    <row r="1004" spans="1:34" ht="15.75" customHeight="1" x14ac:dyDescent="0.2">
      <c r="A1004" s="4" t="s">
        <v>30</v>
      </c>
      <c r="B1004" s="4" t="s">
        <v>1416</v>
      </c>
      <c r="C1004" s="4" t="s">
        <v>1312</v>
      </c>
      <c r="D1004" s="4" t="s">
        <v>1417</v>
      </c>
      <c r="E1004" s="4" t="s">
        <v>34</v>
      </c>
      <c r="F1004" s="4" t="s">
        <v>35</v>
      </c>
      <c r="G1004" s="4" t="s">
        <v>51</v>
      </c>
      <c r="H1004" s="4" t="s">
        <v>1427</v>
      </c>
      <c r="I1004" s="4" t="s">
        <v>1428</v>
      </c>
      <c r="J1004" s="4" t="s">
        <v>1429</v>
      </c>
      <c r="L1004" s="4" t="s">
        <v>40</v>
      </c>
      <c r="M1004" s="4">
        <v>1</v>
      </c>
      <c r="N1004" s="4">
        <v>285</v>
      </c>
      <c r="O1004" s="4">
        <v>285</v>
      </c>
      <c r="P1004" s="4" t="s">
        <v>41</v>
      </c>
      <c r="Q1004" s="4">
        <v>314.3</v>
      </c>
      <c r="R1004" s="4">
        <v>314.3</v>
      </c>
      <c r="S1004" s="4">
        <v>4478.78</v>
      </c>
      <c r="T1004" s="4">
        <v>89575.5</v>
      </c>
      <c r="U1004" s="4">
        <v>5</v>
      </c>
      <c r="V1004" s="4" t="s">
        <v>42</v>
      </c>
      <c r="X1004" s="7" t="str">
        <f t="shared" si="45"/>
        <v>441853807</v>
      </c>
      <c r="Y1004" s="8" t="str">
        <f t="shared" si="46"/>
        <v>DC</v>
      </c>
      <c r="Z1004" s="8">
        <f t="shared" si="47"/>
        <v>0</v>
      </c>
      <c r="AA1004" s="8">
        <f t="shared" si="48"/>
        <v>0</v>
      </c>
      <c r="AB1004" s="8">
        <f t="shared" si="49"/>
        <v>0</v>
      </c>
      <c r="AC1004" s="8">
        <f t="shared" si="50"/>
        <v>285</v>
      </c>
      <c r="AD1004" s="8">
        <f t="shared" si="51"/>
        <v>0</v>
      </c>
      <c r="AE1004" s="9" t="str" cm="1">
        <f t="array" ref="AE1004">IFERROR(_xlfn.XLOOKUP(H1004,Sheet1!$G:$G,Sheet1!$F:$F),IFERROR(_xlfn.XLOOKUP(1,(--($X$2:$X$1074=X1004))*(--ISNUMBER(MATCH($H$2:$H$1074,Sheet1!$G:$G,0))),_xlfn.XLOOKUP($H$2:$H$1074,Sheet1!$G:$G,Sheet1!$F:$F,"")),"NOT FOUND"))</f>
        <v>RETKRTSFUT4114</v>
      </c>
      <c r="AF1004" s="10" t="str">
        <f t="shared" si="58"/>
        <v>Sea Green</v>
      </c>
      <c r="AG1004" s="11" t="str">
        <f t="shared" si="59"/>
        <v>Bangalore</v>
      </c>
      <c r="AH1004" s="9" t="str">
        <f>IF(OR(J1004="",AE1004="",AE1004="NOT FOUND"),"",IF(Y1004="RP",IFERROR(LEFT(_xlfn.XLOOKUP(AE1004,Sheet1!$F:$F,Sheet1!$W:$W),FIND("-",_xlfn.XLOOKUP(AE1004,Sheet1!$F:$F,Sheet1!$W:$W),FIND("-",_xlfn.XLOOKUP(AE1004,Sheet1!$F:$F,Sheet1!$W:$W))+1))&amp;AE1004,"NOT FOUND"),LEFT(J1004,FIND("-",J1004,FIND("-",J1004)+1))&amp;AE1004))</f>
        <v>KRTS-APSU26-RETKRTSFUT4114</v>
      </c>
    </row>
    <row r="1005" spans="1:34" ht="15.75" customHeight="1" x14ac:dyDescent="0.2">
      <c r="A1005" s="4" t="s">
        <v>30</v>
      </c>
      <c r="B1005" s="4" t="s">
        <v>1416</v>
      </c>
      <c r="C1005" s="4" t="s">
        <v>1312</v>
      </c>
      <c r="D1005" s="4" t="s">
        <v>1417</v>
      </c>
      <c r="E1005" s="4" t="s">
        <v>34</v>
      </c>
      <c r="F1005" s="4" t="s">
        <v>35</v>
      </c>
      <c r="G1005" s="4" t="s">
        <v>55</v>
      </c>
      <c r="H1005" s="4" t="s">
        <v>1430</v>
      </c>
      <c r="I1005" s="4" t="s">
        <v>1431</v>
      </c>
      <c r="J1005" s="4" t="s">
        <v>1432</v>
      </c>
      <c r="L1005" s="4" t="s">
        <v>40</v>
      </c>
      <c r="M1005" s="4">
        <v>1</v>
      </c>
      <c r="N1005" s="4">
        <v>55</v>
      </c>
      <c r="O1005" s="4">
        <v>55</v>
      </c>
      <c r="P1005" s="4" t="s">
        <v>41</v>
      </c>
      <c r="Q1005" s="4">
        <v>314.3</v>
      </c>
      <c r="R1005" s="4">
        <v>314.3</v>
      </c>
      <c r="S1005" s="4">
        <v>864.33</v>
      </c>
      <c r="T1005" s="4">
        <v>17286.5</v>
      </c>
      <c r="U1005" s="4">
        <v>5</v>
      </c>
      <c r="V1005" s="4" t="s">
        <v>42</v>
      </c>
      <c r="X1005" s="7" t="str">
        <f t="shared" si="45"/>
        <v>441853807</v>
      </c>
      <c r="Y1005" s="8" t="str">
        <f t="shared" si="46"/>
        <v>DC</v>
      </c>
      <c r="Z1005" s="8">
        <f t="shared" si="47"/>
        <v>0</v>
      </c>
      <c r="AA1005" s="8">
        <f t="shared" si="48"/>
        <v>0</v>
      </c>
      <c r="AB1005" s="8">
        <f t="shared" si="49"/>
        <v>0</v>
      </c>
      <c r="AC1005" s="8">
        <f t="shared" si="50"/>
        <v>0</v>
      </c>
      <c r="AD1005" s="8">
        <f t="shared" si="51"/>
        <v>55</v>
      </c>
      <c r="AE1005" s="9" t="str" cm="1">
        <f t="array" ref="AE1005">IFERROR(_xlfn.XLOOKUP(H1005,Sheet1!$G:$G,Sheet1!$F:$F),IFERROR(_xlfn.XLOOKUP(1,(--($X$2:$X$1074=X1005))*(--ISNUMBER(MATCH($H$2:$H$1074,Sheet1!$G:$G,0))),_xlfn.XLOOKUP($H$2:$H$1074,Sheet1!$G:$G,Sheet1!$F:$F,"")),"NOT FOUND"))</f>
        <v>RETKRTSFUT4114</v>
      </c>
      <c r="AF1005" s="10" t="str">
        <f t="shared" si="58"/>
        <v>Sea Green</v>
      </c>
      <c r="AG1005" s="11" t="str">
        <f t="shared" si="59"/>
        <v>Bangalore</v>
      </c>
      <c r="AH1005" s="9" t="str">
        <f>IF(OR(J1005="",AE1005="",AE1005="NOT FOUND"),"",IF(Y1005="RP",IFERROR(LEFT(_xlfn.XLOOKUP(AE1005,Sheet1!$F:$F,Sheet1!$W:$W),FIND("-",_xlfn.XLOOKUP(AE1005,Sheet1!$F:$F,Sheet1!$W:$W),FIND("-",_xlfn.XLOOKUP(AE1005,Sheet1!$F:$F,Sheet1!$W:$W))+1))&amp;AE1005,"NOT FOUND"),LEFT(J1005,FIND("-",J1005,FIND("-",J1005)+1))&amp;AE1005))</f>
        <v>KRTS-APSU26-RETKRTSFUT4114</v>
      </c>
    </row>
    <row r="1006" spans="1:34" ht="15.75" customHeight="1" x14ac:dyDescent="0.2">
      <c r="A1006" s="4" t="s">
        <v>30</v>
      </c>
      <c r="B1006" s="4" t="s">
        <v>1433</v>
      </c>
      <c r="C1006" s="4" t="s">
        <v>1312</v>
      </c>
      <c r="D1006" s="4" t="s">
        <v>1395</v>
      </c>
      <c r="E1006" s="4" t="s">
        <v>34</v>
      </c>
      <c r="F1006" s="4" t="s">
        <v>35</v>
      </c>
      <c r="G1006" s="4" t="s">
        <v>36</v>
      </c>
      <c r="H1006" s="4" t="s">
        <v>1434</v>
      </c>
      <c r="I1006" s="4" t="s">
        <v>1435</v>
      </c>
      <c r="J1006" s="4" t="s">
        <v>1436</v>
      </c>
      <c r="L1006" s="4" t="s">
        <v>40</v>
      </c>
      <c r="M1006" s="4">
        <v>1</v>
      </c>
      <c r="N1006" s="4">
        <v>30</v>
      </c>
      <c r="O1006" s="4">
        <v>30</v>
      </c>
      <c r="P1006" s="4" t="s">
        <v>41</v>
      </c>
      <c r="Q1006" s="4">
        <v>314.3</v>
      </c>
      <c r="R1006" s="4">
        <v>314.3</v>
      </c>
      <c r="S1006" s="4">
        <v>471.45</v>
      </c>
      <c r="T1006" s="4">
        <v>9429</v>
      </c>
      <c r="U1006" s="4">
        <v>5</v>
      </c>
      <c r="V1006" s="4" t="s">
        <v>42</v>
      </c>
      <c r="X1006" s="7" t="str">
        <f t="shared" si="45"/>
        <v>441853806</v>
      </c>
      <c r="Y1006" s="8" t="str">
        <f t="shared" si="46"/>
        <v>DC</v>
      </c>
      <c r="Z1006" s="8">
        <f t="shared" si="47"/>
        <v>30</v>
      </c>
      <c r="AA1006" s="8">
        <f t="shared" si="48"/>
        <v>0</v>
      </c>
      <c r="AB1006" s="8">
        <f t="shared" si="49"/>
        <v>0</v>
      </c>
      <c r="AC1006" s="8">
        <f t="shared" si="50"/>
        <v>0</v>
      </c>
      <c r="AD1006" s="8">
        <f t="shared" si="51"/>
        <v>0</v>
      </c>
      <c r="AE1006" s="9" t="str" cm="1">
        <f t="array" ref="AE1006">IFERROR(_xlfn.XLOOKUP(H1006,Sheet1!$G:$G,Sheet1!$F:$F),IFERROR(_xlfn.XLOOKUP(1,(--($X$2:$X$1074=X1006))*(--ISNUMBER(MATCH($H$2:$H$1074,Sheet1!$G:$G,0))),_xlfn.XLOOKUP($H$2:$H$1074,Sheet1!$G:$G,Sheet1!$F:$F,"")),"NOT FOUND"))</f>
        <v>YETKRTSFUT4114</v>
      </c>
      <c r="AF1006" s="10" t="str">
        <f t="shared" si="58"/>
        <v>MUSTARD</v>
      </c>
      <c r="AG1006" s="11" t="str">
        <f t="shared" si="59"/>
        <v>Bangalore</v>
      </c>
      <c r="AH1006" s="9" t="str">
        <f>IF(OR(J1006="",AE1006="",AE1006="NOT FOUND"),"",IF(Y1006="RP",IFERROR(LEFT(_xlfn.XLOOKUP(AE1006,Sheet1!$F:$F,Sheet1!$W:$W),FIND("-",_xlfn.XLOOKUP(AE1006,Sheet1!$F:$F,Sheet1!$W:$W),FIND("-",_xlfn.XLOOKUP(AE1006,Sheet1!$F:$F,Sheet1!$W:$W))+1))&amp;AE1006,"NOT FOUND"),LEFT(J1006,FIND("-",J1006,FIND("-",J1006)+1))&amp;AE1006))</f>
        <v>KRTS-APSU26-YETKRTSFUT4114</v>
      </c>
    </row>
    <row r="1007" spans="1:34" ht="15.75" customHeight="1" x14ac:dyDescent="0.2">
      <c r="A1007" s="4" t="s">
        <v>30</v>
      </c>
      <c r="B1007" s="4" t="s">
        <v>1433</v>
      </c>
      <c r="C1007" s="4" t="s">
        <v>1312</v>
      </c>
      <c r="D1007" s="4" t="s">
        <v>1395</v>
      </c>
      <c r="E1007" s="4" t="s">
        <v>34</v>
      </c>
      <c r="F1007" s="4" t="s">
        <v>35</v>
      </c>
      <c r="G1007" s="4" t="s">
        <v>43</v>
      </c>
      <c r="H1007" s="4" t="s">
        <v>1437</v>
      </c>
      <c r="I1007" s="4" t="s">
        <v>1438</v>
      </c>
      <c r="J1007" s="4" t="s">
        <v>1439</v>
      </c>
      <c r="L1007" s="4" t="s">
        <v>40</v>
      </c>
      <c r="M1007" s="4">
        <v>1</v>
      </c>
      <c r="N1007" s="4">
        <v>244</v>
      </c>
      <c r="O1007" s="4">
        <v>244</v>
      </c>
      <c r="P1007" s="4" t="s">
        <v>41</v>
      </c>
      <c r="Q1007" s="4">
        <v>314.3</v>
      </c>
      <c r="R1007" s="4">
        <v>314.3</v>
      </c>
      <c r="S1007" s="4">
        <v>3834.46</v>
      </c>
      <c r="T1007" s="4">
        <v>76689.2</v>
      </c>
      <c r="U1007" s="4">
        <v>5</v>
      </c>
      <c r="V1007" s="4" t="s">
        <v>42</v>
      </c>
      <c r="X1007" s="7" t="str">
        <f t="shared" si="45"/>
        <v>441853806</v>
      </c>
      <c r="Y1007" s="8" t="str">
        <f t="shared" si="46"/>
        <v>DC</v>
      </c>
      <c r="Z1007" s="8">
        <f t="shared" si="47"/>
        <v>0</v>
      </c>
      <c r="AA1007" s="8">
        <f t="shared" si="48"/>
        <v>244</v>
      </c>
      <c r="AB1007" s="8">
        <f t="shared" si="49"/>
        <v>0</v>
      </c>
      <c r="AC1007" s="8">
        <f t="shared" si="50"/>
        <v>0</v>
      </c>
      <c r="AD1007" s="8">
        <f t="shared" si="51"/>
        <v>0</v>
      </c>
      <c r="AE1007" s="9" t="str" cm="1">
        <f t="array" ref="AE1007">IFERROR(_xlfn.XLOOKUP(H1007,Sheet1!$G:$G,Sheet1!$F:$F),IFERROR(_xlfn.XLOOKUP(1,(--($X$2:$X$1074=X1007))*(--ISNUMBER(MATCH($H$2:$H$1074,Sheet1!$G:$G,0))),_xlfn.XLOOKUP($H$2:$H$1074,Sheet1!$G:$G,Sheet1!$F:$F,"")),"NOT FOUND"))</f>
        <v>YETKRTSFUT4114</v>
      </c>
      <c r="AF1007" s="10" t="str">
        <f t="shared" si="58"/>
        <v>MUSTARD</v>
      </c>
      <c r="AG1007" s="11" t="str">
        <f t="shared" si="59"/>
        <v>Bangalore</v>
      </c>
      <c r="AH1007" s="9" t="str">
        <f>IF(OR(J1007="",AE1007="",AE1007="NOT FOUND"),"",IF(Y1007="RP",IFERROR(LEFT(_xlfn.XLOOKUP(AE1007,Sheet1!$F:$F,Sheet1!$W:$W),FIND("-",_xlfn.XLOOKUP(AE1007,Sheet1!$F:$F,Sheet1!$W:$W),FIND("-",_xlfn.XLOOKUP(AE1007,Sheet1!$F:$F,Sheet1!$W:$W))+1))&amp;AE1007,"NOT FOUND"),LEFT(J1007,FIND("-",J1007,FIND("-",J1007)+1))&amp;AE1007))</f>
        <v>KRTS-APSU26-YETKRTSFUT4114</v>
      </c>
    </row>
    <row r="1008" spans="1:34" ht="15.75" customHeight="1" x14ac:dyDescent="0.2">
      <c r="A1008" s="4" t="s">
        <v>30</v>
      </c>
      <c r="B1008" s="4" t="s">
        <v>1433</v>
      </c>
      <c r="C1008" s="4" t="s">
        <v>1312</v>
      </c>
      <c r="D1008" s="4" t="s">
        <v>1395</v>
      </c>
      <c r="E1008" s="4" t="s">
        <v>34</v>
      </c>
      <c r="F1008" s="4" t="s">
        <v>35</v>
      </c>
      <c r="G1008" s="4" t="s">
        <v>47</v>
      </c>
      <c r="H1008" s="4" t="s">
        <v>1440</v>
      </c>
      <c r="I1008" s="4" t="s">
        <v>1441</v>
      </c>
      <c r="J1008" s="4" t="s">
        <v>1442</v>
      </c>
      <c r="L1008" s="4" t="s">
        <v>40</v>
      </c>
      <c r="M1008" s="4">
        <v>1</v>
      </c>
      <c r="N1008" s="4">
        <v>217</v>
      </c>
      <c r="O1008" s="4">
        <v>217</v>
      </c>
      <c r="P1008" s="4" t="s">
        <v>41</v>
      </c>
      <c r="Q1008" s="4">
        <v>314.3</v>
      </c>
      <c r="R1008" s="4">
        <v>314.3</v>
      </c>
      <c r="S1008" s="4">
        <v>3410.16</v>
      </c>
      <c r="T1008" s="4">
        <v>68203.100000000006</v>
      </c>
      <c r="U1008" s="4">
        <v>5</v>
      </c>
      <c r="V1008" s="4" t="s">
        <v>42</v>
      </c>
      <c r="X1008" s="7" t="str">
        <f t="shared" si="45"/>
        <v>441853806</v>
      </c>
      <c r="Y1008" s="8" t="str">
        <f t="shared" si="46"/>
        <v>DC</v>
      </c>
      <c r="Z1008" s="8">
        <f t="shared" si="47"/>
        <v>0</v>
      </c>
      <c r="AA1008" s="8">
        <f t="shared" si="48"/>
        <v>0</v>
      </c>
      <c r="AB1008" s="8">
        <f t="shared" si="49"/>
        <v>217</v>
      </c>
      <c r="AC1008" s="8">
        <f t="shared" si="50"/>
        <v>0</v>
      </c>
      <c r="AD1008" s="8">
        <f t="shared" si="51"/>
        <v>0</v>
      </c>
      <c r="AE1008" s="9" t="str" cm="1">
        <f t="array" ref="AE1008">IFERROR(_xlfn.XLOOKUP(H1008,Sheet1!$G:$G,Sheet1!$F:$F),IFERROR(_xlfn.XLOOKUP(1,(--($X$2:$X$1074=X1008))*(--ISNUMBER(MATCH($H$2:$H$1074,Sheet1!$G:$G,0))),_xlfn.XLOOKUP($H$2:$H$1074,Sheet1!$G:$G,Sheet1!$F:$F,"")),"NOT FOUND"))</f>
        <v>YETKRTSFUT4114</v>
      </c>
      <c r="AF1008" s="10" t="str">
        <f t="shared" si="58"/>
        <v>MUSTARD</v>
      </c>
      <c r="AG1008" s="11" t="str">
        <f t="shared" si="59"/>
        <v>Bangalore</v>
      </c>
      <c r="AH1008" s="9" t="str">
        <f>IF(OR(J1008="",AE1008="",AE1008="NOT FOUND"),"",IF(Y1008="RP",IFERROR(LEFT(_xlfn.XLOOKUP(AE1008,Sheet1!$F:$F,Sheet1!$W:$W),FIND("-",_xlfn.XLOOKUP(AE1008,Sheet1!$F:$F,Sheet1!$W:$W),FIND("-",_xlfn.XLOOKUP(AE1008,Sheet1!$F:$F,Sheet1!$W:$W))+1))&amp;AE1008,"NOT FOUND"),LEFT(J1008,FIND("-",J1008,FIND("-",J1008)+1))&amp;AE1008))</f>
        <v>KRTS-APSU26-YETKRTSFUT4114</v>
      </c>
    </row>
    <row r="1009" spans="1:34" ht="15.75" customHeight="1" x14ac:dyDescent="0.2">
      <c r="A1009" s="4" t="s">
        <v>30</v>
      </c>
      <c r="B1009" s="4" t="s">
        <v>1433</v>
      </c>
      <c r="C1009" s="4" t="s">
        <v>1312</v>
      </c>
      <c r="D1009" s="4" t="s">
        <v>1395</v>
      </c>
      <c r="E1009" s="4" t="s">
        <v>34</v>
      </c>
      <c r="F1009" s="4" t="s">
        <v>35</v>
      </c>
      <c r="G1009" s="4" t="s">
        <v>51</v>
      </c>
      <c r="H1009" s="4" t="s">
        <v>1443</v>
      </c>
      <c r="I1009" s="4" t="s">
        <v>1444</v>
      </c>
      <c r="J1009" s="4" t="s">
        <v>1445</v>
      </c>
      <c r="L1009" s="4" t="s">
        <v>40</v>
      </c>
      <c r="M1009" s="4">
        <v>1</v>
      </c>
      <c r="N1009" s="4">
        <v>285</v>
      </c>
      <c r="O1009" s="4">
        <v>285</v>
      </c>
      <c r="P1009" s="4" t="s">
        <v>41</v>
      </c>
      <c r="Q1009" s="4">
        <v>314.3</v>
      </c>
      <c r="R1009" s="4">
        <v>314.3</v>
      </c>
      <c r="S1009" s="4">
        <v>4478.78</v>
      </c>
      <c r="T1009" s="4">
        <v>89575.5</v>
      </c>
      <c r="U1009" s="4">
        <v>5</v>
      </c>
      <c r="V1009" s="4" t="s">
        <v>42</v>
      </c>
      <c r="X1009" s="7" t="str">
        <f t="shared" si="45"/>
        <v>441853806</v>
      </c>
      <c r="Y1009" s="8" t="str">
        <f t="shared" si="46"/>
        <v>DC</v>
      </c>
      <c r="Z1009" s="8">
        <f t="shared" si="47"/>
        <v>0</v>
      </c>
      <c r="AA1009" s="8">
        <f t="shared" si="48"/>
        <v>0</v>
      </c>
      <c r="AB1009" s="8">
        <f t="shared" si="49"/>
        <v>0</v>
      </c>
      <c r="AC1009" s="8">
        <f t="shared" si="50"/>
        <v>285</v>
      </c>
      <c r="AD1009" s="8">
        <f t="shared" si="51"/>
        <v>0</v>
      </c>
      <c r="AE1009" s="9" t="str" cm="1">
        <f t="array" ref="AE1009">IFERROR(_xlfn.XLOOKUP(H1009,Sheet1!$G:$G,Sheet1!$F:$F),IFERROR(_xlfn.XLOOKUP(1,(--($X$2:$X$1074=X1009))*(--ISNUMBER(MATCH($H$2:$H$1074,Sheet1!$G:$G,0))),_xlfn.XLOOKUP($H$2:$H$1074,Sheet1!$G:$G,Sheet1!$F:$F,"")),"NOT FOUND"))</f>
        <v>YETKRTSFUT4114</v>
      </c>
      <c r="AF1009" s="10" t="str">
        <f t="shared" si="58"/>
        <v>MUSTARD</v>
      </c>
      <c r="AG1009" s="11" t="str">
        <f t="shared" si="59"/>
        <v>Bangalore</v>
      </c>
      <c r="AH1009" s="9" t="str">
        <f>IF(OR(J1009="",AE1009="",AE1009="NOT FOUND"),"",IF(Y1009="RP",IFERROR(LEFT(_xlfn.XLOOKUP(AE1009,Sheet1!$F:$F,Sheet1!$W:$W),FIND("-",_xlfn.XLOOKUP(AE1009,Sheet1!$F:$F,Sheet1!$W:$W),FIND("-",_xlfn.XLOOKUP(AE1009,Sheet1!$F:$F,Sheet1!$W:$W))+1))&amp;AE1009,"NOT FOUND"),LEFT(J1009,FIND("-",J1009,FIND("-",J1009)+1))&amp;AE1009))</f>
        <v>KRTS-APSU26-YETKRTSFUT4114</v>
      </c>
    </row>
    <row r="1010" spans="1:34" ht="15.75" customHeight="1" x14ac:dyDescent="0.2">
      <c r="A1010" s="4" t="s">
        <v>30</v>
      </c>
      <c r="B1010" s="4" t="s">
        <v>1433</v>
      </c>
      <c r="C1010" s="4" t="s">
        <v>1312</v>
      </c>
      <c r="D1010" s="4" t="s">
        <v>1395</v>
      </c>
      <c r="E1010" s="4" t="s">
        <v>34</v>
      </c>
      <c r="F1010" s="4" t="s">
        <v>35</v>
      </c>
      <c r="G1010" s="4" t="s">
        <v>55</v>
      </c>
      <c r="H1010" s="4" t="s">
        <v>1446</v>
      </c>
      <c r="I1010" s="4" t="s">
        <v>1447</v>
      </c>
      <c r="J1010" s="4" t="s">
        <v>1448</v>
      </c>
      <c r="L1010" s="4" t="s">
        <v>40</v>
      </c>
      <c r="M1010" s="4">
        <v>1</v>
      </c>
      <c r="N1010" s="4">
        <v>55</v>
      </c>
      <c r="O1010" s="4">
        <v>55</v>
      </c>
      <c r="P1010" s="4" t="s">
        <v>41</v>
      </c>
      <c r="Q1010" s="4">
        <v>314.3</v>
      </c>
      <c r="R1010" s="4">
        <v>314.3</v>
      </c>
      <c r="S1010" s="4">
        <v>864.33</v>
      </c>
      <c r="T1010" s="4">
        <v>17286.5</v>
      </c>
      <c r="U1010" s="4">
        <v>5</v>
      </c>
      <c r="V1010" s="4" t="s">
        <v>42</v>
      </c>
      <c r="X1010" s="7" t="str">
        <f t="shared" si="45"/>
        <v>441853806</v>
      </c>
      <c r="Y1010" s="8" t="str">
        <f t="shared" si="46"/>
        <v>DC</v>
      </c>
      <c r="Z1010" s="8">
        <f t="shared" si="47"/>
        <v>0</v>
      </c>
      <c r="AA1010" s="8">
        <f t="shared" si="48"/>
        <v>0</v>
      </c>
      <c r="AB1010" s="8">
        <f t="shared" si="49"/>
        <v>0</v>
      </c>
      <c r="AC1010" s="8">
        <f t="shared" si="50"/>
        <v>0</v>
      </c>
      <c r="AD1010" s="8">
        <f t="shared" si="51"/>
        <v>55</v>
      </c>
      <c r="AE1010" s="9" t="str" cm="1">
        <f t="array" ref="AE1010">IFERROR(_xlfn.XLOOKUP(H1010,Sheet1!$G:$G,Sheet1!$F:$F),IFERROR(_xlfn.XLOOKUP(1,(--($X$2:$X$1074=X1010))*(--ISNUMBER(MATCH($H$2:$H$1074,Sheet1!$G:$G,0))),_xlfn.XLOOKUP($H$2:$H$1074,Sheet1!$G:$G,Sheet1!$F:$F,"")),"NOT FOUND"))</f>
        <v>YETKRTSFUT4114</v>
      </c>
      <c r="AF1010" s="10" t="str">
        <f t="shared" si="58"/>
        <v>MUSTARD</v>
      </c>
      <c r="AG1010" s="11" t="str">
        <f t="shared" si="59"/>
        <v>Bangalore</v>
      </c>
      <c r="AH1010" s="9" t="str">
        <f>IF(OR(J1010="",AE1010="",AE1010="NOT FOUND"),"",IF(Y1010="RP",IFERROR(LEFT(_xlfn.XLOOKUP(AE1010,Sheet1!$F:$F,Sheet1!$W:$W),FIND("-",_xlfn.XLOOKUP(AE1010,Sheet1!$F:$F,Sheet1!$W:$W),FIND("-",_xlfn.XLOOKUP(AE1010,Sheet1!$F:$F,Sheet1!$W:$W))+1))&amp;AE1010,"NOT FOUND"),LEFT(J1010,FIND("-",J1010,FIND("-",J1010)+1))&amp;AE1010))</f>
        <v>KRTS-APSU26-YETKRTSFUT4114</v>
      </c>
    </row>
    <row r="1011" spans="1:34" ht="15.75" customHeight="1" x14ac:dyDescent="0.2">
      <c r="A1011" s="4" t="s">
        <v>30</v>
      </c>
      <c r="B1011" s="4" t="s">
        <v>1449</v>
      </c>
      <c r="C1011" s="4" t="s">
        <v>1312</v>
      </c>
      <c r="D1011" s="4" t="s">
        <v>1125</v>
      </c>
      <c r="E1011" s="4" t="s">
        <v>34</v>
      </c>
      <c r="F1011" s="4" t="s">
        <v>35</v>
      </c>
      <c r="G1011" s="4" t="s">
        <v>36</v>
      </c>
      <c r="H1011" s="4" t="s">
        <v>1450</v>
      </c>
      <c r="I1011" s="4" t="s">
        <v>1451</v>
      </c>
      <c r="J1011" s="4" t="s">
        <v>1452</v>
      </c>
      <c r="L1011" s="4" t="s">
        <v>40</v>
      </c>
      <c r="M1011" s="4">
        <v>1</v>
      </c>
      <c r="N1011" s="4">
        <v>30</v>
      </c>
      <c r="O1011" s="4">
        <v>30</v>
      </c>
      <c r="P1011" s="4" t="s">
        <v>41</v>
      </c>
      <c r="Q1011" s="4">
        <v>424.3</v>
      </c>
      <c r="R1011" s="4">
        <v>424.3</v>
      </c>
      <c r="S1011" s="4">
        <v>636.45000000000005</v>
      </c>
      <c r="T1011" s="4">
        <v>12729</v>
      </c>
      <c r="U1011" s="4">
        <v>5</v>
      </c>
      <c r="V1011" s="4" t="s">
        <v>42</v>
      </c>
      <c r="X1011" s="7" t="str">
        <f t="shared" si="45"/>
        <v>441853803</v>
      </c>
      <c r="Y1011" s="8" t="str">
        <f t="shared" si="46"/>
        <v>DC</v>
      </c>
      <c r="Z1011" s="8">
        <f t="shared" si="47"/>
        <v>30</v>
      </c>
      <c r="AA1011" s="8">
        <f t="shared" si="48"/>
        <v>0</v>
      </c>
      <c r="AB1011" s="8">
        <f t="shared" si="49"/>
        <v>0</v>
      </c>
      <c r="AC1011" s="8">
        <f t="shared" si="50"/>
        <v>0</v>
      </c>
      <c r="AD1011" s="8">
        <f t="shared" si="51"/>
        <v>0</v>
      </c>
      <c r="AE1011" s="9" t="str" cm="1">
        <f t="array" ref="AE1011">IFERROR(_xlfn.XLOOKUP(H1011,Sheet1!$G:$G,Sheet1!$F:$F),IFERROR(_xlfn.XLOOKUP(1,(--($X$2:$X$1074=X1011))*(--ISNUMBER(MATCH($H$2:$H$1074,Sheet1!$G:$G,0))),_xlfn.XLOOKUP($H$2:$H$1074,Sheet1!$G:$G,Sheet1!$F:$F,"")),"NOT FOUND"))</f>
        <v>YETCRDSFUT4111</v>
      </c>
      <c r="AF1011" s="10" t="str">
        <f t="shared" si="58"/>
        <v>BLACK</v>
      </c>
      <c r="AG1011" s="11" t="str">
        <f t="shared" si="59"/>
        <v>Bangalore</v>
      </c>
      <c r="AH1011" s="9" t="str">
        <f>IF(OR(J1011="",AE1011="",AE1011="NOT FOUND"),"",IF(Y1011="RP",IFERROR(LEFT(_xlfn.XLOOKUP(AE1011,Sheet1!$F:$F,Sheet1!$W:$W),FIND("-",_xlfn.XLOOKUP(AE1011,Sheet1!$F:$F,Sheet1!$W:$W),FIND("-",_xlfn.XLOOKUP(AE1011,Sheet1!$F:$F,Sheet1!$W:$W))+1))&amp;AE1011,"NOT FOUND"),LEFT(J1011,FIND("-",J1011,FIND("-",J1011)+1))&amp;AE1011))</f>
        <v>SKD-APSU26-YETCRDSFUT4111</v>
      </c>
    </row>
    <row r="1012" spans="1:34" ht="15.75" customHeight="1" x14ac:dyDescent="0.2">
      <c r="A1012" s="4" t="s">
        <v>30</v>
      </c>
      <c r="B1012" s="4" t="s">
        <v>1449</v>
      </c>
      <c r="C1012" s="4" t="s">
        <v>1312</v>
      </c>
      <c r="D1012" s="4" t="s">
        <v>1125</v>
      </c>
      <c r="E1012" s="4" t="s">
        <v>34</v>
      </c>
      <c r="F1012" s="4" t="s">
        <v>35</v>
      </c>
      <c r="G1012" s="4" t="s">
        <v>43</v>
      </c>
      <c r="H1012" s="4" t="s">
        <v>1453</v>
      </c>
      <c r="I1012" s="4" t="s">
        <v>1454</v>
      </c>
      <c r="J1012" s="4" t="s">
        <v>1455</v>
      </c>
      <c r="L1012" s="4" t="s">
        <v>40</v>
      </c>
      <c r="M1012" s="4">
        <v>1</v>
      </c>
      <c r="N1012" s="4">
        <v>123</v>
      </c>
      <c r="O1012" s="4">
        <v>123</v>
      </c>
      <c r="P1012" s="4" t="s">
        <v>41</v>
      </c>
      <c r="Q1012" s="4">
        <v>424.3</v>
      </c>
      <c r="R1012" s="4">
        <v>424.3</v>
      </c>
      <c r="S1012" s="4">
        <v>2609.4499999999998</v>
      </c>
      <c r="T1012" s="4">
        <v>52188.9</v>
      </c>
      <c r="U1012" s="4">
        <v>5</v>
      </c>
      <c r="V1012" s="4" t="s">
        <v>42</v>
      </c>
      <c r="X1012" s="7" t="str">
        <f t="shared" si="45"/>
        <v>441853803</v>
      </c>
      <c r="Y1012" s="8" t="str">
        <f t="shared" si="46"/>
        <v>DC</v>
      </c>
      <c r="Z1012" s="8">
        <f t="shared" si="47"/>
        <v>0</v>
      </c>
      <c r="AA1012" s="8">
        <f t="shared" si="48"/>
        <v>123</v>
      </c>
      <c r="AB1012" s="8">
        <f t="shared" si="49"/>
        <v>0</v>
      </c>
      <c r="AC1012" s="8">
        <f t="shared" si="50"/>
        <v>0</v>
      </c>
      <c r="AD1012" s="8">
        <f t="shared" si="51"/>
        <v>0</v>
      </c>
      <c r="AE1012" s="9" t="str" cm="1">
        <f t="array" ref="AE1012">IFERROR(_xlfn.XLOOKUP(H1012,Sheet1!$G:$G,Sheet1!$F:$F),IFERROR(_xlfn.XLOOKUP(1,(--($X$2:$X$1074=X1012))*(--ISNUMBER(MATCH($H$2:$H$1074,Sheet1!$G:$G,0))),_xlfn.XLOOKUP($H$2:$H$1074,Sheet1!$G:$G,Sheet1!$F:$F,"")),"NOT FOUND"))</f>
        <v>YETCRDSFUT4111</v>
      </c>
      <c r="AF1012" s="10" t="str">
        <f t="shared" si="58"/>
        <v>BLACK</v>
      </c>
      <c r="AG1012" s="11" t="str">
        <f t="shared" si="59"/>
        <v>Bangalore</v>
      </c>
      <c r="AH1012" s="9" t="str">
        <f>IF(OR(J1012="",AE1012="",AE1012="NOT FOUND"),"",IF(Y1012="RP",IFERROR(LEFT(_xlfn.XLOOKUP(AE1012,Sheet1!$F:$F,Sheet1!$W:$W),FIND("-",_xlfn.XLOOKUP(AE1012,Sheet1!$F:$F,Sheet1!$W:$W),FIND("-",_xlfn.XLOOKUP(AE1012,Sheet1!$F:$F,Sheet1!$W:$W))+1))&amp;AE1012,"NOT FOUND"),LEFT(J1012,FIND("-",J1012,FIND("-",J1012)+1))&amp;AE1012))</f>
        <v>SKD-APSU26-YETCRDSFUT4111</v>
      </c>
    </row>
    <row r="1013" spans="1:34" ht="15.75" customHeight="1" x14ac:dyDescent="0.2">
      <c r="A1013" s="4" t="s">
        <v>30</v>
      </c>
      <c r="B1013" s="4" t="s">
        <v>1449</v>
      </c>
      <c r="C1013" s="4" t="s">
        <v>1312</v>
      </c>
      <c r="D1013" s="4" t="s">
        <v>1125</v>
      </c>
      <c r="E1013" s="4" t="s">
        <v>34</v>
      </c>
      <c r="F1013" s="4" t="s">
        <v>35</v>
      </c>
      <c r="G1013" s="4" t="s">
        <v>47</v>
      </c>
      <c r="H1013" s="4" t="s">
        <v>1456</v>
      </c>
      <c r="I1013" s="4" t="s">
        <v>1457</v>
      </c>
      <c r="J1013" s="4" t="s">
        <v>1458</v>
      </c>
      <c r="L1013" s="4" t="s">
        <v>40</v>
      </c>
      <c r="M1013" s="4">
        <v>1</v>
      </c>
      <c r="N1013" s="4">
        <v>144</v>
      </c>
      <c r="O1013" s="4">
        <v>144</v>
      </c>
      <c r="P1013" s="4" t="s">
        <v>41</v>
      </c>
      <c r="Q1013" s="4">
        <v>424.3</v>
      </c>
      <c r="R1013" s="4">
        <v>424.3</v>
      </c>
      <c r="S1013" s="4">
        <v>3054.96</v>
      </c>
      <c r="T1013" s="4">
        <v>61099.199999999997</v>
      </c>
      <c r="U1013" s="4">
        <v>5</v>
      </c>
      <c r="V1013" s="4" t="s">
        <v>42</v>
      </c>
      <c r="X1013" s="7" t="str">
        <f t="shared" si="45"/>
        <v>441853803</v>
      </c>
      <c r="Y1013" s="8" t="str">
        <f t="shared" si="46"/>
        <v>DC</v>
      </c>
      <c r="Z1013" s="8">
        <f t="shared" si="47"/>
        <v>0</v>
      </c>
      <c r="AA1013" s="8">
        <f t="shared" si="48"/>
        <v>0</v>
      </c>
      <c r="AB1013" s="8">
        <f t="shared" si="49"/>
        <v>144</v>
      </c>
      <c r="AC1013" s="8">
        <f t="shared" si="50"/>
        <v>0</v>
      </c>
      <c r="AD1013" s="8">
        <f t="shared" si="51"/>
        <v>0</v>
      </c>
      <c r="AE1013" s="9" t="str" cm="1">
        <f t="array" ref="AE1013">IFERROR(_xlfn.XLOOKUP(H1013,Sheet1!$G:$G,Sheet1!$F:$F),IFERROR(_xlfn.XLOOKUP(1,(--($X$2:$X$1074=X1013))*(--ISNUMBER(MATCH($H$2:$H$1074,Sheet1!$G:$G,0))),_xlfn.XLOOKUP($H$2:$H$1074,Sheet1!$G:$G,Sheet1!$F:$F,"")),"NOT FOUND"))</f>
        <v>YETCRDSFUT4111</v>
      </c>
      <c r="AF1013" s="10" t="str">
        <f t="shared" si="58"/>
        <v>BLACK</v>
      </c>
      <c r="AG1013" s="11" t="str">
        <f t="shared" si="59"/>
        <v>Bangalore</v>
      </c>
      <c r="AH1013" s="9" t="str">
        <f>IF(OR(J1013="",AE1013="",AE1013="NOT FOUND"),"",IF(Y1013="RP",IFERROR(LEFT(_xlfn.XLOOKUP(AE1013,Sheet1!$F:$F,Sheet1!$W:$W),FIND("-",_xlfn.XLOOKUP(AE1013,Sheet1!$F:$F,Sheet1!$W:$W),FIND("-",_xlfn.XLOOKUP(AE1013,Sheet1!$F:$F,Sheet1!$W:$W))+1))&amp;AE1013,"NOT FOUND"),LEFT(J1013,FIND("-",J1013,FIND("-",J1013)+1))&amp;AE1013))</f>
        <v>SKD-APSU26-YETCRDSFUT4111</v>
      </c>
    </row>
    <row r="1014" spans="1:34" ht="15.75" customHeight="1" x14ac:dyDescent="0.2">
      <c r="A1014" s="4" t="s">
        <v>30</v>
      </c>
      <c r="B1014" s="4" t="s">
        <v>1449</v>
      </c>
      <c r="C1014" s="4" t="s">
        <v>1312</v>
      </c>
      <c r="D1014" s="4" t="s">
        <v>1125</v>
      </c>
      <c r="E1014" s="4" t="s">
        <v>34</v>
      </c>
      <c r="F1014" s="4" t="s">
        <v>35</v>
      </c>
      <c r="G1014" s="4" t="s">
        <v>51</v>
      </c>
      <c r="H1014" s="4" t="s">
        <v>1459</v>
      </c>
      <c r="I1014" s="4" t="s">
        <v>1460</v>
      </c>
      <c r="J1014" s="4" t="s">
        <v>1461</v>
      </c>
      <c r="L1014" s="4" t="s">
        <v>40</v>
      </c>
      <c r="M1014" s="4">
        <v>1</v>
      </c>
      <c r="N1014" s="4">
        <v>126</v>
      </c>
      <c r="O1014" s="4">
        <v>126</v>
      </c>
      <c r="P1014" s="4" t="s">
        <v>41</v>
      </c>
      <c r="Q1014" s="4">
        <v>424.3</v>
      </c>
      <c r="R1014" s="4">
        <v>424.3</v>
      </c>
      <c r="S1014" s="4">
        <v>2673.09</v>
      </c>
      <c r="T1014" s="4">
        <v>53461.8</v>
      </c>
      <c r="U1014" s="4">
        <v>5</v>
      </c>
      <c r="V1014" s="4" t="s">
        <v>42</v>
      </c>
      <c r="X1014" s="7" t="str">
        <f t="shared" si="45"/>
        <v>441853803</v>
      </c>
      <c r="Y1014" s="8" t="str">
        <f t="shared" si="46"/>
        <v>DC</v>
      </c>
      <c r="Z1014" s="8">
        <f t="shared" si="47"/>
        <v>0</v>
      </c>
      <c r="AA1014" s="8">
        <f t="shared" si="48"/>
        <v>0</v>
      </c>
      <c r="AB1014" s="8">
        <f t="shared" si="49"/>
        <v>0</v>
      </c>
      <c r="AC1014" s="8">
        <f t="shared" si="50"/>
        <v>126</v>
      </c>
      <c r="AD1014" s="8">
        <f t="shared" si="51"/>
        <v>0</v>
      </c>
      <c r="AE1014" s="9" t="str" cm="1">
        <f t="array" ref="AE1014">IFERROR(_xlfn.XLOOKUP(H1014,Sheet1!$G:$G,Sheet1!$F:$F),IFERROR(_xlfn.XLOOKUP(1,(--($X$2:$X$1074=X1014))*(--ISNUMBER(MATCH($H$2:$H$1074,Sheet1!$G:$G,0))),_xlfn.XLOOKUP($H$2:$H$1074,Sheet1!$G:$G,Sheet1!$F:$F,"")),"NOT FOUND"))</f>
        <v>YETCRDSFUT4111</v>
      </c>
      <c r="AF1014" s="10" t="str">
        <f t="shared" si="58"/>
        <v>BLACK</v>
      </c>
      <c r="AG1014" s="11" t="str">
        <f t="shared" si="59"/>
        <v>Bangalore</v>
      </c>
      <c r="AH1014" s="9" t="str">
        <f>IF(OR(J1014="",AE1014="",AE1014="NOT FOUND"),"",IF(Y1014="RP",IFERROR(LEFT(_xlfn.XLOOKUP(AE1014,Sheet1!$F:$F,Sheet1!$W:$W),FIND("-",_xlfn.XLOOKUP(AE1014,Sheet1!$F:$F,Sheet1!$W:$W),FIND("-",_xlfn.XLOOKUP(AE1014,Sheet1!$F:$F,Sheet1!$W:$W))+1))&amp;AE1014,"NOT FOUND"),LEFT(J1014,FIND("-",J1014,FIND("-",J1014)+1))&amp;AE1014))</f>
        <v>SKD-APSU26-YETCRDSFUT4111</v>
      </c>
    </row>
    <row r="1015" spans="1:34" ht="15.75" customHeight="1" x14ac:dyDescent="0.2">
      <c r="A1015" s="4" t="s">
        <v>30</v>
      </c>
      <c r="B1015" s="4" t="s">
        <v>1449</v>
      </c>
      <c r="C1015" s="4" t="s">
        <v>1312</v>
      </c>
      <c r="D1015" s="4" t="s">
        <v>1125</v>
      </c>
      <c r="E1015" s="4" t="s">
        <v>34</v>
      </c>
      <c r="F1015" s="4" t="s">
        <v>35</v>
      </c>
      <c r="G1015" s="4" t="s">
        <v>55</v>
      </c>
      <c r="H1015" s="4" t="s">
        <v>1462</v>
      </c>
      <c r="I1015" s="4" t="s">
        <v>1463</v>
      </c>
      <c r="J1015" s="4" t="s">
        <v>1464</v>
      </c>
      <c r="L1015" s="4" t="s">
        <v>40</v>
      </c>
      <c r="M1015" s="4">
        <v>1</v>
      </c>
      <c r="N1015" s="4">
        <v>30</v>
      </c>
      <c r="O1015" s="4">
        <v>30</v>
      </c>
      <c r="P1015" s="4" t="s">
        <v>41</v>
      </c>
      <c r="Q1015" s="4">
        <v>424.3</v>
      </c>
      <c r="R1015" s="4">
        <v>424.3</v>
      </c>
      <c r="S1015" s="4">
        <v>636.45000000000005</v>
      </c>
      <c r="T1015" s="4">
        <v>12729</v>
      </c>
      <c r="U1015" s="4">
        <v>5</v>
      </c>
      <c r="V1015" s="4" t="s">
        <v>42</v>
      </c>
      <c r="X1015" s="7" t="str">
        <f t="shared" si="45"/>
        <v>441853803</v>
      </c>
      <c r="Y1015" s="8" t="str">
        <f t="shared" si="46"/>
        <v>DC</v>
      </c>
      <c r="Z1015" s="8">
        <f t="shared" si="47"/>
        <v>0</v>
      </c>
      <c r="AA1015" s="8">
        <f t="shared" si="48"/>
        <v>0</v>
      </c>
      <c r="AB1015" s="8">
        <f t="shared" si="49"/>
        <v>0</v>
      </c>
      <c r="AC1015" s="8">
        <f t="shared" si="50"/>
        <v>0</v>
      </c>
      <c r="AD1015" s="8">
        <f t="shared" si="51"/>
        <v>30</v>
      </c>
      <c r="AE1015" s="9" t="str" cm="1">
        <f t="array" ref="AE1015">IFERROR(_xlfn.XLOOKUP(H1015,Sheet1!$G:$G,Sheet1!$F:$F),IFERROR(_xlfn.XLOOKUP(1,(--($X$2:$X$1074=X1015))*(--ISNUMBER(MATCH($H$2:$H$1074,Sheet1!$G:$G,0))),_xlfn.XLOOKUP($H$2:$H$1074,Sheet1!$G:$G,Sheet1!$F:$F,"")),"NOT FOUND"))</f>
        <v>YETCRDSFUT4111</v>
      </c>
      <c r="AF1015" s="10" t="str">
        <f t="shared" si="58"/>
        <v>BLACK</v>
      </c>
      <c r="AG1015" s="11" t="str">
        <f t="shared" si="59"/>
        <v>Bangalore</v>
      </c>
      <c r="AH1015" s="9" t="str">
        <f>IF(OR(J1015="",AE1015="",AE1015="NOT FOUND"),"",IF(Y1015="RP",IFERROR(LEFT(_xlfn.XLOOKUP(AE1015,Sheet1!$F:$F,Sheet1!$W:$W),FIND("-",_xlfn.XLOOKUP(AE1015,Sheet1!$F:$F,Sheet1!$W:$W),FIND("-",_xlfn.XLOOKUP(AE1015,Sheet1!$F:$F,Sheet1!$W:$W))+1))&amp;AE1015,"NOT FOUND"),LEFT(J1015,FIND("-",J1015,FIND("-",J1015)+1))&amp;AE1015))</f>
        <v>SKD-APSU26-YETCRDSFUT4111</v>
      </c>
    </row>
    <row r="1016" spans="1:34" ht="15.75" customHeight="1" x14ac:dyDescent="0.2">
      <c r="A1016" s="4" t="s">
        <v>30</v>
      </c>
      <c r="B1016" s="4" t="s">
        <v>1465</v>
      </c>
      <c r="C1016" s="4" t="s">
        <v>1312</v>
      </c>
      <c r="D1016" s="4" t="s">
        <v>64</v>
      </c>
      <c r="E1016" s="4" t="s">
        <v>34</v>
      </c>
      <c r="F1016" s="4" t="s">
        <v>35</v>
      </c>
      <c r="G1016" s="4" t="s">
        <v>36</v>
      </c>
      <c r="H1016" s="4" t="s">
        <v>1466</v>
      </c>
      <c r="I1016" s="4" t="s">
        <v>1467</v>
      </c>
      <c r="J1016" s="4" t="s">
        <v>1468</v>
      </c>
      <c r="L1016" s="4" t="s">
        <v>40</v>
      </c>
      <c r="M1016" s="4">
        <v>1</v>
      </c>
      <c r="N1016" s="4">
        <v>30</v>
      </c>
      <c r="O1016" s="4">
        <v>30</v>
      </c>
      <c r="P1016" s="4" t="s">
        <v>41</v>
      </c>
      <c r="Q1016" s="4">
        <v>629.29999999999995</v>
      </c>
      <c r="R1016" s="4">
        <v>629.29999999999995</v>
      </c>
      <c r="S1016" s="4">
        <v>943.95</v>
      </c>
      <c r="T1016" s="4">
        <v>18879</v>
      </c>
      <c r="U1016" s="4">
        <v>5</v>
      </c>
      <c r="V1016" s="4" t="s">
        <v>42</v>
      </c>
      <c r="X1016" s="7" t="str">
        <f t="shared" si="45"/>
        <v>441853801</v>
      </c>
      <c r="Y1016" s="8" t="str">
        <f t="shared" si="46"/>
        <v>DC</v>
      </c>
      <c r="Z1016" s="8">
        <f t="shared" si="47"/>
        <v>30</v>
      </c>
      <c r="AA1016" s="8">
        <f t="shared" si="48"/>
        <v>0</v>
      </c>
      <c r="AB1016" s="8">
        <f t="shared" si="49"/>
        <v>0</v>
      </c>
      <c r="AC1016" s="8">
        <f t="shared" si="50"/>
        <v>0</v>
      </c>
      <c r="AD1016" s="8">
        <f t="shared" si="51"/>
        <v>0</v>
      </c>
      <c r="AE1016" s="9" t="str" cm="1">
        <f t="array" ref="AE1016">IFERROR(_xlfn.XLOOKUP(H1016,Sheet1!$G:$G,Sheet1!$F:$F),IFERROR(_xlfn.XLOOKUP(1,(--($X$2:$X$1074=X1016))*(--ISNUMBER(MATCH($H$2:$H$1074,Sheet1!$G:$G,0))),_xlfn.XLOOKUP($H$2:$H$1074,Sheet1!$G:$G,Sheet1!$F:$F,"")),"NOT FOUND"))</f>
        <v>RETCRDSFUT4109</v>
      </c>
      <c r="AF1016" s="10" t="str">
        <f t="shared" si="58"/>
        <v>LT. PEACH</v>
      </c>
      <c r="AG1016" s="11" t="str">
        <f t="shared" si="59"/>
        <v>Bangalore</v>
      </c>
      <c r="AH1016" s="9" t="str">
        <f>IF(OR(J1016="",AE1016="",AE1016="NOT FOUND"),"",IF(Y1016="RP",IFERROR(LEFT(_xlfn.XLOOKUP(AE1016,Sheet1!$F:$F,Sheet1!$W:$W),FIND("-",_xlfn.XLOOKUP(AE1016,Sheet1!$F:$F,Sheet1!$W:$W),FIND("-",_xlfn.XLOOKUP(AE1016,Sheet1!$F:$F,Sheet1!$W:$W))+1))&amp;AE1016,"NOT FOUND"),LEFT(J1016,FIND("-",J1016,FIND("-",J1016)+1))&amp;AE1016))</f>
        <v>SKD-APSU26-RETCRDSFUT4109</v>
      </c>
    </row>
    <row r="1017" spans="1:34" ht="15.75" customHeight="1" x14ac:dyDescent="0.2">
      <c r="A1017" s="4" t="s">
        <v>30</v>
      </c>
      <c r="B1017" s="4" t="s">
        <v>1465</v>
      </c>
      <c r="C1017" s="4" t="s">
        <v>1312</v>
      </c>
      <c r="D1017" s="4" t="s">
        <v>64</v>
      </c>
      <c r="E1017" s="4" t="s">
        <v>34</v>
      </c>
      <c r="F1017" s="4" t="s">
        <v>35</v>
      </c>
      <c r="G1017" s="4" t="s">
        <v>43</v>
      </c>
      <c r="H1017" s="4" t="s">
        <v>1469</v>
      </c>
      <c r="I1017" s="4" t="s">
        <v>1470</v>
      </c>
      <c r="J1017" s="4" t="s">
        <v>1471</v>
      </c>
      <c r="L1017" s="4" t="s">
        <v>40</v>
      </c>
      <c r="M1017" s="4">
        <v>1</v>
      </c>
      <c r="N1017" s="4">
        <v>98</v>
      </c>
      <c r="O1017" s="4">
        <v>98</v>
      </c>
      <c r="P1017" s="4" t="s">
        <v>41</v>
      </c>
      <c r="Q1017" s="4">
        <v>629.29999999999995</v>
      </c>
      <c r="R1017" s="4">
        <v>629.29999999999995</v>
      </c>
      <c r="S1017" s="4">
        <v>3083.57</v>
      </c>
      <c r="T1017" s="4">
        <v>61671.4</v>
      </c>
      <c r="U1017" s="4">
        <v>5</v>
      </c>
      <c r="V1017" s="4" t="s">
        <v>42</v>
      </c>
      <c r="X1017" s="7" t="str">
        <f t="shared" si="45"/>
        <v>441853801</v>
      </c>
      <c r="Y1017" s="8" t="str">
        <f t="shared" si="46"/>
        <v>DC</v>
      </c>
      <c r="Z1017" s="8">
        <f t="shared" si="47"/>
        <v>0</v>
      </c>
      <c r="AA1017" s="8">
        <f t="shared" si="48"/>
        <v>98</v>
      </c>
      <c r="AB1017" s="8">
        <f t="shared" si="49"/>
        <v>0</v>
      </c>
      <c r="AC1017" s="8">
        <f t="shared" si="50"/>
        <v>0</v>
      </c>
      <c r="AD1017" s="8">
        <f t="shared" si="51"/>
        <v>0</v>
      </c>
      <c r="AE1017" s="9" t="str" cm="1">
        <f t="array" ref="AE1017">IFERROR(_xlfn.XLOOKUP(H1017,Sheet1!$G:$G,Sheet1!$F:$F),IFERROR(_xlfn.XLOOKUP(1,(--($X$2:$X$1074=X1017))*(--ISNUMBER(MATCH($H$2:$H$1074,Sheet1!$G:$G,0))),_xlfn.XLOOKUP($H$2:$H$1074,Sheet1!$G:$G,Sheet1!$F:$F,"")),"NOT FOUND"))</f>
        <v>RETCRDSFUT4109</v>
      </c>
      <c r="AF1017" s="10" t="str">
        <f t="shared" si="58"/>
        <v>LT. PEACH</v>
      </c>
      <c r="AG1017" s="11" t="str">
        <f t="shared" si="59"/>
        <v>Bangalore</v>
      </c>
      <c r="AH1017" s="9" t="str">
        <f>IF(OR(J1017="",AE1017="",AE1017="NOT FOUND"),"",IF(Y1017="RP",IFERROR(LEFT(_xlfn.XLOOKUP(AE1017,Sheet1!$F:$F,Sheet1!$W:$W),FIND("-",_xlfn.XLOOKUP(AE1017,Sheet1!$F:$F,Sheet1!$W:$W),FIND("-",_xlfn.XLOOKUP(AE1017,Sheet1!$F:$F,Sheet1!$W:$W))+1))&amp;AE1017,"NOT FOUND"),LEFT(J1017,FIND("-",J1017,FIND("-",J1017)+1))&amp;AE1017))</f>
        <v>SKD-APSU26-RETCRDSFUT4109</v>
      </c>
    </row>
    <row r="1018" spans="1:34" ht="15.75" customHeight="1" x14ac:dyDescent="0.2">
      <c r="A1018" s="4" t="s">
        <v>30</v>
      </c>
      <c r="B1018" s="4" t="s">
        <v>1465</v>
      </c>
      <c r="C1018" s="4" t="s">
        <v>1312</v>
      </c>
      <c r="D1018" s="4" t="s">
        <v>64</v>
      </c>
      <c r="E1018" s="4" t="s">
        <v>34</v>
      </c>
      <c r="F1018" s="4" t="s">
        <v>35</v>
      </c>
      <c r="G1018" s="4" t="s">
        <v>47</v>
      </c>
      <c r="H1018" s="4" t="s">
        <v>1472</v>
      </c>
      <c r="I1018" s="4" t="s">
        <v>1473</v>
      </c>
      <c r="J1018" s="4" t="s">
        <v>1474</v>
      </c>
      <c r="L1018" s="4" t="s">
        <v>40</v>
      </c>
      <c r="M1018" s="4">
        <v>1</v>
      </c>
      <c r="N1018" s="4">
        <v>116</v>
      </c>
      <c r="O1018" s="4">
        <v>116</v>
      </c>
      <c r="P1018" s="4" t="s">
        <v>41</v>
      </c>
      <c r="Q1018" s="4">
        <v>629.29999999999995</v>
      </c>
      <c r="R1018" s="4">
        <v>629.29999999999995</v>
      </c>
      <c r="S1018" s="4">
        <v>3649.94</v>
      </c>
      <c r="T1018" s="4">
        <v>72998.8</v>
      </c>
      <c r="U1018" s="4">
        <v>5</v>
      </c>
      <c r="V1018" s="4" t="s">
        <v>42</v>
      </c>
      <c r="X1018" s="7" t="str">
        <f t="shared" si="45"/>
        <v>441853801</v>
      </c>
      <c r="Y1018" s="8" t="str">
        <f t="shared" si="46"/>
        <v>DC</v>
      </c>
      <c r="Z1018" s="8">
        <f t="shared" si="47"/>
        <v>0</v>
      </c>
      <c r="AA1018" s="8">
        <f t="shared" si="48"/>
        <v>0</v>
      </c>
      <c r="AB1018" s="8">
        <f t="shared" si="49"/>
        <v>116</v>
      </c>
      <c r="AC1018" s="8">
        <f t="shared" si="50"/>
        <v>0</v>
      </c>
      <c r="AD1018" s="8">
        <f t="shared" si="51"/>
        <v>0</v>
      </c>
      <c r="AE1018" s="9" t="str" cm="1">
        <f t="array" ref="AE1018">IFERROR(_xlfn.XLOOKUP(H1018,Sheet1!$G:$G,Sheet1!$F:$F),IFERROR(_xlfn.XLOOKUP(1,(--($X$2:$X$1074=X1018))*(--ISNUMBER(MATCH($H$2:$H$1074,Sheet1!$G:$G,0))),_xlfn.XLOOKUP($H$2:$H$1074,Sheet1!$G:$G,Sheet1!$F:$F,"")),"NOT FOUND"))</f>
        <v>RETCRDSFUT4109</v>
      </c>
      <c r="AF1018" s="10" t="str">
        <f t="shared" si="58"/>
        <v>LT. PEACH</v>
      </c>
      <c r="AG1018" s="11" t="str">
        <f t="shared" si="59"/>
        <v>Bangalore</v>
      </c>
      <c r="AH1018" s="9" t="str">
        <f>IF(OR(J1018="",AE1018="",AE1018="NOT FOUND"),"",IF(Y1018="RP",IFERROR(LEFT(_xlfn.XLOOKUP(AE1018,Sheet1!$F:$F,Sheet1!$W:$W),FIND("-",_xlfn.XLOOKUP(AE1018,Sheet1!$F:$F,Sheet1!$W:$W),FIND("-",_xlfn.XLOOKUP(AE1018,Sheet1!$F:$F,Sheet1!$W:$W))+1))&amp;AE1018,"NOT FOUND"),LEFT(J1018,FIND("-",J1018,FIND("-",J1018)+1))&amp;AE1018))</f>
        <v>SKD-APSU26-RETCRDSFUT4109</v>
      </c>
    </row>
    <row r="1019" spans="1:34" ht="15.75" customHeight="1" x14ac:dyDescent="0.2">
      <c r="A1019" s="4" t="s">
        <v>30</v>
      </c>
      <c r="B1019" s="4" t="s">
        <v>1465</v>
      </c>
      <c r="C1019" s="4" t="s">
        <v>1312</v>
      </c>
      <c r="D1019" s="4" t="s">
        <v>64</v>
      </c>
      <c r="E1019" s="4" t="s">
        <v>34</v>
      </c>
      <c r="F1019" s="4" t="s">
        <v>35</v>
      </c>
      <c r="G1019" s="4" t="s">
        <v>51</v>
      </c>
      <c r="H1019" s="4" t="s">
        <v>1475</v>
      </c>
      <c r="I1019" s="4" t="s">
        <v>1476</v>
      </c>
      <c r="J1019" s="4" t="s">
        <v>1477</v>
      </c>
      <c r="L1019" s="4" t="s">
        <v>40</v>
      </c>
      <c r="M1019" s="4">
        <v>1</v>
      </c>
      <c r="N1019" s="4">
        <v>101</v>
      </c>
      <c r="O1019" s="4">
        <v>101</v>
      </c>
      <c r="P1019" s="4" t="s">
        <v>41</v>
      </c>
      <c r="Q1019" s="4">
        <v>629.29999999999995</v>
      </c>
      <c r="R1019" s="4">
        <v>629.29999999999995</v>
      </c>
      <c r="S1019" s="4">
        <v>3177.97</v>
      </c>
      <c r="T1019" s="4">
        <v>63559.3</v>
      </c>
      <c r="U1019" s="4">
        <v>5</v>
      </c>
      <c r="V1019" s="4" t="s">
        <v>42</v>
      </c>
      <c r="X1019" s="7" t="str">
        <f t="shared" si="45"/>
        <v>441853801</v>
      </c>
      <c r="Y1019" s="8" t="str">
        <f t="shared" si="46"/>
        <v>DC</v>
      </c>
      <c r="Z1019" s="8">
        <f t="shared" si="47"/>
        <v>0</v>
      </c>
      <c r="AA1019" s="8">
        <f t="shared" si="48"/>
        <v>0</v>
      </c>
      <c r="AB1019" s="8">
        <f t="shared" si="49"/>
        <v>0</v>
      </c>
      <c r="AC1019" s="8">
        <f t="shared" si="50"/>
        <v>101</v>
      </c>
      <c r="AD1019" s="8">
        <f t="shared" si="51"/>
        <v>0</v>
      </c>
      <c r="AE1019" s="9" t="str" cm="1">
        <f t="array" ref="AE1019">IFERROR(_xlfn.XLOOKUP(H1019,Sheet1!$G:$G,Sheet1!$F:$F),IFERROR(_xlfn.XLOOKUP(1,(--($X$2:$X$1074=X1019))*(--ISNUMBER(MATCH($H$2:$H$1074,Sheet1!$G:$G,0))),_xlfn.XLOOKUP($H$2:$H$1074,Sheet1!$G:$G,Sheet1!$F:$F,"")),"NOT FOUND"))</f>
        <v>RETCRDSFUT4109</v>
      </c>
      <c r="AF1019" s="10" t="str">
        <f t="shared" si="58"/>
        <v>LT. PEACH</v>
      </c>
      <c r="AG1019" s="11" t="str">
        <f t="shared" si="59"/>
        <v>Bangalore</v>
      </c>
      <c r="AH1019" s="9" t="str">
        <f>IF(OR(J1019="",AE1019="",AE1019="NOT FOUND"),"",IF(Y1019="RP",IFERROR(LEFT(_xlfn.XLOOKUP(AE1019,Sheet1!$F:$F,Sheet1!$W:$W),FIND("-",_xlfn.XLOOKUP(AE1019,Sheet1!$F:$F,Sheet1!$W:$W),FIND("-",_xlfn.XLOOKUP(AE1019,Sheet1!$F:$F,Sheet1!$W:$W))+1))&amp;AE1019,"NOT FOUND"),LEFT(J1019,FIND("-",J1019,FIND("-",J1019)+1))&amp;AE1019))</f>
        <v>SKD-APSU26-RETCRDSFUT4109</v>
      </c>
    </row>
    <row r="1020" spans="1:34" ht="15.75" customHeight="1" x14ac:dyDescent="0.2">
      <c r="A1020" s="4" t="s">
        <v>30</v>
      </c>
      <c r="B1020" s="4" t="s">
        <v>1465</v>
      </c>
      <c r="C1020" s="4" t="s">
        <v>1312</v>
      </c>
      <c r="D1020" s="4" t="s">
        <v>64</v>
      </c>
      <c r="E1020" s="4" t="s">
        <v>34</v>
      </c>
      <c r="F1020" s="4" t="s">
        <v>35</v>
      </c>
      <c r="G1020" s="4" t="s">
        <v>55</v>
      </c>
      <c r="H1020" s="4" t="s">
        <v>1478</v>
      </c>
      <c r="I1020" s="4" t="s">
        <v>1479</v>
      </c>
      <c r="J1020" s="4" t="s">
        <v>1480</v>
      </c>
      <c r="L1020" s="4" t="s">
        <v>40</v>
      </c>
      <c r="M1020" s="4">
        <v>1</v>
      </c>
      <c r="N1020" s="4">
        <v>30</v>
      </c>
      <c r="O1020" s="4">
        <v>30</v>
      </c>
      <c r="P1020" s="4" t="s">
        <v>41</v>
      </c>
      <c r="Q1020" s="4">
        <v>629.29999999999995</v>
      </c>
      <c r="R1020" s="4">
        <v>629.29999999999995</v>
      </c>
      <c r="S1020" s="4">
        <v>943.95</v>
      </c>
      <c r="T1020" s="4">
        <v>18879</v>
      </c>
      <c r="U1020" s="4">
        <v>5</v>
      </c>
      <c r="V1020" s="4" t="s">
        <v>42</v>
      </c>
      <c r="X1020" s="7" t="str">
        <f t="shared" si="45"/>
        <v>441853801</v>
      </c>
      <c r="Y1020" s="8" t="str">
        <f t="shared" si="46"/>
        <v>DC</v>
      </c>
      <c r="Z1020" s="8">
        <f t="shared" si="47"/>
        <v>0</v>
      </c>
      <c r="AA1020" s="8">
        <f t="shared" si="48"/>
        <v>0</v>
      </c>
      <c r="AB1020" s="8">
        <f t="shared" si="49"/>
        <v>0</v>
      </c>
      <c r="AC1020" s="8">
        <f t="shared" si="50"/>
        <v>0</v>
      </c>
      <c r="AD1020" s="8">
        <f t="shared" si="51"/>
        <v>30</v>
      </c>
      <c r="AE1020" s="9" t="str" cm="1">
        <f t="array" ref="AE1020">IFERROR(_xlfn.XLOOKUP(H1020,Sheet1!$G:$G,Sheet1!$F:$F),IFERROR(_xlfn.XLOOKUP(1,(--($X$2:$X$1074=X1020))*(--ISNUMBER(MATCH($H$2:$H$1074,Sheet1!$G:$G,0))),_xlfn.XLOOKUP($H$2:$H$1074,Sheet1!$G:$G,Sheet1!$F:$F,"")),"NOT FOUND"))</f>
        <v>RETCRDSFUT4109</v>
      </c>
      <c r="AF1020" s="10" t="str">
        <f t="shared" si="58"/>
        <v>LT. PEACH</v>
      </c>
      <c r="AG1020" s="11" t="str">
        <f t="shared" si="59"/>
        <v>Bangalore</v>
      </c>
      <c r="AH1020" s="9" t="str">
        <f>IF(OR(J1020="",AE1020="",AE1020="NOT FOUND"),"",IF(Y1020="RP",IFERROR(LEFT(_xlfn.XLOOKUP(AE1020,Sheet1!$F:$F,Sheet1!$W:$W),FIND("-",_xlfn.XLOOKUP(AE1020,Sheet1!$F:$F,Sheet1!$W:$W),FIND("-",_xlfn.XLOOKUP(AE1020,Sheet1!$F:$F,Sheet1!$W:$W))+1))&amp;AE1020,"NOT FOUND"),LEFT(J1020,FIND("-",J1020,FIND("-",J1020)+1))&amp;AE1020))</f>
        <v>SKD-APSU26-RETCRDSFUT4109</v>
      </c>
    </row>
    <row r="1021" spans="1:34" ht="15.75" customHeight="1" x14ac:dyDescent="0.2">
      <c r="A1021" s="4" t="s">
        <v>61</v>
      </c>
      <c r="B1021" s="4" t="s">
        <v>1481</v>
      </c>
      <c r="C1021" s="4" t="s">
        <v>1312</v>
      </c>
      <c r="D1021" s="4" t="s">
        <v>1395</v>
      </c>
      <c r="E1021" s="4" t="s">
        <v>34</v>
      </c>
      <c r="F1021" s="4" t="s">
        <v>35</v>
      </c>
      <c r="G1021" s="4" t="s">
        <v>43</v>
      </c>
      <c r="H1021" s="4" t="s">
        <v>1421</v>
      </c>
      <c r="I1021" s="4" t="s">
        <v>1422</v>
      </c>
      <c r="J1021" s="4" t="s">
        <v>1423</v>
      </c>
      <c r="L1021" s="4" t="s">
        <v>40</v>
      </c>
      <c r="M1021" s="4">
        <v>1</v>
      </c>
      <c r="N1021" s="4">
        <v>141</v>
      </c>
      <c r="O1021" s="4">
        <v>141</v>
      </c>
      <c r="P1021" s="4" t="s">
        <v>41</v>
      </c>
      <c r="Q1021" s="4">
        <v>314.3</v>
      </c>
      <c r="R1021" s="4">
        <v>314.3</v>
      </c>
      <c r="S1021" s="4">
        <v>2215.8200000000002</v>
      </c>
      <c r="T1021" s="4">
        <v>44316.3</v>
      </c>
      <c r="U1021" s="4">
        <v>5</v>
      </c>
      <c r="V1021" s="4" t="s">
        <v>42</v>
      </c>
      <c r="X1021" s="7" t="str">
        <f t="shared" si="45"/>
        <v>441853807</v>
      </c>
      <c r="Y1021" s="8" t="str">
        <f t="shared" si="46"/>
        <v>DC</v>
      </c>
      <c r="Z1021" s="8">
        <f t="shared" si="47"/>
        <v>0</v>
      </c>
      <c r="AA1021" s="8">
        <f t="shared" si="48"/>
        <v>141</v>
      </c>
      <c r="AB1021" s="8">
        <f t="shared" si="49"/>
        <v>0</v>
      </c>
      <c r="AC1021" s="8">
        <f t="shared" si="50"/>
        <v>0</v>
      </c>
      <c r="AD1021" s="8">
        <f t="shared" si="51"/>
        <v>0</v>
      </c>
      <c r="AE1021" s="9" t="str" cm="1">
        <f t="array" ref="AE1021">IFERROR(_xlfn.XLOOKUP(H1021,Sheet1!$G:$G,Sheet1!$F:$F),IFERROR(_xlfn.XLOOKUP(1,(--($X$2:$X$1074=X1021))*(--ISNUMBER(MATCH($H$2:$H$1074,Sheet1!$G:$G,0))),_xlfn.XLOOKUP($H$2:$H$1074,Sheet1!$G:$G,Sheet1!$F:$F,"")),"NOT FOUND"))</f>
        <v>RETKRTSFUT4114</v>
      </c>
      <c r="AF1021" s="10" t="str">
        <f t="shared" si="58"/>
        <v>Sea Green</v>
      </c>
      <c r="AG1021" s="11" t="str">
        <f t="shared" si="59"/>
        <v>HARIPAL</v>
      </c>
      <c r="AH1021" s="9" t="str">
        <f>IF(OR(J1021="",AE1021="",AE1021="NOT FOUND"),"",IF(Y1021="RP",IFERROR(LEFT(_xlfn.XLOOKUP(AE1021,Sheet1!$F:$F,Sheet1!$W:$W),FIND("-",_xlfn.XLOOKUP(AE1021,Sheet1!$F:$F,Sheet1!$W:$W),FIND("-",_xlfn.XLOOKUP(AE1021,Sheet1!$F:$F,Sheet1!$W:$W))+1))&amp;AE1021,"NOT FOUND"),LEFT(J1021,FIND("-",J1021,FIND("-",J1021)+1))&amp;AE1021))</f>
        <v>KRTS-APSU26-RETKRTSFUT4114</v>
      </c>
    </row>
    <row r="1022" spans="1:34" ht="15.75" customHeight="1" x14ac:dyDescent="0.2">
      <c r="A1022" s="4" t="s">
        <v>61</v>
      </c>
      <c r="B1022" s="4" t="s">
        <v>1481</v>
      </c>
      <c r="C1022" s="4" t="s">
        <v>1312</v>
      </c>
      <c r="D1022" s="4" t="s">
        <v>1395</v>
      </c>
      <c r="E1022" s="4" t="s">
        <v>34</v>
      </c>
      <c r="F1022" s="4" t="s">
        <v>35</v>
      </c>
      <c r="G1022" s="4" t="s">
        <v>47</v>
      </c>
      <c r="H1022" s="4" t="s">
        <v>1424</v>
      </c>
      <c r="I1022" s="4" t="s">
        <v>1425</v>
      </c>
      <c r="J1022" s="4" t="s">
        <v>1426</v>
      </c>
      <c r="L1022" s="4" t="s">
        <v>40</v>
      </c>
      <c r="M1022" s="4">
        <v>1</v>
      </c>
      <c r="N1022" s="4">
        <v>126</v>
      </c>
      <c r="O1022" s="4">
        <v>126</v>
      </c>
      <c r="P1022" s="4" t="s">
        <v>41</v>
      </c>
      <c r="Q1022" s="4">
        <v>314.3</v>
      </c>
      <c r="R1022" s="4">
        <v>314.3</v>
      </c>
      <c r="S1022" s="4">
        <v>1980.09</v>
      </c>
      <c r="T1022" s="4">
        <v>39601.800000000003</v>
      </c>
      <c r="U1022" s="4">
        <v>5</v>
      </c>
      <c r="V1022" s="4" t="s">
        <v>42</v>
      </c>
      <c r="X1022" s="7" t="str">
        <f t="shared" ref="X1022:X1074" si="60">IF(ISNUMBER(VALUE(LEFT(J1022,1))),LEFT(J1022,MIN(IFERROR(FIND("A",UPPER(J1022)),LEN(J1022)+1),IFERROR(FIND("B",UPPER(J1022)),LEN(J1022)+1),IFERROR(FIND("C",UPPER(J1022)),LEN(J1022)+1),IFERROR(FIND("D",UPPER(J1022)),LEN(J1022)+1),IFERROR(FIND("E",UPPER(J1022)),LEN(J1022)+1),IFERROR(FIND("F",UPPER(J1022)),LEN(J1022)+1),IFERROR(FIND("G",UPPER(J1022)),LEN(J1022)+1),IFERROR(FIND("H",UPPER(J1022)),LEN(J1022)+1),IFERROR(FIND("I",UPPER(J1022)),LEN(J1022)+1),IFERROR(FIND("J",UPPER(J1022)),LEN(J1022)+1),IFERROR(FIND("K",UPPER(J1022)),LEN(J1022)+1),IFERROR(FIND("L",UPPER(J1022)),LEN(J1022)+1),IFERROR(FIND("M",UPPER(J1022)),LEN(J1022)+1),IFERROR(FIND("N",UPPER(J1022)),LEN(J1022)+1),IFERROR(FIND("O",UPPER(J1022)),LEN(J1022)+1),IFERROR(FIND("P",UPPER(J1022)),LEN(J1022)+1),IFERROR(FIND("Q",UPPER(J1022)),LEN(J1022)+1),IFERROR(FIND("R",UPPER(J1022)),LEN(J1022)+1),IFERROR(FIND("S",UPPER(J1022)),LEN(J1022)+1),IFERROR(FIND("T",UPPER(J1022)),LEN(J1022)+1),IFERROR(FIND("U",UPPER(J1022)),LEN(J1022)+1),IFERROR(FIND("V",UPPER(J1022)),LEN(J1022)+1),IFERROR(FIND("W",UPPER(J1022)),LEN(J1022)+1),IFERROR(FIND("X",UPPER(J1022)),LEN(J1022)+1),IFERROR(FIND("Y",UPPER(J1022)),LEN(J1022)+1),IFERROR(FIND("Z",UPPER(J1022)),LEN(J1022)+1))-1),LEFT(TEXT(I1022,"0"),LEN(TEXT(I1022,"0"))-3))</f>
        <v>441853807</v>
      </c>
      <c r="Y1022" s="8" t="str">
        <f t="shared" ref="Y1022:Y1074" si="61">IF(ISNUMBER(SEARCH("(RP)",J1022)),"RP","DC")</f>
        <v>DC</v>
      </c>
      <c r="Z1022" s="8">
        <f t="shared" ref="Z1022:Z1074" si="62">IF(ISNUMBER(SEARCH("(RP)",J1022)),O1022,IF(RIGHT(TRIM(J1022),3)=", S",O1022,0))</f>
        <v>0</v>
      </c>
      <c r="AA1022" s="8">
        <f t="shared" ref="AA1022:AA1074" si="63">IF(ISNUMBER(SEARCH("(RP)",J1022)),O1022,IF(RIGHT(TRIM(J1022),3)=", M",O1022,0))</f>
        <v>0</v>
      </c>
      <c r="AB1022" s="8">
        <f t="shared" ref="AB1022:AB1074" si="64">IF(ISNUMBER(SEARCH("(RP)",J1022)),O1022,IF(RIGHT(TRIM(J1022),3)=", L",O1022,0))</f>
        <v>126</v>
      </c>
      <c r="AC1022" s="8">
        <f t="shared" ref="AC1022:AC1074" si="65">IF(ISNUMBER(SEARCH("(RP)",J1022)),O1022,IF(RIGHT(TRIM(J1022),4)=", XL",O1022,0))</f>
        <v>0</v>
      </c>
      <c r="AD1022" s="8">
        <f t="shared" ref="AD1022:AD1074" si="66">IF(ISNUMBER(SEARCH("(RP)",J1022)),O1022,IF(OR(RIGHT(TRIM(J1022),5)=", XXL",RIGHT(TRIM(J1022),5)=", 2XL"),O1022,0))</f>
        <v>0</v>
      </c>
      <c r="AE1022" s="9" t="str" cm="1">
        <f t="array" ref="AE1022">IFERROR(_xlfn.XLOOKUP(H1022,Sheet1!$G:$G,Sheet1!$F:$F),IFERROR(_xlfn.XLOOKUP(1,(--($X$2:$X$1074=X1022))*(--ISNUMBER(MATCH($H$2:$H$1074,Sheet1!$G:$G,0))),_xlfn.XLOOKUP($H$2:$H$1074,Sheet1!$G:$G,Sheet1!$F:$F,"")),"NOT FOUND"))</f>
        <v>RETKRTSFUT4114</v>
      </c>
      <c r="AF1022" s="10" t="str">
        <f t="shared" si="58"/>
        <v>Sea Green</v>
      </c>
      <c r="AG1022" s="11" t="str">
        <f t="shared" si="59"/>
        <v>HARIPAL</v>
      </c>
      <c r="AH1022" s="9" t="str">
        <f>IF(OR(J1022="",AE1022="",AE1022="NOT FOUND"),"",IF(Y1022="RP",IFERROR(LEFT(_xlfn.XLOOKUP(AE1022,Sheet1!$F:$F,Sheet1!$W:$W),FIND("-",_xlfn.XLOOKUP(AE1022,Sheet1!$F:$F,Sheet1!$W:$W),FIND("-",_xlfn.XLOOKUP(AE1022,Sheet1!$F:$F,Sheet1!$W:$W))+1))&amp;AE1022,"NOT FOUND"),LEFT(J1022,FIND("-",J1022,FIND("-",J1022)+1))&amp;AE1022))</f>
        <v>KRTS-APSU26-RETKRTSFUT4114</v>
      </c>
    </row>
    <row r="1023" spans="1:34" ht="15.75" customHeight="1" x14ac:dyDescent="0.2">
      <c r="A1023" s="4" t="s">
        <v>61</v>
      </c>
      <c r="B1023" s="4" t="s">
        <v>1481</v>
      </c>
      <c r="C1023" s="4" t="s">
        <v>1312</v>
      </c>
      <c r="D1023" s="4" t="s">
        <v>1395</v>
      </c>
      <c r="E1023" s="4" t="s">
        <v>34</v>
      </c>
      <c r="F1023" s="4" t="s">
        <v>35</v>
      </c>
      <c r="G1023" s="4" t="s">
        <v>51</v>
      </c>
      <c r="H1023" s="4" t="s">
        <v>1427</v>
      </c>
      <c r="I1023" s="4" t="s">
        <v>1428</v>
      </c>
      <c r="J1023" s="4" t="s">
        <v>1429</v>
      </c>
      <c r="L1023" s="4" t="s">
        <v>40</v>
      </c>
      <c r="M1023" s="4">
        <v>1</v>
      </c>
      <c r="N1023" s="4">
        <v>165</v>
      </c>
      <c r="O1023" s="4">
        <v>165</v>
      </c>
      <c r="P1023" s="4" t="s">
        <v>41</v>
      </c>
      <c r="Q1023" s="4">
        <v>314.3</v>
      </c>
      <c r="R1023" s="4">
        <v>314.3</v>
      </c>
      <c r="S1023" s="4">
        <v>2592.98</v>
      </c>
      <c r="T1023" s="4">
        <v>51859.5</v>
      </c>
      <c r="U1023" s="4">
        <v>5</v>
      </c>
      <c r="V1023" s="4" t="s">
        <v>42</v>
      </c>
      <c r="X1023" s="7" t="str">
        <f t="shared" si="60"/>
        <v>441853807</v>
      </c>
      <c r="Y1023" s="8" t="str">
        <f t="shared" si="61"/>
        <v>DC</v>
      </c>
      <c r="Z1023" s="8">
        <f t="shared" si="62"/>
        <v>0</v>
      </c>
      <c r="AA1023" s="8">
        <f t="shared" si="63"/>
        <v>0</v>
      </c>
      <c r="AB1023" s="8">
        <f t="shared" si="64"/>
        <v>0</v>
      </c>
      <c r="AC1023" s="8">
        <f t="shared" si="65"/>
        <v>165</v>
      </c>
      <c r="AD1023" s="8">
        <f t="shared" si="66"/>
        <v>0</v>
      </c>
      <c r="AE1023" s="9" t="str" cm="1">
        <f t="array" ref="AE1023">IFERROR(_xlfn.XLOOKUP(H1023,Sheet1!$G:$G,Sheet1!$F:$F),IFERROR(_xlfn.XLOOKUP(1,(--($X$2:$X$1074=X1023))*(--ISNUMBER(MATCH($H$2:$H$1074,Sheet1!$G:$G,0))),_xlfn.XLOOKUP($H$2:$H$1074,Sheet1!$G:$G,Sheet1!$F:$F,"")),"NOT FOUND"))</f>
        <v>RETKRTSFUT4114</v>
      </c>
      <c r="AF1023" s="10" t="str">
        <f t="shared" si="58"/>
        <v>Sea Green</v>
      </c>
      <c r="AG1023" s="11" t="str">
        <f t="shared" si="59"/>
        <v>HARIPAL</v>
      </c>
      <c r="AH1023" s="9" t="str">
        <f>IF(OR(J1023="",AE1023="",AE1023="NOT FOUND"),"",IF(Y1023="RP",IFERROR(LEFT(_xlfn.XLOOKUP(AE1023,Sheet1!$F:$F,Sheet1!$W:$W),FIND("-",_xlfn.XLOOKUP(AE1023,Sheet1!$F:$F,Sheet1!$W:$W),FIND("-",_xlfn.XLOOKUP(AE1023,Sheet1!$F:$F,Sheet1!$W:$W))+1))&amp;AE1023,"NOT FOUND"),LEFT(J1023,FIND("-",J1023,FIND("-",J1023)+1))&amp;AE1023))</f>
        <v>KRTS-APSU26-RETKRTSFUT4114</v>
      </c>
    </row>
    <row r="1024" spans="1:34" ht="15.75" customHeight="1" x14ac:dyDescent="0.2">
      <c r="A1024" s="4" t="s">
        <v>59</v>
      </c>
      <c r="B1024" s="4" t="s">
        <v>1482</v>
      </c>
      <c r="C1024" s="4" t="s">
        <v>1312</v>
      </c>
      <c r="D1024" s="4" t="s">
        <v>1125</v>
      </c>
      <c r="E1024" s="4" t="s">
        <v>34</v>
      </c>
      <c r="F1024" s="4" t="s">
        <v>35</v>
      </c>
      <c r="G1024" s="4" t="s">
        <v>36</v>
      </c>
      <c r="H1024" s="4" t="s">
        <v>1450</v>
      </c>
      <c r="I1024" s="4" t="s">
        <v>1451</v>
      </c>
      <c r="J1024" s="4" t="s">
        <v>1452</v>
      </c>
      <c r="L1024" s="4" t="s">
        <v>40</v>
      </c>
      <c r="M1024" s="4">
        <v>1</v>
      </c>
      <c r="N1024" s="4">
        <v>30</v>
      </c>
      <c r="O1024" s="4">
        <v>30</v>
      </c>
      <c r="P1024" s="4" t="s">
        <v>41</v>
      </c>
      <c r="Q1024" s="4">
        <v>424.3</v>
      </c>
      <c r="R1024" s="4">
        <v>424.3</v>
      </c>
      <c r="S1024" s="4">
        <v>636.45000000000005</v>
      </c>
      <c r="T1024" s="4">
        <v>12729</v>
      </c>
      <c r="U1024" s="4">
        <v>5</v>
      </c>
      <c r="V1024" s="4" t="s">
        <v>42</v>
      </c>
      <c r="X1024" s="7" t="str">
        <f t="shared" si="60"/>
        <v>441853803</v>
      </c>
      <c r="Y1024" s="8" t="str">
        <f t="shared" si="61"/>
        <v>DC</v>
      </c>
      <c r="Z1024" s="8">
        <f t="shared" si="62"/>
        <v>30</v>
      </c>
      <c r="AA1024" s="8">
        <f t="shared" si="63"/>
        <v>0</v>
      </c>
      <c r="AB1024" s="8">
        <f t="shared" si="64"/>
        <v>0</v>
      </c>
      <c r="AC1024" s="8">
        <f t="shared" si="65"/>
        <v>0</v>
      </c>
      <c r="AD1024" s="8">
        <f t="shared" si="66"/>
        <v>0</v>
      </c>
      <c r="AE1024" s="9" t="str" cm="1">
        <f t="array" ref="AE1024">IFERROR(_xlfn.XLOOKUP(H1024,Sheet1!$G:$G,Sheet1!$F:$F),IFERROR(_xlfn.XLOOKUP(1,(--($X$2:$X$1074=X1024))*(--ISNUMBER(MATCH($H$2:$H$1074,Sheet1!$G:$G,0))),_xlfn.XLOOKUP($H$2:$H$1074,Sheet1!$G:$G,Sheet1!$F:$F,"")),"NOT FOUND"))</f>
        <v>YETCRDSFUT4111</v>
      </c>
      <c r="AF1024" s="10" t="str">
        <f t="shared" si="58"/>
        <v>BLACK</v>
      </c>
      <c r="AG1024" s="11" t="str">
        <f t="shared" si="59"/>
        <v>JHAJJAR</v>
      </c>
      <c r="AH1024" s="9" t="str">
        <f>IF(OR(J1024="",AE1024="",AE1024="NOT FOUND"),"",IF(Y1024="RP",IFERROR(LEFT(_xlfn.XLOOKUP(AE1024,Sheet1!$F:$F,Sheet1!$W:$W),FIND("-",_xlfn.XLOOKUP(AE1024,Sheet1!$F:$F,Sheet1!$W:$W),FIND("-",_xlfn.XLOOKUP(AE1024,Sheet1!$F:$F,Sheet1!$W:$W))+1))&amp;AE1024,"NOT FOUND"),LEFT(J1024,FIND("-",J1024,FIND("-",J1024)+1))&amp;AE1024))</f>
        <v>SKD-APSU26-YETCRDSFUT4111</v>
      </c>
    </row>
    <row r="1025" spans="1:34" ht="15.75" customHeight="1" x14ac:dyDescent="0.2">
      <c r="A1025" s="4" t="s">
        <v>59</v>
      </c>
      <c r="B1025" s="4" t="s">
        <v>1482</v>
      </c>
      <c r="C1025" s="4" t="s">
        <v>1312</v>
      </c>
      <c r="D1025" s="4" t="s">
        <v>1125</v>
      </c>
      <c r="E1025" s="4" t="s">
        <v>34</v>
      </c>
      <c r="F1025" s="4" t="s">
        <v>35</v>
      </c>
      <c r="G1025" s="4" t="s">
        <v>43</v>
      </c>
      <c r="H1025" s="4" t="s">
        <v>1453</v>
      </c>
      <c r="I1025" s="4" t="s">
        <v>1454</v>
      </c>
      <c r="J1025" s="4" t="s">
        <v>1455</v>
      </c>
      <c r="L1025" s="4" t="s">
        <v>40</v>
      </c>
      <c r="M1025" s="4">
        <v>1</v>
      </c>
      <c r="N1025" s="4">
        <v>70</v>
      </c>
      <c r="O1025" s="4">
        <v>70</v>
      </c>
      <c r="P1025" s="4" t="s">
        <v>41</v>
      </c>
      <c r="Q1025" s="4">
        <v>424.3</v>
      </c>
      <c r="R1025" s="4">
        <v>424.3</v>
      </c>
      <c r="S1025" s="4">
        <v>1485.05</v>
      </c>
      <c r="T1025" s="4">
        <v>29701</v>
      </c>
      <c r="U1025" s="4">
        <v>5</v>
      </c>
      <c r="V1025" s="4" t="s">
        <v>42</v>
      </c>
      <c r="X1025" s="7" t="str">
        <f t="shared" si="60"/>
        <v>441853803</v>
      </c>
      <c r="Y1025" s="8" t="str">
        <f t="shared" si="61"/>
        <v>DC</v>
      </c>
      <c r="Z1025" s="8">
        <f t="shared" si="62"/>
        <v>0</v>
      </c>
      <c r="AA1025" s="8">
        <f t="shared" si="63"/>
        <v>70</v>
      </c>
      <c r="AB1025" s="8">
        <f t="shared" si="64"/>
        <v>0</v>
      </c>
      <c r="AC1025" s="8">
        <f t="shared" si="65"/>
        <v>0</v>
      </c>
      <c r="AD1025" s="8">
        <f t="shared" si="66"/>
        <v>0</v>
      </c>
      <c r="AE1025" s="9" t="str" cm="1">
        <f t="array" ref="AE1025">IFERROR(_xlfn.XLOOKUP(H1025,Sheet1!$G:$G,Sheet1!$F:$F),IFERROR(_xlfn.XLOOKUP(1,(--($X$2:$X$1074=X1025))*(--ISNUMBER(MATCH($H$2:$H$1074,Sheet1!$G:$G,0))),_xlfn.XLOOKUP($H$2:$H$1074,Sheet1!$G:$G,Sheet1!$F:$F,"")),"NOT FOUND"))</f>
        <v>YETCRDSFUT4111</v>
      </c>
      <c r="AF1025" s="10" t="str">
        <f t="shared" si="58"/>
        <v>BLACK</v>
      </c>
      <c r="AG1025" s="11" t="str">
        <f t="shared" si="59"/>
        <v>JHAJJAR</v>
      </c>
      <c r="AH1025" s="9" t="str">
        <f>IF(OR(J1025="",AE1025="",AE1025="NOT FOUND"),"",IF(Y1025="RP",IFERROR(LEFT(_xlfn.XLOOKUP(AE1025,Sheet1!$F:$F,Sheet1!$W:$W),FIND("-",_xlfn.XLOOKUP(AE1025,Sheet1!$F:$F,Sheet1!$W:$W),FIND("-",_xlfn.XLOOKUP(AE1025,Sheet1!$F:$F,Sheet1!$W:$W))+1))&amp;AE1025,"NOT FOUND"),LEFT(J1025,FIND("-",J1025,FIND("-",J1025)+1))&amp;AE1025))</f>
        <v>SKD-APSU26-YETCRDSFUT4111</v>
      </c>
    </row>
    <row r="1026" spans="1:34" ht="15.75" customHeight="1" x14ac:dyDescent="0.2">
      <c r="A1026" s="4" t="s">
        <v>59</v>
      </c>
      <c r="B1026" s="4" t="s">
        <v>1482</v>
      </c>
      <c r="C1026" s="4" t="s">
        <v>1312</v>
      </c>
      <c r="D1026" s="4" t="s">
        <v>1125</v>
      </c>
      <c r="E1026" s="4" t="s">
        <v>34</v>
      </c>
      <c r="F1026" s="4" t="s">
        <v>35</v>
      </c>
      <c r="G1026" s="4" t="s">
        <v>47</v>
      </c>
      <c r="H1026" s="4" t="s">
        <v>1456</v>
      </c>
      <c r="I1026" s="4" t="s">
        <v>1457</v>
      </c>
      <c r="J1026" s="4" t="s">
        <v>1458</v>
      </c>
      <c r="L1026" s="4" t="s">
        <v>40</v>
      </c>
      <c r="M1026" s="4">
        <v>1</v>
      </c>
      <c r="N1026" s="4">
        <v>82</v>
      </c>
      <c r="O1026" s="4">
        <v>82</v>
      </c>
      <c r="P1026" s="4" t="s">
        <v>41</v>
      </c>
      <c r="Q1026" s="4">
        <v>424.3</v>
      </c>
      <c r="R1026" s="4">
        <v>424.3</v>
      </c>
      <c r="S1026" s="4">
        <v>1739.63</v>
      </c>
      <c r="T1026" s="4">
        <v>34792.6</v>
      </c>
      <c r="U1026" s="4">
        <v>5</v>
      </c>
      <c r="V1026" s="4" t="s">
        <v>42</v>
      </c>
      <c r="X1026" s="7" t="str">
        <f t="shared" si="60"/>
        <v>441853803</v>
      </c>
      <c r="Y1026" s="8" t="str">
        <f t="shared" si="61"/>
        <v>DC</v>
      </c>
      <c r="Z1026" s="8">
        <f t="shared" si="62"/>
        <v>0</v>
      </c>
      <c r="AA1026" s="8">
        <f t="shared" si="63"/>
        <v>0</v>
      </c>
      <c r="AB1026" s="8">
        <f t="shared" si="64"/>
        <v>82</v>
      </c>
      <c r="AC1026" s="8">
        <f t="shared" si="65"/>
        <v>0</v>
      </c>
      <c r="AD1026" s="8">
        <f t="shared" si="66"/>
        <v>0</v>
      </c>
      <c r="AE1026" s="9" t="str" cm="1">
        <f t="array" ref="AE1026">IFERROR(_xlfn.XLOOKUP(H1026,Sheet1!$G:$G,Sheet1!$F:$F),IFERROR(_xlfn.XLOOKUP(1,(--($X$2:$X$1074=X1026))*(--ISNUMBER(MATCH($H$2:$H$1074,Sheet1!$G:$G,0))),_xlfn.XLOOKUP($H$2:$H$1074,Sheet1!$G:$G,Sheet1!$F:$F,"")),"NOT FOUND"))</f>
        <v>YETCRDSFUT4111</v>
      </c>
      <c r="AF1026" s="10" t="str">
        <f t="shared" si="58"/>
        <v>BLACK</v>
      </c>
      <c r="AG1026" s="11" t="str">
        <f t="shared" si="59"/>
        <v>JHAJJAR</v>
      </c>
      <c r="AH1026" s="9" t="str">
        <f>IF(OR(J1026="",AE1026="",AE1026="NOT FOUND"),"",IF(Y1026="RP",IFERROR(LEFT(_xlfn.XLOOKUP(AE1026,Sheet1!$F:$F,Sheet1!$W:$W),FIND("-",_xlfn.XLOOKUP(AE1026,Sheet1!$F:$F,Sheet1!$W:$W),FIND("-",_xlfn.XLOOKUP(AE1026,Sheet1!$F:$F,Sheet1!$W:$W))+1))&amp;AE1026,"NOT FOUND"),LEFT(J1026,FIND("-",J1026,FIND("-",J1026)+1))&amp;AE1026))</f>
        <v>SKD-APSU26-YETCRDSFUT4111</v>
      </c>
    </row>
    <row r="1027" spans="1:34" ht="15.75" customHeight="1" x14ac:dyDescent="0.2">
      <c r="A1027" s="4" t="s">
        <v>59</v>
      </c>
      <c r="B1027" s="4" t="s">
        <v>1482</v>
      </c>
      <c r="C1027" s="4" t="s">
        <v>1312</v>
      </c>
      <c r="D1027" s="4" t="s">
        <v>1125</v>
      </c>
      <c r="E1027" s="4" t="s">
        <v>34</v>
      </c>
      <c r="F1027" s="4" t="s">
        <v>35</v>
      </c>
      <c r="G1027" s="4" t="s">
        <v>51</v>
      </c>
      <c r="H1027" s="4" t="s">
        <v>1459</v>
      </c>
      <c r="I1027" s="4" t="s">
        <v>1460</v>
      </c>
      <c r="J1027" s="4" t="s">
        <v>1461</v>
      </c>
      <c r="L1027" s="4" t="s">
        <v>40</v>
      </c>
      <c r="M1027" s="4">
        <v>1</v>
      </c>
      <c r="N1027" s="4">
        <v>71</v>
      </c>
      <c r="O1027" s="4">
        <v>71</v>
      </c>
      <c r="P1027" s="4" t="s">
        <v>41</v>
      </c>
      <c r="Q1027" s="4">
        <v>424.3</v>
      </c>
      <c r="R1027" s="4">
        <v>424.3</v>
      </c>
      <c r="S1027" s="4">
        <v>1506.27</v>
      </c>
      <c r="T1027" s="4">
        <v>30125.3</v>
      </c>
      <c r="U1027" s="4">
        <v>5</v>
      </c>
      <c r="V1027" s="4" t="s">
        <v>42</v>
      </c>
      <c r="X1027" s="7" t="str">
        <f t="shared" si="60"/>
        <v>441853803</v>
      </c>
      <c r="Y1027" s="8" t="str">
        <f t="shared" si="61"/>
        <v>DC</v>
      </c>
      <c r="Z1027" s="8">
        <f t="shared" si="62"/>
        <v>0</v>
      </c>
      <c r="AA1027" s="8">
        <f t="shared" si="63"/>
        <v>0</v>
      </c>
      <c r="AB1027" s="8">
        <f t="shared" si="64"/>
        <v>0</v>
      </c>
      <c r="AC1027" s="8">
        <f t="shared" si="65"/>
        <v>71</v>
      </c>
      <c r="AD1027" s="8">
        <f t="shared" si="66"/>
        <v>0</v>
      </c>
      <c r="AE1027" s="9" t="str" cm="1">
        <f t="array" ref="AE1027">IFERROR(_xlfn.XLOOKUP(H1027,Sheet1!$G:$G,Sheet1!$F:$F),IFERROR(_xlfn.XLOOKUP(1,(--($X$2:$X$1074=X1027))*(--ISNUMBER(MATCH($H$2:$H$1074,Sheet1!$G:$G,0))),_xlfn.XLOOKUP($H$2:$H$1074,Sheet1!$G:$G,Sheet1!$F:$F,"")),"NOT FOUND"))</f>
        <v>YETCRDSFUT4111</v>
      </c>
      <c r="AF1027" s="10" t="str">
        <f t="shared" ref="AF1027:AF1074" si="67">IFERROR(IF(ISNUMBER(SEARCH("(RP)",J1027)),TRIM(SUBSTITUTE(MID(J1027,10,LEN(J1027)),"(RP)","")),TRIM(MID(J1027,FIND(",",J1027)+1,FIND(",",J1027,FIND(",",J1027)+1)-FIND(",",J1027)-1))),"")</f>
        <v>BLACK</v>
      </c>
      <c r="AG1027" s="11" t="str">
        <f t="shared" ref="AG1027:AG1074" si="68">IF(A1027="SZAF","Bangalore",IF(A1027="SAEX","JHAJJAR",IF(A1027="S0EU","HARIPAL","")))</f>
        <v>JHAJJAR</v>
      </c>
      <c r="AH1027" s="9" t="str">
        <f>IF(OR(J1027="",AE1027="",AE1027="NOT FOUND"),"",IF(Y1027="RP",IFERROR(LEFT(_xlfn.XLOOKUP(AE1027,Sheet1!$F:$F,Sheet1!$W:$W),FIND("-",_xlfn.XLOOKUP(AE1027,Sheet1!$F:$F,Sheet1!$W:$W),FIND("-",_xlfn.XLOOKUP(AE1027,Sheet1!$F:$F,Sheet1!$W:$W))+1))&amp;AE1027,"NOT FOUND"),LEFT(J1027,FIND("-",J1027,FIND("-",J1027)+1))&amp;AE1027))</f>
        <v>SKD-APSU26-YETCRDSFUT4111</v>
      </c>
    </row>
    <row r="1028" spans="1:34" ht="15.75" customHeight="1" x14ac:dyDescent="0.2">
      <c r="A1028" s="4" t="s">
        <v>59</v>
      </c>
      <c r="B1028" s="4" t="s">
        <v>1482</v>
      </c>
      <c r="C1028" s="4" t="s">
        <v>1312</v>
      </c>
      <c r="D1028" s="4" t="s">
        <v>1125</v>
      </c>
      <c r="E1028" s="4" t="s">
        <v>34</v>
      </c>
      <c r="F1028" s="4" t="s">
        <v>35</v>
      </c>
      <c r="G1028" s="4" t="s">
        <v>55</v>
      </c>
      <c r="H1028" s="4" t="s">
        <v>1462</v>
      </c>
      <c r="I1028" s="4" t="s">
        <v>1463</v>
      </c>
      <c r="J1028" s="4" t="s">
        <v>1464</v>
      </c>
      <c r="L1028" s="4" t="s">
        <v>40</v>
      </c>
      <c r="M1028" s="4">
        <v>1</v>
      </c>
      <c r="N1028" s="4">
        <v>30</v>
      </c>
      <c r="O1028" s="4">
        <v>30</v>
      </c>
      <c r="P1028" s="4" t="s">
        <v>41</v>
      </c>
      <c r="Q1028" s="4">
        <v>424.3</v>
      </c>
      <c r="R1028" s="4">
        <v>424.3</v>
      </c>
      <c r="S1028" s="4">
        <v>636.45000000000005</v>
      </c>
      <c r="T1028" s="4">
        <v>12729</v>
      </c>
      <c r="U1028" s="4">
        <v>5</v>
      </c>
      <c r="V1028" s="4" t="s">
        <v>42</v>
      </c>
      <c r="X1028" s="7" t="str">
        <f t="shared" si="60"/>
        <v>441853803</v>
      </c>
      <c r="Y1028" s="8" t="str">
        <f t="shared" si="61"/>
        <v>DC</v>
      </c>
      <c r="Z1028" s="8">
        <f t="shared" si="62"/>
        <v>0</v>
      </c>
      <c r="AA1028" s="8">
        <f t="shared" si="63"/>
        <v>0</v>
      </c>
      <c r="AB1028" s="8">
        <f t="shared" si="64"/>
        <v>0</v>
      </c>
      <c r="AC1028" s="8">
        <f t="shared" si="65"/>
        <v>0</v>
      </c>
      <c r="AD1028" s="8">
        <f t="shared" si="66"/>
        <v>30</v>
      </c>
      <c r="AE1028" s="9" t="str" cm="1">
        <f t="array" ref="AE1028">IFERROR(_xlfn.XLOOKUP(H1028,Sheet1!$G:$G,Sheet1!$F:$F),IFERROR(_xlfn.XLOOKUP(1,(--($X$2:$X$1074=X1028))*(--ISNUMBER(MATCH($H$2:$H$1074,Sheet1!$G:$G,0))),_xlfn.XLOOKUP($H$2:$H$1074,Sheet1!$G:$G,Sheet1!$F:$F,"")),"NOT FOUND"))</f>
        <v>YETCRDSFUT4111</v>
      </c>
      <c r="AF1028" s="10" t="str">
        <f t="shared" si="67"/>
        <v>BLACK</v>
      </c>
      <c r="AG1028" s="11" t="str">
        <f t="shared" si="68"/>
        <v>JHAJJAR</v>
      </c>
      <c r="AH1028" s="9" t="str">
        <f>IF(OR(J1028="",AE1028="",AE1028="NOT FOUND"),"",IF(Y1028="RP",IFERROR(LEFT(_xlfn.XLOOKUP(AE1028,Sheet1!$F:$F,Sheet1!$W:$W),FIND("-",_xlfn.XLOOKUP(AE1028,Sheet1!$F:$F,Sheet1!$W:$W),FIND("-",_xlfn.XLOOKUP(AE1028,Sheet1!$F:$F,Sheet1!$W:$W))+1))&amp;AE1028,"NOT FOUND"),LEFT(J1028,FIND("-",J1028,FIND("-",J1028)+1))&amp;AE1028))</f>
        <v>SKD-APSU26-YETCRDSFUT4111</v>
      </c>
    </row>
    <row r="1029" spans="1:34" ht="15.75" customHeight="1" x14ac:dyDescent="0.2">
      <c r="A1029" s="4" t="s">
        <v>61</v>
      </c>
      <c r="B1029" s="4" t="s">
        <v>1483</v>
      </c>
      <c r="C1029" s="4" t="s">
        <v>1312</v>
      </c>
      <c r="D1029" s="4" t="s">
        <v>64</v>
      </c>
      <c r="E1029" s="4" t="s">
        <v>34</v>
      </c>
      <c r="F1029" s="4" t="s">
        <v>35</v>
      </c>
      <c r="G1029" s="4" t="s">
        <v>43</v>
      </c>
      <c r="H1029" s="4" t="s">
        <v>1437</v>
      </c>
      <c r="I1029" s="4" t="s">
        <v>1438</v>
      </c>
      <c r="J1029" s="4" t="s">
        <v>1439</v>
      </c>
      <c r="L1029" s="4" t="s">
        <v>40</v>
      </c>
      <c r="M1029" s="4">
        <v>1</v>
      </c>
      <c r="N1029" s="4">
        <v>141</v>
      </c>
      <c r="O1029" s="4">
        <v>141</v>
      </c>
      <c r="P1029" s="4" t="s">
        <v>41</v>
      </c>
      <c r="Q1029" s="4">
        <v>314.3</v>
      </c>
      <c r="R1029" s="4">
        <v>314.3</v>
      </c>
      <c r="S1029" s="4">
        <v>2215.8200000000002</v>
      </c>
      <c r="T1029" s="4">
        <v>44316.3</v>
      </c>
      <c r="U1029" s="4">
        <v>5</v>
      </c>
      <c r="V1029" s="4" t="s">
        <v>42</v>
      </c>
      <c r="X1029" s="7" t="str">
        <f t="shared" si="60"/>
        <v>441853806</v>
      </c>
      <c r="Y1029" s="8" t="str">
        <f t="shared" si="61"/>
        <v>DC</v>
      </c>
      <c r="Z1029" s="8">
        <f t="shared" si="62"/>
        <v>0</v>
      </c>
      <c r="AA1029" s="8">
        <f t="shared" si="63"/>
        <v>141</v>
      </c>
      <c r="AB1029" s="8">
        <f t="shared" si="64"/>
        <v>0</v>
      </c>
      <c r="AC1029" s="8">
        <f t="shared" si="65"/>
        <v>0</v>
      </c>
      <c r="AD1029" s="8">
        <f t="shared" si="66"/>
        <v>0</v>
      </c>
      <c r="AE1029" s="9" t="str" cm="1">
        <f t="array" ref="AE1029">IFERROR(_xlfn.XLOOKUP(H1029,Sheet1!$G:$G,Sheet1!$F:$F),IFERROR(_xlfn.XLOOKUP(1,(--($X$2:$X$1074=X1029))*(--ISNUMBER(MATCH($H$2:$H$1074,Sheet1!$G:$G,0))),_xlfn.XLOOKUP($H$2:$H$1074,Sheet1!$G:$G,Sheet1!$F:$F,"")),"NOT FOUND"))</f>
        <v>YETKRTSFUT4114</v>
      </c>
      <c r="AF1029" s="10" t="str">
        <f t="shared" si="67"/>
        <v>MUSTARD</v>
      </c>
      <c r="AG1029" s="11" t="str">
        <f t="shared" si="68"/>
        <v>HARIPAL</v>
      </c>
      <c r="AH1029" s="9" t="str">
        <f>IF(OR(J1029="",AE1029="",AE1029="NOT FOUND"),"",IF(Y1029="RP",IFERROR(LEFT(_xlfn.XLOOKUP(AE1029,Sheet1!$F:$F,Sheet1!$W:$W),FIND("-",_xlfn.XLOOKUP(AE1029,Sheet1!$F:$F,Sheet1!$W:$W),FIND("-",_xlfn.XLOOKUP(AE1029,Sheet1!$F:$F,Sheet1!$W:$W))+1))&amp;AE1029,"NOT FOUND"),LEFT(J1029,FIND("-",J1029,FIND("-",J1029)+1))&amp;AE1029))</f>
        <v>KRTS-APSU26-YETKRTSFUT4114</v>
      </c>
    </row>
    <row r="1030" spans="1:34" ht="15.75" customHeight="1" x14ac:dyDescent="0.2">
      <c r="A1030" s="4" t="s">
        <v>61</v>
      </c>
      <c r="B1030" s="4" t="s">
        <v>1483</v>
      </c>
      <c r="C1030" s="4" t="s">
        <v>1312</v>
      </c>
      <c r="D1030" s="4" t="s">
        <v>64</v>
      </c>
      <c r="E1030" s="4" t="s">
        <v>34</v>
      </c>
      <c r="F1030" s="4" t="s">
        <v>35</v>
      </c>
      <c r="G1030" s="4" t="s">
        <v>47</v>
      </c>
      <c r="H1030" s="4" t="s">
        <v>1440</v>
      </c>
      <c r="I1030" s="4" t="s">
        <v>1441</v>
      </c>
      <c r="J1030" s="4" t="s">
        <v>1442</v>
      </c>
      <c r="L1030" s="4" t="s">
        <v>40</v>
      </c>
      <c r="M1030" s="4">
        <v>1</v>
      </c>
      <c r="N1030" s="4">
        <v>126</v>
      </c>
      <c r="O1030" s="4">
        <v>126</v>
      </c>
      <c r="P1030" s="4" t="s">
        <v>41</v>
      </c>
      <c r="Q1030" s="4">
        <v>314.3</v>
      </c>
      <c r="R1030" s="4">
        <v>314.3</v>
      </c>
      <c r="S1030" s="4">
        <v>1980.09</v>
      </c>
      <c r="T1030" s="4">
        <v>39601.800000000003</v>
      </c>
      <c r="U1030" s="4">
        <v>5</v>
      </c>
      <c r="V1030" s="4" t="s">
        <v>42</v>
      </c>
      <c r="X1030" s="7" t="str">
        <f t="shared" si="60"/>
        <v>441853806</v>
      </c>
      <c r="Y1030" s="8" t="str">
        <f t="shared" si="61"/>
        <v>DC</v>
      </c>
      <c r="Z1030" s="8">
        <f t="shared" si="62"/>
        <v>0</v>
      </c>
      <c r="AA1030" s="8">
        <f t="shared" si="63"/>
        <v>0</v>
      </c>
      <c r="AB1030" s="8">
        <f t="shared" si="64"/>
        <v>126</v>
      </c>
      <c r="AC1030" s="8">
        <f t="shared" si="65"/>
        <v>0</v>
      </c>
      <c r="AD1030" s="8">
        <f t="shared" si="66"/>
        <v>0</v>
      </c>
      <c r="AE1030" s="9" t="str" cm="1">
        <f t="array" ref="AE1030">IFERROR(_xlfn.XLOOKUP(H1030,Sheet1!$G:$G,Sheet1!$F:$F),IFERROR(_xlfn.XLOOKUP(1,(--($X$2:$X$1074=X1030))*(--ISNUMBER(MATCH($H$2:$H$1074,Sheet1!$G:$G,0))),_xlfn.XLOOKUP($H$2:$H$1074,Sheet1!$G:$G,Sheet1!$F:$F,"")),"NOT FOUND"))</f>
        <v>YETKRTSFUT4114</v>
      </c>
      <c r="AF1030" s="10" t="str">
        <f t="shared" si="67"/>
        <v>MUSTARD</v>
      </c>
      <c r="AG1030" s="11" t="str">
        <f t="shared" si="68"/>
        <v>HARIPAL</v>
      </c>
      <c r="AH1030" s="9" t="str">
        <f>IF(OR(J1030="",AE1030="",AE1030="NOT FOUND"),"",IF(Y1030="RP",IFERROR(LEFT(_xlfn.XLOOKUP(AE1030,Sheet1!$F:$F,Sheet1!$W:$W),FIND("-",_xlfn.XLOOKUP(AE1030,Sheet1!$F:$F,Sheet1!$W:$W),FIND("-",_xlfn.XLOOKUP(AE1030,Sheet1!$F:$F,Sheet1!$W:$W))+1))&amp;AE1030,"NOT FOUND"),LEFT(J1030,FIND("-",J1030,FIND("-",J1030)+1))&amp;AE1030))</f>
        <v>KRTS-APSU26-YETKRTSFUT4114</v>
      </c>
    </row>
    <row r="1031" spans="1:34" ht="15.75" customHeight="1" x14ac:dyDescent="0.2">
      <c r="A1031" s="4" t="s">
        <v>61</v>
      </c>
      <c r="B1031" s="4" t="s">
        <v>1484</v>
      </c>
      <c r="C1031" s="4" t="s">
        <v>1312</v>
      </c>
      <c r="D1031" s="4" t="s">
        <v>1125</v>
      </c>
      <c r="E1031" s="4" t="s">
        <v>34</v>
      </c>
      <c r="F1031" s="4" t="s">
        <v>35</v>
      </c>
      <c r="G1031" s="4" t="s">
        <v>36</v>
      </c>
      <c r="H1031" s="4" t="s">
        <v>1450</v>
      </c>
      <c r="I1031" s="4" t="s">
        <v>1451</v>
      </c>
      <c r="J1031" s="4" t="s">
        <v>1452</v>
      </c>
      <c r="L1031" s="4" t="s">
        <v>40</v>
      </c>
      <c r="M1031" s="4">
        <v>1</v>
      </c>
      <c r="N1031" s="4">
        <v>30</v>
      </c>
      <c r="O1031" s="4">
        <v>30</v>
      </c>
      <c r="P1031" s="4" t="s">
        <v>41</v>
      </c>
      <c r="Q1031" s="4">
        <v>424.3</v>
      </c>
      <c r="R1031" s="4">
        <v>424.3</v>
      </c>
      <c r="S1031" s="4">
        <v>636.45000000000005</v>
      </c>
      <c r="T1031" s="4">
        <v>12729</v>
      </c>
      <c r="U1031" s="4">
        <v>5</v>
      </c>
      <c r="V1031" s="4" t="s">
        <v>42</v>
      </c>
      <c r="X1031" s="7" t="str">
        <f t="shared" si="60"/>
        <v>441853803</v>
      </c>
      <c r="Y1031" s="8" t="str">
        <f t="shared" si="61"/>
        <v>DC</v>
      </c>
      <c r="Z1031" s="8">
        <f t="shared" si="62"/>
        <v>30</v>
      </c>
      <c r="AA1031" s="8">
        <f t="shared" si="63"/>
        <v>0</v>
      </c>
      <c r="AB1031" s="8">
        <f t="shared" si="64"/>
        <v>0</v>
      </c>
      <c r="AC1031" s="8">
        <f t="shared" si="65"/>
        <v>0</v>
      </c>
      <c r="AD1031" s="8">
        <f t="shared" si="66"/>
        <v>0</v>
      </c>
      <c r="AE1031" s="9" t="str" cm="1">
        <f t="array" ref="AE1031">IFERROR(_xlfn.XLOOKUP(H1031,Sheet1!$G:$G,Sheet1!$F:$F),IFERROR(_xlfn.XLOOKUP(1,(--($X$2:$X$1074=X1031))*(--ISNUMBER(MATCH($H$2:$H$1074,Sheet1!$G:$G,0))),_xlfn.XLOOKUP($H$2:$H$1074,Sheet1!$G:$G,Sheet1!$F:$F,"")),"NOT FOUND"))</f>
        <v>YETCRDSFUT4111</v>
      </c>
      <c r="AF1031" s="10" t="str">
        <f t="shared" si="67"/>
        <v>BLACK</v>
      </c>
      <c r="AG1031" s="11" t="str">
        <f t="shared" si="68"/>
        <v>HARIPAL</v>
      </c>
      <c r="AH1031" s="9" t="str">
        <f>IF(OR(J1031="",AE1031="",AE1031="NOT FOUND"),"",IF(Y1031="RP",IFERROR(LEFT(_xlfn.XLOOKUP(AE1031,Sheet1!$F:$F,Sheet1!$W:$W),FIND("-",_xlfn.XLOOKUP(AE1031,Sheet1!$F:$F,Sheet1!$W:$W),FIND("-",_xlfn.XLOOKUP(AE1031,Sheet1!$F:$F,Sheet1!$W:$W))+1))&amp;AE1031,"NOT FOUND"),LEFT(J1031,FIND("-",J1031,FIND("-",J1031)+1))&amp;AE1031))</f>
        <v>SKD-APSU26-YETCRDSFUT4111</v>
      </c>
    </row>
    <row r="1032" spans="1:34" ht="15.75" customHeight="1" x14ac:dyDescent="0.2">
      <c r="A1032" s="4" t="s">
        <v>61</v>
      </c>
      <c r="B1032" s="4" t="s">
        <v>1484</v>
      </c>
      <c r="C1032" s="4" t="s">
        <v>1312</v>
      </c>
      <c r="D1032" s="4" t="s">
        <v>1125</v>
      </c>
      <c r="E1032" s="4" t="s">
        <v>34</v>
      </c>
      <c r="F1032" s="4" t="s">
        <v>35</v>
      </c>
      <c r="G1032" s="4" t="s">
        <v>43</v>
      </c>
      <c r="H1032" s="4" t="s">
        <v>1453</v>
      </c>
      <c r="I1032" s="4" t="s">
        <v>1454</v>
      </c>
      <c r="J1032" s="4" t="s">
        <v>1455</v>
      </c>
      <c r="L1032" s="4" t="s">
        <v>40</v>
      </c>
      <c r="M1032" s="4">
        <v>1</v>
      </c>
      <c r="N1032" s="4">
        <v>71</v>
      </c>
      <c r="O1032" s="4">
        <v>71</v>
      </c>
      <c r="P1032" s="4" t="s">
        <v>41</v>
      </c>
      <c r="Q1032" s="4">
        <v>424.3</v>
      </c>
      <c r="R1032" s="4">
        <v>424.3</v>
      </c>
      <c r="S1032" s="4">
        <v>1506.27</v>
      </c>
      <c r="T1032" s="4">
        <v>30125.3</v>
      </c>
      <c r="U1032" s="4">
        <v>5</v>
      </c>
      <c r="V1032" s="4" t="s">
        <v>42</v>
      </c>
      <c r="X1032" s="7" t="str">
        <f t="shared" si="60"/>
        <v>441853803</v>
      </c>
      <c r="Y1032" s="8" t="str">
        <f t="shared" si="61"/>
        <v>DC</v>
      </c>
      <c r="Z1032" s="8">
        <f t="shared" si="62"/>
        <v>0</v>
      </c>
      <c r="AA1032" s="8">
        <f t="shared" si="63"/>
        <v>71</v>
      </c>
      <c r="AB1032" s="8">
        <f t="shared" si="64"/>
        <v>0</v>
      </c>
      <c r="AC1032" s="8">
        <f t="shared" si="65"/>
        <v>0</v>
      </c>
      <c r="AD1032" s="8">
        <f t="shared" si="66"/>
        <v>0</v>
      </c>
      <c r="AE1032" s="9" t="str" cm="1">
        <f t="array" ref="AE1032">IFERROR(_xlfn.XLOOKUP(H1032,Sheet1!$G:$G,Sheet1!$F:$F),IFERROR(_xlfn.XLOOKUP(1,(--($X$2:$X$1074=X1032))*(--ISNUMBER(MATCH($H$2:$H$1074,Sheet1!$G:$G,0))),_xlfn.XLOOKUP($H$2:$H$1074,Sheet1!$G:$G,Sheet1!$F:$F,"")),"NOT FOUND"))</f>
        <v>YETCRDSFUT4111</v>
      </c>
      <c r="AF1032" s="10" t="str">
        <f t="shared" si="67"/>
        <v>BLACK</v>
      </c>
      <c r="AG1032" s="11" t="str">
        <f t="shared" si="68"/>
        <v>HARIPAL</v>
      </c>
      <c r="AH1032" s="9" t="str">
        <f>IF(OR(J1032="",AE1032="",AE1032="NOT FOUND"),"",IF(Y1032="RP",IFERROR(LEFT(_xlfn.XLOOKUP(AE1032,Sheet1!$F:$F,Sheet1!$W:$W),FIND("-",_xlfn.XLOOKUP(AE1032,Sheet1!$F:$F,Sheet1!$W:$W),FIND("-",_xlfn.XLOOKUP(AE1032,Sheet1!$F:$F,Sheet1!$W:$W))+1))&amp;AE1032,"NOT FOUND"),LEFT(J1032,FIND("-",J1032,FIND("-",J1032)+1))&amp;AE1032))</f>
        <v>SKD-APSU26-YETCRDSFUT4111</v>
      </c>
    </row>
    <row r="1033" spans="1:34" ht="15.75" customHeight="1" x14ac:dyDescent="0.2">
      <c r="A1033" s="4" t="s">
        <v>61</v>
      </c>
      <c r="B1033" s="4" t="s">
        <v>1484</v>
      </c>
      <c r="C1033" s="4" t="s">
        <v>1312</v>
      </c>
      <c r="D1033" s="4" t="s">
        <v>1125</v>
      </c>
      <c r="E1033" s="4" t="s">
        <v>34</v>
      </c>
      <c r="F1033" s="4" t="s">
        <v>35</v>
      </c>
      <c r="G1033" s="4" t="s">
        <v>47</v>
      </c>
      <c r="H1033" s="4" t="s">
        <v>1456</v>
      </c>
      <c r="I1033" s="4" t="s">
        <v>1457</v>
      </c>
      <c r="J1033" s="4" t="s">
        <v>1458</v>
      </c>
      <c r="L1033" s="4" t="s">
        <v>40</v>
      </c>
      <c r="M1033" s="4">
        <v>1</v>
      </c>
      <c r="N1033" s="4">
        <v>84</v>
      </c>
      <c r="O1033" s="4">
        <v>84</v>
      </c>
      <c r="P1033" s="4" t="s">
        <v>41</v>
      </c>
      <c r="Q1033" s="4">
        <v>424.3</v>
      </c>
      <c r="R1033" s="4">
        <v>424.3</v>
      </c>
      <c r="S1033" s="4">
        <v>1782.06</v>
      </c>
      <c r="T1033" s="4">
        <v>35641.199999999997</v>
      </c>
      <c r="U1033" s="4">
        <v>5</v>
      </c>
      <c r="V1033" s="4" t="s">
        <v>42</v>
      </c>
      <c r="X1033" s="7" t="str">
        <f t="shared" si="60"/>
        <v>441853803</v>
      </c>
      <c r="Y1033" s="8" t="str">
        <f t="shared" si="61"/>
        <v>DC</v>
      </c>
      <c r="Z1033" s="8">
        <f t="shared" si="62"/>
        <v>0</v>
      </c>
      <c r="AA1033" s="8">
        <f t="shared" si="63"/>
        <v>0</v>
      </c>
      <c r="AB1033" s="8">
        <f t="shared" si="64"/>
        <v>84</v>
      </c>
      <c r="AC1033" s="8">
        <f t="shared" si="65"/>
        <v>0</v>
      </c>
      <c r="AD1033" s="8">
        <f t="shared" si="66"/>
        <v>0</v>
      </c>
      <c r="AE1033" s="9" t="str" cm="1">
        <f t="array" ref="AE1033">IFERROR(_xlfn.XLOOKUP(H1033,Sheet1!$G:$G,Sheet1!$F:$F),IFERROR(_xlfn.XLOOKUP(1,(--($X$2:$X$1074=X1033))*(--ISNUMBER(MATCH($H$2:$H$1074,Sheet1!$G:$G,0))),_xlfn.XLOOKUP($H$2:$H$1074,Sheet1!$G:$G,Sheet1!$F:$F,"")),"NOT FOUND"))</f>
        <v>YETCRDSFUT4111</v>
      </c>
      <c r="AF1033" s="10" t="str">
        <f t="shared" si="67"/>
        <v>BLACK</v>
      </c>
      <c r="AG1033" s="11" t="str">
        <f t="shared" si="68"/>
        <v>HARIPAL</v>
      </c>
      <c r="AH1033" s="9" t="str">
        <f>IF(OR(J1033="",AE1033="",AE1033="NOT FOUND"),"",IF(Y1033="RP",IFERROR(LEFT(_xlfn.XLOOKUP(AE1033,Sheet1!$F:$F,Sheet1!$W:$W),FIND("-",_xlfn.XLOOKUP(AE1033,Sheet1!$F:$F,Sheet1!$W:$W),FIND("-",_xlfn.XLOOKUP(AE1033,Sheet1!$F:$F,Sheet1!$W:$W))+1))&amp;AE1033,"NOT FOUND"),LEFT(J1033,FIND("-",J1033,FIND("-",J1033)+1))&amp;AE1033))</f>
        <v>SKD-APSU26-YETCRDSFUT4111</v>
      </c>
    </row>
    <row r="1034" spans="1:34" ht="15.75" customHeight="1" x14ac:dyDescent="0.2">
      <c r="A1034" s="4" t="s">
        <v>61</v>
      </c>
      <c r="B1034" s="4" t="s">
        <v>1484</v>
      </c>
      <c r="C1034" s="4" t="s">
        <v>1312</v>
      </c>
      <c r="D1034" s="4" t="s">
        <v>1125</v>
      </c>
      <c r="E1034" s="4" t="s">
        <v>34</v>
      </c>
      <c r="F1034" s="4" t="s">
        <v>35</v>
      </c>
      <c r="G1034" s="4" t="s">
        <v>51</v>
      </c>
      <c r="H1034" s="4" t="s">
        <v>1459</v>
      </c>
      <c r="I1034" s="4" t="s">
        <v>1460</v>
      </c>
      <c r="J1034" s="4" t="s">
        <v>1461</v>
      </c>
      <c r="L1034" s="4" t="s">
        <v>40</v>
      </c>
      <c r="M1034" s="4">
        <v>1</v>
      </c>
      <c r="N1034" s="4">
        <v>73</v>
      </c>
      <c r="O1034" s="4">
        <v>73</v>
      </c>
      <c r="P1034" s="4" t="s">
        <v>41</v>
      </c>
      <c r="Q1034" s="4">
        <v>424.3</v>
      </c>
      <c r="R1034" s="4">
        <v>424.3</v>
      </c>
      <c r="S1034" s="4">
        <v>1548.7</v>
      </c>
      <c r="T1034" s="4">
        <v>30973.9</v>
      </c>
      <c r="U1034" s="4">
        <v>5</v>
      </c>
      <c r="V1034" s="4" t="s">
        <v>42</v>
      </c>
      <c r="X1034" s="7" t="str">
        <f t="shared" si="60"/>
        <v>441853803</v>
      </c>
      <c r="Y1034" s="8" t="str">
        <f t="shared" si="61"/>
        <v>DC</v>
      </c>
      <c r="Z1034" s="8">
        <f t="shared" si="62"/>
        <v>0</v>
      </c>
      <c r="AA1034" s="8">
        <f t="shared" si="63"/>
        <v>0</v>
      </c>
      <c r="AB1034" s="8">
        <f t="shared" si="64"/>
        <v>0</v>
      </c>
      <c r="AC1034" s="8">
        <f t="shared" si="65"/>
        <v>73</v>
      </c>
      <c r="AD1034" s="8">
        <f t="shared" si="66"/>
        <v>0</v>
      </c>
      <c r="AE1034" s="9" t="str" cm="1">
        <f t="array" ref="AE1034">IFERROR(_xlfn.XLOOKUP(H1034,Sheet1!$G:$G,Sheet1!$F:$F),IFERROR(_xlfn.XLOOKUP(1,(--($X$2:$X$1074=X1034))*(--ISNUMBER(MATCH($H$2:$H$1074,Sheet1!$G:$G,0))),_xlfn.XLOOKUP($H$2:$H$1074,Sheet1!$G:$G,Sheet1!$F:$F,"")),"NOT FOUND"))</f>
        <v>YETCRDSFUT4111</v>
      </c>
      <c r="AF1034" s="10" t="str">
        <f t="shared" si="67"/>
        <v>BLACK</v>
      </c>
      <c r="AG1034" s="11" t="str">
        <f t="shared" si="68"/>
        <v>HARIPAL</v>
      </c>
      <c r="AH1034" s="9" t="str">
        <f>IF(OR(J1034="",AE1034="",AE1034="NOT FOUND"),"",IF(Y1034="RP",IFERROR(LEFT(_xlfn.XLOOKUP(AE1034,Sheet1!$F:$F,Sheet1!$W:$W),FIND("-",_xlfn.XLOOKUP(AE1034,Sheet1!$F:$F,Sheet1!$W:$W),FIND("-",_xlfn.XLOOKUP(AE1034,Sheet1!$F:$F,Sheet1!$W:$W))+1))&amp;AE1034,"NOT FOUND"),LEFT(J1034,FIND("-",J1034,FIND("-",J1034)+1))&amp;AE1034))</f>
        <v>SKD-APSU26-YETCRDSFUT4111</v>
      </c>
    </row>
    <row r="1035" spans="1:34" ht="15.75" customHeight="1" x14ac:dyDescent="0.2">
      <c r="A1035" s="4" t="s">
        <v>61</v>
      </c>
      <c r="B1035" s="4" t="s">
        <v>1484</v>
      </c>
      <c r="C1035" s="4" t="s">
        <v>1312</v>
      </c>
      <c r="D1035" s="4" t="s">
        <v>1125</v>
      </c>
      <c r="E1035" s="4" t="s">
        <v>34</v>
      </c>
      <c r="F1035" s="4" t="s">
        <v>35</v>
      </c>
      <c r="G1035" s="4" t="s">
        <v>55</v>
      </c>
      <c r="H1035" s="4" t="s">
        <v>1462</v>
      </c>
      <c r="I1035" s="4" t="s">
        <v>1463</v>
      </c>
      <c r="J1035" s="4" t="s">
        <v>1464</v>
      </c>
      <c r="L1035" s="4" t="s">
        <v>40</v>
      </c>
      <c r="M1035" s="4">
        <v>1</v>
      </c>
      <c r="N1035" s="4">
        <v>30</v>
      </c>
      <c r="O1035" s="4">
        <v>30</v>
      </c>
      <c r="P1035" s="4" t="s">
        <v>41</v>
      </c>
      <c r="Q1035" s="4">
        <v>424.3</v>
      </c>
      <c r="R1035" s="4">
        <v>424.3</v>
      </c>
      <c r="S1035" s="4">
        <v>636.45000000000005</v>
      </c>
      <c r="T1035" s="4">
        <v>12729</v>
      </c>
      <c r="U1035" s="4">
        <v>5</v>
      </c>
      <c r="V1035" s="4" t="s">
        <v>42</v>
      </c>
      <c r="X1035" s="7" t="str">
        <f t="shared" si="60"/>
        <v>441853803</v>
      </c>
      <c r="Y1035" s="8" t="str">
        <f t="shared" si="61"/>
        <v>DC</v>
      </c>
      <c r="Z1035" s="8">
        <f t="shared" si="62"/>
        <v>0</v>
      </c>
      <c r="AA1035" s="8">
        <f t="shared" si="63"/>
        <v>0</v>
      </c>
      <c r="AB1035" s="8">
        <f t="shared" si="64"/>
        <v>0</v>
      </c>
      <c r="AC1035" s="8">
        <f t="shared" si="65"/>
        <v>0</v>
      </c>
      <c r="AD1035" s="8">
        <f t="shared" si="66"/>
        <v>30</v>
      </c>
      <c r="AE1035" s="9" t="str" cm="1">
        <f t="array" ref="AE1035">IFERROR(_xlfn.XLOOKUP(H1035,Sheet1!$G:$G,Sheet1!$F:$F),IFERROR(_xlfn.XLOOKUP(1,(--($X$2:$X$1074=X1035))*(--ISNUMBER(MATCH($H$2:$H$1074,Sheet1!$G:$G,0))),_xlfn.XLOOKUP($H$2:$H$1074,Sheet1!$G:$G,Sheet1!$F:$F,"")),"NOT FOUND"))</f>
        <v>YETCRDSFUT4111</v>
      </c>
      <c r="AF1035" s="10" t="str">
        <f t="shared" si="67"/>
        <v>BLACK</v>
      </c>
      <c r="AG1035" s="11" t="str">
        <f t="shared" si="68"/>
        <v>HARIPAL</v>
      </c>
      <c r="AH1035" s="9" t="str">
        <f>IF(OR(J1035="",AE1035="",AE1035="NOT FOUND"),"",IF(Y1035="RP",IFERROR(LEFT(_xlfn.XLOOKUP(AE1035,Sheet1!$F:$F,Sheet1!$W:$W),FIND("-",_xlfn.XLOOKUP(AE1035,Sheet1!$F:$F,Sheet1!$W:$W),FIND("-",_xlfn.XLOOKUP(AE1035,Sheet1!$F:$F,Sheet1!$W:$W))+1))&amp;AE1035,"NOT FOUND"),LEFT(J1035,FIND("-",J1035,FIND("-",J1035)+1))&amp;AE1035))</f>
        <v>SKD-APSU26-YETCRDSFUT4111</v>
      </c>
    </row>
    <row r="1036" spans="1:34" ht="15.75" customHeight="1" x14ac:dyDescent="0.2">
      <c r="A1036" s="4" t="s">
        <v>61</v>
      </c>
      <c r="B1036" s="4" t="s">
        <v>1485</v>
      </c>
      <c r="C1036" s="4" t="s">
        <v>1312</v>
      </c>
      <c r="D1036" s="4" t="s">
        <v>64</v>
      </c>
      <c r="E1036" s="4" t="s">
        <v>34</v>
      </c>
      <c r="F1036" s="4" t="s">
        <v>35</v>
      </c>
      <c r="G1036" s="4" t="s">
        <v>36</v>
      </c>
      <c r="H1036" s="4" t="s">
        <v>1466</v>
      </c>
      <c r="I1036" s="4" t="s">
        <v>1467</v>
      </c>
      <c r="J1036" s="4" t="s">
        <v>1468</v>
      </c>
      <c r="L1036" s="4" t="s">
        <v>40</v>
      </c>
      <c r="M1036" s="4">
        <v>1</v>
      </c>
      <c r="N1036" s="4">
        <v>30</v>
      </c>
      <c r="O1036" s="4">
        <v>30</v>
      </c>
      <c r="P1036" s="4" t="s">
        <v>41</v>
      </c>
      <c r="Q1036" s="4">
        <v>629.29999999999995</v>
      </c>
      <c r="R1036" s="4">
        <v>629.29999999999995</v>
      </c>
      <c r="S1036" s="4">
        <v>943.95</v>
      </c>
      <c r="T1036" s="4">
        <v>18879</v>
      </c>
      <c r="U1036" s="4">
        <v>5</v>
      </c>
      <c r="V1036" s="4" t="s">
        <v>42</v>
      </c>
      <c r="X1036" s="7" t="str">
        <f t="shared" si="60"/>
        <v>441853801</v>
      </c>
      <c r="Y1036" s="8" t="str">
        <f t="shared" si="61"/>
        <v>DC</v>
      </c>
      <c r="Z1036" s="8">
        <f t="shared" si="62"/>
        <v>30</v>
      </c>
      <c r="AA1036" s="8">
        <f t="shared" si="63"/>
        <v>0</v>
      </c>
      <c r="AB1036" s="8">
        <f t="shared" si="64"/>
        <v>0</v>
      </c>
      <c r="AC1036" s="8">
        <f t="shared" si="65"/>
        <v>0</v>
      </c>
      <c r="AD1036" s="8">
        <f t="shared" si="66"/>
        <v>0</v>
      </c>
      <c r="AE1036" s="9" t="str" cm="1">
        <f t="array" ref="AE1036">IFERROR(_xlfn.XLOOKUP(H1036,Sheet1!$G:$G,Sheet1!$F:$F),IFERROR(_xlfn.XLOOKUP(1,(--($X$2:$X$1074=X1036))*(--ISNUMBER(MATCH($H$2:$H$1074,Sheet1!$G:$G,0))),_xlfn.XLOOKUP($H$2:$H$1074,Sheet1!$G:$G,Sheet1!$F:$F,"")),"NOT FOUND"))</f>
        <v>RETCRDSFUT4109</v>
      </c>
      <c r="AF1036" s="10" t="str">
        <f t="shared" si="67"/>
        <v>LT. PEACH</v>
      </c>
      <c r="AG1036" s="11" t="str">
        <f t="shared" si="68"/>
        <v>HARIPAL</v>
      </c>
      <c r="AH1036" s="9" t="str">
        <f>IF(OR(J1036="",AE1036="",AE1036="NOT FOUND"),"",IF(Y1036="RP",IFERROR(LEFT(_xlfn.XLOOKUP(AE1036,Sheet1!$F:$F,Sheet1!$W:$W),FIND("-",_xlfn.XLOOKUP(AE1036,Sheet1!$F:$F,Sheet1!$W:$W),FIND("-",_xlfn.XLOOKUP(AE1036,Sheet1!$F:$F,Sheet1!$W:$W))+1))&amp;AE1036,"NOT FOUND"),LEFT(J1036,FIND("-",J1036,FIND("-",J1036)+1))&amp;AE1036))</f>
        <v>SKD-APSU26-RETCRDSFUT4109</v>
      </c>
    </row>
    <row r="1037" spans="1:34" ht="15.75" customHeight="1" x14ac:dyDescent="0.2">
      <c r="A1037" s="4" t="s">
        <v>61</v>
      </c>
      <c r="B1037" s="4" t="s">
        <v>1485</v>
      </c>
      <c r="C1037" s="4" t="s">
        <v>1312</v>
      </c>
      <c r="D1037" s="4" t="s">
        <v>64</v>
      </c>
      <c r="E1037" s="4" t="s">
        <v>34</v>
      </c>
      <c r="F1037" s="4" t="s">
        <v>35</v>
      </c>
      <c r="G1037" s="4" t="s">
        <v>47</v>
      </c>
      <c r="H1037" s="4" t="s">
        <v>1472</v>
      </c>
      <c r="I1037" s="4" t="s">
        <v>1473</v>
      </c>
      <c r="J1037" s="4" t="s">
        <v>1474</v>
      </c>
      <c r="L1037" s="4" t="s">
        <v>40</v>
      </c>
      <c r="M1037" s="4">
        <v>1</v>
      </c>
      <c r="N1037" s="4">
        <v>67</v>
      </c>
      <c r="O1037" s="4">
        <v>67</v>
      </c>
      <c r="P1037" s="4" t="s">
        <v>41</v>
      </c>
      <c r="Q1037" s="4">
        <v>629.29999999999995</v>
      </c>
      <c r="R1037" s="4">
        <v>629.29999999999995</v>
      </c>
      <c r="S1037" s="4">
        <v>2108.16</v>
      </c>
      <c r="T1037" s="4">
        <v>42163.1</v>
      </c>
      <c r="U1037" s="4">
        <v>5</v>
      </c>
      <c r="V1037" s="4" t="s">
        <v>42</v>
      </c>
      <c r="X1037" s="7" t="str">
        <f t="shared" si="60"/>
        <v>441853801</v>
      </c>
      <c r="Y1037" s="8" t="str">
        <f t="shared" si="61"/>
        <v>DC</v>
      </c>
      <c r="Z1037" s="8">
        <f t="shared" si="62"/>
        <v>0</v>
      </c>
      <c r="AA1037" s="8">
        <f t="shared" si="63"/>
        <v>0</v>
      </c>
      <c r="AB1037" s="8">
        <f t="shared" si="64"/>
        <v>67</v>
      </c>
      <c r="AC1037" s="8">
        <f t="shared" si="65"/>
        <v>0</v>
      </c>
      <c r="AD1037" s="8">
        <f t="shared" si="66"/>
        <v>0</v>
      </c>
      <c r="AE1037" s="9" t="str" cm="1">
        <f t="array" ref="AE1037">IFERROR(_xlfn.XLOOKUP(H1037,Sheet1!$G:$G,Sheet1!$F:$F),IFERROR(_xlfn.XLOOKUP(1,(--($X$2:$X$1074=X1037))*(--ISNUMBER(MATCH($H$2:$H$1074,Sheet1!$G:$G,0))),_xlfn.XLOOKUP($H$2:$H$1074,Sheet1!$G:$G,Sheet1!$F:$F,"")),"NOT FOUND"))</f>
        <v>RETCRDSFUT4109</v>
      </c>
      <c r="AF1037" s="10" t="str">
        <f t="shared" si="67"/>
        <v>LT. PEACH</v>
      </c>
      <c r="AG1037" s="11" t="str">
        <f t="shared" si="68"/>
        <v>HARIPAL</v>
      </c>
      <c r="AH1037" s="9" t="str">
        <f>IF(OR(J1037="",AE1037="",AE1037="NOT FOUND"),"",IF(Y1037="RP",IFERROR(LEFT(_xlfn.XLOOKUP(AE1037,Sheet1!$F:$F,Sheet1!$W:$W),FIND("-",_xlfn.XLOOKUP(AE1037,Sheet1!$F:$F,Sheet1!$W:$W),FIND("-",_xlfn.XLOOKUP(AE1037,Sheet1!$F:$F,Sheet1!$W:$W))+1))&amp;AE1037,"NOT FOUND"),LEFT(J1037,FIND("-",J1037,FIND("-",J1037)+1))&amp;AE1037))</f>
        <v>SKD-APSU26-RETCRDSFUT4109</v>
      </c>
    </row>
    <row r="1038" spans="1:34" ht="15.75" customHeight="1" x14ac:dyDescent="0.2">
      <c r="A1038" s="4" t="s">
        <v>30</v>
      </c>
      <c r="B1038" s="4" t="s">
        <v>1486</v>
      </c>
      <c r="C1038" s="4" t="s">
        <v>1312</v>
      </c>
      <c r="D1038" s="4" t="s">
        <v>1487</v>
      </c>
      <c r="E1038" s="4" t="s">
        <v>34</v>
      </c>
      <c r="F1038" s="4" t="s">
        <v>35</v>
      </c>
      <c r="G1038" s="4" t="s">
        <v>36</v>
      </c>
      <c r="H1038" s="4" t="s">
        <v>1488</v>
      </c>
      <c r="I1038" s="4" t="s">
        <v>1489</v>
      </c>
      <c r="J1038" s="4" t="s">
        <v>1490</v>
      </c>
      <c r="L1038" s="4" t="s">
        <v>40</v>
      </c>
      <c r="M1038" s="4">
        <v>1</v>
      </c>
      <c r="N1038" s="4">
        <v>30</v>
      </c>
      <c r="O1038" s="4">
        <v>30</v>
      </c>
      <c r="P1038" s="4" t="s">
        <v>41</v>
      </c>
      <c r="Q1038" s="4">
        <v>629.29999999999995</v>
      </c>
      <c r="R1038" s="4">
        <v>629.29999999999995</v>
      </c>
      <c r="S1038" s="4">
        <v>943.95</v>
      </c>
      <c r="T1038" s="4">
        <v>18879</v>
      </c>
      <c r="U1038" s="4">
        <v>5</v>
      </c>
      <c r="V1038" s="4" t="s">
        <v>42</v>
      </c>
      <c r="X1038" s="7" t="str">
        <f t="shared" si="60"/>
        <v>441853799</v>
      </c>
      <c r="Y1038" s="8" t="str">
        <f t="shared" si="61"/>
        <v>DC</v>
      </c>
      <c r="Z1038" s="8">
        <f t="shared" si="62"/>
        <v>30</v>
      </c>
      <c r="AA1038" s="8">
        <f t="shared" si="63"/>
        <v>0</v>
      </c>
      <c r="AB1038" s="8">
        <f t="shared" si="64"/>
        <v>0</v>
      </c>
      <c r="AC1038" s="8">
        <f t="shared" si="65"/>
        <v>0</v>
      </c>
      <c r="AD1038" s="8">
        <f t="shared" si="66"/>
        <v>0</v>
      </c>
      <c r="AE1038" s="9" t="str" cm="1">
        <f t="array" ref="AE1038">IFERROR(_xlfn.XLOOKUP(H1038,Sheet1!$G:$G,Sheet1!$F:$F),IFERROR(_xlfn.XLOOKUP(1,(--($X$2:$X$1074=X1038))*(--ISNUMBER(MATCH($H$2:$H$1074,Sheet1!$G:$G,0))),_xlfn.XLOOKUP($H$2:$H$1074,Sheet1!$G:$G,Sheet1!$F:$F,"")),"NOT FOUND"))</f>
        <v>RETCRDSFUT4107</v>
      </c>
      <c r="AF1038" s="10" t="str">
        <f t="shared" si="67"/>
        <v>LT. PINK</v>
      </c>
      <c r="AG1038" s="11" t="str">
        <f t="shared" si="68"/>
        <v>Bangalore</v>
      </c>
      <c r="AH1038" s="9" t="str">
        <f>IF(OR(J1038="",AE1038="",AE1038="NOT FOUND"),"",IF(Y1038="RP",IFERROR(LEFT(_xlfn.XLOOKUP(AE1038,Sheet1!$F:$F,Sheet1!$W:$W),FIND("-",_xlfn.XLOOKUP(AE1038,Sheet1!$F:$F,Sheet1!$W:$W),FIND("-",_xlfn.XLOOKUP(AE1038,Sheet1!$F:$F,Sheet1!$W:$W))+1))&amp;AE1038,"NOT FOUND"),LEFT(J1038,FIND("-",J1038,FIND("-",J1038)+1))&amp;AE1038))</f>
        <v>SKD-APSU26-RETCRDSFUT4107</v>
      </c>
    </row>
    <row r="1039" spans="1:34" ht="15.75" customHeight="1" x14ac:dyDescent="0.2">
      <c r="A1039" s="4" t="s">
        <v>30</v>
      </c>
      <c r="B1039" s="4" t="s">
        <v>1486</v>
      </c>
      <c r="C1039" s="4" t="s">
        <v>1312</v>
      </c>
      <c r="D1039" s="4" t="s">
        <v>1487</v>
      </c>
      <c r="E1039" s="4" t="s">
        <v>34</v>
      </c>
      <c r="F1039" s="4" t="s">
        <v>35</v>
      </c>
      <c r="G1039" s="4" t="s">
        <v>43</v>
      </c>
      <c r="H1039" s="4" t="s">
        <v>1491</v>
      </c>
      <c r="I1039" s="4" t="s">
        <v>1492</v>
      </c>
      <c r="J1039" s="4" t="s">
        <v>1493</v>
      </c>
      <c r="L1039" s="4" t="s">
        <v>40</v>
      </c>
      <c r="M1039" s="4">
        <v>1</v>
      </c>
      <c r="N1039" s="4">
        <v>98</v>
      </c>
      <c r="O1039" s="4">
        <v>98</v>
      </c>
      <c r="P1039" s="4" t="s">
        <v>41</v>
      </c>
      <c r="Q1039" s="4">
        <v>629.29999999999995</v>
      </c>
      <c r="R1039" s="4">
        <v>629.29999999999995</v>
      </c>
      <c r="S1039" s="4">
        <v>3083.57</v>
      </c>
      <c r="T1039" s="4">
        <v>61671.4</v>
      </c>
      <c r="U1039" s="4">
        <v>5</v>
      </c>
      <c r="V1039" s="4" t="s">
        <v>42</v>
      </c>
      <c r="X1039" s="7" t="str">
        <f t="shared" si="60"/>
        <v>441853799</v>
      </c>
      <c r="Y1039" s="8" t="str">
        <f t="shared" si="61"/>
        <v>DC</v>
      </c>
      <c r="Z1039" s="8">
        <f t="shared" si="62"/>
        <v>0</v>
      </c>
      <c r="AA1039" s="8">
        <f t="shared" si="63"/>
        <v>98</v>
      </c>
      <c r="AB1039" s="8">
        <f t="shared" si="64"/>
        <v>0</v>
      </c>
      <c r="AC1039" s="8">
        <f t="shared" si="65"/>
        <v>0</v>
      </c>
      <c r="AD1039" s="8">
        <f t="shared" si="66"/>
        <v>0</v>
      </c>
      <c r="AE1039" s="9" t="str" cm="1">
        <f t="array" ref="AE1039">IFERROR(_xlfn.XLOOKUP(H1039,Sheet1!$G:$G,Sheet1!$F:$F),IFERROR(_xlfn.XLOOKUP(1,(--($X$2:$X$1074=X1039))*(--ISNUMBER(MATCH($H$2:$H$1074,Sheet1!$G:$G,0))),_xlfn.XLOOKUP($H$2:$H$1074,Sheet1!$G:$G,Sheet1!$F:$F,"")),"NOT FOUND"))</f>
        <v>RETCRDSFUT4107</v>
      </c>
      <c r="AF1039" s="10" t="str">
        <f t="shared" si="67"/>
        <v>LT. PINK</v>
      </c>
      <c r="AG1039" s="11" t="str">
        <f t="shared" si="68"/>
        <v>Bangalore</v>
      </c>
      <c r="AH1039" s="9" t="str">
        <f>IF(OR(J1039="",AE1039="",AE1039="NOT FOUND"),"",IF(Y1039="RP",IFERROR(LEFT(_xlfn.XLOOKUP(AE1039,Sheet1!$F:$F,Sheet1!$W:$W),FIND("-",_xlfn.XLOOKUP(AE1039,Sheet1!$F:$F,Sheet1!$W:$W),FIND("-",_xlfn.XLOOKUP(AE1039,Sheet1!$F:$F,Sheet1!$W:$W))+1))&amp;AE1039,"NOT FOUND"),LEFT(J1039,FIND("-",J1039,FIND("-",J1039)+1))&amp;AE1039))</f>
        <v>SKD-APSU26-RETCRDSFUT4107</v>
      </c>
    </row>
    <row r="1040" spans="1:34" ht="15.75" customHeight="1" x14ac:dyDescent="0.2">
      <c r="A1040" s="4" t="s">
        <v>30</v>
      </c>
      <c r="B1040" s="4" t="s">
        <v>1486</v>
      </c>
      <c r="C1040" s="4" t="s">
        <v>1312</v>
      </c>
      <c r="D1040" s="4" t="s">
        <v>1487</v>
      </c>
      <c r="E1040" s="4" t="s">
        <v>34</v>
      </c>
      <c r="F1040" s="4" t="s">
        <v>35</v>
      </c>
      <c r="G1040" s="4" t="s">
        <v>47</v>
      </c>
      <c r="H1040" s="4" t="s">
        <v>1494</v>
      </c>
      <c r="I1040" s="4" t="s">
        <v>1495</v>
      </c>
      <c r="J1040" s="4" t="s">
        <v>1496</v>
      </c>
      <c r="L1040" s="4" t="s">
        <v>40</v>
      </c>
      <c r="M1040" s="4">
        <v>1</v>
      </c>
      <c r="N1040" s="4">
        <v>116</v>
      </c>
      <c r="O1040" s="4">
        <v>116</v>
      </c>
      <c r="P1040" s="4" t="s">
        <v>41</v>
      </c>
      <c r="Q1040" s="4">
        <v>629.29999999999995</v>
      </c>
      <c r="R1040" s="4">
        <v>629.29999999999995</v>
      </c>
      <c r="S1040" s="4">
        <v>3649.94</v>
      </c>
      <c r="T1040" s="4">
        <v>72998.8</v>
      </c>
      <c r="U1040" s="4">
        <v>5</v>
      </c>
      <c r="V1040" s="4" t="s">
        <v>42</v>
      </c>
      <c r="X1040" s="7" t="str">
        <f t="shared" si="60"/>
        <v>441853799</v>
      </c>
      <c r="Y1040" s="8" t="str">
        <f t="shared" si="61"/>
        <v>DC</v>
      </c>
      <c r="Z1040" s="8">
        <f t="shared" si="62"/>
        <v>0</v>
      </c>
      <c r="AA1040" s="8">
        <f t="shared" si="63"/>
        <v>0</v>
      </c>
      <c r="AB1040" s="8">
        <f t="shared" si="64"/>
        <v>116</v>
      </c>
      <c r="AC1040" s="8">
        <f t="shared" si="65"/>
        <v>0</v>
      </c>
      <c r="AD1040" s="8">
        <f t="shared" si="66"/>
        <v>0</v>
      </c>
      <c r="AE1040" s="9" t="str" cm="1">
        <f t="array" ref="AE1040">IFERROR(_xlfn.XLOOKUP(H1040,Sheet1!$G:$G,Sheet1!$F:$F),IFERROR(_xlfn.XLOOKUP(1,(--($X$2:$X$1074=X1040))*(--ISNUMBER(MATCH($H$2:$H$1074,Sheet1!$G:$G,0))),_xlfn.XLOOKUP($H$2:$H$1074,Sheet1!$G:$G,Sheet1!$F:$F,"")),"NOT FOUND"))</f>
        <v>RETCRDSFUT4107</v>
      </c>
      <c r="AF1040" s="10" t="str">
        <f t="shared" si="67"/>
        <v>LT. PINK</v>
      </c>
      <c r="AG1040" s="11" t="str">
        <f t="shared" si="68"/>
        <v>Bangalore</v>
      </c>
      <c r="AH1040" s="9" t="str">
        <f>IF(OR(J1040="",AE1040="",AE1040="NOT FOUND"),"",IF(Y1040="RP",IFERROR(LEFT(_xlfn.XLOOKUP(AE1040,Sheet1!$F:$F,Sheet1!$W:$W),FIND("-",_xlfn.XLOOKUP(AE1040,Sheet1!$F:$F,Sheet1!$W:$W),FIND("-",_xlfn.XLOOKUP(AE1040,Sheet1!$F:$F,Sheet1!$W:$W))+1))&amp;AE1040,"NOT FOUND"),LEFT(J1040,FIND("-",J1040,FIND("-",J1040)+1))&amp;AE1040))</f>
        <v>SKD-APSU26-RETCRDSFUT4107</v>
      </c>
    </row>
    <row r="1041" spans="1:34" ht="15.75" customHeight="1" x14ac:dyDescent="0.2">
      <c r="A1041" s="4" t="s">
        <v>30</v>
      </c>
      <c r="B1041" s="4" t="s">
        <v>1486</v>
      </c>
      <c r="C1041" s="4" t="s">
        <v>1312</v>
      </c>
      <c r="D1041" s="4" t="s">
        <v>1487</v>
      </c>
      <c r="E1041" s="4" t="s">
        <v>34</v>
      </c>
      <c r="F1041" s="4" t="s">
        <v>35</v>
      </c>
      <c r="G1041" s="4" t="s">
        <v>51</v>
      </c>
      <c r="H1041" s="4" t="s">
        <v>1497</v>
      </c>
      <c r="I1041" s="4" t="s">
        <v>1498</v>
      </c>
      <c r="J1041" s="4" t="s">
        <v>1499</v>
      </c>
      <c r="L1041" s="4" t="s">
        <v>40</v>
      </c>
      <c r="M1041" s="4">
        <v>1</v>
      </c>
      <c r="N1041" s="4">
        <v>101</v>
      </c>
      <c r="O1041" s="4">
        <v>101</v>
      </c>
      <c r="P1041" s="4" t="s">
        <v>41</v>
      </c>
      <c r="Q1041" s="4">
        <v>629.29999999999995</v>
      </c>
      <c r="R1041" s="4">
        <v>629.29999999999995</v>
      </c>
      <c r="S1041" s="4">
        <v>3177.97</v>
      </c>
      <c r="T1041" s="4">
        <v>63559.3</v>
      </c>
      <c r="U1041" s="4">
        <v>5</v>
      </c>
      <c r="V1041" s="4" t="s">
        <v>42</v>
      </c>
      <c r="X1041" s="7" t="str">
        <f t="shared" si="60"/>
        <v>441853799</v>
      </c>
      <c r="Y1041" s="8" t="str">
        <f t="shared" si="61"/>
        <v>DC</v>
      </c>
      <c r="Z1041" s="8">
        <f t="shared" si="62"/>
        <v>0</v>
      </c>
      <c r="AA1041" s="8">
        <f t="shared" si="63"/>
        <v>0</v>
      </c>
      <c r="AB1041" s="8">
        <f t="shared" si="64"/>
        <v>0</v>
      </c>
      <c r="AC1041" s="8">
        <f t="shared" si="65"/>
        <v>101</v>
      </c>
      <c r="AD1041" s="8">
        <f t="shared" si="66"/>
        <v>0</v>
      </c>
      <c r="AE1041" s="9" t="str" cm="1">
        <f t="array" ref="AE1041">IFERROR(_xlfn.XLOOKUP(H1041,Sheet1!$G:$G,Sheet1!$F:$F),IFERROR(_xlfn.XLOOKUP(1,(--($X$2:$X$1074=X1041))*(--ISNUMBER(MATCH($H$2:$H$1074,Sheet1!$G:$G,0))),_xlfn.XLOOKUP($H$2:$H$1074,Sheet1!$G:$G,Sheet1!$F:$F,"")),"NOT FOUND"))</f>
        <v>RETCRDSFUT4107</v>
      </c>
      <c r="AF1041" s="10" t="str">
        <f t="shared" si="67"/>
        <v>LT. PINK</v>
      </c>
      <c r="AG1041" s="11" t="str">
        <f t="shared" si="68"/>
        <v>Bangalore</v>
      </c>
      <c r="AH1041" s="9" t="str">
        <f>IF(OR(J1041="",AE1041="",AE1041="NOT FOUND"),"",IF(Y1041="RP",IFERROR(LEFT(_xlfn.XLOOKUP(AE1041,Sheet1!$F:$F,Sheet1!$W:$W),FIND("-",_xlfn.XLOOKUP(AE1041,Sheet1!$F:$F,Sheet1!$W:$W),FIND("-",_xlfn.XLOOKUP(AE1041,Sheet1!$F:$F,Sheet1!$W:$W))+1))&amp;AE1041,"NOT FOUND"),LEFT(J1041,FIND("-",J1041,FIND("-",J1041)+1))&amp;AE1041))</f>
        <v>SKD-APSU26-RETCRDSFUT4107</v>
      </c>
    </row>
    <row r="1042" spans="1:34" ht="15.75" customHeight="1" x14ac:dyDescent="0.2">
      <c r="A1042" s="4" t="s">
        <v>30</v>
      </c>
      <c r="B1042" s="4" t="s">
        <v>1486</v>
      </c>
      <c r="C1042" s="4" t="s">
        <v>1312</v>
      </c>
      <c r="D1042" s="4" t="s">
        <v>1487</v>
      </c>
      <c r="E1042" s="4" t="s">
        <v>34</v>
      </c>
      <c r="F1042" s="4" t="s">
        <v>35</v>
      </c>
      <c r="G1042" s="4" t="s">
        <v>55</v>
      </c>
      <c r="H1042" s="4" t="s">
        <v>1500</v>
      </c>
      <c r="I1042" s="4" t="s">
        <v>1501</v>
      </c>
      <c r="J1042" s="4" t="s">
        <v>1502</v>
      </c>
      <c r="L1042" s="4" t="s">
        <v>40</v>
      </c>
      <c r="M1042" s="4">
        <v>1</v>
      </c>
      <c r="N1042" s="4">
        <v>30</v>
      </c>
      <c r="O1042" s="4">
        <v>30</v>
      </c>
      <c r="P1042" s="4" t="s">
        <v>41</v>
      </c>
      <c r="Q1042" s="4">
        <v>629.29999999999995</v>
      </c>
      <c r="R1042" s="4">
        <v>629.29999999999995</v>
      </c>
      <c r="S1042" s="4">
        <v>943.95</v>
      </c>
      <c r="T1042" s="4">
        <v>18879</v>
      </c>
      <c r="U1042" s="4">
        <v>5</v>
      </c>
      <c r="V1042" s="4" t="s">
        <v>42</v>
      </c>
      <c r="X1042" s="7" t="str">
        <f t="shared" si="60"/>
        <v>441853799</v>
      </c>
      <c r="Y1042" s="8" t="str">
        <f t="shared" si="61"/>
        <v>DC</v>
      </c>
      <c r="Z1042" s="8">
        <f t="shared" si="62"/>
        <v>0</v>
      </c>
      <c r="AA1042" s="8">
        <f t="shared" si="63"/>
        <v>0</v>
      </c>
      <c r="AB1042" s="8">
        <f t="shared" si="64"/>
        <v>0</v>
      </c>
      <c r="AC1042" s="8">
        <f t="shared" si="65"/>
        <v>0</v>
      </c>
      <c r="AD1042" s="8">
        <f t="shared" si="66"/>
        <v>30</v>
      </c>
      <c r="AE1042" s="9" t="str" cm="1">
        <f t="array" ref="AE1042">IFERROR(_xlfn.XLOOKUP(H1042,Sheet1!$G:$G,Sheet1!$F:$F),IFERROR(_xlfn.XLOOKUP(1,(--($X$2:$X$1074=X1042))*(--ISNUMBER(MATCH($H$2:$H$1074,Sheet1!$G:$G,0))),_xlfn.XLOOKUP($H$2:$H$1074,Sheet1!$G:$G,Sheet1!$F:$F,"")),"NOT FOUND"))</f>
        <v>RETCRDSFUT4107</v>
      </c>
      <c r="AF1042" s="10" t="str">
        <f t="shared" si="67"/>
        <v>LT. PINK</v>
      </c>
      <c r="AG1042" s="11" t="str">
        <f t="shared" si="68"/>
        <v>Bangalore</v>
      </c>
      <c r="AH1042" s="9" t="str">
        <f>IF(OR(J1042="",AE1042="",AE1042="NOT FOUND"),"",IF(Y1042="RP",IFERROR(LEFT(_xlfn.XLOOKUP(AE1042,Sheet1!$F:$F,Sheet1!$W:$W),FIND("-",_xlfn.XLOOKUP(AE1042,Sheet1!$F:$F,Sheet1!$W:$W),FIND("-",_xlfn.XLOOKUP(AE1042,Sheet1!$F:$F,Sheet1!$W:$W))+1))&amp;AE1042,"NOT FOUND"),LEFT(J1042,FIND("-",J1042,FIND("-",J1042)+1))&amp;AE1042))</f>
        <v>SKD-APSU26-RETCRDSFUT4107</v>
      </c>
    </row>
    <row r="1043" spans="1:34" ht="15.75" customHeight="1" x14ac:dyDescent="0.2">
      <c r="A1043" s="4" t="s">
        <v>30</v>
      </c>
      <c r="B1043" s="4" t="s">
        <v>1503</v>
      </c>
      <c r="C1043" s="4" t="s">
        <v>1312</v>
      </c>
      <c r="D1043" s="4" t="s">
        <v>64</v>
      </c>
      <c r="E1043" s="4" t="s">
        <v>34</v>
      </c>
      <c r="F1043" s="4" t="s">
        <v>35</v>
      </c>
      <c r="G1043" s="4" t="s">
        <v>36</v>
      </c>
      <c r="H1043" s="4" t="s">
        <v>1504</v>
      </c>
      <c r="I1043" s="4" t="s">
        <v>1505</v>
      </c>
      <c r="J1043" s="4" t="s">
        <v>1506</v>
      </c>
      <c r="L1043" s="4" t="s">
        <v>40</v>
      </c>
      <c r="M1043" s="4">
        <v>1</v>
      </c>
      <c r="N1043" s="4">
        <v>30</v>
      </c>
      <c r="O1043" s="4">
        <v>30</v>
      </c>
      <c r="P1043" s="4" t="s">
        <v>41</v>
      </c>
      <c r="Q1043" s="4">
        <v>349.3</v>
      </c>
      <c r="R1043" s="4">
        <v>349.3</v>
      </c>
      <c r="S1043" s="4">
        <v>523.95000000000005</v>
      </c>
      <c r="T1043" s="4">
        <v>10479</v>
      </c>
      <c r="U1043" s="4">
        <v>5</v>
      </c>
      <c r="V1043" s="4" t="s">
        <v>42</v>
      </c>
      <c r="X1043" s="7" t="str">
        <f t="shared" si="60"/>
        <v>441853798</v>
      </c>
      <c r="Y1043" s="8" t="str">
        <f t="shared" si="61"/>
        <v>DC</v>
      </c>
      <c r="Z1043" s="8">
        <f t="shared" si="62"/>
        <v>30</v>
      </c>
      <c r="AA1043" s="8">
        <f t="shared" si="63"/>
        <v>0</v>
      </c>
      <c r="AB1043" s="8">
        <f t="shared" si="64"/>
        <v>0</v>
      </c>
      <c r="AC1043" s="8">
        <f t="shared" si="65"/>
        <v>0</v>
      </c>
      <c r="AD1043" s="8">
        <f t="shared" si="66"/>
        <v>0</v>
      </c>
      <c r="AE1043" s="9" t="str" cm="1">
        <f t="array" ref="AE1043">IFERROR(_xlfn.XLOOKUP(H1043,Sheet1!$G:$G,Sheet1!$F:$F),IFERROR(_xlfn.XLOOKUP(1,(--($X$2:$X$1074=X1043))*(--ISNUMBER(MATCH($H$2:$H$1074,Sheet1!$G:$G,0))),_xlfn.XLOOKUP($H$2:$H$1074,Sheet1!$G:$G,Sheet1!$F:$F,"")),"NOT FOUND"))</f>
        <v>RETKRTSFUT4106</v>
      </c>
      <c r="AF1043" s="10" t="str">
        <f t="shared" si="67"/>
        <v>LT. PINK</v>
      </c>
      <c r="AG1043" s="11" t="str">
        <f t="shared" si="68"/>
        <v>Bangalore</v>
      </c>
      <c r="AH1043" s="9" t="str">
        <f>IF(OR(J1043="",AE1043="",AE1043="NOT FOUND"),"",IF(Y1043="RP",IFERROR(LEFT(_xlfn.XLOOKUP(AE1043,Sheet1!$F:$F,Sheet1!$W:$W),FIND("-",_xlfn.XLOOKUP(AE1043,Sheet1!$F:$F,Sheet1!$W:$W),FIND("-",_xlfn.XLOOKUP(AE1043,Sheet1!$F:$F,Sheet1!$W:$W))+1))&amp;AE1043,"NOT FOUND"),LEFT(J1043,FIND("-",J1043,FIND("-",J1043)+1))&amp;AE1043))</f>
        <v>KRTS-APSU26-RETKRTSFUT4106</v>
      </c>
    </row>
    <row r="1044" spans="1:34" ht="15.75" customHeight="1" x14ac:dyDescent="0.2">
      <c r="A1044" s="4" t="s">
        <v>30</v>
      </c>
      <c r="B1044" s="4" t="s">
        <v>1503</v>
      </c>
      <c r="C1044" s="4" t="s">
        <v>1312</v>
      </c>
      <c r="D1044" s="4" t="s">
        <v>64</v>
      </c>
      <c r="E1044" s="4" t="s">
        <v>34</v>
      </c>
      <c r="F1044" s="4" t="s">
        <v>35</v>
      </c>
      <c r="G1044" s="4" t="s">
        <v>43</v>
      </c>
      <c r="H1044" s="4" t="s">
        <v>1507</v>
      </c>
      <c r="I1044" s="4" t="s">
        <v>1508</v>
      </c>
      <c r="J1044" s="4" t="s">
        <v>1509</v>
      </c>
      <c r="L1044" s="4" t="s">
        <v>40</v>
      </c>
      <c r="M1044" s="4">
        <v>1</v>
      </c>
      <c r="N1044" s="4">
        <v>244</v>
      </c>
      <c r="O1044" s="4">
        <v>244</v>
      </c>
      <c r="P1044" s="4" t="s">
        <v>41</v>
      </c>
      <c r="Q1044" s="4">
        <v>349.3</v>
      </c>
      <c r="R1044" s="4">
        <v>349.3</v>
      </c>
      <c r="S1044" s="4">
        <v>4261.46</v>
      </c>
      <c r="T1044" s="4">
        <v>85229.2</v>
      </c>
      <c r="U1044" s="4">
        <v>5</v>
      </c>
      <c r="V1044" s="4" t="s">
        <v>42</v>
      </c>
      <c r="X1044" s="7" t="str">
        <f t="shared" si="60"/>
        <v>441853798</v>
      </c>
      <c r="Y1044" s="8" t="str">
        <f t="shared" si="61"/>
        <v>DC</v>
      </c>
      <c r="Z1044" s="8">
        <f t="shared" si="62"/>
        <v>0</v>
      </c>
      <c r="AA1044" s="8">
        <f t="shared" si="63"/>
        <v>244</v>
      </c>
      <c r="AB1044" s="8">
        <f t="shared" si="64"/>
        <v>0</v>
      </c>
      <c r="AC1044" s="8">
        <f t="shared" si="65"/>
        <v>0</v>
      </c>
      <c r="AD1044" s="8">
        <f t="shared" si="66"/>
        <v>0</v>
      </c>
      <c r="AE1044" s="9" t="str" cm="1">
        <f t="array" ref="AE1044">IFERROR(_xlfn.XLOOKUP(H1044,Sheet1!$G:$G,Sheet1!$F:$F),IFERROR(_xlfn.XLOOKUP(1,(--($X$2:$X$1074=X1044))*(--ISNUMBER(MATCH($H$2:$H$1074,Sheet1!$G:$G,0))),_xlfn.XLOOKUP($H$2:$H$1074,Sheet1!$G:$G,Sheet1!$F:$F,"")),"NOT FOUND"))</f>
        <v>RETKRTSFUT4106</v>
      </c>
      <c r="AF1044" s="10" t="str">
        <f t="shared" si="67"/>
        <v>LT. PINK</v>
      </c>
      <c r="AG1044" s="11" t="str">
        <f t="shared" si="68"/>
        <v>Bangalore</v>
      </c>
      <c r="AH1044" s="9" t="str">
        <f>IF(OR(J1044="",AE1044="",AE1044="NOT FOUND"),"",IF(Y1044="RP",IFERROR(LEFT(_xlfn.XLOOKUP(AE1044,Sheet1!$F:$F,Sheet1!$W:$W),FIND("-",_xlfn.XLOOKUP(AE1044,Sheet1!$F:$F,Sheet1!$W:$W),FIND("-",_xlfn.XLOOKUP(AE1044,Sheet1!$F:$F,Sheet1!$W:$W))+1))&amp;AE1044,"NOT FOUND"),LEFT(J1044,FIND("-",J1044,FIND("-",J1044)+1))&amp;AE1044))</f>
        <v>KRTS-APSU26-RETKRTSFUT4106</v>
      </c>
    </row>
    <row r="1045" spans="1:34" ht="15.75" customHeight="1" x14ac:dyDescent="0.2">
      <c r="A1045" s="4" t="s">
        <v>30</v>
      </c>
      <c r="B1045" s="4" t="s">
        <v>1503</v>
      </c>
      <c r="C1045" s="4" t="s">
        <v>1312</v>
      </c>
      <c r="D1045" s="4" t="s">
        <v>64</v>
      </c>
      <c r="E1045" s="4" t="s">
        <v>34</v>
      </c>
      <c r="F1045" s="4" t="s">
        <v>35</v>
      </c>
      <c r="G1045" s="4" t="s">
        <v>47</v>
      </c>
      <c r="H1045" s="4" t="s">
        <v>1510</v>
      </c>
      <c r="I1045" s="4" t="s">
        <v>1511</v>
      </c>
      <c r="J1045" s="4" t="s">
        <v>1512</v>
      </c>
      <c r="L1045" s="4" t="s">
        <v>40</v>
      </c>
      <c r="M1045" s="4">
        <v>1</v>
      </c>
      <c r="N1045" s="4">
        <v>217</v>
      </c>
      <c r="O1045" s="4">
        <v>217</v>
      </c>
      <c r="P1045" s="4" t="s">
        <v>41</v>
      </c>
      <c r="Q1045" s="4">
        <v>349.3</v>
      </c>
      <c r="R1045" s="4">
        <v>349.3</v>
      </c>
      <c r="S1045" s="4">
        <v>3789.91</v>
      </c>
      <c r="T1045" s="4">
        <v>75798.100000000006</v>
      </c>
      <c r="U1045" s="4">
        <v>5</v>
      </c>
      <c r="V1045" s="4" t="s">
        <v>42</v>
      </c>
      <c r="X1045" s="7" t="str">
        <f t="shared" si="60"/>
        <v>441853798</v>
      </c>
      <c r="Y1045" s="8" t="str">
        <f t="shared" si="61"/>
        <v>DC</v>
      </c>
      <c r="Z1045" s="8">
        <f t="shared" si="62"/>
        <v>0</v>
      </c>
      <c r="AA1045" s="8">
        <f t="shared" si="63"/>
        <v>0</v>
      </c>
      <c r="AB1045" s="8">
        <f t="shared" si="64"/>
        <v>217</v>
      </c>
      <c r="AC1045" s="8">
        <f t="shared" si="65"/>
        <v>0</v>
      </c>
      <c r="AD1045" s="8">
        <f t="shared" si="66"/>
        <v>0</v>
      </c>
      <c r="AE1045" s="9" t="str" cm="1">
        <f t="array" ref="AE1045">IFERROR(_xlfn.XLOOKUP(H1045,Sheet1!$G:$G,Sheet1!$F:$F),IFERROR(_xlfn.XLOOKUP(1,(--($X$2:$X$1074=X1045))*(--ISNUMBER(MATCH($H$2:$H$1074,Sheet1!$G:$G,0))),_xlfn.XLOOKUP($H$2:$H$1074,Sheet1!$G:$G,Sheet1!$F:$F,"")),"NOT FOUND"))</f>
        <v>RETKRTSFUT4106</v>
      </c>
      <c r="AF1045" s="10" t="str">
        <f t="shared" si="67"/>
        <v>LT. PINK</v>
      </c>
      <c r="AG1045" s="11" t="str">
        <f t="shared" si="68"/>
        <v>Bangalore</v>
      </c>
      <c r="AH1045" s="9" t="str">
        <f>IF(OR(J1045="",AE1045="",AE1045="NOT FOUND"),"",IF(Y1045="RP",IFERROR(LEFT(_xlfn.XLOOKUP(AE1045,Sheet1!$F:$F,Sheet1!$W:$W),FIND("-",_xlfn.XLOOKUP(AE1045,Sheet1!$F:$F,Sheet1!$W:$W),FIND("-",_xlfn.XLOOKUP(AE1045,Sheet1!$F:$F,Sheet1!$W:$W))+1))&amp;AE1045,"NOT FOUND"),LEFT(J1045,FIND("-",J1045,FIND("-",J1045)+1))&amp;AE1045))</f>
        <v>KRTS-APSU26-RETKRTSFUT4106</v>
      </c>
    </row>
    <row r="1046" spans="1:34" ht="15.75" customHeight="1" x14ac:dyDescent="0.2">
      <c r="A1046" s="4" t="s">
        <v>30</v>
      </c>
      <c r="B1046" s="4" t="s">
        <v>1503</v>
      </c>
      <c r="C1046" s="4" t="s">
        <v>1312</v>
      </c>
      <c r="D1046" s="4" t="s">
        <v>64</v>
      </c>
      <c r="E1046" s="4" t="s">
        <v>34</v>
      </c>
      <c r="F1046" s="4" t="s">
        <v>35</v>
      </c>
      <c r="G1046" s="4" t="s">
        <v>51</v>
      </c>
      <c r="H1046" s="4" t="s">
        <v>1513</v>
      </c>
      <c r="I1046" s="4" t="s">
        <v>1514</v>
      </c>
      <c r="J1046" s="4" t="s">
        <v>1515</v>
      </c>
      <c r="L1046" s="4" t="s">
        <v>40</v>
      </c>
      <c r="M1046" s="4">
        <v>1</v>
      </c>
      <c r="N1046" s="4">
        <v>285</v>
      </c>
      <c r="O1046" s="4">
        <v>285</v>
      </c>
      <c r="P1046" s="4" t="s">
        <v>41</v>
      </c>
      <c r="Q1046" s="4">
        <v>349.3</v>
      </c>
      <c r="R1046" s="4">
        <v>349.3</v>
      </c>
      <c r="S1046" s="4">
        <v>4977.53</v>
      </c>
      <c r="T1046" s="4">
        <v>99550.5</v>
      </c>
      <c r="U1046" s="4">
        <v>5</v>
      </c>
      <c r="V1046" s="4" t="s">
        <v>42</v>
      </c>
      <c r="X1046" s="7" t="str">
        <f t="shared" si="60"/>
        <v>441853798</v>
      </c>
      <c r="Y1046" s="8" t="str">
        <f t="shared" si="61"/>
        <v>DC</v>
      </c>
      <c r="Z1046" s="8">
        <f t="shared" si="62"/>
        <v>0</v>
      </c>
      <c r="AA1046" s="8">
        <f t="shared" si="63"/>
        <v>0</v>
      </c>
      <c r="AB1046" s="8">
        <f t="shared" si="64"/>
        <v>0</v>
      </c>
      <c r="AC1046" s="8">
        <f t="shared" si="65"/>
        <v>285</v>
      </c>
      <c r="AD1046" s="8">
        <f t="shared" si="66"/>
        <v>0</v>
      </c>
      <c r="AE1046" s="9" t="str" cm="1">
        <f t="array" ref="AE1046">IFERROR(_xlfn.XLOOKUP(H1046,Sheet1!$G:$G,Sheet1!$F:$F),IFERROR(_xlfn.XLOOKUP(1,(--($X$2:$X$1074=X1046))*(--ISNUMBER(MATCH($H$2:$H$1074,Sheet1!$G:$G,0))),_xlfn.XLOOKUP($H$2:$H$1074,Sheet1!$G:$G,Sheet1!$F:$F,"")),"NOT FOUND"))</f>
        <v>RETKRTSFUT4106</v>
      </c>
      <c r="AF1046" s="10" t="str">
        <f t="shared" si="67"/>
        <v>LT. PINK</v>
      </c>
      <c r="AG1046" s="11" t="str">
        <f t="shared" si="68"/>
        <v>Bangalore</v>
      </c>
      <c r="AH1046" s="9" t="str">
        <f>IF(OR(J1046="",AE1046="",AE1046="NOT FOUND"),"",IF(Y1046="RP",IFERROR(LEFT(_xlfn.XLOOKUP(AE1046,Sheet1!$F:$F,Sheet1!$W:$W),FIND("-",_xlfn.XLOOKUP(AE1046,Sheet1!$F:$F,Sheet1!$W:$W),FIND("-",_xlfn.XLOOKUP(AE1046,Sheet1!$F:$F,Sheet1!$W:$W))+1))&amp;AE1046,"NOT FOUND"),LEFT(J1046,FIND("-",J1046,FIND("-",J1046)+1))&amp;AE1046))</f>
        <v>KRTS-APSU26-RETKRTSFUT4106</v>
      </c>
    </row>
    <row r="1047" spans="1:34" ht="15.75" customHeight="1" x14ac:dyDescent="0.2">
      <c r="A1047" s="4" t="s">
        <v>30</v>
      </c>
      <c r="B1047" s="4" t="s">
        <v>1503</v>
      </c>
      <c r="C1047" s="4" t="s">
        <v>1312</v>
      </c>
      <c r="D1047" s="4" t="s">
        <v>64</v>
      </c>
      <c r="E1047" s="4" t="s">
        <v>34</v>
      </c>
      <c r="F1047" s="4" t="s">
        <v>35</v>
      </c>
      <c r="G1047" s="4" t="s">
        <v>55</v>
      </c>
      <c r="H1047" s="4" t="s">
        <v>1516</v>
      </c>
      <c r="I1047" s="4" t="s">
        <v>1517</v>
      </c>
      <c r="J1047" s="4" t="s">
        <v>1518</v>
      </c>
      <c r="L1047" s="4" t="s">
        <v>40</v>
      </c>
      <c r="M1047" s="4">
        <v>1</v>
      </c>
      <c r="N1047" s="4">
        <v>55</v>
      </c>
      <c r="O1047" s="4">
        <v>55</v>
      </c>
      <c r="P1047" s="4" t="s">
        <v>41</v>
      </c>
      <c r="Q1047" s="4">
        <v>349.3</v>
      </c>
      <c r="R1047" s="4">
        <v>349.3</v>
      </c>
      <c r="S1047" s="4">
        <v>960.58</v>
      </c>
      <c r="T1047" s="4">
        <v>19211.5</v>
      </c>
      <c r="U1047" s="4">
        <v>5</v>
      </c>
      <c r="V1047" s="4" t="s">
        <v>42</v>
      </c>
      <c r="X1047" s="7" t="str">
        <f t="shared" si="60"/>
        <v>441853798</v>
      </c>
      <c r="Y1047" s="8" t="str">
        <f t="shared" si="61"/>
        <v>DC</v>
      </c>
      <c r="Z1047" s="8">
        <f t="shared" si="62"/>
        <v>0</v>
      </c>
      <c r="AA1047" s="8">
        <f t="shared" si="63"/>
        <v>0</v>
      </c>
      <c r="AB1047" s="8">
        <f t="shared" si="64"/>
        <v>0</v>
      </c>
      <c r="AC1047" s="8">
        <f t="shared" si="65"/>
        <v>0</v>
      </c>
      <c r="AD1047" s="8">
        <f t="shared" si="66"/>
        <v>55</v>
      </c>
      <c r="AE1047" s="9" t="str" cm="1">
        <f t="array" ref="AE1047">IFERROR(_xlfn.XLOOKUP(H1047,Sheet1!$G:$G,Sheet1!$F:$F),IFERROR(_xlfn.XLOOKUP(1,(--($X$2:$X$1074=X1047))*(--ISNUMBER(MATCH($H$2:$H$1074,Sheet1!$G:$G,0))),_xlfn.XLOOKUP($H$2:$H$1074,Sheet1!$G:$G,Sheet1!$F:$F,"")),"NOT FOUND"))</f>
        <v>RETKRTSFUT4106</v>
      </c>
      <c r="AF1047" s="10" t="str">
        <f t="shared" si="67"/>
        <v>LT. PINK</v>
      </c>
      <c r="AG1047" s="11" t="str">
        <f t="shared" si="68"/>
        <v>Bangalore</v>
      </c>
      <c r="AH1047" s="9" t="str">
        <f>IF(OR(J1047="",AE1047="",AE1047="NOT FOUND"),"",IF(Y1047="RP",IFERROR(LEFT(_xlfn.XLOOKUP(AE1047,Sheet1!$F:$F,Sheet1!$W:$W),FIND("-",_xlfn.XLOOKUP(AE1047,Sheet1!$F:$F,Sheet1!$W:$W),FIND("-",_xlfn.XLOOKUP(AE1047,Sheet1!$F:$F,Sheet1!$W:$W))+1))&amp;AE1047,"NOT FOUND"),LEFT(J1047,FIND("-",J1047,FIND("-",J1047)+1))&amp;AE1047))</f>
        <v>KRTS-APSU26-RETKRTSFUT4106</v>
      </c>
    </row>
    <row r="1048" spans="1:34" ht="15.75" customHeight="1" x14ac:dyDescent="0.2">
      <c r="A1048" s="4" t="s">
        <v>59</v>
      </c>
      <c r="B1048" s="4" t="s">
        <v>1519</v>
      </c>
      <c r="C1048" s="4" t="s">
        <v>1312</v>
      </c>
      <c r="D1048" s="4" t="s">
        <v>64</v>
      </c>
      <c r="E1048" s="4" t="s">
        <v>34</v>
      </c>
      <c r="F1048" s="4" t="s">
        <v>35</v>
      </c>
      <c r="G1048" s="4" t="s">
        <v>36</v>
      </c>
      <c r="H1048" s="4" t="s">
        <v>1504</v>
      </c>
      <c r="I1048" s="4" t="s">
        <v>1505</v>
      </c>
      <c r="J1048" s="4" t="s">
        <v>1506</v>
      </c>
      <c r="L1048" s="4" t="s">
        <v>40</v>
      </c>
      <c r="M1048" s="4">
        <v>1</v>
      </c>
      <c r="N1048" s="4">
        <v>30</v>
      </c>
      <c r="O1048" s="4">
        <v>30</v>
      </c>
      <c r="P1048" s="4" t="s">
        <v>41</v>
      </c>
      <c r="Q1048" s="4">
        <v>349.3</v>
      </c>
      <c r="R1048" s="4">
        <v>349.3</v>
      </c>
      <c r="S1048" s="4">
        <v>523.95000000000005</v>
      </c>
      <c r="T1048" s="4">
        <v>10479</v>
      </c>
      <c r="U1048" s="4">
        <v>5</v>
      </c>
      <c r="V1048" s="4" t="s">
        <v>42</v>
      </c>
      <c r="X1048" s="7" t="str">
        <f t="shared" si="60"/>
        <v>441853798</v>
      </c>
      <c r="Y1048" s="8" t="str">
        <f t="shared" si="61"/>
        <v>DC</v>
      </c>
      <c r="Z1048" s="8">
        <f t="shared" si="62"/>
        <v>30</v>
      </c>
      <c r="AA1048" s="8">
        <f t="shared" si="63"/>
        <v>0</v>
      </c>
      <c r="AB1048" s="8">
        <f t="shared" si="64"/>
        <v>0</v>
      </c>
      <c r="AC1048" s="8">
        <f t="shared" si="65"/>
        <v>0</v>
      </c>
      <c r="AD1048" s="8">
        <f t="shared" si="66"/>
        <v>0</v>
      </c>
      <c r="AE1048" s="9" t="str" cm="1">
        <f t="array" ref="AE1048">IFERROR(_xlfn.XLOOKUP(H1048,Sheet1!$G:$G,Sheet1!$F:$F),IFERROR(_xlfn.XLOOKUP(1,(--($X$2:$X$1074=X1048))*(--ISNUMBER(MATCH($H$2:$H$1074,Sheet1!$G:$G,0))),_xlfn.XLOOKUP($H$2:$H$1074,Sheet1!$G:$G,Sheet1!$F:$F,"")),"NOT FOUND"))</f>
        <v>RETKRTSFUT4106</v>
      </c>
      <c r="AF1048" s="10" t="str">
        <f t="shared" si="67"/>
        <v>LT. PINK</v>
      </c>
      <c r="AG1048" s="11" t="str">
        <f t="shared" si="68"/>
        <v>JHAJJAR</v>
      </c>
      <c r="AH1048" s="9" t="str">
        <f>IF(OR(J1048="",AE1048="",AE1048="NOT FOUND"),"",IF(Y1048="RP",IFERROR(LEFT(_xlfn.XLOOKUP(AE1048,Sheet1!$F:$F,Sheet1!$W:$W),FIND("-",_xlfn.XLOOKUP(AE1048,Sheet1!$F:$F,Sheet1!$W:$W),FIND("-",_xlfn.XLOOKUP(AE1048,Sheet1!$F:$F,Sheet1!$W:$W))+1))&amp;AE1048,"NOT FOUND"),LEFT(J1048,FIND("-",J1048,FIND("-",J1048)+1))&amp;AE1048))</f>
        <v>KRTS-APSU26-RETKRTSFUT4106</v>
      </c>
    </row>
    <row r="1049" spans="1:34" ht="15.75" customHeight="1" x14ac:dyDescent="0.2">
      <c r="A1049" s="4" t="s">
        <v>59</v>
      </c>
      <c r="B1049" s="4" t="s">
        <v>1519</v>
      </c>
      <c r="C1049" s="4" t="s">
        <v>1312</v>
      </c>
      <c r="D1049" s="4" t="s">
        <v>64</v>
      </c>
      <c r="E1049" s="4" t="s">
        <v>34</v>
      </c>
      <c r="F1049" s="4" t="s">
        <v>35</v>
      </c>
      <c r="G1049" s="4" t="s">
        <v>47</v>
      </c>
      <c r="H1049" s="4" t="s">
        <v>1510</v>
      </c>
      <c r="I1049" s="4" t="s">
        <v>1511</v>
      </c>
      <c r="J1049" s="4" t="s">
        <v>1512</v>
      </c>
      <c r="L1049" s="4" t="s">
        <v>40</v>
      </c>
      <c r="M1049" s="4">
        <v>1</v>
      </c>
      <c r="N1049" s="4">
        <v>123</v>
      </c>
      <c r="O1049" s="4">
        <v>123</v>
      </c>
      <c r="P1049" s="4" t="s">
        <v>41</v>
      </c>
      <c r="Q1049" s="4">
        <v>349.3</v>
      </c>
      <c r="R1049" s="4">
        <v>349.3</v>
      </c>
      <c r="S1049" s="4">
        <v>2148.1999999999998</v>
      </c>
      <c r="T1049" s="4">
        <v>42963.9</v>
      </c>
      <c r="U1049" s="4">
        <v>5</v>
      </c>
      <c r="V1049" s="4" t="s">
        <v>42</v>
      </c>
      <c r="X1049" s="7" t="str">
        <f t="shared" si="60"/>
        <v>441853798</v>
      </c>
      <c r="Y1049" s="8" t="str">
        <f t="shared" si="61"/>
        <v>DC</v>
      </c>
      <c r="Z1049" s="8">
        <f t="shared" si="62"/>
        <v>0</v>
      </c>
      <c r="AA1049" s="8">
        <f t="shared" si="63"/>
        <v>0</v>
      </c>
      <c r="AB1049" s="8">
        <f t="shared" si="64"/>
        <v>123</v>
      </c>
      <c r="AC1049" s="8">
        <f t="shared" si="65"/>
        <v>0</v>
      </c>
      <c r="AD1049" s="8">
        <f t="shared" si="66"/>
        <v>0</v>
      </c>
      <c r="AE1049" s="9" t="str" cm="1">
        <f t="array" ref="AE1049">IFERROR(_xlfn.XLOOKUP(H1049,Sheet1!$G:$G,Sheet1!$F:$F),IFERROR(_xlfn.XLOOKUP(1,(--($X$2:$X$1074=X1049))*(--ISNUMBER(MATCH($H$2:$H$1074,Sheet1!$G:$G,0))),_xlfn.XLOOKUP($H$2:$H$1074,Sheet1!$G:$G,Sheet1!$F:$F,"")),"NOT FOUND"))</f>
        <v>RETKRTSFUT4106</v>
      </c>
      <c r="AF1049" s="10" t="str">
        <f t="shared" si="67"/>
        <v>LT. PINK</v>
      </c>
      <c r="AG1049" s="11" t="str">
        <f t="shared" si="68"/>
        <v>JHAJJAR</v>
      </c>
      <c r="AH1049" s="9" t="str">
        <f>IF(OR(J1049="",AE1049="",AE1049="NOT FOUND"),"",IF(Y1049="RP",IFERROR(LEFT(_xlfn.XLOOKUP(AE1049,Sheet1!$F:$F,Sheet1!$W:$W),FIND("-",_xlfn.XLOOKUP(AE1049,Sheet1!$F:$F,Sheet1!$W:$W),FIND("-",_xlfn.XLOOKUP(AE1049,Sheet1!$F:$F,Sheet1!$W:$W))+1))&amp;AE1049,"NOT FOUND"),LEFT(J1049,FIND("-",J1049,FIND("-",J1049)+1))&amp;AE1049))</f>
        <v>KRTS-APSU26-RETKRTSFUT4106</v>
      </c>
    </row>
    <row r="1050" spans="1:34" ht="15.75" customHeight="1" x14ac:dyDescent="0.2">
      <c r="A1050" s="4" t="s">
        <v>59</v>
      </c>
      <c r="B1050" s="4" t="s">
        <v>1519</v>
      </c>
      <c r="C1050" s="4" t="s">
        <v>1312</v>
      </c>
      <c r="D1050" s="4" t="s">
        <v>64</v>
      </c>
      <c r="E1050" s="4" t="s">
        <v>34</v>
      </c>
      <c r="F1050" s="4" t="s">
        <v>35</v>
      </c>
      <c r="G1050" s="4" t="s">
        <v>51</v>
      </c>
      <c r="H1050" s="4" t="s">
        <v>1513</v>
      </c>
      <c r="I1050" s="4" t="s">
        <v>1514</v>
      </c>
      <c r="J1050" s="4" t="s">
        <v>1515</v>
      </c>
      <c r="L1050" s="4" t="s">
        <v>40</v>
      </c>
      <c r="M1050" s="4">
        <v>1</v>
      </c>
      <c r="N1050" s="4">
        <v>161</v>
      </c>
      <c r="O1050" s="4">
        <v>161</v>
      </c>
      <c r="P1050" s="4" t="s">
        <v>41</v>
      </c>
      <c r="Q1050" s="4">
        <v>349.3</v>
      </c>
      <c r="R1050" s="4">
        <v>349.3</v>
      </c>
      <c r="S1050" s="4">
        <v>2811.87</v>
      </c>
      <c r="T1050" s="4">
        <v>56237.3</v>
      </c>
      <c r="U1050" s="4">
        <v>5</v>
      </c>
      <c r="V1050" s="4" t="s">
        <v>42</v>
      </c>
      <c r="X1050" s="7" t="str">
        <f t="shared" si="60"/>
        <v>441853798</v>
      </c>
      <c r="Y1050" s="8" t="str">
        <f t="shared" si="61"/>
        <v>DC</v>
      </c>
      <c r="Z1050" s="8">
        <f t="shared" si="62"/>
        <v>0</v>
      </c>
      <c r="AA1050" s="8">
        <f t="shared" si="63"/>
        <v>0</v>
      </c>
      <c r="AB1050" s="8">
        <f t="shared" si="64"/>
        <v>0</v>
      </c>
      <c r="AC1050" s="8">
        <f t="shared" si="65"/>
        <v>161</v>
      </c>
      <c r="AD1050" s="8">
        <f t="shared" si="66"/>
        <v>0</v>
      </c>
      <c r="AE1050" s="9" t="str" cm="1">
        <f t="array" ref="AE1050">IFERROR(_xlfn.XLOOKUP(H1050,Sheet1!$G:$G,Sheet1!$F:$F),IFERROR(_xlfn.XLOOKUP(1,(--($X$2:$X$1074=X1050))*(--ISNUMBER(MATCH($H$2:$H$1074,Sheet1!$G:$G,0))),_xlfn.XLOOKUP($H$2:$H$1074,Sheet1!$G:$G,Sheet1!$F:$F,"")),"NOT FOUND"))</f>
        <v>RETKRTSFUT4106</v>
      </c>
      <c r="AF1050" s="10" t="str">
        <f t="shared" si="67"/>
        <v>LT. PINK</v>
      </c>
      <c r="AG1050" s="11" t="str">
        <f t="shared" si="68"/>
        <v>JHAJJAR</v>
      </c>
      <c r="AH1050" s="9" t="str">
        <f>IF(OR(J1050="",AE1050="",AE1050="NOT FOUND"),"",IF(Y1050="RP",IFERROR(LEFT(_xlfn.XLOOKUP(AE1050,Sheet1!$F:$F,Sheet1!$W:$W),FIND("-",_xlfn.XLOOKUP(AE1050,Sheet1!$F:$F,Sheet1!$W:$W),FIND("-",_xlfn.XLOOKUP(AE1050,Sheet1!$F:$F,Sheet1!$W:$W))+1))&amp;AE1050,"NOT FOUND"),LEFT(J1050,FIND("-",J1050,FIND("-",J1050)+1))&amp;AE1050))</f>
        <v>KRTS-APSU26-RETKRTSFUT4106</v>
      </c>
    </row>
    <row r="1051" spans="1:34" ht="15.75" customHeight="1" x14ac:dyDescent="0.2">
      <c r="A1051" s="4" t="s">
        <v>61</v>
      </c>
      <c r="B1051" s="4" t="s">
        <v>1520</v>
      </c>
      <c r="C1051" s="4" t="s">
        <v>1312</v>
      </c>
      <c r="D1051" s="4" t="s">
        <v>64</v>
      </c>
      <c r="E1051" s="4" t="s">
        <v>34</v>
      </c>
      <c r="F1051" s="4" t="s">
        <v>35</v>
      </c>
      <c r="G1051" s="4" t="s">
        <v>36</v>
      </c>
      <c r="H1051" s="4" t="s">
        <v>1504</v>
      </c>
      <c r="I1051" s="4" t="s">
        <v>1505</v>
      </c>
      <c r="J1051" s="4" t="s">
        <v>1506</v>
      </c>
      <c r="L1051" s="4" t="s">
        <v>40</v>
      </c>
      <c r="M1051" s="4">
        <v>1</v>
      </c>
      <c r="N1051" s="4">
        <v>30</v>
      </c>
      <c r="O1051" s="4">
        <v>30</v>
      </c>
      <c r="P1051" s="4" t="s">
        <v>41</v>
      </c>
      <c r="Q1051" s="4">
        <v>349.3</v>
      </c>
      <c r="R1051" s="4">
        <v>349.3</v>
      </c>
      <c r="S1051" s="4">
        <v>523.95000000000005</v>
      </c>
      <c r="T1051" s="4">
        <v>10479</v>
      </c>
      <c r="U1051" s="4">
        <v>5</v>
      </c>
      <c r="V1051" s="4" t="s">
        <v>42</v>
      </c>
      <c r="X1051" s="7" t="str">
        <f t="shared" si="60"/>
        <v>441853798</v>
      </c>
      <c r="Y1051" s="8" t="str">
        <f t="shared" si="61"/>
        <v>DC</v>
      </c>
      <c r="Z1051" s="8">
        <f t="shared" si="62"/>
        <v>30</v>
      </c>
      <c r="AA1051" s="8">
        <f t="shared" si="63"/>
        <v>0</v>
      </c>
      <c r="AB1051" s="8">
        <f t="shared" si="64"/>
        <v>0</v>
      </c>
      <c r="AC1051" s="8">
        <f t="shared" si="65"/>
        <v>0</v>
      </c>
      <c r="AD1051" s="8">
        <f t="shared" si="66"/>
        <v>0</v>
      </c>
      <c r="AE1051" s="9" t="str" cm="1">
        <f t="array" ref="AE1051">IFERROR(_xlfn.XLOOKUP(H1051,Sheet1!$G:$G,Sheet1!$F:$F),IFERROR(_xlfn.XLOOKUP(1,(--($X$2:$X$1074=X1051))*(--ISNUMBER(MATCH($H$2:$H$1074,Sheet1!$G:$G,0))),_xlfn.XLOOKUP($H$2:$H$1074,Sheet1!$G:$G,Sheet1!$F:$F,"")),"NOT FOUND"))</f>
        <v>RETKRTSFUT4106</v>
      </c>
      <c r="AF1051" s="10" t="str">
        <f t="shared" si="67"/>
        <v>LT. PINK</v>
      </c>
      <c r="AG1051" s="11" t="str">
        <f t="shared" si="68"/>
        <v>HARIPAL</v>
      </c>
      <c r="AH1051" s="9" t="str">
        <f>IF(OR(J1051="",AE1051="",AE1051="NOT FOUND"),"",IF(Y1051="RP",IFERROR(LEFT(_xlfn.XLOOKUP(AE1051,Sheet1!$F:$F,Sheet1!$W:$W),FIND("-",_xlfn.XLOOKUP(AE1051,Sheet1!$F:$F,Sheet1!$W:$W),FIND("-",_xlfn.XLOOKUP(AE1051,Sheet1!$F:$F,Sheet1!$W:$W))+1))&amp;AE1051,"NOT FOUND"),LEFT(J1051,FIND("-",J1051,FIND("-",J1051)+1))&amp;AE1051))</f>
        <v>KRTS-APSU26-RETKRTSFUT4106</v>
      </c>
    </row>
    <row r="1052" spans="1:34" ht="15.75" customHeight="1" x14ac:dyDescent="0.2">
      <c r="A1052" s="4" t="s">
        <v>61</v>
      </c>
      <c r="B1052" s="4" t="s">
        <v>1520</v>
      </c>
      <c r="C1052" s="4" t="s">
        <v>1312</v>
      </c>
      <c r="D1052" s="4" t="s">
        <v>64</v>
      </c>
      <c r="E1052" s="4" t="s">
        <v>34</v>
      </c>
      <c r="F1052" s="4" t="s">
        <v>35</v>
      </c>
      <c r="G1052" s="4" t="s">
        <v>47</v>
      </c>
      <c r="H1052" s="4" t="s">
        <v>1510</v>
      </c>
      <c r="I1052" s="4" t="s">
        <v>1511</v>
      </c>
      <c r="J1052" s="4" t="s">
        <v>1512</v>
      </c>
      <c r="L1052" s="4" t="s">
        <v>40</v>
      </c>
      <c r="M1052" s="4">
        <v>1</v>
      </c>
      <c r="N1052" s="4">
        <v>126</v>
      </c>
      <c r="O1052" s="4">
        <v>126</v>
      </c>
      <c r="P1052" s="4" t="s">
        <v>41</v>
      </c>
      <c r="Q1052" s="4">
        <v>349.3</v>
      </c>
      <c r="R1052" s="4">
        <v>349.3</v>
      </c>
      <c r="S1052" s="4">
        <v>2200.59</v>
      </c>
      <c r="T1052" s="4">
        <v>44011.8</v>
      </c>
      <c r="U1052" s="4">
        <v>5</v>
      </c>
      <c r="V1052" s="4" t="s">
        <v>42</v>
      </c>
      <c r="X1052" s="7" t="str">
        <f t="shared" si="60"/>
        <v>441853798</v>
      </c>
      <c r="Y1052" s="8" t="str">
        <f t="shared" si="61"/>
        <v>DC</v>
      </c>
      <c r="Z1052" s="8">
        <f t="shared" si="62"/>
        <v>0</v>
      </c>
      <c r="AA1052" s="8">
        <f t="shared" si="63"/>
        <v>0</v>
      </c>
      <c r="AB1052" s="8">
        <f t="shared" si="64"/>
        <v>126</v>
      </c>
      <c r="AC1052" s="8">
        <f t="shared" si="65"/>
        <v>0</v>
      </c>
      <c r="AD1052" s="8">
        <f t="shared" si="66"/>
        <v>0</v>
      </c>
      <c r="AE1052" s="9" t="str" cm="1">
        <f t="array" ref="AE1052">IFERROR(_xlfn.XLOOKUP(H1052,Sheet1!$G:$G,Sheet1!$F:$F),IFERROR(_xlfn.XLOOKUP(1,(--($X$2:$X$1074=X1052))*(--ISNUMBER(MATCH($H$2:$H$1074,Sheet1!$G:$G,0))),_xlfn.XLOOKUP($H$2:$H$1074,Sheet1!$G:$G,Sheet1!$F:$F,"")),"NOT FOUND"))</f>
        <v>RETKRTSFUT4106</v>
      </c>
      <c r="AF1052" s="10" t="str">
        <f t="shared" si="67"/>
        <v>LT. PINK</v>
      </c>
      <c r="AG1052" s="11" t="str">
        <f t="shared" si="68"/>
        <v>HARIPAL</v>
      </c>
      <c r="AH1052" s="9" t="str">
        <f>IF(OR(J1052="",AE1052="",AE1052="NOT FOUND"),"",IF(Y1052="RP",IFERROR(LEFT(_xlfn.XLOOKUP(AE1052,Sheet1!$F:$F,Sheet1!$W:$W),FIND("-",_xlfn.XLOOKUP(AE1052,Sheet1!$F:$F,Sheet1!$W:$W),FIND("-",_xlfn.XLOOKUP(AE1052,Sheet1!$F:$F,Sheet1!$W:$W))+1))&amp;AE1052,"NOT FOUND"),LEFT(J1052,FIND("-",J1052,FIND("-",J1052)+1))&amp;AE1052))</f>
        <v>KRTS-APSU26-RETKRTSFUT4106</v>
      </c>
    </row>
    <row r="1053" spans="1:34" ht="15.75" customHeight="1" x14ac:dyDescent="0.2">
      <c r="A1053" s="4" t="s">
        <v>61</v>
      </c>
      <c r="B1053" s="4" t="s">
        <v>1520</v>
      </c>
      <c r="C1053" s="4" t="s">
        <v>1312</v>
      </c>
      <c r="D1053" s="4" t="s">
        <v>64</v>
      </c>
      <c r="E1053" s="4" t="s">
        <v>34</v>
      </c>
      <c r="F1053" s="4" t="s">
        <v>35</v>
      </c>
      <c r="G1053" s="4" t="s">
        <v>51</v>
      </c>
      <c r="H1053" s="4" t="s">
        <v>1513</v>
      </c>
      <c r="I1053" s="4" t="s">
        <v>1514</v>
      </c>
      <c r="J1053" s="4" t="s">
        <v>1515</v>
      </c>
      <c r="L1053" s="4" t="s">
        <v>40</v>
      </c>
      <c r="M1053" s="4">
        <v>1</v>
      </c>
      <c r="N1053" s="4">
        <v>165</v>
      </c>
      <c r="O1053" s="4">
        <v>165</v>
      </c>
      <c r="P1053" s="4" t="s">
        <v>41</v>
      </c>
      <c r="Q1053" s="4">
        <v>349.3</v>
      </c>
      <c r="R1053" s="4">
        <v>349.3</v>
      </c>
      <c r="S1053" s="4">
        <v>2881.73</v>
      </c>
      <c r="T1053" s="4">
        <v>57634.5</v>
      </c>
      <c r="U1053" s="4">
        <v>5</v>
      </c>
      <c r="V1053" s="4" t="s">
        <v>42</v>
      </c>
      <c r="X1053" s="7" t="str">
        <f t="shared" si="60"/>
        <v>441853798</v>
      </c>
      <c r="Y1053" s="8" t="str">
        <f t="shared" si="61"/>
        <v>DC</v>
      </c>
      <c r="Z1053" s="8">
        <f t="shared" si="62"/>
        <v>0</v>
      </c>
      <c r="AA1053" s="8">
        <f t="shared" si="63"/>
        <v>0</v>
      </c>
      <c r="AB1053" s="8">
        <f t="shared" si="64"/>
        <v>0</v>
      </c>
      <c r="AC1053" s="8">
        <f t="shared" si="65"/>
        <v>165</v>
      </c>
      <c r="AD1053" s="8">
        <f t="shared" si="66"/>
        <v>0</v>
      </c>
      <c r="AE1053" s="9" t="str" cm="1">
        <f t="array" ref="AE1053">IFERROR(_xlfn.XLOOKUP(H1053,Sheet1!$G:$G,Sheet1!$F:$F),IFERROR(_xlfn.XLOOKUP(1,(--($X$2:$X$1074=X1053))*(--ISNUMBER(MATCH($H$2:$H$1074,Sheet1!$G:$G,0))),_xlfn.XLOOKUP($H$2:$H$1074,Sheet1!$G:$G,Sheet1!$F:$F,"")),"NOT FOUND"))</f>
        <v>RETKRTSFUT4106</v>
      </c>
      <c r="AF1053" s="10" t="str">
        <f t="shared" si="67"/>
        <v>LT. PINK</v>
      </c>
      <c r="AG1053" s="11" t="str">
        <f t="shared" si="68"/>
        <v>HARIPAL</v>
      </c>
      <c r="AH1053" s="9" t="str">
        <f>IF(OR(J1053="",AE1053="",AE1053="NOT FOUND"),"",IF(Y1053="RP",IFERROR(LEFT(_xlfn.XLOOKUP(AE1053,Sheet1!$F:$F,Sheet1!$W:$W),FIND("-",_xlfn.XLOOKUP(AE1053,Sheet1!$F:$F,Sheet1!$W:$W),FIND("-",_xlfn.XLOOKUP(AE1053,Sheet1!$F:$F,Sheet1!$W:$W))+1))&amp;AE1053,"NOT FOUND"),LEFT(J1053,FIND("-",J1053,FIND("-",J1053)+1))&amp;AE1053))</f>
        <v>KRTS-APSU26-RETKRTSFUT4106</v>
      </c>
    </row>
    <row r="1054" spans="1:34" ht="15.75" customHeight="1" x14ac:dyDescent="0.2">
      <c r="A1054" s="4" t="s">
        <v>30</v>
      </c>
      <c r="B1054" s="4" t="s">
        <v>1521</v>
      </c>
      <c r="C1054" s="4" t="s">
        <v>1312</v>
      </c>
      <c r="D1054" s="4" t="s">
        <v>64</v>
      </c>
      <c r="E1054" s="4" t="s">
        <v>34</v>
      </c>
      <c r="F1054" s="4" t="s">
        <v>35</v>
      </c>
      <c r="G1054" s="4" t="s">
        <v>36</v>
      </c>
      <c r="H1054" s="4" t="s">
        <v>1522</v>
      </c>
      <c r="I1054" s="4" t="s">
        <v>1523</v>
      </c>
      <c r="J1054" s="4" t="s">
        <v>1524</v>
      </c>
      <c r="L1054" s="4" t="s">
        <v>40</v>
      </c>
      <c r="M1054" s="4">
        <v>1</v>
      </c>
      <c r="N1054" s="4">
        <v>30</v>
      </c>
      <c r="O1054" s="4">
        <v>30</v>
      </c>
      <c r="P1054" s="4" t="s">
        <v>41</v>
      </c>
      <c r="Q1054" s="4">
        <v>424.3</v>
      </c>
      <c r="R1054" s="4">
        <v>424.3</v>
      </c>
      <c r="S1054" s="4">
        <v>636.45000000000005</v>
      </c>
      <c r="T1054" s="4">
        <v>12729</v>
      </c>
      <c r="U1054" s="4">
        <v>5</v>
      </c>
      <c r="V1054" s="4" t="s">
        <v>42</v>
      </c>
      <c r="X1054" s="7" t="str">
        <f t="shared" si="60"/>
        <v>441853757</v>
      </c>
      <c r="Y1054" s="8" t="str">
        <f t="shared" si="61"/>
        <v>DC</v>
      </c>
      <c r="Z1054" s="8">
        <f t="shared" si="62"/>
        <v>30</v>
      </c>
      <c r="AA1054" s="8">
        <f t="shared" si="63"/>
        <v>0</v>
      </c>
      <c r="AB1054" s="8">
        <f t="shared" si="64"/>
        <v>0</v>
      </c>
      <c r="AC1054" s="8">
        <f t="shared" si="65"/>
        <v>0</v>
      </c>
      <c r="AD1054" s="8">
        <f t="shared" si="66"/>
        <v>0</v>
      </c>
      <c r="AE1054" s="9" t="str" cm="1">
        <f t="array" ref="AE1054">IFERROR(_xlfn.XLOOKUP(H1054,Sheet1!$G:$G,Sheet1!$F:$F),IFERROR(_xlfn.XLOOKUP(1,(--($X$2:$X$1074=X1054))*(--ISNUMBER(MATCH($H$2:$H$1074,Sheet1!$G:$G,0))),_xlfn.XLOOKUP($H$2:$H$1074,Sheet1!$G:$G,Sheet1!$F:$F,"")),"NOT FOUND"))</f>
        <v>YETKRTSFUT4031</v>
      </c>
      <c r="AF1054" s="10" t="str">
        <f t="shared" si="67"/>
        <v>BLACK</v>
      </c>
      <c r="AG1054" s="11" t="str">
        <f t="shared" si="68"/>
        <v>Bangalore</v>
      </c>
      <c r="AH1054" s="9" t="str">
        <f>IF(OR(J1054="",AE1054="",AE1054="NOT FOUND"),"",IF(Y1054="RP",IFERROR(LEFT(_xlfn.XLOOKUP(AE1054,Sheet1!$F:$F,Sheet1!$W:$W),FIND("-",_xlfn.XLOOKUP(AE1054,Sheet1!$F:$F,Sheet1!$W:$W),FIND("-",_xlfn.XLOOKUP(AE1054,Sheet1!$F:$F,Sheet1!$W:$W))+1))&amp;AE1054,"NOT FOUND"),LEFT(J1054,FIND("-",J1054,FIND("-",J1054)+1))&amp;AE1054))</f>
        <v>KRTS-APSU26-YETKRTSFUT4031</v>
      </c>
    </row>
    <row r="1055" spans="1:34" ht="15.75" customHeight="1" x14ac:dyDescent="0.2">
      <c r="A1055" s="4" t="s">
        <v>30</v>
      </c>
      <c r="B1055" s="4" t="s">
        <v>1521</v>
      </c>
      <c r="C1055" s="4" t="s">
        <v>1312</v>
      </c>
      <c r="D1055" s="4" t="s">
        <v>64</v>
      </c>
      <c r="E1055" s="4" t="s">
        <v>34</v>
      </c>
      <c r="F1055" s="4" t="s">
        <v>35</v>
      </c>
      <c r="G1055" s="4" t="s">
        <v>43</v>
      </c>
      <c r="H1055" s="4" t="s">
        <v>1525</v>
      </c>
      <c r="I1055" s="4" t="s">
        <v>1526</v>
      </c>
      <c r="J1055" s="4" t="s">
        <v>1527</v>
      </c>
      <c r="L1055" s="4" t="s">
        <v>40</v>
      </c>
      <c r="M1055" s="4">
        <v>1</v>
      </c>
      <c r="N1055" s="4">
        <v>164</v>
      </c>
      <c r="O1055" s="4">
        <v>164</v>
      </c>
      <c r="P1055" s="4" t="s">
        <v>41</v>
      </c>
      <c r="Q1055" s="4">
        <v>424.3</v>
      </c>
      <c r="R1055" s="4">
        <v>424.3</v>
      </c>
      <c r="S1055" s="4">
        <v>3479.26</v>
      </c>
      <c r="T1055" s="4">
        <v>69585.2</v>
      </c>
      <c r="U1055" s="4">
        <v>5</v>
      </c>
      <c r="V1055" s="4" t="s">
        <v>42</v>
      </c>
      <c r="X1055" s="7" t="str">
        <f t="shared" si="60"/>
        <v>441853757</v>
      </c>
      <c r="Y1055" s="8" t="str">
        <f t="shared" si="61"/>
        <v>DC</v>
      </c>
      <c r="Z1055" s="8">
        <f t="shared" si="62"/>
        <v>0</v>
      </c>
      <c r="AA1055" s="8">
        <f t="shared" si="63"/>
        <v>164</v>
      </c>
      <c r="AB1055" s="8">
        <f t="shared" si="64"/>
        <v>0</v>
      </c>
      <c r="AC1055" s="8">
        <f t="shared" si="65"/>
        <v>0</v>
      </c>
      <c r="AD1055" s="8">
        <f t="shared" si="66"/>
        <v>0</v>
      </c>
      <c r="AE1055" s="9" t="str" cm="1">
        <f t="array" ref="AE1055">IFERROR(_xlfn.XLOOKUP(H1055,Sheet1!$G:$G,Sheet1!$F:$F),IFERROR(_xlfn.XLOOKUP(1,(--($X$2:$X$1074=X1055))*(--ISNUMBER(MATCH($H$2:$H$1074,Sheet1!$G:$G,0))),_xlfn.XLOOKUP($H$2:$H$1074,Sheet1!$G:$G,Sheet1!$F:$F,"")),"NOT FOUND"))</f>
        <v>YETKRTSFUT4031</v>
      </c>
      <c r="AF1055" s="10" t="str">
        <f t="shared" si="67"/>
        <v>BLACK</v>
      </c>
      <c r="AG1055" s="11" t="str">
        <f t="shared" si="68"/>
        <v>Bangalore</v>
      </c>
      <c r="AH1055" s="9" t="str">
        <f>IF(OR(J1055="",AE1055="",AE1055="NOT FOUND"),"",IF(Y1055="RP",IFERROR(LEFT(_xlfn.XLOOKUP(AE1055,Sheet1!$F:$F,Sheet1!$W:$W),FIND("-",_xlfn.XLOOKUP(AE1055,Sheet1!$F:$F,Sheet1!$W:$W),FIND("-",_xlfn.XLOOKUP(AE1055,Sheet1!$F:$F,Sheet1!$W:$W))+1))&amp;AE1055,"NOT FOUND"),LEFT(J1055,FIND("-",J1055,FIND("-",J1055)+1))&amp;AE1055))</f>
        <v>KRTS-APSU26-YETKRTSFUT4031</v>
      </c>
    </row>
    <row r="1056" spans="1:34" ht="15.75" customHeight="1" x14ac:dyDescent="0.2">
      <c r="A1056" s="4" t="s">
        <v>30</v>
      </c>
      <c r="B1056" s="4" t="s">
        <v>1521</v>
      </c>
      <c r="C1056" s="4" t="s">
        <v>1312</v>
      </c>
      <c r="D1056" s="4" t="s">
        <v>64</v>
      </c>
      <c r="E1056" s="4" t="s">
        <v>34</v>
      </c>
      <c r="F1056" s="4" t="s">
        <v>35</v>
      </c>
      <c r="G1056" s="4" t="s">
        <v>47</v>
      </c>
      <c r="H1056" s="4" t="s">
        <v>1528</v>
      </c>
      <c r="I1056" s="4" t="s">
        <v>1529</v>
      </c>
      <c r="J1056" s="4" t="s">
        <v>1530</v>
      </c>
      <c r="L1056" s="4" t="s">
        <v>40</v>
      </c>
      <c r="M1056" s="4">
        <v>1</v>
      </c>
      <c r="N1056" s="4">
        <v>146</v>
      </c>
      <c r="O1056" s="4">
        <v>146</v>
      </c>
      <c r="P1056" s="4" t="s">
        <v>41</v>
      </c>
      <c r="Q1056" s="4">
        <v>424.3</v>
      </c>
      <c r="R1056" s="4">
        <v>424.3</v>
      </c>
      <c r="S1056" s="4">
        <v>3097.39</v>
      </c>
      <c r="T1056" s="4">
        <v>61947.8</v>
      </c>
      <c r="U1056" s="4">
        <v>5</v>
      </c>
      <c r="V1056" s="4" t="s">
        <v>42</v>
      </c>
      <c r="X1056" s="7" t="str">
        <f t="shared" si="60"/>
        <v>441853757</v>
      </c>
      <c r="Y1056" s="8" t="str">
        <f t="shared" si="61"/>
        <v>DC</v>
      </c>
      <c r="Z1056" s="8">
        <f t="shared" si="62"/>
        <v>0</v>
      </c>
      <c r="AA1056" s="8">
        <f t="shared" si="63"/>
        <v>0</v>
      </c>
      <c r="AB1056" s="8">
        <f t="shared" si="64"/>
        <v>146</v>
      </c>
      <c r="AC1056" s="8">
        <f t="shared" si="65"/>
        <v>0</v>
      </c>
      <c r="AD1056" s="8">
        <f t="shared" si="66"/>
        <v>0</v>
      </c>
      <c r="AE1056" s="9" t="str" cm="1">
        <f t="array" ref="AE1056">IFERROR(_xlfn.XLOOKUP(H1056,Sheet1!$G:$G,Sheet1!$F:$F),IFERROR(_xlfn.XLOOKUP(1,(--($X$2:$X$1074=X1056))*(--ISNUMBER(MATCH($H$2:$H$1074,Sheet1!$G:$G,0))),_xlfn.XLOOKUP($H$2:$H$1074,Sheet1!$G:$G,Sheet1!$F:$F,"")),"NOT FOUND"))</f>
        <v>YETKRTSFUT4031</v>
      </c>
      <c r="AF1056" s="10" t="str">
        <f t="shared" si="67"/>
        <v>BLACK</v>
      </c>
      <c r="AG1056" s="11" t="str">
        <f t="shared" si="68"/>
        <v>Bangalore</v>
      </c>
      <c r="AH1056" s="9" t="str">
        <f>IF(OR(J1056="",AE1056="",AE1056="NOT FOUND"),"",IF(Y1056="RP",IFERROR(LEFT(_xlfn.XLOOKUP(AE1056,Sheet1!$F:$F,Sheet1!$W:$W),FIND("-",_xlfn.XLOOKUP(AE1056,Sheet1!$F:$F,Sheet1!$W:$W),FIND("-",_xlfn.XLOOKUP(AE1056,Sheet1!$F:$F,Sheet1!$W:$W))+1))&amp;AE1056,"NOT FOUND"),LEFT(J1056,FIND("-",J1056,FIND("-",J1056)+1))&amp;AE1056))</f>
        <v>KRTS-APSU26-YETKRTSFUT4031</v>
      </c>
    </row>
    <row r="1057" spans="1:34" ht="15.75" customHeight="1" x14ac:dyDescent="0.2">
      <c r="A1057" s="4" t="s">
        <v>30</v>
      </c>
      <c r="B1057" s="4" t="s">
        <v>1521</v>
      </c>
      <c r="C1057" s="4" t="s">
        <v>1312</v>
      </c>
      <c r="D1057" s="4" t="s">
        <v>64</v>
      </c>
      <c r="E1057" s="4" t="s">
        <v>34</v>
      </c>
      <c r="F1057" s="4" t="s">
        <v>35</v>
      </c>
      <c r="G1057" s="4" t="s">
        <v>51</v>
      </c>
      <c r="H1057" s="4" t="s">
        <v>1531</v>
      </c>
      <c r="I1057" s="4" t="s">
        <v>1532</v>
      </c>
      <c r="J1057" s="4" t="s">
        <v>1533</v>
      </c>
      <c r="L1057" s="4" t="s">
        <v>40</v>
      </c>
      <c r="M1057" s="4">
        <v>1</v>
      </c>
      <c r="N1057" s="4">
        <v>191</v>
      </c>
      <c r="O1057" s="4">
        <v>191</v>
      </c>
      <c r="P1057" s="4" t="s">
        <v>41</v>
      </c>
      <c r="Q1057" s="4">
        <v>424.3</v>
      </c>
      <c r="R1057" s="4">
        <v>424.3</v>
      </c>
      <c r="S1057" s="4">
        <v>4052.07</v>
      </c>
      <c r="T1057" s="4">
        <v>81041.3</v>
      </c>
      <c r="U1057" s="4">
        <v>5</v>
      </c>
      <c r="V1057" s="4" t="s">
        <v>42</v>
      </c>
      <c r="X1057" s="7" t="str">
        <f t="shared" si="60"/>
        <v>441853757</v>
      </c>
      <c r="Y1057" s="8" t="str">
        <f t="shared" si="61"/>
        <v>DC</v>
      </c>
      <c r="Z1057" s="8">
        <f t="shared" si="62"/>
        <v>0</v>
      </c>
      <c r="AA1057" s="8">
        <f t="shared" si="63"/>
        <v>0</v>
      </c>
      <c r="AB1057" s="8">
        <f t="shared" si="64"/>
        <v>0</v>
      </c>
      <c r="AC1057" s="8">
        <f t="shared" si="65"/>
        <v>191</v>
      </c>
      <c r="AD1057" s="8">
        <f t="shared" si="66"/>
        <v>0</v>
      </c>
      <c r="AE1057" s="9" t="str" cm="1">
        <f t="array" ref="AE1057">IFERROR(_xlfn.XLOOKUP(H1057,Sheet1!$G:$G,Sheet1!$F:$F),IFERROR(_xlfn.XLOOKUP(1,(--($X$2:$X$1074=X1057))*(--ISNUMBER(MATCH($H$2:$H$1074,Sheet1!$G:$G,0))),_xlfn.XLOOKUP($H$2:$H$1074,Sheet1!$G:$G,Sheet1!$F:$F,"")),"NOT FOUND"))</f>
        <v>YETKRTSFUT4031</v>
      </c>
      <c r="AF1057" s="10" t="str">
        <f t="shared" si="67"/>
        <v>BLACK</v>
      </c>
      <c r="AG1057" s="11" t="str">
        <f t="shared" si="68"/>
        <v>Bangalore</v>
      </c>
      <c r="AH1057" s="9" t="str">
        <f>IF(OR(J1057="",AE1057="",AE1057="NOT FOUND"),"",IF(Y1057="RP",IFERROR(LEFT(_xlfn.XLOOKUP(AE1057,Sheet1!$F:$F,Sheet1!$W:$W),FIND("-",_xlfn.XLOOKUP(AE1057,Sheet1!$F:$F,Sheet1!$W:$W),FIND("-",_xlfn.XLOOKUP(AE1057,Sheet1!$F:$F,Sheet1!$W:$W))+1))&amp;AE1057,"NOT FOUND"),LEFT(J1057,FIND("-",J1057,FIND("-",J1057)+1))&amp;AE1057))</f>
        <v>KRTS-APSU26-YETKRTSFUT4031</v>
      </c>
    </row>
    <row r="1058" spans="1:34" ht="15.75" customHeight="1" x14ac:dyDescent="0.2">
      <c r="A1058" s="4" t="s">
        <v>30</v>
      </c>
      <c r="B1058" s="4" t="s">
        <v>1521</v>
      </c>
      <c r="C1058" s="4" t="s">
        <v>1312</v>
      </c>
      <c r="D1058" s="4" t="s">
        <v>64</v>
      </c>
      <c r="E1058" s="4" t="s">
        <v>34</v>
      </c>
      <c r="F1058" s="4" t="s">
        <v>35</v>
      </c>
      <c r="G1058" s="4" t="s">
        <v>55</v>
      </c>
      <c r="H1058" s="4" t="s">
        <v>1534</v>
      </c>
      <c r="I1058" s="4" t="s">
        <v>1535</v>
      </c>
      <c r="J1058" s="4" t="s">
        <v>1536</v>
      </c>
      <c r="L1058" s="4" t="s">
        <v>40</v>
      </c>
      <c r="M1058" s="4">
        <v>1</v>
      </c>
      <c r="N1058" s="4">
        <v>37</v>
      </c>
      <c r="O1058" s="4">
        <v>37</v>
      </c>
      <c r="P1058" s="4" t="s">
        <v>41</v>
      </c>
      <c r="Q1058" s="4">
        <v>424.3</v>
      </c>
      <c r="R1058" s="4">
        <v>424.3</v>
      </c>
      <c r="S1058" s="4">
        <v>784.96</v>
      </c>
      <c r="T1058" s="4">
        <v>15699.1</v>
      </c>
      <c r="U1058" s="4">
        <v>5</v>
      </c>
      <c r="V1058" s="4" t="s">
        <v>42</v>
      </c>
      <c r="X1058" s="7" t="str">
        <f t="shared" si="60"/>
        <v>441853757</v>
      </c>
      <c r="Y1058" s="8" t="str">
        <f t="shared" si="61"/>
        <v>DC</v>
      </c>
      <c r="Z1058" s="8">
        <f t="shared" si="62"/>
        <v>0</v>
      </c>
      <c r="AA1058" s="8">
        <f t="shared" si="63"/>
        <v>0</v>
      </c>
      <c r="AB1058" s="8">
        <f t="shared" si="64"/>
        <v>0</v>
      </c>
      <c r="AC1058" s="8">
        <f t="shared" si="65"/>
        <v>0</v>
      </c>
      <c r="AD1058" s="8">
        <f t="shared" si="66"/>
        <v>37</v>
      </c>
      <c r="AE1058" s="9" t="str" cm="1">
        <f t="array" ref="AE1058">IFERROR(_xlfn.XLOOKUP(H1058,Sheet1!$G:$G,Sheet1!$F:$F),IFERROR(_xlfn.XLOOKUP(1,(--($X$2:$X$1074=X1058))*(--ISNUMBER(MATCH($H$2:$H$1074,Sheet1!$G:$G,0))),_xlfn.XLOOKUP($H$2:$H$1074,Sheet1!$G:$G,Sheet1!$F:$F,"")),"NOT FOUND"))</f>
        <v>YETKRTSFUT4031</v>
      </c>
      <c r="AF1058" s="10" t="str">
        <f t="shared" si="67"/>
        <v>BLACK</v>
      </c>
      <c r="AG1058" s="11" t="str">
        <f t="shared" si="68"/>
        <v>Bangalore</v>
      </c>
      <c r="AH1058" s="9" t="str">
        <f>IF(OR(J1058="",AE1058="",AE1058="NOT FOUND"),"",IF(Y1058="RP",IFERROR(LEFT(_xlfn.XLOOKUP(AE1058,Sheet1!$F:$F,Sheet1!$W:$W),FIND("-",_xlfn.XLOOKUP(AE1058,Sheet1!$F:$F,Sheet1!$W:$W),FIND("-",_xlfn.XLOOKUP(AE1058,Sheet1!$F:$F,Sheet1!$W:$W))+1))&amp;AE1058,"NOT FOUND"),LEFT(J1058,FIND("-",J1058,FIND("-",J1058)+1))&amp;AE1058))</f>
        <v>KRTS-APSU26-YETKRTSFUT4031</v>
      </c>
    </row>
    <row r="1059" spans="1:34" ht="15.75" customHeight="1" x14ac:dyDescent="0.2">
      <c r="A1059" s="4" t="s">
        <v>30</v>
      </c>
      <c r="B1059" s="4" t="s">
        <v>1537</v>
      </c>
      <c r="C1059" s="4" t="s">
        <v>1312</v>
      </c>
      <c r="D1059" s="4" t="s">
        <v>797</v>
      </c>
      <c r="E1059" s="4" t="s">
        <v>34</v>
      </c>
      <c r="F1059" s="4" t="s">
        <v>35</v>
      </c>
      <c r="G1059" s="4" t="s">
        <v>36</v>
      </c>
      <c r="H1059" s="4" t="s">
        <v>1375</v>
      </c>
      <c r="I1059" s="4" t="s">
        <v>1376</v>
      </c>
      <c r="J1059" s="4" t="s">
        <v>1377</v>
      </c>
      <c r="L1059" s="4" t="s">
        <v>40</v>
      </c>
      <c r="M1059" s="4">
        <v>1</v>
      </c>
      <c r="N1059" s="4">
        <v>30</v>
      </c>
      <c r="O1059" s="4">
        <v>30</v>
      </c>
      <c r="P1059" s="4" t="s">
        <v>41</v>
      </c>
      <c r="Q1059" s="4">
        <v>519.30999999999995</v>
      </c>
      <c r="R1059" s="4">
        <v>519.30999999999995</v>
      </c>
      <c r="S1059" s="4">
        <v>778.97</v>
      </c>
      <c r="T1059" s="4">
        <v>15579.3</v>
      </c>
      <c r="U1059" s="4">
        <v>5</v>
      </c>
      <c r="V1059" s="4" t="s">
        <v>42</v>
      </c>
      <c r="X1059" s="7" t="str">
        <f t="shared" si="60"/>
        <v>441853743</v>
      </c>
      <c r="Y1059" s="8" t="str">
        <f t="shared" si="61"/>
        <v>DC</v>
      </c>
      <c r="Z1059" s="8">
        <f t="shared" si="62"/>
        <v>30</v>
      </c>
      <c r="AA1059" s="8">
        <f t="shared" si="63"/>
        <v>0</v>
      </c>
      <c r="AB1059" s="8">
        <f t="shared" si="64"/>
        <v>0</v>
      </c>
      <c r="AC1059" s="8">
        <f t="shared" si="65"/>
        <v>0</v>
      </c>
      <c r="AD1059" s="8">
        <f t="shared" si="66"/>
        <v>0</v>
      </c>
      <c r="AE1059" s="9" t="str" cm="1">
        <f t="array" ref="AE1059">IFERROR(_xlfn.XLOOKUP(H1059,Sheet1!$G:$G,Sheet1!$F:$F),IFERROR(_xlfn.XLOOKUP(1,(--($X$2:$X$1074=X1059))*(--ISNUMBER(MATCH($H$2:$H$1074,Sheet1!$G:$G,0))),_xlfn.XLOOKUP($H$2:$H$1074,Sheet1!$G:$G,Sheet1!$F:$F,"")),"NOT FOUND"))</f>
        <v>YETCRDSFUT4017</v>
      </c>
      <c r="AF1059" s="10" t="str">
        <f t="shared" si="67"/>
        <v>NAVY</v>
      </c>
      <c r="AG1059" s="11" t="str">
        <f t="shared" si="68"/>
        <v>Bangalore</v>
      </c>
      <c r="AH1059" s="9" t="str">
        <f>IF(OR(J1059="",AE1059="",AE1059="NOT FOUND"),"",IF(Y1059="RP",IFERROR(LEFT(_xlfn.XLOOKUP(AE1059,Sheet1!$F:$F,Sheet1!$W:$W),FIND("-",_xlfn.XLOOKUP(AE1059,Sheet1!$F:$F,Sheet1!$W:$W),FIND("-",_xlfn.XLOOKUP(AE1059,Sheet1!$F:$F,Sheet1!$W:$W))+1))&amp;AE1059,"NOT FOUND"),LEFT(J1059,FIND("-",J1059,FIND("-",J1059)+1))&amp;AE1059))</f>
        <v>SKD-APSU26-YETCRDSFUT4017</v>
      </c>
    </row>
    <row r="1060" spans="1:34" ht="15.75" customHeight="1" x14ac:dyDescent="0.2">
      <c r="A1060" s="4" t="s">
        <v>30</v>
      </c>
      <c r="B1060" s="4" t="s">
        <v>1537</v>
      </c>
      <c r="C1060" s="4" t="s">
        <v>1312</v>
      </c>
      <c r="D1060" s="4" t="s">
        <v>797</v>
      </c>
      <c r="E1060" s="4" t="s">
        <v>34</v>
      </c>
      <c r="F1060" s="4" t="s">
        <v>35</v>
      </c>
      <c r="G1060" s="4" t="s">
        <v>43</v>
      </c>
      <c r="H1060" s="4" t="s">
        <v>1378</v>
      </c>
      <c r="I1060" s="4" t="s">
        <v>1379</v>
      </c>
      <c r="J1060" s="4" t="s">
        <v>1380</v>
      </c>
      <c r="L1060" s="4" t="s">
        <v>40</v>
      </c>
      <c r="M1060" s="4">
        <v>1</v>
      </c>
      <c r="N1060" s="4">
        <v>98</v>
      </c>
      <c r="O1060" s="4">
        <v>98</v>
      </c>
      <c r="P1060" s="4" t="s">
        <v>41</v>
      </c>
      <c r="Q1060" s="4">
        <v>519.30999999999995</v>
      </c>
      <c r="R1060" s="4">
        <v>519.30999999999995</v>
      </c>
      <c r="S1060" s="4">
        <v>2544.62</v>
      </c>
      <c r="T1060" s="4">
        <v>50892.38</v>
      </c>
      <c r="U1060" s="4">
        <v>5</v>
      </c>
      <c r="V1060" s="4" t="s">
        <v>42</v>
      </c>
      <c r="X1060" s="7" t="str">
        <f t="shared" si="60"/>
        <v>441853743</v>
      </c>
      <c r="Y1060" s="8" t="str">
        <f t="shared" si="61"/>
        <v>DC</v>
      </c>
      <c r="Z1060" s="8">
        <f t="shared" si="62"/>
        <v>0</v>
      </c>
      <c r="AA1060" s="8">
        <f t="shared" si="63"/>
        <v>98</v>
      </c>
      <c r="AB1060" s="8">
        <f t="shared" si="64"/>
        <v>0</v>
      </c>
      <c r="AC1060" s="8">
        <f t="shared" si="65"/>
        <v>0</v>
      </c>
      <c r="AD1060" s="8">
        <f t="shared" si="66"/>
        <v>0</v>
      </c>
      <c r="AE1060" s="9" t="str" cm="1">
        <f t="array" ref="AE1060">IFERROR(_xlfn.XLOOKUP(H1060,Sheet1!$G:$G,Sheet1!$F:$F),IFERROR(_xlfn.XLOOKUP(1,(--($X$2:$X$1074=X1060))*(--ISNUMBER(MATCH($H$2:$H$1074,Sheet1!$G:$G,0))),_xlfn.XLOOKUP($H$2:$H$1074,Sheet1!$G:$G,Sheet1!$F:$F,"")),"NOT FOUND"))</f>
        <v>YETCRDSFUT4017</v>
      </c>
      <c r="AF1060" s="10" t="str">
        <f t="shared" si="67"/>
        <v>NAVY</v>
      </c>
      <c r="AG1060" s="11" t="str">
        <f t="shared" si="68"/>
        <v>Bangalore</v>
      </c>
      <c r="AH1060" s="9" t="str">
        <f>IF(OR(J1060="",AE1060="",AE1060="NOT FOUND"),"",IF(Y1060="RP",IFERROR(LEFT(_xlfn.XLOOKUP(AE1060,Sheet1!$F:$F,Sheet1!$W:$W),FIND("-",_xlfn.XLOOKUP(AE1060,Sheet1!$F:$F,Sheet1!$W:$W),FIND("-",_xlfn.XLOOKUP(AE1060,Sheet1!$F:$F,Sheet1!$W:$W))+1))&amp;AE1060,"NOT FOUND"),LEFT(J1060,FIND("-",J1060,FIND("-",J1060)+1))&amp;AE1060))</f>
        <v>SKD-APSU26-YETCRDSFUT4017</v>
      </c>
    </row>
    <row r="1061" spans="1:34" ht="15.75" customHeight="1" x14ac:dyDescent="0.2">
      <c r="A1061" s="4" t="s">
        <v>30</v>
      </c>
      <c r="B1061" s="4" t="s">
        <v>1537</v>
      </c>
      <c r="C1061" s="4" t="s">
        <v>1312</v>
      </c>
      <c r="D1061" s="4" t="s">
        <v>797</v>
      </c>
      <c r="E1061" s="4" t="s">
        <v>34</v>
      </c>
      <c r="F1061" s="4" t="s">
        <v>35</v>
      </c>
      <c r="G1061" s="4" t="s">
        <v>47</v>
      </c>
      <c r="H1061" s="4" t="s">
        <v>1381</v>
      </c>
      <c r="I1061" s="4" t="s">
        <v>1382</v>
      </c>
      <c r="J1061" s="4" t="s">
        <v>1383</v>
      </c>
      <c r="L1061" s="4" t="s">
        <v>40</v>
      </c>
      <c r="M1061" s="4">
        <v>1</v>
      </c>
      <c r="N1061" s="4">
        <v>116</v>
      </c>
      <c r="O1061" s="4">
        <v>116</v>
      </c>
      <c r="P1061" s="4" t="s">
        <v>41</v>
      </c>
      <c r="Q1061" s="4">
        <v>519.30999999999995</v>
      </c>
      <c r="R1061" s="4">
        <v>519.30999999999995</v>
      </c>
      <c r="S1061" s="4">
        <v>3012</v>
      </c>
      <c r="T1061" s="4">
        <v>60239.96</v>
      </c>
      <c r="U1061" s="4">
        <v>5</v>
      </c>
      <c r="V1061" s="4" t="s">
        <v>42</v>
      </c>
      <c r="X1061" s="7" t="str">
        <f t="shared" si="60"/>
        <v>441853743</v>
      </c>
      <c r="Y1061" s="8" t="str">
        <f t="shared" si="61"/>
        <v>DC</v>
      </c>
      <c r="Z1061" s="8">
        <f t="shared" si="62"/>
        <v>0</v>
      </c>
      <c r="AA1061" s="8">
        <f t="shared" si="63"/>
        <v>0</v>
      </c>
      <c r="AB1061" s="8">
        <f t="shared" si="64"/>
        <v>116</v>
      </c>
      <c r="AC1061" s="8">
        <f t="shared" si="65"/>
        <v>0</v>
      </c>
      <c r="AD1061" s="8">
        <f t="shared" si="66"/>
        <v>0</v>
      </c>
      <c r="AE1061" s="9" t="str" cm="1">
        <f t="array" ref="AE1061">IFERROR(_xlfn.XLOOKUP(H1061,Sheet1!$G:$G,Sheet1!$F:$F),IFERROR(_xlfn.XLOOKUP(1,(--($X$2:$X$1074=X1061))*(--ISNUMBER(MATCH($H$2:$H$1074,Sheet1!$G:$G,0))),_xlfn.XLOOKUP($H$2:$H$1074,Sheet1!$G:$G,Sheet1!$F:$F,"")),"NOT FOUND"))</f>
        <v>YETCRDSFUT4017</v>
      </c>
      <c r="AF1061" s="10" t="str">
        <f t="shared" si="67"/>
        <v>NAVY</v>
      </c>
      <c r="AG1061" s="11" t="str">
        <f t="shared" si="68"/>
        <v>Bangalore</v>
      </c>
      <c r="AH1061" s="9" t="str">
        <f>IF(OR(J1061="",AE1061="",AE1061="NOT FOUND"),"",IF(Y1061="RP",IFERROR(LEFT(_xlfn.XLOOKUP(AE1061,Sheet1!$F:$F,Sheet1!$W:$W),FIND("-",_xlfn.XLOOKUP(AE1061,Sheet1!$F:$F,Sheet1!$W:$W),FIND("-",_xlfn.XLOOKUP(AE1061,Sheet1!$F:$F,Sheet1!$W:$W))+1))&amp;AE1061,"NOT FOUND"),LEFT(J1061,FIND("-",J1061,FIND("-",J1061)+1))&amp;AE1061))</f>
        <v>SKD-APSU26-YETCRDSFUT4017</v>
      </c>
    </row>
    <row r="1062" spans="1:34" ht="15.75" customHeight="1" x14ac:dyDescent="0.2">
      <c r="A1062" s="4" t="s">
        <v>30</v>
      </c>
      <c r="B1062" s="4" t="s">
        <v>1537</v>
      </c>
      <c r="C1062" s="4" t="s">
        <v>1312</v>
      </c>
      <c r="D1062" s="4" t="s">
        <v>797</v>
      </c>
      <c r="E1062" s="4" t="s">
        <v>34</v>
      </c>
      <c r="F1062" s="4" t="s">
        <v>35</v>
      </c>
      <c r="G1062" s="4" t="s">
        <v>51</v>
      </c>
      <c r="H1062" s="4" t="s">
        <v>1384</v>
      </c>
      <c r="I1062" s="4" t="s">
        <v>1385</v>
      </c>
      <c r="J1062" s="4" t="s">
        <v>1386</v>
      </c>
      <c r="L1062" s="4" t="s">
        <v>40</v>
      </c>
      <c r="M1062" s="4">
        <v>1</v>
      </c>
      <c r="N1062" s="4">
        <v>101</v>
      </c>
      <c r="O1062" s="4">
        <v>101</v>
      </c>
      <c r="P1062" s="4" t="s">
        <v>41</v>
      </c>
      <c r="Q1062" s="4">
        <v>519.30999999999995</v>
      </c>
      <c r="R1062" s="4">
        <v>519.30999999999995</v>
      </c>
      <c r="S1062" s="4">
        <v>2622.52</v>
      </c>
      <c r="T1062" s="4">
        <v>52450.31</v>
      </c>
      <c r="U1062" s="4">
        <v>5</v>
      </c>
      <c r="V1062" s="4" t="s">
        <v>42</v>
      </c>
      <c r="X1062" s="7" t="str">
        <f t="shared" si="60"/>
        <v>441853743</v>
      </c>
      <c r="Y1062" s="8" t="str">
        <f t="shared" si="61"/>
        <v>DC</v>
      </c>
      <c r="Z1062" s="8">
        <f t="shared" si="62"/>
        <v>0</v>
      </c>
      <c r="AA1062" s="8">
        <f t="shared" si="63"/>
        <v>0</v>
      </c>
      <c r="AB1062" s="8">
        <f t="shared" si="64"/>
        <v>0</v>
      </c>
      <c r="AC1062" s="8">
        <f t="shared" si="65"/>
        <v>101</v>
      </c>
      <c r="AD1062" s="8">
        <f t="shared" si="66"/>
        <v>0</v>
      </c>
      <c r="AE1062" s="9" t="str" cm="1">
        <f t="array" ref="AE1062">IFERROR(_xlfn.XLOOKUP(H1062,Sheet1!$G:$G,Sheet1!$F:$F),IFERROR(_xlfn.XLOOKUP(1,(--($X$2:$X$1074=X1062))*(--ISNUMBER(MATCH($H$2:$H$1074,Sheet1!$G:$G,0))),_xlfn.XLOOKUP($H$2:$H$1074,Sheet1!$G:$G,Sheet1!$F:$F,"")),"NOT FOUND"))</f>
        <v>YETCRDSFUT4017</v>
      </c>
      <c r="AF1062" s="10" t="str">
        <f t="shared" si="67"/>
        <v>NAVY</v>
      </c>
      <c r="AG1062" s="11" t="str">
        <f t="shared" si="68"/>
        <v>Bangalore</v>
      </c>
      <c r="AH1062" s="9" t="str">
        <f>IF(OR(J1062="",AE1062="",AE1062="NOT FOUND"),"",IF(Y1062="RP",IFERROR(LEFT(_xlfn.XLOOKUP(AE1062,Sheet1!$F:$F,Sheet1!$W:$W),FIND("-",_xlfn.XLOOKUP(AE1062,Sheet1!$F:$F,Sheet1!$W:$W),FIND("-",_xlfn.XLOOKUP(AE1062,Sheet1!$F:$F,Sheet1!$W:$W))+1))&amp;AE1062,"NOT FOUND"),LEFT(J1062,FIND("-",J1062,FIND("-",J1062)+1))&amp;AE1062))</f>
        <v>SKD-APSU26-YETCRDSFUT4017</v>
      </c>
    </row>
    <row r="1063" spans="1:34" ht="15.75" customHeight="1" x14ac:dyDescent="0.2">
      <c r="A1063" s="4" t="s">
        <v>30</v>
      </c>
      <c r="B1063" s="4" t="s">
        <v>1537</v>
      </c>
      <c r="C1063" s="4" t="s">
        <v>1312</v>
      </c>
      <c r="D1063" s="4" t="s">
        <v>797</v>
      </c>
      <c r="E1063" s="4" t="s">
        <v>34</v>
      </c>
      <c r="F1063" s="4" t="s">
        <v>35</v>
      </c>
      <c r="G1063" s="4" t="s">
        <v>55</v>
      </c>
      <c r="H1063" s="4" t="s">
        <v>1387</v>
      </c>
      <c r="I1063" s="4" t="s">
        <v>1388</v>
      </c>
      <c r="J1063" s="4" t="s">
        <v>1389</v>
      </c>
      <c r="L1063" s="4" t="s">
        <v>40</v>
      </c>
      <c r="M1063" s="4">
        <v>1</v>
      </c>
      <c r="N1063" s="4">
        <v>30</v>
      </c>
      <c r="O1063" s="4">
        <v>30</v>
      </c>
      <c r="P1063" s="4" t="s">
        <v>41</v>
      </c>
      <c r="Q1063" s="4">
        <v>519.30999999999995</v>
      </c>
      <c r="R1063" s="4">
        <v>519.30999999999995</v>
      </c>
      <c r="S1063" s="4">
        <v>778.97</v>
      </c>
      <c r="T1063" s="4">
        <v>15579.3</v>
      </c>
      <c r="U1063" s="4">
        <v>5</v>
      </c>
      <c r="V1063" s="4" t="s">
        <v>42</v>
      </c>
      <c r="X1063" s="7" t="str">
        <f t="shared" si="60"/>
        <v>441853743</v>
      </c>
      <c r="Y1063" s="8" t="str">
        <f t="shared" si="61"/>
        <v>DC</v>
      </c>
      <c r="Z1063" s="8">
        <f t="shared" si="62"/>
        <v>0</v>
      </c>
      <c r="AA1063" s="8">
        <f t="shared" si="63"/>
        <v>0</v>
      </c>
      <c r="AB1063" s="8">
        <f t="shared" si="64"/>
        <v>0</v>
      </c>
      <c r="AC1063" s="8">
        <f t="shared" si="65"/>
        <v>0</v>
      </c>
      <c r="AD1063" s="8">
        <f t="shared" si="66"/>
        <v>30</v>
      </c>
      <c r="AE1063" s="9" t="str" cm="1">
        <f t="array" ref="AE1063">IFERROR(_xlfn.XLOOKUP(H1063,Sheet1!$G:$G,Sheet1!$F:$F),IFERROR(_xlfn.XLOOKUP(1,(--($X$2:$X$1074=X1063))*(--ISNUMBER(MATCH($H$2:$H$1074,Sheet1!$G:$G,0))),_xlfn.XLOOKUP($H$2:$H$1074,Sheet1!$G:$G,Sheet1!$F:$F,"")),"NOT FOUND"))</f>
        <v>YETCRDSFUT4017</v>
      </c>
      <c r="AF1063" s="10" t="str">
        <f t="shared" si="67"/>
        <v>NAVY</v>
      </c>
      <c r="AG1063" s="11" t="str">
        <f t="shared" si="68"/>
        <v>Bangalore</v>
      </c>
      <c r="AH1063" s="9" t="str">
        <f>IF(OR(J1063="",AE1063="",AE1063="NOT FOUND"),"",IF(Y1063="RP",IFERROR(LEFT(_xlfn.XLOOKUP(AE1063,Sheet1!$F:$F,Sheet1!$W:$W),FIND("-",_xlfn.XLOOKUP(AE1063,Sheet1!$F:$F,Sheet1!$W:$W),FIND("-",_xlfn.XLOOKUP(AE1063,Sheet1!$F:$F,Sheet1!$W:$W))+1))&amp;AE1063,"NOT FOUND"),LEFT(J1063,FIND("-",J1063,FIND("-",J1063)+1))&amp;AE1063))</f>
        <v>SKD-APSU26-YETCRDSFUT4017</v>
      </c>
    </row>
    <row r="1064" spans="1:34" ht="15.75" customHeight="1" x14ac:dyDescent="0.2">
      <c r="A1064" s="4" t="s">
        <v>59</v>
      </c>
      <c r="B1064" s="4" t="s">
        <v>1538</v>
      </c>
      <c r="C1064" s="4" t="s">
        <v>1312</v>
      </c>
      <c r="D1064" s="4" t="s">
        <v>64</v>
      </c>
      <c r="E1064" s="4" t="s">
        <v>34</v>
      </c>
      <c r="F1064" s="4" t="s">
        <v>35</v>
      </c>
      <c r="G1064" s="4" t="s">
        <v>36</v>
      </c>
      <c r="H1064" s="4" t="s">
        <v>1522</v>
      </c>
      <c r="I1064" s="4" t="s">
        <v>1523</v>
      </c>
      <c r="J1064" s="4" t="s">
        <v>1524</v>
      </c>
      <c r="L1064" s="4" t="s">
        <v>40</v>
      </c>
      <c r="M1064" s="4">
        <v>1</v>
      </c>
      <c r="N1064" s="4">
        <v>30</v>
      </c>
      <c r="O1064" s="4">
        <v>30</v>
      </c>
      <c r="P1064" s="4" t="s">
        <v>41</v>
      </c>
      <c r="Q1064" s="4">
        <v>424.3</v>
      </c>
      <c r="R1064" s="4">
        <v>424.3</v>
      </c>
      <c r="S1064" s="4">
        <v>636.45000000000005</v>
      </c>
      <c r="T1064" s="4">
        <v>12729</v>
      </c>
      <c r="U1064" s="4">
        <v>5</v>
      </c>
      <c r="V1064" s="4" t="s">
        <v>42</v>
      </c>
      <c r="X1064" s="7" t="str">
        <f t="shared" si="60"/>
        <v>441853757</v>
      </c>
      <c r="Y1064" s="8" t="str">
        <f t="shared" si="61"/>
        <v>DC</v>
      </c>
      <c r="Z1064" s="8">
        <f t="shared" si="62"/>
        <v>30</v>
      </c>
      <c r="AA1064" s="8">
        <f t="shared" si="63"/>
        <v>0</v>
      </c>
      <c r="AB1064" s="8">
        <f t="shared" si="64"/>
        <v>0</v>
      </c>
      <c r="AC1064" s="8">
        <f t="shared" si="65"/>
        <v>0</v>
      </c>
      <c r="AD1064" s="8">
        <f t="shared" si="66"/>
        <v>0</v>
      </c>
      <c r="AE1064" s="9" t="str" cm="1">
        <f t="array" ref="AE1064">IFERROR(_xlfn.XLOOKUP(H1064,Sheet1!$G:$G,Sheet1!$F:$F),IFERROR(_xlfn.XLOOKUP(1,(--($X$2:$X$1074=X1064))*(--ISNUMBER(MATCH($H$2:$H$1074,Sheet1!$G:$G,0))),_xlfn.XLOOKUP($H$2:$H$1074,Sheet1!$G:$G,Sheet1!$F:$F,"")),"NOT FOUND"))</f>
        <v>YETKRTSFUT4031</v>
      </c>
      <c r="AF1064" s="10" t="str">
        <f t="shared" si="67"/>
        <v>BLACK</v>
      </c>
      <c r="AG1064" s="11" t="str">
        <f t="shared" si="68"/>
        <v>JHAJJAR</v>
      </c>
      <c r="AH1064" s="9" t="str">
        <f>IF(OR(J1064="",AE1064="",AE1064="NOT FOUND"),"",IF(Y1064="RP",IFERROR(LEFT(_xlfn.XLOOKUP(AE1064,Sheet1!$F:$F,Sheet1!$W:$W),FIND("-",_xlfn.XLOOKUP(AE1064,Sheet1!$F:$F,Sheet1!$W:$W),FIND("-",_xlfn.XLOOKUP(AE1064,Sheet1!$F:$F,Sheet1!$W:$W))+1))&amp;AE1064,"NOT FOUND"),LEFT(J1064,FIND("-",J1064,FIND("-",J1064)+1))&amp;AE1064))</f>
        <v>KRTS-APSU26-YETKRTSFUT4031</v>
      </c>
    </row>
    <row r="1065" spans="1:34" ht="15.75" customHeight="1" x14ac:dyDescent="0.2">
      <c r="A1065" s="4" t="s">
        <v>59</v>
      </c>
      <c r="B1065" s="4" t="s">
        <v>1539</v>
      </c>
      <c r="C1065" s="4" t="s">
        <v>1312</v>
      </c>
      <c r="D1065" s="4" t="s">
        <v>797</v>
      </c>
      <c r="E1065" s="4" t="s">
        <v>34</v>
      </c>
      <c r="F1065" s="4" t="s">
        <v>35</v>
      </c>
      <c r="G1065" s="4" t="s">
        <v>36</v>
      </c>
      <c r="H1065" s="4" t="s">
        <v>1375</v>
      </c>
      <c r="I1065" s="4" t="s">
        <v>1376</v>
      </c>
      <c r="J1065" s="4" t="s">
        <v>1377</v>
      </c>
      <c r="L1065" s="4" t="s">
        <v>40</v>
      </c>
      <c r="M1065" s="4">
        <v>1</v>
      </c>
      <c r="N1065" s="4">
        <v>30</v>
      </c>
      <c r="O1065" s="4">
        <v>30</v>
      </c>
      <c r="P1065" s="4" t="s">
        <v>41</v>
      </c>
      <c r="Q1065" s="4">
        <v>519.30999999999995</v>
      </c>
      <c r="R1065" s="4">
        <v>519.30999999999995</v>
      </c>
      <c r="S1065" s="4">
        <v>778.97</v>
      </c>
      <c r="T1065" s="4">
        <v>15579.3</v>
      </c>
      <c r="U1065" s="4">
        <v>5</v>
      </c>
      <c r="V1065" s="4" t="s">
        <v>42</v>
      </c>
      <c r="X1065" s="7" t="str">
        <f t="shared" si="60"/>
        <v>441853743</v>
      </c>
      <c r="Y1065" s="8" t="str">
        <f t="shared" si="61"/>
        <v>DC</v>
      </c>
      <c r="Z1065" s="8">
        <f t="shared" si="62"/>
        <v>30</v>
      </c>
      <c r="AA1065" s="8">
        <f t="shared" si="63"/>
        <v>0</v>
      </c>
      <c r="AB1065" s="8">
        <f t="shared" si="64"/>
        <v>0</v>
      </c>
      <c r="AC1065" s="8">
        <f t="shared" si="65"/>
        <v>0</v>
      </c>
      <c r="AD1065" s="8">
        <f t="shared" si="66"/>
        <v>0</v>
      </c>
      <c r="AE1065" s="9" t="str" cm="1">
        <f t="array" ref="AE1065">IFERROR(_xlfn.XLOOKUP(H1065,Sheet1!$G:$G,Sheet1!$F:$F),IFERROR(_xlfn.XLOOKUP(1,(--($X$2:$X$1074=X1065))*(--ISNUMBER(MATCH($H$2:$H$1074,Sheet1!$G:$G,0))),_xlfn.XLOOKUP($H$2:$H$1074,Sheet1!$G:$G,Sheet1!$F:$F,"")),"NOT FOUND"))</f>
        <v>YETCRDSFUT4017</v>
      </c>
      <c r="AF1065" s="10" t="str">
        <f t="shared" si="67"/>
        <v>NAVY</v>
      </c>
      <c r="AG1065" s="11" t="str">
        <f t="shared" si="68"/>
        <v>JHAJJAR</v>
      </c>
      <c r="AH1065" s="9" t="str">
        <f>IF(OR(J1065="",AE1065="",AE1065="NOT FOUND"),"",IF(Y1065="RP",IFERROR(LEFT(_xlfn.XLOOKUP(AE1065,Sheet1!$F:$F,Sheet1!$W:$W),FIND("-",_xlfn.XLOOKUP(AE1065,Sheet1!$F:$F,Sheet1!$W:$W),FIND("-",_xlfn.XLOOKUP(AE1065,Sheet1!$F:$F,Sheet1!$W:$W))+1))&amp;AE1065,"NOT FOUND"),LEFT(J1065,FIND("-",J1065,FIND("-",J1065)+1))&amp;AE1065))</f>
        <v>SKD-APSU26-YETCRDSFUT4017</v>
      </c>
    </row>
    <row r="1066" spans="1:34" ht="15.75" customHeight="1" x14ac:dyDescent="0.2">
      <c r="A1066" s="4" t="s">
        <v>59</v>
      </c>
      <c r="B1066" s="4" t="s">
        <v>1539</v>
      </c>
      <c r="C1066" s="4" t="s">
        <v>1312</v>
      </c>
      <c r="D1066" s="4" t="s">
        <v>797</v>
      </c>
      <c r="E1066" s="4" t="s">
        <v>34</v>
      </c>
      <c r="F1066" s="4" t="s">
        <v>35</v>
      </c>
      <c r="G1066" s="4" t="s">
        <v>43</v>
      </c>
      <c r="H1066" s="4" t="s">
        <v>1378</v>
      </c>
      <c r="I1066" s="4" t="s">
        <v>1379</v>
      </c>
      <c r="J1066" s="4" t="s">
        <v>1380</v>
      </c>
      <c r="L1066" s="4" t="s">
        <v>40</v>
      </c>
      <c r="M1066" s="4">
        <v>1</v>
      </c>
      <c r="N1066" s="4">
        <v>56</v>
      </c>
      <c r="O1066" s="4">
        <v>56</v>
      </c>
      <c r="P1066" s="4" t="s">
        <v>41</v>
      </c>
      <c r="Q1066" s="4">
        <v>519.30999999999995</v>
      </c>
      <c r="R1066" s="4">
        <v>519.30999999999995</v>
      </c>
      <c r="S1066" s="4">
        <v>1454.07</v>
      </c>
      <c r="T1066" s="4">
        <v>29081.360000000001</v>
      </c>
      <c r="U1066" s="4">
        <v>5</v>
      </c>
      <c r="V1066" s="4" t="s">
        <v>42</v>
      </c>
      <c r="X1066" s="7" t="str">
        <f t="shared" si="60"/>
        <v>441853743</v>
      </c>
      <c r="Y1066" s="8" t="str">
        <f t="shared" si="61"/>
        <v>DC</v>
      </c>
      <c r="Z1066" s="8">
        <f t="shared" si="62"/>
        <v>0</v>
      </c>
      <c r="AA1066" s="8">
        <f t="shared" si="63"/>
        <v>56</v>
      </c>
      <c r="AB1066" s="8">
        <f t="shared" si="64"/>
        <v>0</v>
      </c>
      <c r="AC1066" s="8">
        <f t="shared" si="65"/>
        <v>0</v>
      </c>
      <c r="AD1066" s="8">
        <f t="shared" si="66"/>
        <v>0</v>
      </c>
      <c r="AE1066" s="9" t="str" cm="1">
        <f t="array" ref="AE1066">IFERROR(_xlfn.XLOOKUP(H1066,Sheet1!$G:$G,Sheet1!$F:$F),IFERROR(_xlfn.XLOOKUP(1,(--($X$2:$X$1074=X1066))*(--ISNUMBER(MATCH($H$2:$H$1074,Sheet1!$G:$G,0))),_xlfn.XLOOKUP($H$2:$H$1074,Sheet1!$G:$G,Sheet1!$F:$F,"")),"NOT FOUND"))</f>
        <v>YETCRDSFUT4017</v>
      </c>
      <c r="AF1066" s="10" t="str">
        <f t="shared" si="67"/>
        <v>NAVY</v>
      </c>
      <c r="AG1066" s="11" t="str">
        <f t="shared" si="68"/>
        <v>JHAJJAR</v>
      </c>
      <c r="AH1066" s="9" t="str">
        <f>IF(OR(J1066="",AE1066="",AE1066="NOT FOUND"),"",IF(Y1066="RP",IFERROR(LEFT(_xlfn.XLOOKUP(AE1066,Sheet1!$F:$F,Sheet1!$W:$W),FIND("-",_xlfn.XLOOKUP(AE1066,Sheet1!$F:$F,Sheet1!$W:$W),FIND("-",_xlfn.XLOOKUP(AE1066,Sheet1!$F:$F,Sheet1!$W:$W))+1))&amp;AE1066,"NOT FOUND"),LEFT(J1066,FIND("-",J1066,FIND("-",J1066)+1))&amp;AE1066))</f>
        <v>SKD-APSU26-YETCRDSFUT4017</v>
      </c>
    </row>
    <row r="1067" spans="1:34" ht="15.75" customHeight="1" x14ac:dyDescent="0.2">
      <c r="A1067" s="4" t="s">
        <v>59</v>
      </c>
      <c r="B1067" s="4" t="s">
        <v>1539</v>
      </c>
      <c r="C1067" s="4" t="s">
        <v>1312</v>
      </c>
      <c r="D1067" s="4" t="s">
        <v>797</v>
      </c>
      <c r="E1067" s="4" t="s">
        <v>34</v>
      </c>
      <c r="F1067" s="4" t="s">
        <v>35</v>
      </c>
      <c r="G1067" s="4" t="s">
        <v>47</v>
      </c>
      <c r="H1067" s="4" t="s">
        <v>1381</v>
      </c>
      <c r="I1067" s="4" t="s">
        <v>1382</v>
      </c>
      <c r="J1067" s="4" t="s">
        <v>1383</v>
      </c>
      <c r="L1067" s="4" t="s">
        <v>40</v>
      </c>
      <c r="M1067" s="4">
        <v>1</v>
      </c>
      <c r="N1067" s="4">
        <v>66</v>
      </c>
      <c r="O1067" s="4">
        <v>66</v>
      </c>
      <c r="P1067" s="4" t="s">
        <v>41</v>
      </c>
      <c r="Q1067" s="4">
        <v>519.30999999999995</v>
      </c>
      <c r="R1067" s="4">
        <v>519.30999999999995</v>
      </c>
      <c r="S1067" s="4">
        <v>1713.72</v>
      </c>
      <c r="T1067" s="4">
        <v>34274.46</v>
      </c>
      <c r="U1067" s="4">
        <v>5</v>
      </c>
      <c r="V1067" s="4" t="s">
        <v>42</v>
      </c>
      <c r="X1067" s="7" t="str">
        <f t="shared" si="60"/>
        <v>441853743</v>
      </c>
      <c r="Y1067" s="8" t="str">
        <f t="shared" si="61"/>
        <v>DC</v>
      </c>
      <c r="Z1067" s="8">
        <f t="shared" si="62"/>
        <v>0</v>
      </c>
      <c r="AA1067" s="8">
        <f t="shared" si="63"/>
        <v>0</v>
      </c>
      <c r="AB1067" s="8">
        <f t="shared" si="64"/>
        <v>66</v>
      </c>
      <c r="AC1067" s="8">
        <f t="shared" si="65"/>
        <v>0</v>
      </c>
      <c r="AD1067" s="8">
        <f t="shared" si="66"/>
        <v>0</v>
      </c>
      <c r="AE1067" s="9" t="str" cm="1">
        <f t="array" ref="AE1067">IFERROR(_xlfn.XLOOKUP(H1067,Sheet1!$G:$G,Sheet1!$F:$F),IFERROR(_xlfn.XLOOKUP(1,(--($X$2:$X$1074=X1067))*(--ISNUMBER(MATCH($H$2:$H$1074,Sheet1!$G:$G,0))),_xlfn.XLOOKUP($H$2:$H$1074,Sheet1!$G:$G,Sheet1!$F:$F,"")),"NOT FOUND"))</f>
        <v>YETCRDSFUT4017</v>
      </c>
      <c r="AF1067" s="10" t="str">
        <f t="shared" si="67"/>
        <v>NAVY</v>
      </c>
      <c r="AG1067" s="11" t="str">
        <f t="shared" si="68"/>
        <v>JHAJJAR</v>
      </c>
      <c r="AH1067" s="9" t="str">
        <f>IF(OR(J1067="",AE1067="",AE1067="NOT FOUND"),"",IF(Y1067="RP",IFERROR(LEFT(_xlfn.XLOOKUP(AE1067,Sheet1!$F:$F,Sheet1!$W:$W),FIND("-",_xlfn.XLOOKUP(AE1067,Sheet1!$F:$F,Sheet1!$W:$W),FIND("-",_xlfn.XLOOKUP(AE1067,Sheet1!$F:$F,Sheet1!$W:$W))+1))&amp;AE1067,"NOT FOUND"),LEFT(J1067,FIND("-",J1067,FIND("-",J1067)+1))&amp;AE1067))</f>
        <v>SKD-APSU26-YETCRDSFUT4017</v>
      </c>
    </row>
    <row r="1068" spans="1:34" ht="15.75" customHeight="1" x14ac:dyDescent="0.2">
      <c r="A1068" s="4" t="s">
        <v>59</v>
      </c>
      <c r="B1068" s="4" t="s">
        <v>1539</v>
      </c>
      <c r="C1068" s="4" t="s">
        <v>1312</v>
      </c>
      <c r="D1068" s="4" t="s">
        <v>797</v>
      </c>
      <c r="E1068" s="4" t="s">
        <v>34</v>
      </c>
      <c r="F1068" s="4" t="s">
        <v>35</v>
      </c>
      <c r="G1068" s="4" t="s">
        <v>51</v>
      </c>
      <c r="H1068" s="4" t="s">
        <v>1384</v>
      </c>
      <c r="I1068" s="4" t="s">
        <v>1385</v>
      </c>
      <c r="J1068" s="4" t="s">
        <v>1386</v>
      </c>
      <c r="L1068" s="4" t="s">
        <v>40</v>
      </c>
      <c r="M1068" s="4">
        <v>1</v>
      </c>
      <c r="N1068" s="4">
        <v>57</v>
      </c>
      <c r="O1068" s="4">
        <v>57</v>
      </c>
      <c r="P1068" s="4" t="s">
        <v>41</v>
      </c>
      <c r="Q1068" s="4">
        <v>519.30999999999995</v>
      </c>
      <c r="R1068" s="4">
        <v>519.30999999999995</v>
      </c>
      <c r="S1068" s="4">
        <v>1480.03</v>
      </c>
      <c r="T1068" s="4">
        <v>29600.67</v>
      </c>
      <c r="U1068" s="4">
        <v>5</v>
      </c>
      <c r="V1068" s="4" t="s">
        <v>42</v>
      </c>
      <c r="X1068" s="7" t="str">
        <f t="shared" si="60"/>
        <v>441853743</v>
      </c>
      <c r="Y1068" s="8" t="str">
        <f t="shared" si="61"/>
        <v>DC</v>
      </c>
      <c r="Z1068" s="8">
        <f t="shared" si="62"/>
        <v>0</v>
      </c>
      <c r="AA1068" s="8">
        <f t="shared" si="63"/>
        <v>0</v>
      </c>
      <c r="AB1068" s="8">
        <f t="shared" si="64"/>
        <v>0</v>
      </c>
      <c r="AC1068" s="8">
        <f t="shared" si="65"/>
        <v>57</v>
      </c>
      <c r="AD1068" s="8">
        <f t="shared" si="66"/>
        <v>0</v>
      </c>
      <c r="AE1068" s="9" t="str" cm="1">
        <f t="array" ref="AE1068">IFERROR(_xlfn.XLOOKUP(H1068,Sheet1!$G:$G,Sheet1!$F:$F),IFERROR(_xlfn.XLOOKUP(1,(--($X$2:$X$1074=X1068))*(--ISNUMBER(MATCH($H$2:$H$1074,Sheet1!$G:$G,0))),_xlfn.XLOOKUP($H$2:$H$1074,Sheet1!$G:$G,Sheet1!$F:$F,"")),"NOT FOUND"))</f>
        <v>YETCRDSFUT4017</v>
      </c>
      <c r="AF1068" s="10" t="str">
        <f t="shared" si="67"/>
        <v>NAVY</v>
      </c>
      <c r="AG1068" s="11" t="str">
        <f t="shared" si="68"/>
        <v>JHAJJAR</v>
      </c>
      <c r="AH1068" s="9" t="str">
        <f>IF(OR(J1068="",AE1068="",AE1068="NOT FOUND"),"",IF(Y1068="RP",IFERROR(LEFT(_xlfn.XLOOKUP(AE1068,Sheet1!$F:$F,Sheet1!$W:$W),FIND("-",_xlfn.XLOOKUP(AE1068,Sheet1!$F:$F,Sheet1!$W:$W),FIND("-",_xlfn.XLOOKUP(AE1068,Sheet1!$F:$F,Sheet1!$W:$W))+1))&amp;AE1068,"NOT FOUND"),LEFT(J1068,FIND("-",J1068,FIND("-",J1068)+1))&amp;AE1068))</f>
        <v>SKD-APSU26-YETCRDSFUT4017</v>
      </c>
    </row>
    <row r="1069" spans="1:34" ht="15.75" customHeight="1" x14ac:dyDescent="0.2">
      <c r="A1069" s="4" t="s">
        <v>59</v>
      </c>
      <c r="B1069" s="4" t="s">
        <v>1539</v>
      </c>
      <c r="C1069" s="4" t="s">
        <v>1312</v>
      </c>
      <c r="D1069" s="4" t="s">
        <v>797</v>
      </c>
      <c r="E1069" s="4" t="s">
        <v>34</v>
      </c>
      <c r="F1069" s="4" t="s">
        <v>35</v>
      </c>
      <c r="G1069" s="4" t="s">
        <v>55</v>
      </c>
      <c r="H1069" s="4" t="s">
        <v>1387</v>
      </c>
      <c r="I1069" s="4" t="s">
        <v>1388</v>
      </c>
      <c r="J1069" s="4" t="s">
        <v>1389</v>
      </c>
      <c r="L1069" s="4" t="s">
        <v>40</v>
      </c>
      <c r="M1069" s="4">
        <v>1</v>
      </c>
      <c r="N1069" s="4">
        <v>30</v>
      </c>
      <c r="O1069" s="4">
        <v>30</v>
      </c>
      <c r="P1069" s="4" t="s">
        <v>41</v>
      </c>
      <c r="Q1069" s="4">
        <v>519.30999999999995</v>
      </c>
      <c r="R1069" s="4">
        <v>519.30999999999995</v>
      </c>
      <c r="S1069" s="4">
        <v>778.97</v>
      </c>
      <c r="T1069" s="4">
        <v>15579.3</v>
      </c>
      <c r="U1069" s="4">
        <v>5</v>
      </c>
      <c r="V1069" s="4" t="s">
        <v>42</v>
      </c>
      <c r="X1069" s="7" t="str">
        <f t="shared" si="60"/>
        <v>441853743</v>
      </c>
      <c r="Y1069" s="8" t="str">
        <f t="shared" si="61"/>
        <v>DC</v>
      </c>
      <c r="Z1069" s="8">
        <f t="shared" si="62"/>
        <v>0</v>
      </c>
      <c r="AA1069" s="8">
        <f t="shared" si="63"/>
        <v>0</v>
      </c>
      <c r="AB1069" s="8">
        <f t="shared" si="64"/>
        <v>0</v>
      </c>
      <c r="AC1069" s="8">
        <f t="shared" si="65"/>
        <v>0</v>
      </c>
      <c r="AD1069" s="8">
        <f t="shared" si="66"/>
        <v>30</v>
      </c>
      <c r="AE1069" s="9" t="str" cm="1">
        <f t="array" ref="AE1069">IFERROR(_xlfn.XLOOKUP(H1069,Sheet1!$G:$G,Sheet1!$F:$F),IFERROR(_xlfn.XLOOKUP(1,(--($X$2:$X$1074=X1069))*(--ISNUMBER(MATCH($H$2:$H$1074,Sheet1!$G:$G,0))),_xlfn.XLOOKUP($H$2:$H$1074,Sheet1!$G:$G,Sheet1!$F:$F,"")),"NOT FOUND"))</f>
        <v>YETCRDSFUT4017</v>
      </c>
      <c r="AF1069" s="10" t="str">
        <f t="shared" si="67"/>
        <v>NAVY</v>
      </c>
      <c r="AG1069" s="11" t="str">
        <f t="shared" si="68"/>
        <v>JHAJJAR</v>
      </c>
      <c r="AH1069" s="9" t="str">
        <f>IF(OR(J1069="",AE1069="",AE1069="NOT FOUND"),"",IF(Y1069="RP",IFERROR(LEFT(_xlfn.XLOOKUP(AE1069,Sheet1!$F:$F,Sheet1!$W:$W),FIND("-",_xlfn.XLOOKUP(AE1069,Sheet1!$F:$F,Sheet1!$W:$W),FIND("-",_xlfn.XLOOKUP(AE1069,Sheet1!$F:$F,Sheet1!$W:$W))+1))&amp;AE1069,"NOT FOUND"),LEFT(J1069,FIND("-",J1069,FIND("-",J1069)+1))&amp;AE1069))</f>
        <v>SKD-APSU26-YETCRDSFUT4017</v>
      </c>
    </row>
    <row r="1070" spans="1:34" ht="15.75" customHeight="1" x14ac:dyDescent="0.2">
      <c r="A1070" s="4" t="s">
        <v>61</v>
      </c>
      <c r="B1070" s="4" t="s">
        <v>1540</v>
      </c>
      <c r="C1070" s="4" t="s">
        <v>1312</v>
      </c>
      <c r="D1070" s="4" t="s">
        <v>797</v>
      </c>
      <c r="E1070" s="4" t="s">
        <v>34</v>
      </c>
      <c r="F1070" s="4" t="s">
        <v>35</v>
      </c>
      <c r="G1070" s="4" t="s">
        <v>36</v>
      </c>
      <c r="H1070" s="4" t="s">
        <v>1375</v>
      </c>
      <c r="I1070" s="4" t="s">
        <v>1376</v>
      </c>
      <c r="J1070" s="4" t="s">
        <v>1377</v>
      </c>
      <c r="L1070" s="4" t="s">
        <v>40</v>
      </c>
      <c r="M1070" s="4">
        <v>1</v>
      </c>
      <c r="N1070" s="4">
        <v>30</v>
      </c>
      <c r="O1070" s="4">
        <v>30</v>
      </c>
      <c r="P1070" s="4" t="s">
        <v>41</v>
      </c>
      <c r="Q1070" s="4">
        <v>519.30999999999995</v>
      </c>
      <c r="R1070" s="4">
        <v>519.30999999999995</v>
      </c>
      <c r="S1070" s="4">
        <v>778.97</v>
      </c>
      <c r="T1070" s="4">
        <v>15579.3</v>
      </c>
      <c r="U1070" s="4">
        <v>5</v>
      </c>
      <c r="V1070" s="4" t="s">
        <v>42</v>
      </c>
      <c r="X1070" s="7" t="str">
        <f t="shared" si="60"/>
        <v>441853743</v>
      </c>
      <c r="Y1070" s="8" t="str">
        <f t="shared" si="61"/>
        <v>DC</v>
      </c>
      <c r="Z1070" s="8">
        <f t="shared" si="62"/>
        <v>30</v>
      </c>
      <c r="AA1070" s="8">
        <f t="shared" si="63"/>
        <v>0</v>
      </c>
      <c r="AB1070" s="8">
        <f t="shared" si="64"/>
        <v>0</v>
      </c>
      <c r="AC1070" s="8">
        <f t="shared" si="65"/>
        <v>0</v>
      </c>
      <c r="AD1070" s="8">
        <f t="shared" si="66"/>
        <v>0</v>
      </c>
      <c r="AE1070" s="9" t="str" cm="1">
        <f t="array" ref="AE1070">IFERROR(_xlfn.XLOOKUP(H1070,Sheet1!$G:$G,Sheet1!$F:$F),IFERROR(_xlfn.XLOOKUP(1,(--($X$2:$X$1074=X1070))*(--ISNUMBER(MATCH($H$2:$H$1074,Sheet1!$G:$G,0))),_xlfn.XLOOKUP($H$2:$H$1074,Sheet1!$G:$G,Sheet1!$F:$F,"")),"NOT FOUND"))</f>
        <v>YETCRDSFUT4017</v>
      </c>
      <c r="AF1070" s="10" t="str">
        <f t="shared" si="67"/>
        <v>NAVY</v>
      </c>
      <c r="AG1070" s="11" t="str">
        <f t="shared" si="68"/>
        <v>HARIPAL</v>
      </c>
      <c r="AH1070" s="9" t="str">
        <f>IF(OR(J1070="",AE1070="",AE1070="NOT FOUND"),"",IF(Y1070="RP",IFERROR(LEFT(_xlfn.XLOOKUP(AE1070,Sheet1!$F:$F,Sheet1!$W:$W),FIND("-",_xlfn.XLOOKUP(AE1070,Sheet1!$F:$F,Sheet1!$W:$W),FIND("-",_xlfn.XLOOKUP(AE1070,Sheet1!$F:$F,Sheet1!$W:$W))+1))&amp;AE1070,"NOT FOUND"),LEFT(J1070,FIND("-",J1070,FIND("-",J1070)+1))&amp;AE1070))</f>
        <v>SKD-APSU26-YETCRDSFUT4017</v>
      </c>
    </row>
    <row r="1071" spans="1:34" ht="15.75" customHeight="1" x14ac:dyDescent="0.2">
      <c r="A1071" s="4" t="s">
        <v>61</v>
      </c>
      <c r="B1071" s="4" t="s">
        <v>1540</v>
      </c>
      <c r="C1071" s="4" t="s">
        <v>1312</v>
      </c>
      <c r="D1071" s="4" t="s">
        <v>797</v>
      </c>
      <c r="E1071" s="4" t="s">
        <v>34</v>
      </c>
      <c r="F1071" s="4" t="s">
        <v>35</v>
      </c>
      <c r="G1071" s="4" t="s">
        <v>43</v>
      </c>
      <c r="H1071" s="4" t="s">
        <v>1378</v>
      </c>
      <c r="I1071" s="4" t="s">
        <v>1379</v>
      </c>
      <c r="J1071" s="4" t="s">
        <v>1380</v>
      </c>
      <c r="L1071" s="4" t="s">
        <v>40</v>
      </c>
      <c r="M1071" s="4">
        <v>1</v>
      </c>
      <c r="N1071" s="4">
        <v>57</v>
      </c>
      <c r="O1071" s="4">
        <v>57</v>
      </c>
      <c r="P1071" s="4" t="s">
        <v>41</v>
      </c>
      <c r="Q1071" s="4">
        <v>519.30999999999995</v>
      </c>
      <c r="R1071" s="4">
        <v>519.30999999999995</v>
      </c>
      <c r="S1071" s="4">
        <v>1480.03</v>
      </c>
      <c r="T1071" s="4">
        <v>29600.67</v>
      </c>
      <c r="U1071" s="4">
        <v>5</v>
      </c>
      <c r="V1071" s="4" t="s">
        <v>42</v>
      </c>
      <c r="X1071" s="7" t="str">
        <f t="shared" si="60"/>
        <v>441853743</v>
      </c>
      <c r="Y1071" s="8" t="str">
        <f t="shared" si="61"/>
        <v>DC</v>
      </c>
      <c r="Z1071" s="8">
        <f t="shared" si="62"/>
        <v>0</v>
      </c>
      <c r="AA1071" s="8">
        <f t="shared" si="63"/>
        <v>57</v>
      </c>
      <c r="AB1071" s="8">
        <f t="shared" si="64"/>
        <v>0</v>
      </c>
      <c r="AC1071" s="8">
        <f t="shared" si="65"/>
        <v>0</v>
      </c>
      <c r="AD1071" s="8">
        <f t="shared" si="66"/>
        <v>0</v>
      </c>
      <c r="AE1071" s="9" t="str" cm="1">
        <f t="array" ref="AE1071">IFERROR(_xlfn.XLOOKUP(H1071,Sheet1!$G:$G,Sheet1!$F:$F),IFERROR(_xlfn.XLOOKUP(1,(--($X$2:$X$1074=X1071))*(--ISNUMBER(MATCH($H$2:$H$1074,Sheet1!$G:$G,0))),_xlfn.XLOOKUP($H$2:$H$1074,Sheet1!$G:$G,Sheet1!$F:$F,"")),"NOT FOUND"))</f>
        <v>YETCRDSFUT4017</v>
      </c>
      <c r="AF1071" s="10" t="str">
        <f t="shared" si="67"/>
        <v>NAVY</v>
      </c>
      <c r="AG1071" s="11" t="str">
        <f t="shared" si="68"/>
        <v>HARIPAL</v>
      </c>
      <c r="AH1071" s="9" t="str">
        <f>IF(OR(J1071="",AE1071="",AE1071="NOT FOUND"),"",IF(Y1071="RP",IFERROR(LEFT(_xlfn.XLOOKUP(AE1071,Sheet1!$F:$F,Sheet1!$W:$W),FIND("-",_xlfn.XLOOKUP(AE1071,Sheet1!$F:$F,Sheet1!$W:$W),FIND("-",_xlfn.XLOOKUP(AE1071,Sheet1!$F:$F,Sheet1!$W:$W))+1))&amp;AE1071,"NOT FOUND"),LEFT(J1071,FIND("-",J1071,FIND("-",J1071)+1))&amp;AE1071))</f>
        <v>SKD-APSU26-YETCRDSFUT4017</v>
      </c>
    </row>
    <row r="1072" spans="1:34" ht="15.75" customHeight="1" x14ac:dyDescent="0.2">
      <c r="A1072" s="4" t="s">
        <v>61</v>
      </c>
      <c r="B1072" s="4" t="s">
        <v>1540</v>
      </c>
      <c r="C1072" s="4" t="s">
        <v>1312</v>
      </c>
      <c r="D1072" s="4" t="s">
        <v>797</v>
      </c>
      <c r="E1072" s="4" t="s">
        <v>34</v>
      </c>
      <c r="F1072" s="4" t="s">
        <v>35</v>
      </c>
      <c r="G1072" s="4" t="s">
        <v>47</v>
      </c>
      <c r="H1072" s="4" t="s">
        <v>1381</v>
      </c>
      <c r="I1072" s="4" t="s">
        <v>1382</v>
      </c>
      <c r="J1072" s="4" t="s">
        <v>1383</v>
      </c>
      <c r="L1072" s="4" t="s">
        <v>40</v>
      </c>
      <c r="M1072" s="4">
        <v>1</v>
      </c>
      <c r="N1072" s="4">
        <v>67</v>
      </c>
      <c r="O1072" s="4">
        <v>67</v>
      </c>
      <c r="P1072" s="4" t="s">
        <v>41</v>
      </c>
      <c r="Q1072" s="4">
        <v>519.30999999999995</v>
      </c>
      <c r="R1072" s="4">
        <v>519.30999999999995</v>
      </c>
      <c r="S1072" s="4">
        <v>1739.69</v>
      </c>
      <c r="T1072" s="4">
        <v>34793.769999999997</v>
      </c>
      <c r="U1072" s="4">
        <v>5</v>
      </c>
      <c r="V1072" s="4" t="s">
        <v>42</v>
      </c>
      <c r="X1072" s="7" t="str">
        <f t="shared" si="60"/>
        <v>441853743</v>
      </c>
      <c r="Y1072" s="8" t="str">
        <f t="shared" si="61"/>
        <v>DC</v>
      </c>
      <c r="Z1072" s="8">
        <f t="shared" si="62"/>
        <v>0</v>
      </c>
      <c r="AA1072" s="8">
        <f t="shared" si="63"/>
        <v>0</v>
      </c>
      <c r="AB1072" s="8">
        <f t="shared" si="64"/>
        <v>67</v>
      </c>
      <c r="AC1072" s="8">
        <f t="shared" si="65"/>
        <v>0</v>
      </c>
      <c r="AD1072" s="8">
        <f t="shared" si="66"/>
        <v>0</v>
      </c>
      <c r="AE1072" s="9" t="str" cm="1">
        <f t="array" ref="AE1072">IFERROR(_xlfn.XLOOKUP(H1072,Sheet1!$G:$G,Sheet1!$F:$F),IFERROR(_xlfn.XLOOKUP(1,(--($X$2:$X$1074=X1072))*(--ISNUMBER(MATCH($H$2:$H$1074,Sheet1!$G:$G,0))),_xlfn.XLOOKUP($H$2:$H$1074,Sheet1!$G:$G,Sheet1!$F:$F,"")),"NOT FOUND"))</f>
        <v>YETCRDSFUT4017</v>
      </c>
      <c r="AF1072" s="10" t="str">
        <f t="shared" si="67"/>
        <v>NAVY</v>
      </c>
      <c r="AG1072" s="11" t="str">
        <f t="shared" si="68"/>
        <v>HARIPAL</v>
      </c>
      <c r="AH1072" s="9" t="str">
        <f>IF(OR(J1072="",AE1072="",AE1072="NOT FOUND"),"",IF(Y1072="RP",IFERROR(LEFT(_xlfn.XLOOKUP(AE1072,Sheet1!$F:$F,Sheet1!$W:$W),FIND("-",_xlfn.XLOOKUP(AE1072,Sheet1!$F:$F,Sheet1!$W:$W),FIND("-",_xlfn.XLOOKUP(AE1072,Sheet1!$F:$F,Sheet1!$W:$W))+1))&amp;AE1072,"NOT FOUND"),LEFT(J1072,FIND("-",J1072,FIND("-",J1072)+1))&amp;AE1072))</f>
        <v>SKD-APSU26-YETCRDSFUT4017</v>
      </c>
    </row>
    <row r="1073" spans="1:34" ht="15.75" customHeight="1" x14ac:dyDescent="0.2">
      <c r="A1073" s="4" t="s">
        <v>61</v>
      </c>
      <c r="B1073" s="4" t="s">
        <v>1540</v>
      </c>
      <c r="C1073" s="4" t="s">
        <v>1312</v>
      </c>
      <c r="D1073" s="4" t="s">
        <v>797</v>
      </c>
      <c r="E1073" s="4" t="s">
        <v>34</v>
      </c>
      <c r="F1073" s="4" t="s">
        <v>35</v>
      </c>
      <c r="G1073" s="4" t="s">
        <v>51</v>
      </c>
      <c r="H1073" s="4" t="s">
        <v>1384</v>
      </c>
      <c r="I1073" s="4" t="s">
        <v>1385</v>
      </c>
      <c r="J1073" s="4" t="s">
        <v>1386</v>
      </c>
      <c r="L1073" s="4" t="s">
        <v>40</v>
      </c>
      <c r="M1073" s="4">
        <v>1</v>
      </c>
      <c r="N1073" s="4">
        <v>58</v>
      </c>
      <c r="O1073" s="4">
        <v>58</v>
      </c>
      <c r="P1073" s="4" t="s">
        <v>41</v>
      </c>
      <c r="Q1073" s="4">
        <v>519.30999999999995</v>
      </c>
      <c r="R1073" s="4">
        <v>519.30999999999995</v>
      </c>
      <c r="S1073" s="4">
        <v>1506</v>
      </c>
      <c r="T1073" s="4">
        <v>30119.98</v>
      </c>
      <c r="U1073" s="4">
        <v>5</v>
      </c>
      <c r="V1073" s="4" t="s">
        <v>42</v>
      </c>
      <c r="X1073" s="7" t="str">
        <f t="shared" si="60"/>
        <v>441853743</v>
      </c>
      <c r="Y1073" s="8" t="str">
        <f t="shared" si="61"/>
        <v>DC</v>
      </c>
      <c r="Z1073" s="8">
        <f t="shared" si="62"/>
        <v>0</v>
      </c>
      <c r="AA1073" s="8">
        <f t="shared" si="63"/>
        <v>0</v>
      </c>
      <c r="AB1073" s="8">
        <f t="shared" si="64"/>
        <v>0</v>
      </c>
      <c r="AC1073" s="8">
        <f t="shared" si="65"/>
        <v>58</v>
      </c>
      <c r="AD1073" s="8">
        <f t="shared" si="66"/>
        <v>0</v>
      </c>
      <c r="AE1073" s="9" t="str" cm="1">
        <f t="array" ref="AE1073">IFERROR(_xlfn.XLOOKUP(H1073,Sheet1!$G:$G,Sheet1!$F:$F),IFERROR(_xlfn.XLOOKUP(1,(--($X$2:$X$1074=X1073))*(--ISNUMBER(MATCH($H$2:$H$1074,Sheet1!$G:$G,0))),_xlfn.XLOOKUP($H$2:$H$1074,Sheet1!$G:$G,Sheet1!$F:$F,"")),"NOT FOUND"))</f>
        <v>YETCRDSFUT4017</v>
      </c>
      <c r="AF1073" s="10" t="str">
        <f t="shared" si="67"/>
        <v>NAVY</v>
      </c>
      <c r="AG1073" s="11" t="str">
        <f t="shared" si="68"/>
        <v>HARIPAL</v>
      </c>
      <c r="AH1073" s="9" t="str">
        <f>IF(OR(J1073="",AE1073="",AE1073="NOT FOUND"),"",IF(Y1073="RP",IFERROR(LEFT(_xlfn.XLOOKUP(AE1073,Sheet1!$F:$F,Sheet1!$W:$W),FIND("-",_xlfn.XLOOKUP(AE1073,Sheet1!$F:$F,Sheet1!$W:$W),FIND("-",_xlfn.XLOOKUP(AE1073,Sheet1!$F:$F,Sheet1!$W:$W))+1))&amp;AE1073,"NOT FOUND"),LEFT(J1073,FIND("-",J1073,FIND("-",J1073)+1))&amp;AE1073))</f>
        <v>SKD-APSU26-YETCRDSFUT4017</v>
      </c>
    </row>
    <row r="1074" spans="1:34" ht="15.75" customHeight="1" x14ac:dyDescent="0.2">
      <c r="A1074" s="4" t="s">
        <v>61</v>
      </c>
      <c r="B1074" s="4" t="s">
        <v>1540</v>
      </c>
      <c r="C1074" s="4" t="s">
        <v>1312</v>
      </c>
      <c r="D1074" s="4" t="s">
        <v>797</v>
      </c>
      <c r="E1074" s="4" t="s">
        <v>34</v>
      </c>
      <c r="F1074" s="4" t="s">
        <v>35</v>
      </c>
      <c r="G1074" s="4" t="s">
        <v>55</v>
      </c>
      <c r="H1074" s="4" t="s">
        <v>1387</v>
      </c>
      <c r="I1074" s="4" t="s">
        <v>1388</v>
      </c>
      <c r="J1074" s="4" t="s">
        <v>1389</v>
      </c>
      <c r="L1074" s="4" t="s">
        <v>40</v>
      </c>
      <c r="M1074" s="4">
        <v>1</v>
      </c>
      <c r="N1074" s="4">
        <v>30</v>
      </c>
      <c r="O1074" s="4">
        <v>30</v>
      </c>
      <c r="P1074" s="4" t="s">
        <v>41</v>
      </c>
      <c r="Q1074" s="4">
        <v>519.30999999999995</v>
      </c>
      <c r="R1074" s="4">
        <v>519.30999999999995</v>
      </c>
      <c r="S1074" s="4">
        <v>778.97</v>
      </c>
      <c r="T1074" s="4">
        <v>15579.3</v>
      </c>
      <c r="U1074" s="4">
        <v>5</v>
      </c>
      <c r="V1074" s="4" t="s">
        <v>42</v>
      </c>
      <c r="X1074" s="7" t="str">
        <f t="shared" si="60"/>
        <v>441853743</v>
      </c>
      <c r="Y1074" s="8" t="str">
        <f t="shared" si="61"/>
        <v>DC</v>
      </c>
      <c r="Z1074" s="8">
        <f t="shared" si="62"/>
        <v>0</v>
      </c>
      <c r="AA1074" s="8">
        <f t="shared" si="63"/>
        <v>0</v>
      </c>
      <c r="AB1074" s="8">
        <f t="shared" si="64"/>
        <v>0</v>
      </c>
      <c r="AC1074" s="8">
        <f t="shared" si="65"/>
        <v>0</v>
      </c>
      <c r="AD1074" s="8">
        <f t="shared" si="66"/>
        <v>30</v>
      </c>
      <c r="AE1074" s="9" t="str" cm="1">
        <f t="array" ref="AE1074">IFERROR(_xlfn.XLOOKUP(H1074,Sheet1!$G:$G,Sheet1!$F:$F),IFERROR(_xlfn.XLOOKUP(1,(--($X$2:$X$1074=X1074))*(--ISNUMBER(MATCH($H$2:$H$1074,Sheet1!$G:$G,0))),_xlfn.XLOOKUP($H$2:$H$1074,Sheet1!$G:$G,Sheet1!$F:$F,"")),"NOT FOUND"))</f>
        <v>YETCRDSFUT4017</v>
      </c>
      <c r="AF1074" s="10" t="str">
        <f t="shared" si="67"/>
        <v>NAVY</v>
      </c>
      <c r="AG1074" s="11" t="str">
        <f t="shared" si="68"/>
        <v>HARIPAL</v>
      </c>
      <c r="AH1074" s="9" t="str">
        <f>IF(OR(J1074="",AE1074="",AE1074="NOT FOUND"),"",IF(Y1074="RP",IFERROR(LEFT(_xlfn.XLOOKUP(AE1074,Sheet1!$F:$F,Sheet1!$W:$W),FIND("-",_xlfn.XLOOKUP(AE1074,Sheet1!$F:$F,Sheet1!$W:$W),FIND("-",_xlfn.XLOOKUP(AE1074,Sheet1!$F:$F,Sheet1!$W:$W))+1))&amp;AE1074,"NOT FOUND"),LEFT(J1074,FIND("-",J1074,FIND("-",J1074)+1))&amp;AE1074))</f>
        <v>SKD-APSU26-YETCRDSFUT4017</v>
      </c>
    </row>
  </sheetData>
  <sheetProtection formatCells="0" formatColumns="0" formatRows="0" insertRows="0" insertHyperlinks="0" sort="0" autoFilter="0" pivotTables="0"/>
  <autoFilter ref="A1:AF1074" xr:uid="{00000000-0009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80"/>
  <sheetViews>
    <sheetView topLeftCell="C360" workbookViewId="0">
      <selection activeCell="I2" sqref="I2:I24"/>
    </sheetView>
  </sheetViews>
  <sheetFormatPr baseColWidth="10" defaultRowHeight="15" customHeight="1" x14ac:dyDescent="0.2"/>
  <cols>
    <col min="1" max="25" width="30.83203125" customWidth="1"/>
  </cols>
  <sheetData>
    <row r="1" spans="1:25" ht="17" x14ac:dyDescent="0.2">
      <c r="A1" s="1" t="s">
        <v>1543</v>
      </c>
      <c r="B1" s="1" t="s">
        <v>1544</v>
      </c>
      <c r="C1" s="1" t="s">
        <v>1545</v>
      </c>
      <c r="D1" s="1" t="s">
        <v>1546</v>
      </c>
      <c r="E1" s="1" t="s">
        <v>1547</v>
      </c>
      <c r="F1" s="1" t="s">
        <v>1548</v>
      </c>
      <c r="G1" s="1" t="s">
        <v>1549</v>
      </c>
      <c r="H1" s="1" t="s">
        <v>1550</v>
      </c>
      <c r="I1" s="1" t="s">
        <v>1551</v>
      </c>
      <c r="J1" s="1" t="s">
        <v>1552</v>
      </c>
      <c r="K1" s="1" t="s">
        <v>1553</v>
      </c>
      <c r="L1" s="1" t="s">
        <v>1554</v>
      </c>
      <c r="M1" s="1" t="s">
        <v>1555</v>
      </c>
      <c r="N1" s="1" t="s">
        <v>1556</v>
      </c>
      <c r="O1" s="1" t="s">
        <v>1557</v>
      </c>
      <c r="P1" s="1" t="s">
        <v>1558</v>
      </c>
      <c r="Q1" s="1" t="s">
        <v>1559</v>
      </c>
      <c r="R1" s="1" t="s">
        <v>1560</v>
      </c>
      <c r="S1" s="1" t="s">
        <v>1561</v>
      </c>
      <c r="T1" s="1" t="s">
        <v>1562</v>
      </c>
      <c r="U1" s="1" t="s">
        <v>1563</v>
      </c>
      <c r="V1" s="1" t="s">
        <v>1564</v>
      </c>
      <c r="W1" s="1" t="s">
        <v>1565</v>
      </c>
      <c r="X1" s="1" t="s">
        <v>1566</v>
      </c>
      <c r="Y1" s="1" t="s">
        <v>1567</v>
      </c>
    </row>
    <row r="2" spans="1:25" ht="16" x14ac:dyDescent="0.2">
      <c r="A2" t="s">
        <v>1568</v>
      </c>
      <c r="B2" t="s">
        <v>1569</v>
      </c>
      <c r="C2" t="s">
        <v>1568</v>
      </c>
      <c r="D2" t="s">
        <v>1568</v>
      </c>
      <c r="E2" t="s">
        <v>36</v>
      </c>
      <c r="F2" t="s">
        <v>1570</v>
      </c>
      <c r="G2" t="s">
        <v>1142</v>
      </c>
      <c r="H2" t="s">
        <v>1568</v>
      </c>
      <c r="I2" t="s">
        <v>1143</v>
      </c>
      <c r="J2" t="s">
        <v>1568</v>
      </c>
      <c r="K2" t="s">
        <v>1568</v>
      </c>
      <c r="L2" t="s">
        <v>1568</v>
      </c>
      <c r="M2" t="s">
        <v>1568</v>
      </c>
      <c r="N2" t="s">
        <v>1568</v>
      </c>
      <c r="O2" t="s">
        <v>1568</v>
      </c>
      <c r="P2" t="s">
        <v>1568</v>
      </c>
      <c r="Q2" t="s">
        <v>1568</v>
      </c>
      <c r="R2" t="s">
        <v>1568</v>
      </c>
      <c r="S2" t="s">
        <v>1568</v>
      </c>
      <c r="T2" t="s">
        <v>1568</v>
      </c>
      <c r="U2" t="s">
        <v>1568</v>
      </c>
      <c r="V2" t="s">
        <v>1571</v>
      </c>
      <c r="W2" t="s">
        <v>1144</v>
      </c>
      <c r="X2" t="s">
        <v>30</v>
      </c>
      <c r="Y2" t="s">
        <v>1572</v>
      </c>
    </row>
    <row r="3" spans="1:25" ht="16" x14ac:dyDescent="0.2">
      <c r="A3" t="s">
        <v>1568</v>
      </c>
      <c r="B3" t="s">
        <v>1569</v>
      </c>
      <c r="C3" t="s">
        <v>1568</v>
      </c>
      <c r="D3" t="s">
        <v>1568</v>
      </c>
      <c r="E3" t="s">
        <v>43</v>
      </c>
      <c r="F3" t="s">
        <v>1570</v>
      </c>
      <c r="G3" t="s">
        <v>1145</v>
      </c>
      <c r="H3" t="s">
        <v>1568</v>
      </c>
      <c r="I3" t="s">
        <v>1146</v>
      </c>
      <c r="J3" t="s">
        <v>1568</v>
      </c>
      <c r="K3" t="s">
        <v>1568</v>
      </c>
      <c r="L3" t="s">
        <v>1568</v>
      </c>
      <c r="M3" t="s">
        <v>1568</v>
      </c>
      <c r="N3" t="s">
        <v>1568</v>
      </c>
      <c r="O3" t="s">
        <v>1568</v>
      </c>
      <c r="P3" t="s">
        <v>1568</v>
      </c>
      <c r="Q3" t="s">
        <v>1568</v>
      </c>
      <c r="R3" t="s">
        <v>1568</v>
      </c>
      <c r="S3" t="s">
        <v>1568</v>
      </c>
      <c r="T3" t="s">
        <v>1568</v>
      </c>
      <c r="U3" t="s">
        <v>1568</v>
      </c>
      <c r="V3" t="s">
        <v>1573</v>
      </c>
      <c r="W3" t="s">
        <v>1147</v>
      </c>
      <c r="X3" t="s">
        <v>30</v>
      </c>
      <c r="Y3" t="s">
        <v>1572</v>
      </c>
    </row>
    <row r="4" spans="1:25" ht="16" x14ac:dyDescent="0.2">
      <c r="A4" t="s">
        <v>1568</v>
      </c>
      <c r="B4" t="s">
        <v>1569</v>
      </c>
      <c r="C4" t="s">
        <v>1568</v>
      </c>
      <c r="D4" t="s">
        <v>1568</v>
      </c>
      <c r="E4" t="s">
        <v>47</v>
      </c>
      <c r="F4" t="s">
        <v>1570</v>
      </c>
      <c r="G4" t="s">
        <v>1148</v>
      </c>
      <c r="H4" t="s">
        <v>1568</v>
      </c>
      <c r="I4" t="s">
        <v>1149</v>
      </c>
      <c r="J4" t="s">
        <v>1568</v>
      </c>
      <c r="K4" t="s">
        <v>1568</v>
      </c>
      <c r="L4" t="s">
        <v>1568</v>
      </c>
      <c r="M4" t="s">
        <v>1568</v>
      </c>
      <c r="N4" t="s">
        <v>1568</v>
      </c>
      <c r="O4" t="s">
        <v>1568</v>
      </c>
      <c r="P4" t="s">
        <v>1568</v>
      </c>
      <c r="Q4" t="s">
        <v>1568</v>
      </c>
      <c r="R4" t="s">
        <v>1568</v>
      </c>
      <c r="S4" t="s">
        <v>1568</v>
      </c>
      <c r="T4" t="s">
        <v>1568</v>
      </c>
      <c r="U4" t="s">
        <v>1568</v>
      </c>
      <c r="V4" t="s">
        <v>1574</v>
      </c>
      <c r="W4" t="s">
        <v>1150</v>
      </c>
      <c r="X4" t="s">
        <v>30</v>
      </c>
      <c r="Y4" t="s">
        <v>1572</v>
      </c>
    </row>
    <row r="5" spans="1:25" ht="16" x14ac:dyDescent="0.2">
      <c r="A5" t="s">
        <v>1568</v>
      </c>
      <c r="B5" t="s">
        <v>1569</v>
      </c>
      <c r="C5" t="s">
        <v>1568</v>
      </c>
      <c r="D5" t="s">
        <v>1568</v>
      </c>
      <c r="E5" t="s">
        <v>51</v>
      </c>
      <c r="F5" t="s">
        <v>1570</v>
      </c>
      <c r="G5" t="s">
        <v>1575</v>
      </c>
      <c r="H5" t="s">
        <v>1568</v>
      </c>
      <c r="I5" t="s">
        <v>1576</v>
      </c>
      <c r="J5" t="s">
        <v>1568</v>
      </c>
      <c r="K5" t="s">
        <v>1568</v>
      </c>
      <c r="L5" t="s">
        <v>1568</v>
      </c>
      <c r="M5" t="s">
        <v>1568</v>
      </c>
      <c r="N5" t="s">
        <v>1568</v>
      </c>
      <c r="O5" t="s">
        <v>1568</v>
      </c>
      <c r="P5" t="s">
        <v>1568</v>
      </c>
      <c r="Q5" t="s">
        <v>1568</v>
      </c>
      <c r="R5" t="s">
        <v>1568</v>
      </c>
      <c r="S5" t="s">
        <v>1568</v>
      </c>
      <c r="T5" t="s">
        <v>1568</v>
      </c>
      <c r="U5" t="s">
        <v>1568</v>
      </c>
      <c r="V5" t="s">
        <v>1573</v>
      </c>
      <c r="W5" t="s">
        <v>1577</v>
      </c>
      <c r="X5" t="s">
        <v>30</v>
      </c>
      <c r="Y5" t="s">
        <v>1572</v>
      </c>
    </row>
    <row r="6" spans="1:25" ht="16" x14ac:dyDescent="0.2">
      <c r="A6" t="s">
        <v>1568</v>
      </c>
      <c r="B6" t="s">
        <v>1569</v>
      </c>
      <c r="C6" t="s">
        <v>1568</v>
      </c>
      <c r="D6" t="s">
        <v>1568</v>
      </c>
      <c r="E6" t="s">
        <v>55</v>
      </c>
      <c r="F6" t="s">
        <v>1570</v>
      </c>
      <c r="G6" t="s">
        <v>1190</v>
      </c>
      <c r="H6" t="s">
        <v>1568</v>
      </c>
      <c r="I6" t="s">
        <v>1191</v>
      </c>
      <c r="J6" t="s">
        <v>1568</v>
      </c>
      <c r="K6" t="s">
        <v>1568</v>
      </c>
      <c r="L6" t="s">
        <v>1568</v>
      </c>
      <c r="M6" t="s">
        <v>1568</v>
      </c>
      <c r="N6" t="s">
        <v>1568</v>
      </c>
      <c r="O6" t="s">
        <v>1568</v>
      </c>
      <c r="P6" t="s">
        <v>1568</v>
      </c>
      <c r="Q6" t="s">
        <v>1568</v>
      </c>
      <c r="R6" t="s">
        <v>1568</v>
      </c>
      <c r="S6" t="s">
        <v>1568</v>
      </c>
      <c r="T6" t="s">
        <v>1568</v>
      </c>
      <c r="U6" t="s">
        <v>1568</v>
      </c>
      <c r="V6" t="s">
        <v>1578</v>
      </c>
      <c r="W6" t="s">
        <v>1192</v>
      </c>
      <c r="X6" t="s">
        <v>30</v>
      </c>
      <c r="Y6" t="s">
        <v>1572</v>
      </c>
    </row>
    <row r="7" spans="1:25" ht="16" x14ac:dyDescent="0.2">
      <c r="A7" t="s">
        <v>1568</v>
      </c>
      <c r="B7" t="s">
        <v>1579</v>
      </c>
      <c r="C7" t="s">
        <v>1568</v>
      </c>
      <c r="D7" t="s">
        <v>1568</v>
      </c>
      <c r="E7" t="s">
        <v>36</v>
      </c>
      <c r="F7" t="s">
        <v>1570</v>
      </c>
      <c r="G7" t="s">
        <v>1142</v>
      </c>
      <c r="H7" t="s">
        <v>1568</v>
      </c>
      <c r="I7" t="s">
        <v>1143</v>
      </c>
      <c r="J7" t="s">
        <v>1568</v>
      </c>
      <c r="K7" t="s">
        <v>1568</v>
      </c>
      <c r="L7" t="s">
        <v>1568</v>
      </c>
      <c r="M7" t="s">
        <v>1568</v>
      </c>
      <c r="N7" t="s">
        <v>1568</v>
      </c>
      <c r="O7" t="s">
        <v>1568</v>
      </c>
      <c r="P7" t="s">
        <v>1568</v>
      </c>
      <c r="Q7" t="s">
        <v>1568</v>
      </c>
      <c r="R7" t="s">
        <v>1568</v>
      </c>
      <c r="S7" t="s">
        <v>1568</v>
      </c>
      <c r="T7" t="s">
        <v>1568</v>
      </c>
      <c r="U7" t="s">
        <v>1568</v>
      </c>
      <c r="V7" t="s">
        <v>1580</v>
      </c>
      <c r="W7" t="s">
        <v>1144</v>
      </c>
      <c r="X7" t="s">
        <v>59</v>
      </c>
      <c r="Y7" t="s">
        <v>1581</v>
      </c>
    </row>
    <row r="8" spans="1:25" ht="16" x14ac:dyDescent="0.2">
      <c r="A8" t="s">
        <v>1568</v>
      </c>
      <c r="B8" t="s">
        <v>1579</v>
      </c>
      <c r="C8" t="s">
        <v>1568</v>
      </c>
      <c r="D8" t="s">
        <v>1568</v>
      </c>
      <c r="E8" t="s">
        <v>43</v>
      </c>
      <c r="F8" t="s">
        <v>1570</v>
      </c>
      <c r="G8" t="s">
        <v>1145</v>
      </c>
      <c r="H8" t="s">
        <v>1568</v>
      </c>
      <c r="I8" t="s">
        <v>1146</v>
      </c>
      <c r="J8" t="s">
        <v>1568</v>
      </c>
      <c r="K8" t="s">
        <v>1568</v>
      </c>
      <c r="L8" t="s">
        <v>1568</v>
      </c>
      <c r="M8" t="s">
        <v>1568</v>
      </c>
      <c r="N8" t="s">
        <v>1568</v>
      </c>
      <c r="O8" t="s">
        <v>1568</v>
      </c>
      <c r="P8" t="s">
        <v>1568</v>
      </c>
      <c r="Q8" t="s">
        <v>1568</v>
      </c>
      <c r="R8" t="s">
        <v>1568</v>
      </c>
      <c r="S8" t="s">
        <v>1568</v>
      </c>
      <c r="T8" t="s">
        <v>1568</v>
      </c>
      <c r="U8" t="s">
        <v>1568</v>
      </c>
      <c r="V8" t="s">
        <v>1582</v>
      </c>
      <c r="W8" t="s">
        <v>1147</v>
      </c>
      <c r="X8" t="s">
        <v>59</v>
      </c>
      <c r="Y8" t="s">
        <v>1581</v>
      </c>
    </row>
    <row r="9" spans="1:25" ht="16" x14ac:dyDescent="0.2">
      <c r="A9" t="s">
        <v>1568</v>
      </c>
      <c r="B9" t="s">
        <v>1579</v>
      </c>
      <c r="C9" t="s">
        <v>1568</v>
      </c>
      <c r="D9" t="s">
        <v>1568</v>
      </c>
      <c r="E9" t="s">
        <v>47</v>
      </c>
      <c r="F9" t="s">
        <v>1570</v>
      </c>
      <c r="G9" t="s">
        <v>1148</v>
      </c>
      <c r="H9" t="s">
        <v>1568</v>
      </c>
      <c r="I9" t="s">
        <v>1149</v>
      </c>
      <c r="J9" t="s">
        <v>1568</v>
      </c>
      <c r="K9" t="s">
        <v>1568</v>
      </c>
      <c r="L9" t="s">
        <v>1568</v>
      </c>
      <c r="M9" t="s">
        <v>1568</v>
      </c>
      <c r="N9" t="s">
        <v>1568</v>
      </c>
      <c r="O9" t="s">
        <v>1568</v>
      </c>
      <c r="P9" t="s">
        <v>1568</v>
      </c>
      <c r="Q9" t="s">
        <v>1568</v>
      </c>
      <c r="R9" t="s">
        <v>1568</v>
      </c>
      <c r="S9" t="s">
        <v>1568</v>
      </c>
      <c r="T9" t="s">
        <v>1568</v>
      </c>
      <c r="U9" t="s">
        <v>1568</v>
      </c>
      <c r="V9" t="s">
        <v>1583</v>
      </c>
      <c r="W9" t="s">
        <v>1150</v>
      </c>
      <c r="X9" t="s">
        <v>59</v>
      </c>
      <c r="Y9" t="s">
        <v>1581</v>
      </c>
    </row>
    <row r="10" spans="1:25" ht="16" x14ac:dyDescent="0.2">
      <c r="A10" t="s">
        <v>1568</v>
      </c>
      <c r="B10" t="s">
        <v>1579</v>
      </c>
      <c r="C10" t="s">
        <v>1568</v>
      </c>
      <c r="D10" t="s">
        <v>1568</v>
      </c>
      <c r="E10" t="s">
        <v>51</v>
      </c>
      <c r="F10" t="s">
        <v>1570</v>
      </c>
      <c r="G10" t="s">
        <v>1575</v>
      </c>
      <c r="H10" t="s">
        <v>1568</v>
      </c>
      <c r="I10" t="s">
        <v>1576</v>
      </c>
      <c r="J10" t="s">
        <v>1568</v>
      </c>
      <c r="K10" t="s">
        <v>1568</v>
      </c>
      <c r="L10" t="s">
        <v>1568</v>
      </c>
      <c r="M10" t="s">
        <v>1568</v>
      </c>
      <c r="N10" t="s">
        <v>1568</v>
      </c>
      <c r="O10" t="s">
        <v>1568</v>
      </c>
      <c r="P10" t="s">
        <v>1568</v>
      </c>
      <c r="Q10" t="s">
        <v>1568</v>
      </c>
      <c r="R10" t="s">
        <v>1568</v>
      </c>
      <c r="S10" t="s">
        <v>1568</v>
      </c>
      <c r="T10" t="s">
        <v>1568</v>
      </c>
      <c r="U10" t="s">
        <v>1568</v>
      </c>
      <c r="V10" t="s">
        <v>1582</v>
      </c>
      <c r="W10" t="s">
        <v>1577</v>
      </c>
      <c r="X10" t="s">
        <v>59</v>
      </c>
      <c r="Y10" t="s">
        <v>1581</v>
      </c>
    </row>
    <row r="11" spans="1:25" ht="16" x14ac:dyDescent="0.2">
      <c r="A11" t="s">
        <v>1568</v>
      </c>
      <c r="B11" t="s">
        <v>1579</v>
      </c>
      <c r="C11" t="s">
        <v>1568</v>
      </c>
      <c r="D11" t="s">
        <v>1568</v>
      </c>
      <c r="E11" t="s">
        <v>55</v>
      </c>
      <c r="F11" t="s">
        <v>1570</v>
      </c>
      <c r="G11" t="s">
        <v>1190</v>
      </c>
      <c r="H11" t="s">
        <v>1568</v>
      </c>
      <c r="I11" t="s">
        <v>1191</v>
      </c>
      <c r="J11" t="s">
        <v>1568</v>
      </c>
      <c r="K11" t="s">
        <v>1568</v>
      </c>
      <c r="L11" t="s">
        <v>1568</v>
      </c>
      <c r="M11" t="s">
        <v>1568</v>
      </c>
      <c r="N11" t="s">
        <v>1568</v>
      </c>
      <c r="O11" t="s">
        <v>1568</v>
      </c>
      <c r="P11" t="s">
        <v>1568</v>
      </c>
      <c r="Q11" t="s">
        <v>1568</v>
      </c>
      <c r="R11" t="s">
        <v>1568</v>
      </c>
      <c r="S11" t="s">
        <v>1568</v>
      </c>
      <c r="T11" t="s">
        <v>1568</v>
      </c>
      <c r="U11" t="s">
        <v>1568</v>
      </c>
      <c r="V11" t="s">
        <v>1584</v>
      </c>
      <c r="W11" t="s">
        <v>1192</v>
      </c>
      <c r="X11" t="s">
        <v>59</v>
      </c>
      <c r="Y11" t="s">
        <v>1581</v>
      </c>
    </row>
    <row r="12" spans="1:25" ht="16" x14ac:dyDescent="0.2">
      <c r="A12" t="s">
        <v>1568</v>
      </c>
      <c r="B12" t="s">
        <v>1585</v>
      </c>
      <c r="C12" t="s">
        <v>1568</v>
      </c>
      <c r="D12" t="s">
        <v>1568</v>
      </c>
      <c r="E12" t="s">
        <v>36</v>
      </c>
      <c r="F12" t="s">
        <v>1570</v>
      </c>
      <c r="G12" t="s">
        <v>1142</v>
      </c>
      <c r="H12" t="s">
        <v>1568</v>
      </c>
      <c r="I12" t="s">
        <v>1143</v>
      </c>
      <c r="J12" t="s">
        <v>1568</v>
      </c>
      <c r="K12" t="s">
        <v>1568</v>
      </c>
      <c r="L12" t="s">
        <v>1568</v>
      </c>
      <c r="M12" t="s">
        <v>1568</v>
      </c>
      <c r="N12" t="s">
        <v>1568</v>
      </c>
      <c r="O12" t="s">
        <v>1568</v>
      </c>
      <c r="P12" t="s">
        <v>1568</v>
      </c>
      <c r="Q12" t="s">
        <v>1568</v>
      </c>
      <c r="R12" t="s">
        <v>1568</v>
      </c>
      <c r="S12" t="s">
        <v>1568</v>
      </c>
      <c r="T12" t="s">
        <v>1568</v>
      </c>
      <c r="U12" t="s">
        <v>1568</v>
      </c>
      <c r="V12" t="s">
        <v>1586</v>
      </c>
      <c r="W12" t="s">
        <v>1144</v>
      </c>
      <c r="X12" t="s">
        <v>61</v>
      </c>
      <c r="Y12" t="s">
        <v>1587</v>
      </c>
    </row>
    <row r="13" spans="1:25" ht="16" x14ac:dyDescent="0.2">
      <c r="A13" t="s">
        <v>1568</v>
      </c>
      <c r="B13" t="s">
        <v>1585</v>
      </c>
      <c r="C13" t="s">
        <v>1568</v>
      </c>
      <c r="D13" t="s">
        <v>1568</v>
      </c>
      <c r="E13" t="s">
        <v>43</v>
      </c>
      <c r="F13" t="s">
        <v>1570</v>
      </c>
      <c r="G13" t="s">
        <v>1145</v>
      </c>
      <c r="H13" t="s">
        <v>1568</v>
      </c>
      <c r="I13" t="s">
        <v>1146</v>
      </c>
      <c r="J13" t="s">
        <v>1568</v>
      </c>
      <c r="K13" t="s">
        <v>1568</v>
      </c>
      <c r="L13" t="s">
        <v>1568</v>
      </c>
      <c r="M13" t="s">
        <v>1568</v>
      </c>
      <c r="N13" t="s">
        <v>1568</v>
      </c>
      <c r="O13" t="s">
        <v>1568</v>
      </c>
      <c r="P13" t="s">
        <v>1568</v>
      </c>
      <c r="Q13" t="s">
        <v>1568</v>
      </c>
      <c r="R13" t="s">
        <v>1568</v>
      </c>
      <c r="S13" t="s">
        <v>1568</v>
      </c>
      <c r="T13" t="s">
        <v>1568</v>
      </c>
      <c r="U13" t="s">
        <v>1568</v>
      </c>
      <c r="V13" t="s">
        <v>1588</v>
      </c>
      <c r="W13" t="s">
        <v>1147</v>
      </c>
      <c r="X13" t="s">
        <v>61</v>
      </c>
      <c r="Y13" t="s">
        <v>1587</v>
      </c>
    </row>
    <row r="14" spans="1:25" ht="16" x14ac:dyDescent="0.2">
      <c r="A14" t="s">
        <v>1568</v>
      </c>
      <c r="B14" t="s">
        <v>1585</v>
      </c>
      <c r="C14" t="s">
        <v>1568</v>
      </c>
      <c r="D14" t="s">
        <v>1568</v>
      </c>
      <c r="E14" t="s">
        <v>47</v>
      </c>
      <c r="F14" t="s">
        <v>1570</v>
      </c>
      <c r="G14" t="s">
        <v>1148</v>
      </c>
      <c r="H14" t="s">
        <v>1568</v>
      </c>
      <c r="I14" t="s">
        <v>1149</v>
      </c>
      <c r="J14" t="s">
        <v>1568</v>
      </c>
      <c r="K14" t="s">
        <v>1568</v>
      </c>
      <c r="L14" t="s">
        <v>1568</v>
      </c>
      <c r="M14" t="s">
        <v>1568</v>
      </c>
      <c r="N14" t="s">
        <v>1568</v>
      </c>
      <c r="O14" t="s">
        <v>1568</v>
      </c>
      <c r="P14" t="s">
        <v>1568</v>
      </c>
      <c r="Q14" t="s">
        <v>1568</v>
      </c>
      <c r="R14" t="s">
        <v>1568</v>
      </c>
      <c r="S14" t="s">
        <v>1568</v>
      </c>
      <c r="T14" t="s">
        <v>1568</v>
      </c>
      <c r="U14" t="s">
        <v>1568</v>
      </c>
      <c r="V14" t="s">
        <v>1589</v>
      </c>
      <c r="W14" t="s">
        <v>1150</v>
      </c>
      <c r="X14" t="s">
        <v>61</v>
      </c>
      <c r="Y14" t="s">
        <v>1587</v>
      </c>
    </row>
    <row r="15" spans="1:25" ht="16" x14ac:dyDescent="0.2">
      <c r="A15" t="s">
        <v>1568</v>
      </c>
      <c r="B15" t="s">
        <v>1585</v>
      </c>
      <c r="C15" t="s">
        <v>1568</v>
      </c>
      <c r="D15" t="s">
        <v>1568</v>
      </c>
      <c r="E15" t="s">
        <v>51</v>
      </c>
      <c r="F15" t="s">
        <v>1570</v>
      </c>
      <c r="G15" t="s">
        <v>1575</v>
      </c>
      <c r="H15" t="s">
        <v>1568</v>
      </c>
      <c r="I15" t="s">
        <v>1576</v>
      </c>
      <c r="J15" t="s">
        <v>1568</v>
      </c>
      <c r="K15" t="s">
        <v>1568</v>
      </c>
      <c r="L15" t="s">
        <v>1568</v>
      </c>
      <c r="M15" t="s">
        <v>1568</v>
      </c>
      <c r="N15" t="s">
        <v>1568</v>
      </c>
      <c r="O15" t="s">
        <v>1568</v>
      </c>
      <c r="P15" t="s">
        <v>1568</v>
      </c>
      <c r="Q15" t="s">
        <v>1568</v>
      </c>
      <c r="R15" t="s">
        <v>1568</v>
      </c>
      <c r="S15" t="s">
        <v>1568</v>
      </c>
      <c r="T15" t="s">
        <v>1568</v>
      </c>
      <c r="U15" t="s">
        <v>1568</v>
      </c>
      <c r="V15" t="s">
        <v>1588</v>
      </c>
      <c r="W15" t="s">
        <v>1577</v>
      </c>
      <c r="X15" t="s">
        <v>61</v>
      </c>
      <c r="Y15" t="s">
        <v>1587</v>
      </c>
    </row>
    <row r="16" spans="1:25" ht="16" x14ac:dyDescent="0.2">
      <c r="A16" t="s">
        <v>1568</v>
      </c>
      <c r="B16" t="s">
        <v>1585</v>
      </c>
      <c r="C16" t="s">
        <v>1568</v>
      </c>
      <c r="D16" t="s">
        <v>1568</v>
      </c>
      <c r="E16" t="s">
        <v>55</v>
      </c>
      <c r="F16" t="s">
        <v>1570</v>
      </c>
      <c r="G16" t="s">
        <v>1190</v>
      </c>
      <c r="H16" t="s">
        <v>1568</v>
      </c>
      <c r="I16" t="s">
        <v>1191</v>
      </c>
      <c r="J16" t="s">
        <v>1568</v>
      </c>
      <c r="K16" t="s">
        <v>1568</v>
      </c>
      <c r="L16" t="s">
        <v>1568</v>
      </c>
      <c r="M16" t="s">
        <v>1568</v>
      </c>
      <c r="N16" t="s">
        <v>1568</v>
      </c>
      <c r="O16" t="s">
        <v>1568</v>
      </c>
      <c r="P16" t="s">
        <v>1568</v>
      </c>
      <c r="Q16" t="s">
        <v>1568</v>
      </c>
      <c r="R16" t="s">
        <v>1568</v>
      </c>
      <c r="S16" t="s">
        <v>1568</v>
      </c>
      <c r="T16" t="s">
        <v>1568</v>
      </c>
      <c r="U16" t="s">
        <v>1568</v>
      </c>
      <c r="V16" t="s">
        <v>1590</v>
      </c>
      <c r="W16" t="s">
        <v>1192</v>
      </c>
      <c r="X16" t="s">
        <v>61</v>
      </c>
      <c r="Y16" t="s">
        <v>1587</v>
      </c>
    </row>
    <row r="17" spans="1:25" ht="16" x14ac:dyDescent="0.2">
      <c r="A17" t="s">
        <v>1568</v>
      </c>
      <c r="B17" t="s">
        <v>31</v>
      </c>
      <c r="C17" t="s">
        <v>1568</v>
      </c>
      <c r="D17" t="s">
        <v>1568</v>
      </c>
      <c r="E17" t="s">
        <v>36</v>
      </c>
      <c r="F17" t="s">
        <v>1591</v>
      </c>
      <c r="G17" t="s">
        <v>37</v>
      </c>
      <c r="H17" t="s">
        <v>1568</v>
      </c>
      <c r="I17" t="s">
        <v>38</v>
      </c>
      <c r="J17" t="s">
        <v>1568</v>
      </c>
      <c r="K17" t="s">
        <v>1568</v>
      </c>
      <c r="L17" t="s">
        <v>1568</v>
      </c>
      <c r="M17" t="s">
        <v>1568</v>
      </c>
      <c r="N17" t="s">
        <v>1568</v>
      </c>
      <c r="O17" t="s">
        <v>1568</v>
      </c>
      <c r="P17" t="s">
        <v>1568</v>
      </c>
      <c r="Q17" t="s">
        <v>1568</v>
      </c>
      <c r="R17" t="s">
        <v>1568</v>
      </c>
      <c r="S17" t="s">
        <v>1568</v>
      </c>
      <c r="T17" t="s">
        <v>1568</v>
      </c>
      <c r="U17" t="s">
        <v>1568</v>
      </c>
      <c r="V17" t="s">
        <v>1592</v>
      </c>
      <c r="W17" t="s">
        <v>39</v>
      </c>
      <c r="X17" t="s">
        <v>30</v>
      </c>
      <c r="Y17" t="s">
        <v>1572</v>
      </c>
    </row>
    <row r="18" spans="1:25" ht="16" x14ac:dyDescent="0.2">
      <c r="A18" t="s">
        <v>1568</v>
      </c>
      <c r="B18" t="s">
        <v>31</v>
      </c>
      <c r="C18" t="s">
        <v>1568</v>
      </c>
      <c r="D18" t="s">
        <v>1568</v>
      </c>
      <c r="E18" t="s">
        <v>43</v>
      </c>
      <c r="F18" t="s">
        <v>1591</v>
      </c>
      <c r="G18" t="s">
        <v>44</v>
      </c>
      <c r="H18" t="s">
        <v>1568</v>
      </c>
      <c r="I18" t="s">
        <v>45</v>
      </c>
      <c r="J18" t="s">
        <v>1568</v>
      </c>
      <c r="K18" t="s">
        <v>1568</v>
      </c>
      <c r="L18" t="s">
        <v>1568</v>
      </c>
      <c r="M18" t="s">
        <v>1568</v>
      </c>
      <c r="N18" t="s">
        <v>1568</v>
      </c>
      <c r="O18" t="s">
        <v>1568</v>
      </c>
      <c r="P18" t="s">
        <v>1568</v>
      </c>
      <c r="Q18" t="s">
        <v>1568</v>
      </c>
      <c r="R18" t="s">
        <v>1568</v>
      </c>
      <c r="S18" t="s">
        <v>1568</v>
      </c>
      <c r="T18" t="s">
        <v>1568</v>
      </c>
      <c r="U18" t="s">
        <v>1568</v>
      </c>
      <c r="V18" t="s">
        <v>1593</v>
      </c>
      <c r="W18" t="s">
        <v>46</v>
      </c>
      <c r="X18" t="s">
        <v>30</v>
      </c>
      <c r="Y18" t="s">
        <v>1572</v>
      </c>
    </row>
    <row r="19" spans="1:25" ht="16" x14ac:dyDescent="0.2">
      <c r="A19" t="s">
        <v>1568</v>
      </c>
      <c r="B19" t="s">
        <v>31</v>
      </c>
      <c r="C19" t="s">
        <v>1568</v>
      </c>
      <c r="D19" t="s">
        <v>1568</v>
      </c>
      <c r="E19" t="s">
        <v>47</v>
      </c>
      <c r="F19" t="s">
        <v>1591</v>
      </c>
      <c r="G19" t="s">
        <v>48</v>
      </c>
      <c r="H19" t="s">
        <v>1568</v>
      </c>
      <c r="I19" t="s">
        <v>49</v>
      </c>
      <c r="J19" t="s">
        <v>1568</v>
      </c>
      <c r="K19" t="s">
        <v>1568</v>
      </c>
      <c r="L19" t="s">
        <v>1568</v>
      </c>
      <c r="M19" t="s">
        <v>1568</v>
      </c>
      <c r="N19" t="s">
        <v>1568</v>
      </c>
      <c r="O19" t="s">
        <v>1568</v>
      </c>
      <c r="P19" t="s">
        <v>1568</v>
      </c>
      <c r="Q19" t="s">
        <v>1568</v>
      </c>
      <c r="R19" t="s">
        <v>1568</v>
      </c>
      <c r="S19" t="s">
        <v>1568</v>
      </c>
      <c r="T19" t="s">
        <v>1568</v>
      </c>
      <c r="U19" t="s">
        <v>1568</v>
      </c>
      <c r="V19" t="s">
        <v>1593</v>
      </c>
      <c r="W19" t="s">
        <v>50</v>
      </c>
      <c r="X19" t="s">
        <v>30</v>
      </c>
      <c r="Y19" t="s">
        <v>1572</v>
      </c>
    </row>
    <row r="20" spans="1:25" ht="16" x14ac:dyDescent="0.2">
      <c r="A20" t="s">
        <v>1568</v>
      </c>
      <c r="B20" t="s">
        <v>31</v>
      </c>
      <c r="C20" t="s">
        <v>1568</v>
      </c>
      <c r="D20" t="s">
        <v>1568</v>
      </c>
      <c r="E20" t="s">
        <v>51</v>
      </c>
      <c r="F20" t="s">
        <v>1591</v>
      </c>
      <c r="G20" t="s">
        <v>52</v>
      </c>
      <c r="H20" t="s">
        <v>1568</v>
      </c>
      <c r="I20" t="s">
        <v>53</v>
      </c>
      <c r="J20" t="s">
        <v>1568</v>
      </c>
      <c r="K20" t="s">
        <v>1568</v>
      </c>
      <c r="L20" t="s">
        <v>1568</v>
      </c>
      <c r="M20" t="s">
        <v>1568</v>
      </c>
      <c r="N20" t="s">
        <v>1568</v>
      </c>
      <c r="O20" t="s">
        <v>1568</v>
      </c>
      <c r="P20" t="s">
        <v>1568</v>
      </c>
      <c r="Q20" t="s">
        <v>1568</v>
      </c>
      <c r="R20" t="s">
        <v>1568</v>
      </c>
      <c r="S20" t="s">
        <v>1568</v>
      </c>
      <c r="T20" t="s">
        <v>1568</v>
      </c>
      <c r="U20" t="s">
        <v>1568</v>
      </c>
      <c r="V20" t="s">
        <v>1592</v>
      </c>
      <c r="W20" t="s">
        <v>54</v>
      </c>
      <c r="X20" t="s">
        <v>30</v>
      </c>
      <c r="Y20" t="s">
        <v>1572</v>
      </c>
    </row>
    <row r="21" spans="1:25" ht="16" x14ac:dyDescent="0.2">
      <c r="A21" t="s">
        <v>1568</v>
      </c>
      <c r="B21" t="s">
        <v>31</v>
      </c>
      <c r="C21" t="s">
        <v>1568</v>
      </c>
      <c r="D21" t="s">
        <v>1568</v>
      </c>
      <c r="E21" t="s">
        <v>55</v>
      </c>
      <c r="F21" t="s">
        <v>1591</v>
      </c>
      <c r="G21" t="s">
        <v>56</v>
      </c>
      <c r="H21" t="s">
        <v>1568</v>
      </c>
      <c r="I21" t="s">
        <v>57</v>
      </c>
      <c r="J21" t="s">
        <v>1568</v>
      </c>
      <c r="K21" t="s">
        <v>1568</v>
      </c>
      <c r="L21" t="s">
        <v>1568</v>
      </c>
      <c r="M21" t="s">
        <v>1568</v>
      </c>
      <c r="N21" t="s">
        <v>1568</v>
      </c>
      <c r="O21" t="s">
        <v>1568</v>
      </c>
      <c r="P21" t="s">
        <v>1568</v>
      </c>
      <c r="Q21" t="s">
        <v>1568</v>
      </c>
      <c r="R21" t="s">
        <v>1568</v>
      </c>
      <c r="S21" t="s">
        <v>1568</v>
      </c>
      <c r="T21" t="s">
        <v>1568</v>
      </c>
      <c r="U21" t="s">
        <v>1568</v>
      </c>
      <c r="V21" t="s">
        <v>1594</v>
      </c>
      <c r="W21" t="s">
        <v>58</v>
      </c>
      <c r="X21" t="s">
        <v>30</v>
      </c>
      <c r="Y21" t="s">
        <v>1572</v>
      </c>
    </row>
    <row r="22" spans="1:25" ht="16" x14ac:dyDescent="0.2">
      <c r="A22" t="s">
        <v>1568</v>
      </c>
      <c r="B22" t="s">
        <v>60</v>
      </c>
      <c r="C22" t="s">
        <v>1568</v>
      </c>
      <c r="D22" t="s">
        <v>1568</v>
      </c>
      <c r="E22" t="s">
        <v>36</v>
      </c>
      <c r="F22" t="s">
        <v>1591</v>
      </c>
      <c r="G22" t="s">
        <v>37</v>
      </c>
      <c r="H22" t="s">
        <v>1568</v>
      </c>
      <c r="I22" t="s">
        <v>38</v>
      </c>
      <c r="J22" t="s">
        <v>1568</v>
      </c>
      <c r="K22" t="s">
        <v>1568</v>
      </c>
      <c r="L22" t="s">
        <v>1568</v>
      </c>
      <c r="M22" t="s">
        <v>1568</v>
      </c>
      <c r="N22" t="s">
        <v>1568</v>
      </c>
      <c r="O22" t="s">
        <v>1568</v>
      </c>
      <c r="P22" t="s">
        <v>1568</v>
      </c>
      <c r="Q22" t="s">
        <v>1568</v>
      </c>
      <c r="R22" t="s">
        <v>1568</v>
      </c>
      <c r="S22" t="s">
        <v>1568</v>
      </c>
      <c r="T22" t="s">
        <v>1568</v>
      </c>
      <c r="U22" t="s">
        <v>1568</v>
      </c>
      <c r="V22" t="s">
        <v>1592</v>
      </c>
      <c r="W22" t="s">
        <v>39</v>
      </c>
      <c r="X22" t="s">
        <v>59</v>
      </c>
      <c r="Y22" t="s">
        <v>1581</v>
      </c>
    </row>
    <row r="23" spans="1:25" ht="16" x14ac:dyDescent="0.2">
      <c r="A23" t="s">
        <v>1568</v>
      </c>
      <c r="B23" t="s">
        <v>60</v>
      </c>
      <c r="C23" t="s">
        <v>1568</v>
      </c>
      <c r="D23" t="s">
        <v>1568</v>
      </c>
      <c r="E23" t="s">
        <v>43</v>
      </c>
      <c r="F23" t="s">
        <v>1591</v>
      </c>
      <c r="G23" t="s">
        <v>44</v>
      </c>
      <c r="H23" t="s">
        <v>1568</v>
      </c>
      <c r="I23" t="s">
        <v>45</v>
      </c>
      <c r="J23" t="s">
        <v>1568</v>
      </c>
      <c r="K23" t="s">
        <v>1568</v>
      </c>
      <c r="L23" t="s">
        <v>1568</v>
      </c>
      <c r="M23" t="s">
        <v>1568</v>
      </c>
      <c r="N23" t="s">
        <v>1568</v>
      </c>
      <c r="O23" t="s">
        <v>1568</v>
      </c>
      <c r="P23" t="s">
        <v>1568</v>
      </c>
      <c r="Q23" t="s">
        <v>1568</v>
      </c>
      <c r="R23" t="s">
        <v>1568</v>
      </c>
      <c r="S23" t="s">
        <v>1568</v>
      </c>
      <c r="T23" t="s">
        <v>1568</v>
      </c>
      <c r="U23" t="s">
        <v>1568</v>
      </c>
      <c r="V23" t="s">
        <v>1595</v>
      </c>
      <c r="W23" t="s">
        <v>46</v>
      </c>
      <c r="X23" t="s">
        <v>59</v>
      </c>
      <c r="Y23" t="s">
        <v>1581</v>
      </c>
    </row>
    <row r="24" spans="1:25" ht="16" x14ac:dyDescent="0.2">
      <c r="A24" t="s">
        <v>1568</v>
      </c>
      <c r="B24" t="s">
        <v>60</v>
      </c>
      <c r="C24" t="s">
        <v>1568</v>
      </c>
      <c r="D24" t="s">
        <v>1568</v>
      </c>
      <c r="E24" t="s">
        <v>47</v>
      </c>
      <c r="F24" t="s">
        <v>1591</v>
      </c>
      <c r="G24" t="s">
        <v>48</v>
      </c>
      <c r="H24" t="s">
        <v>1568</v>
      </c>
      <c r="I24" t="s">
        <v>49</v>
      </c>
      <c r="J24" t="s">
        <v>1568</v>
      </c>
      <c r="K24" t="s">
        <v>1568</v>
      </c>
      <c r="L24" t="s">
        <v>1568</v>
      </c>
      <c r="M24" t="s">
        <v>1568</v>
      </c>
      <c r="N24" t="s">
        <v>1568</v>
      </c>
      <c r="O24" t="s">
        <v>1568</v>
      </c>
      <c r="P24" t="s">
        <v>1568</v>
      </c>
      <c r="Q24" t="s">
        <v>1568</v>
      </c>
      <c r="R24" t="s">
        <v>1568</v>
      </c>
      <c r="S24" t="s">
        <v>1568</v>
      </c>
      <c r="T24" t="s">
        <v>1568</v>
      </c>
      <c r="U24" t="s">
        <v>1568</v>
      </c>
      <c r="V24" t="s">
        <v>1595</v>
      </c>
      <c r="W24" t="s">
        <v>50</v>
      </c>
      <c r="X24" t="s">
        <v>59</v>
      </c>
      <c r="Y24" t="s">
        <v>1581</v>
      </c>
    </row>
    <row r="25" spans="1:25" ht="16" x14ac:dyDescent="0.2">
      <c r="A25" t="s">
        <v>1568</v>
      </c>
      <c r="B25" t="s">
        <v>60</v>
      </c>
      <c r="C25" t="s">
        <v>1568</v>
      </c>
      <c r="D25" t="s">
        <v>1568</v>
      </c>
      <c r="E25" t="s">
        <v>51</v>
      </c>
      <c r="F25" t="s">
        <v>1591</v>
      </c>
      <c r="G25" t="s">
        <v>52</v>
      </c>
      <c r="H25" t="s">
        <v>1568</v>
      </c>
      <c r="I25" t="s">
        <v>53</v>
      </c>
      <c r="J25" t="s">
        <v>1568</v>
      </c>
      <c r="K25" t="s">
        <v>1568</v>
      </c>
      <c r="L25" t="s">
        <v>1568</v>
      </c>
      <c r="M25" t="s">
        <v>1568</v>
      </c>
      <c r="N25" t="s">
        <v>1568</v>
      </c>
      <c r="O25" t="s">
        <v>1568</v>
      </c>
      <c r="P25" t="s">
        <v>1568</v>
      </c>
      <c r="Q25" t="s">
        <v>1568</v>
      </c>
      <c r="R25" t="s">
        <v>1568</v>
      </c>
      <c r="S25" t="s">
        <v>1568</v>
      </c>
      <c r="T25" t="s">
        <v>1568</v>
      </c>
      <c r="U25" t="s">
        <v>1568</v>
      </c>
      <c r="V25" t="s">
        <v>1592</v>
      </c>
      <c r="W25" t="s">
        <v>54</v>
      </c>
      <c r="X25" t="s">
        <v>59</v>
      </c>
      <c r="Y25" t="s">
        <v>1581</v>
      </c>
    </row>
    <row r="26" spans="1:25" ht="16" x14ac:dyDescent="0.2">
      <c r="A26" t="s">
        <v>1568</v>
      </c>
      <c r="B26" t="s">
        <v>60</v>
      </c>
      <c r="C26" t="s">
        <v>1568</v>
      </c>
      <c r="D26" t="s">
        <v>1568</v>
      </c>
      <c r="E26" t="s">
        <v>55</v>
      </c>
      <c r="F26" t="s">
        <v>1591</v>
      </c>
      <c r="G26" t="s">
        <v>56</v>
      </c>
      <c r="H26" t="s">
        <v>1568</v>
      </c>
      <c r="I26" t="s">
        <v>57</v>
      </c>
      <c r="J26" t="s">
        <v>1568</v>
      </c>
      <c r="K26" t="s">
        <v>1568</v>
      </c>
      <c r="L26" t="s">
        <v>1568</v>
      </c>
      <c r="M26" t="s">
        <v>1568</v>
      </c>
      <c r="N26" t="s">
        <v>1568</v>
      </c>
      <c r="O26" t="s">
        <v>1568</v>
      </c>
      <c r="P26" t="s">
        <v>1568</v>
      </c>
      <c r="Q26" t="s">
        <v>1568</v>
      </c>
      <c r="R26" t="s">
        <v>1568</v>
      </c>
      <c r="S26" t="s">
        <v>1568</v>
      </c>
      <c r="T26" t="s">
        <v>1568</v>
      </c>
      <c r="U26" t="s">
        <v>1568</v>
      </c>
      <c r="V26" t="s">
        <v>1596</v>
      </c>
      <c r="W26" t="s">
        <v>58</v>
      </c>
      <c r="X26" t="s">
        <v>59</v>
      </c>
      <c r="Y26" t="s">
        <v>1581</v>
      </c>
    </row>
    <row r="27" spans="1:25" ht="16" x14ac:dyDescent="0.2">
      <c r="A27" t="s">
        <v>1568</v>
      </c>
      <c r="B27" t="s">
        <v>62</v>
      </c>
      <c r="C27" t="s">
        <v>1568</v>
      </c>
      <c r="D27" t="s">
        <v>1568</v>
      </c>
      <c r="E27" t="s">
        <v>36</v>
      </c>
      <c r="F27" t="s">
        <v>1591</v>
      </c>
      <c r="G27" t="s">
        <v>37</v>
      </c>
      <c r="H27" t="s">
        <v>1568</v>
      </c>
      <c r="I27" t="s">
        <v>38</v>
      </c>
      <c r="J27" t="s">
        <v>1568</v>
      </c>
      <c r="K27" t="s">
        <v>1568</v>
      </c>
      <c r="L27" t="s">
        <v>1568</v>
      </c>
      <c r="M27" t="s">
        <v>1568</v>
      </c>
      <c r="N27" t="s">
        <v>1568</v>
      </c>
      <c r="O27" t="s">
        <v>1568</v>
      </c>
      <c r="P27" t="s">
        <v>1568</v>
      </c>
      <c r="Q27" t="s">
        <v>1568</v>
      </c>
      <c r="R27" t="s">
        <v>1568</v>
      </c>
      <c r="S27" t="s">
        <v>1568</v>
      </c>
      <c r="T27" t="s">
        <v>1568</v>
      </c>
      <c r="U27" t="s">
        <v>1568</v>
      </c>
      <c r="V27" t="s">
        <v>1592</v>
      </c>
      <c r="W27" t="s">
        <v>39</v>
      </c>
      <c r="X27" t="s">
        <v>61</v>
      </c>
      <c r="Y27" t="s">
        <v>1587</v>
      </c>
    </row>
    <row r="28" spans="1:25" ht="16" x14ac:dyDescent="0.2">
      <c r="A28" t="s">
        <v>1568</v>
      </c>
      <c r="B28" t="s">
        <v>62</v>
      </c>
      <c r="C28" t="s">
        <v>1568</v>
      </c>
      <c r="D28" t="s">
        <v>1568</v>
      </c>
      <c r="E28" t="s">
        <v>43</v>
      </c>
      <c r="F28" t="s">
        <v>1591</v>
      </c>
      <c r="G28" t="s">
        <v>44</v>
      </c>
      <c r="H28" t="s">
        <v>1568</v>
      </c>
      <c r="I28" t="s">
        <v>45</v>
      </c>
      <c r="J28" t="s">
        <v>1568</v>
      </c>
      <c r="K28" t="s">
        <v>1568</v>
      </c>
      <c r="L28" t="s">
        <v>1568</v>
      </c>
      <c r="M28" t="s">
        <v>1568</v>
      </c>
      <c r="N28" t="s">
        <v>1568</v>
      </c>
      <c r="O28" t="s">
        <v>1568</v>
      </c>
      <c r="P28" t="s">
        <v>1568</v>
      </c>
      <c r="Q28" t="s">
        <v>1568</v>
      </c>
      <c r="R28" t="s">
        <v>1568</v>
      </c>
      <c r="S28" t="s">
        <v>1568</v>
      </c>
      <c r="T28" t="s">
        <v>1568</v>
      </c>
      <c r="U28" t="s">
        <v>1568</v>
      </c>
      <c r="V28" t="s">
        <v>1597</v>
      </c>
      <c r="W28" t="s">
        <v>46</v>
      </c>
      <c r="X28" t="s">
        <v>61</v>
      </c>
      <c r="Y28" t="s">
        <v>1587</v>
      </c>
    </row>
    <row r="29" spans="1:25" ht="16" x14ac:dyDescent="0.2">
      <c r="A29" t="s">
        <v>1568</v>
      </c>
      <c r="B29" t="s">
        <v>62</v>
      </c>
      <c r="C29" t="s">
        <v>1568</v>
      </c>
      <c r="D29" t="s">
        <v>1568</v>
      </c>
      <c r="E29" t="s">
        <v>47</v>
      </c>
      <c r="F29" t="s">
        <v>1591</v>
      </c>
      <c r="G29" t="s">
        <v>48</v>
      </c>
      <c r="H29" t="s">
        <v>1568</v>
      </c>
      <c r="I29" t="s">
        <v>49</v>
      </c>
      <c r="J29" t="s">
        <v>1568</v>
      </c>
      <c r="K29" t="s">
        <v>1568</v>
      </c>
      <c r="L29" t="s">
        <v>1568</v>
      </c>
      <c r="M29" t="s">
        <v>1568</v>
      </c>
      <c r="N29" t="s">
        <v>1568</v>
      </c>
      <c r="O29" t="s">
        <v>1568</v>
      </c>
      <c r="P29" t="s">
        <v>1568</v>
      </c>
      <c r="Q29" t="s">
        <v>1568</v>
      </c>
      <c r="R29" t="s">
        <v>1568</v>
      </c>
      <c r="S29" t="s">
        <v>1568</v>
      </c>
      <c r="T29" t="s">
        <v>1568</v>
      </c>
      <c r="U29" t="s">
        <v>1568</v>
      </c>
      <c r="V29" t="s">
        <v>1597</v>
      </c>
      <c r="W29" t="s">
        <v>50</v>
      </c>
      <c r="X29" t="s">
        <v>61</v>
      </c>
      <c r="Y29" t="s">
        <v>1587</v>
      </c>
    </row>
    <row r="30" spans="1:25" ht="16" x14ac:dyDescent="0.2">
      <c r="A30" t="s">
        <v>1568</v>
      </c>
      <c r="B30" t="s">
        <v>62</v>
      </c>
      <c r="C30" t="s">
        <v>1568</v>
      </c>
      <c r="D30" t="s">
        <v>1568</v>
      </c>
      <c r="E30" t="s">
        <v>51</v>
      </c>
      <c r="F30" t="s">
        <v>1591</v>
      </c>
      <c r="G30" t="s">
        <v>52</v>
      </c>
      <c r="H30" t="s">
        <v>1568</v>
      </c>
      <c r="I30" t="s">
        <v>53</v>
      </c>
      <c r="J30" t="s">
        <v>1568</v>
      </c>
      <c r="K30" t="s">
        <v>1568</v>
      </c>
      <c r="L30" t="s">
        <v>1568</v>
      </c>
      <c r="M30" t="s">
        <v>1568</v>
      </c>
      <c r="N30" t="s">
        <v>1568</v>
      </c>
      <c r="O30" t="s">
        <v>1568</v>
      </c>
      <c r="P30" t="s">
        <v>1568</v>
      </c>
      <c r="Q30" t="s">
        <v>1568</v>
      </c>
      <c r="R30" t="s">
        <v>1568</v>
      </c>
      <c r="S30" t="s">
        <v>1568</v>
      </c>
      <c r="T30" t="s">
        <v>1568</v>
      </c>
      <c r="U30" t="s">
        <v>1568</v>
      </c>
      <c r="V30" t="s">
        <v>1592</v>
      </c>
      <c r="W30" t="s">
        <v>54</v>
      </c>
      <c r="X30" t="s">
        <v>61</v>
      </c>
      <c r="Y30" t="s">
        <v>1587</v>
      </c>
    </row>
    <row r="31" spans="1:25" ht="16" x14ac:dyDescent="0.2">
      <c r="A31" t="s">
        <v>1568</v>
      </c>
      <c r="B31" t="s">
        <v>62</v>
      </c>
      <c r="C31" t="s">
        <v>1568</v>
      </c>
      <c r="D31" t="s">
        <v>1568</v>
      </c>
      <c r="E31" t="s">
        <v>55</v>
      </c>
      <c r="F31" t="s">
        <v>1591</v>
      </c>
      <c r="G31" t="s">
        <v>56</v>
      </c>
      <c r="H31" t="s">
        <v>1568</v>
      </c>
      <c r="I31" t="s">
        <v>57</v>
      </c>
      <c r="J31" t="s">
        <v>1568</v>
      </c>
      <c r="K31" t="s">
        <v>1568</v>
      </c>
      <c r="L31" t="s">
        <v>1568</v>
      </c>
      <c r="M31" t="s">
        <v>1568</v>
      </c>
      <c r="N31" t="s">
        <v>1568</v>
      </c>
      <c r="O31" t="s">
        <v>1568</v>
      </c>
      <c r="P31" t="s">
        <v>1568</v>
      </c>
      <c r="Q31" t="s">
        <v>1568</v>
      </c>
      <c r="R31" t="s">
        <v>1568</v>
      </c>
      <c r="S31" t="s">
        <v>1568</v>
      </c>
      <c r="T31" t="s">
        <v>1568</v>
      </c>
      <c r="U31" t="s">
        <v>1568</v>
      </c>
      <c r="V31" t="s">
        <v>1598</v>
      </c>
      <c r="W31" t="s">
        <v>58</v>
      </c>
      <c r="X31" t="s">
        <v>61</v>
      </c>
      <c r="Y31" t="s">
        <v>1587</v>
      </c>
    </row>
    <row r="32" spans="1:25" ht="16" x14ac:dyDescent="0.2">
      <c r="A32" t="s">
        <v>1568</v>
      </c>
      <c r="B32" t="s">
        <v>63</v>
      </c>
      <c r="C32" t="s">
        <v>1568</v>
      </c>
      <c r="D32" t="s">
        <v>1568</v>
      </c>
      <c r="E32" t="s">
        <v>36</v>
      </c>
      <c r="F32" t="s">
        <v>1599</v>
      </c>
      <c r="G32" t="s">
        <v>65</v>
      </c>
      <c r="H32" t="s">
        <v>1568</v>
      </c>
      <c r="I32" t="s">
        <v>66</v>
      </c>
      <c r="J32" t="s">
        <v>1568</v>
      </c>
      <c r="K32" t="s">
        <v>1568</v>
      </c>
      <c r="L32" t="s">
        <v>1568</v>
      </c>
      <c r="M32" t="s">
        <v>1568</v>
      </c>
      <c r="N32" t="s">
        <v>1568</v>
      </c>
      <c r="O32" t="s">
        <v>1568</v>
      </c>
      <c r="P32" t="s">
        <v>1568</v>
      </c>
      <c r="Q32" t="s">
        <v>1568</v>
      </c>
      <c r="R32" t="s">
        <v>1568</v>
      </c>
      <c r="S32" t="s">
        <v>1568</v>
      </c>
      <c r="T32" t="s">
        <v>1568</v>
      </c>
      <c r="U32" t="s">
        <v>1568</v>
      </c>
      <c r="V32" t="s">
        <v>1592</v>
      </c>
      <c r="W32" t="s">
        <v>67</v>
      </c>
      <c r="X32" t="s">
        <v>30</v>
      </c>
      <c r="Y32" t="s">
        <v>1572</v>
      </c>
    </row>
    <row r="33" spans="1:25" ht="16" x14ac:dyDescent="0.2">
      <c r="A33" t="s">
        <v>1568</v>
      </c>
      <c r="B33" t="s">
        <v>63</v>
      </c>
      <c r="C33" t="s">
        <v>1568</v>
      </c>
      <c r="D33" t="s">
        <v>1568</v>
      </c>
      <c r="E33" t="s">
        <v>43</v>
      </c>
      <c r="F33" t="s">
        <v>1599</v>
      </c>
      <c r="G33" t="s">
        <v>68</v>
      </c>
      <c r="H33" t="s">
        <v>1568</v>
      </c>
      <c r="I33" t="s">
        <v>69</v>
      </c>
      <c r="J33" t="s">
        <v>1568</v>
      </c>
      <c r="K33" t="s">
        <v>1568</v>
      </c>
      <c r="L33" t="s">
        <v>1568</v>
      </c>
      <c r="M33" t="s">
        <v>1568</v>
      </c>
      <c r="N33" t="s">
        <v>1568</v>
      </c>
      <c r="O33" t="s">
        <v>1568</v>
      </c>
      <c r="P33" t="s">
        <v>1568</v>
      </c>
      <c r="Q33" t="s">
        <v>1568</v>
      </c>
      <c r="R33" t="s">
        <v>1568</v>
      </c>
      <c r="S33" t="s">
        <v>1568</v>
      </c>
      <c r="T33" t="s">
        <v>1568</v>
      </c>
      <c r="U33" t="s">
        <v>1568</v>
      </c>
      <c r="V33" t="s">
        <v>1593</v>
      </c>
      <c r="W33" t="s">
        <v>70</v>
      </c>
      <c r="X33" t="s">
        <v>30</v>
      </c>
      <c r="Y33" t="s">
        <v>1572</v>
      </c>
    </row>
    <row r="34" spans="1:25" ht="16" x14ac:dyDescent="0.2">
      <c r="A34" t="s">
        <v>1568</v>
      </c>
      <c r="B34" t="s">
        <v>63</v>
      </c>
      <c r="C34" t="s">
        <v>1568</v>
      </c>
      <c r="D34" t="s">
        <v>1568</v>
      </c>
      <c r="E34" t="s">
        <v>47</v>
      </c>
      <c r="F34" t="s">
        <v>1599</v>
      </c>
      <c r="G34" t="s">
        <v>71</v>
      </c>
      <c r="H34" t="s">
        <v>1568</v>
      </c>
      <c r="I34" t="s">
        <v>72</v>
      </c>
      <c r="J34" t="s">
        <v>1568</v>
      </c>
      <c r="K34" t="s">
        <v>1568</v>
      </c>
      <c r="L34" t="s">
        <v>1568</v>
      </c>
      <c r="M34" t="s">
        <v>1568</v>
      </c>
      <c r="N34" t="s">
        <v>1568</v>
      </c>
      <c r="O34" t="s">
        <v>1568</v>
      </c>
      <c r="P34" t="s">
        <v>1568</v>
      </c>
      <c r="Q34" t="s">
        <v>1568</v>
      </c>
      <c r="R34" t="s">
        <v>1568</v>
      </c>
      <c r="S34" t="s">
        <v>1568</v>
      </c>
      <c r="T34" t="s">
        <v>1568</v>
      </c>
      <c r="U34" t="s">
        <v>1568</v>
      </c>
      <c r="V34" t="s">
        <v>1593</v>
      </c>
      <c r="W34" t="s">
        <v>73</v>
      </c>
      <c r="X34" t="s">
        <v>30</v>
      </c>
      <c r="Y34" t="s">
        <v>1572</v>
      </c>
    </row>
    <row r="35" spans="1:25" ht="16" x14ac:dyDescent="0.2">
      <c r="A35" t="s">
        <v>1568</v>
      </c>
      <c r="B35" t="s">
        <v>63</v>
      </c>
      <c r="C35" t="s">
        <v>1568</v>
      </c>
      <c r="D35" t="s">
        <v>1568</v>
      </c>
      <c r="E35" t="s">
        <v>51</v>
      </c>
      <c r="F35" t="s">
        <v>1599</v>
      </c>
      <c r="G35" t="s">
        <v>74</v>
      </c>
      <c r="H35" t="s">
        <v>1568</v>
      </c>
      <c r="I35" t="s">
        <v>75</v>
      </c>
      <c r="J35" t="s">
        <v>1568</v>
      </c>
      <c r="K35" t="s">
        <v>1568</v>
      </c>
      <c r="L35" t="s">
        <v>1568</v>
      </c>
      <c r="M35" t="s">
        <v>1568</v>
      </c>
      <c r="N35" t="s">
        <v>1568</v>
      </c>
      <c r="O35" t="s">
        <v>1568</v>
      </c>
      <c r="P35" t="s">
        <v>1568</v>
      </c>
      <c r="Q35" t="s">
        <v>1568</v>
      </c>
      <c r="R35" t="s">
        <v>1568</v>
      </c>
      <c r="S35" t="s">
        <v>1568</v>
      </c>
      <c r="T35" t="s">
        <v>1568</v>
      </c>
      <c r="U35" t="s">
        <v>1568</v>
      </c>
      <c r="V35" t="s">
        <v>1592</v>
      </c>
      <c r="W35" t="s">
        <v>76</v>
      </c>
      <c r="X35" t="s">
        <v>30</v>
      </c>
      <c r="Y35" t="s">
        <v>1572</v>
      </c>
    </row>
    <row r="36" spans="1:25" ht="16" x14ac:dyDescent="0.2">
      <c r="A36" t="s">
        <v>1568</v>
      </c>
      <c r="B36" t="s">
        <v>63</v>
      </c>
      <c r="C36" t="s">
        <v>1568</v>
      </c>
      <c r="D36" t="s">
        <v>1568</v>
      </c>
      <c r="E36" t="s">
        <v>55</v>
      </c>
      <c r="F36" t="s">
        <v>1599</v>
      </c>
      <c r="G36" t="s">
        <v>77</v>
      </c>
      <c r="H36" t="s">
        <v>1568</v>
      </c>
      <c r="I36" t="s">
        <v>78</v>
      </c>
      <c r="J36" t="s">
        <v>1568</v>
      </c>
      <c r="K36" t="s">
        <v>1568</v>
      </c>
      <c r="L36" t="s">
        <v>1568</v>
      </c>
      <c r="M36" t="s">
        <v>1568</v>
      </c>
      <c r="N36" t="s">
        <v>1568</v>
      </c>
      <c r="O36" t="s">
        <v>1568</v>
      </c>
      <c r="P36" t="s">
        <v>1568</v>
      </c>
      <c r="Q36" t="s">
        <v>1568</v>
      </c>
      <c r="R36" t="s">
        <v>1568</v>
      </c>
      <c r="S36" t="s">
        <v>1568</v>
      </c>
      <c r="T36" t="s">
        <v>1568</v>
      </c>
      <c r="U36" t="s">
        <v>1568</v>
      </c>
      <c r="V36" t="s">
        <v>1594</v>
      </c>
      <c r="W36" t="s">
        <v>79</v>
      </c>
      <c r="X36" t="s">
        <v>30</v>
      </c>
      <c r="Y36" t="s">
        <v>1572</v>
      </c>
    </row>
    <row r="37" spans="1:25" ht="16" x14ac:dyDescent="0.2">
      <c r="A37" t="s">
        <v>1568</v>
      </c>
      <c r="B37" t="s">
        <v>80</v>
      </c>
      <c r="C37" t="s">
        <v>1568</v>
      </c>
      <c r="D37" t="s">
        <v>1568</v>
      </c>
      <c r="E37" t="s">
        <v>36</v>
      </c>
      <c r="F37" t="s">
        <v>1600</v>
      </c>
      <c r="G37" t="s">
        <v>82</v>
      </c>
      <c r="H37" t="s">
        <v>1568</v>
      </c>
      <c r="I37" t="s">
        <v>83</v>
      </c>
      <c r="J37" t="s">
        <v>1568</v>
      </c>
      <c r="K37" t="s">
        <v>1568</v>
      </c>
      <c r="L37" t="s">
        <v>1568</v>
      </c>
      <c r="M37" t="s">
        <v>1568</v>
      </c>
      <c r="N37" t="s">
        <v>1568</v>
      </c>
      <c r="O37" t="s">
        <v>1568</v>
      </c>
      <c r="P37" t="s">
        <v>1568</v>
      </c>
      <c r="Q37" t="s">
        <v>1568</v>
      </c>
      <c r="R37" t="s">
        <v>1568</v>
      </c>
      <c r="S37" t="s">
        <v>1568</v>
      </c>
      <c r="T37" t="s">
        <v>1568</v>
      </c>
      <c r="U37" t="s">
        <v>1568</v>
      </c>
      <c r="V37" t="s">
        <v>1592</v>
      </c>
      <c r="W37" t="s">
        <v>84</v>
      </c>
      <c r="X37" t="s">
        <v>30</v>
      </c>
      <c r="Y37" t="s">
        <v>1572</v>
      </c>
    </row>
    <row r="38" spans="1:25" ht="16" x14ac:dyDescent="0.2">
      <c r="A38" t="s">
        <v>1568</v>
      </c>
      <c r="B38" t="s">
        <v>80</v>
      </c>
      <c r="C38" t="s">
        <v>1568</v>
      </c>
      <c r="D38" t="s">
        <v>1568</v>
      </c>
      <c r="E38" t="s">
        <v>43</v>
      </c>
      <c r="F38" t="s">
        <v>1600</v>
      </c>
      <c r="G38" t="s">
        <v>85</v>
      </c>
      <c r="H38" t="s">
        <v>1568</v>
      </c>
      <c r="I38" t="s">
        <v>86</v>
      </c>
      <c r="J38" t="s">
        <v>1568</v>
      </c>
      <c r="K38" t="s">
        <v>1568</v>
      </c>
      <c r="L38" t="s">
        <v>1568</v>
      </c>
      <c r="M38" t="s">
        <v>1568</v>
      </c>
      <c r="N38" t="s">
        <v>1568</v>
      </c>
      <c r="O38" t="s">
        <v>1568</v>
      </c>
      <c r="P38" t="s">
        <v>1568</v>
      </c>
      <c r="Q38" t="s">
        <v>1568</v>
      </c>
      <c r="R38" t="s">
        <v>1568</v>
      </c>
      <c r="S38" t="s">
        <v>1568</v>
      </c>
      <c r="T38" t="s">
        <v>1568</v>
      </c>
      <c r="U38" t="s">
        <v>1568</v>
      </c>
      <c r="V38" t="s">
        <v>1590</v>
      </c>
      <c r="W38" t="s">
        <v>87</v>
      </c>
      <c r="X38" t="s">
        <v>30</v>
      </c>
      <c r="Y38" t="s">
        <v>1572</v>
      </c>
    </row>
    <row r="39" spans="1:25" ht="16" x14ac:dyDescent="0.2">
      <c r="A39" t="s">
        <v>1568</v>
      </c>
      <c r="B39" t="s">
        <v>80</v>
      </c>
      <c r="C39" t="s">
        <v>1568</v>
      </c>
      <c r="D39" t="s">
        <v>1568</v>
      </c>
      <c r="E39" t="s">
        <v>47</v>
      </c>
      <c r="F39" t="s">
        <v>1600</v>
      </c>
      <c r="G39" t="s">
        <v>88</v>
      </c>
      <c r="H39" t="s">
        <v>1568</v>
      </c>
      <c r="I39" t="s">
        <v>89</v>
      </c>
      <c r="J39" t="s">
        <v>1568</v>
      </c>
      <c r="K39" t="s">
        <v>1568</v>
      </c>
      <c r="L39" t="s">
        <v>1568</v>
      </c>
      <c r="M39" t="s">
        <v>1568</v>
      </c>
      <c r="N39" t="s">
        <v>1568</v>
      </c>
      <c r="O39" t="s">
        <v>1568</v>
      </c>
      <c r="P39" t="s">
        <v>1568</v>
      </c>
      <c r="Q39" t="s">
        <v>1568</v>
      </c>
      <c r="R39" t="s">
        <v>1568</v>
      </c>
      <c r="S39" t="s">
        <v>1568</v>
      </c>
      <c r="T39" t="s">
        <v>1568</v>
      </c>
      <c r="U39" t="s">
        <v>1568</v>
      </c>
      <c r="V39" t="s">
        <v>1590</v>
      </c>
      <c r="W39" t="s">
        <v>90</v>
      </c>
      <c r="X39" t="s">
        <v>30</v>
      </c>
      <c r="Y39" t="s">
        <v>1572</v>
      </c>
    </row>
    <row r="40" spans="1:25" ht="16" x14ac:dyDescent="0.2">
      <c r="A40" t="s">
        <v>1568</v>
      </c>
      <c r="B40" t="s">
        <v>80</v>
      </c>
      <c r="C40" t="s">
        <v>1568</v>
      </c>
      <c r="D40" t="s">
        <v>1568</v>
      </c>
      <c r="E40" t="s">
        <v>51</v>
      </c>
      <c r="F40" t="s">
        <v>1600</v>
      </c>
      <c r="G40" t="s">
        <v>91</v>
      </c>
      <c r="H40" t="s">
        <v>1568</v>
      </c>
      <c r="I40" t="s">
        <v>92</v>
      </c>
      <c r="J40" t="s">
        <v>1568</v>
      </c>
      <c r="K40" t="s">
        <v>1568</v>
      </c>
      <c r="L40" t="s">
        <v>1568</v>
      </c>
      <c r="M40" t="s">
        <v>1568</v>
      </c>
      <c r="N40" t="s">
        <v>1568</v>
      </c>
      <c r="O40" t="s">
        <v>1568</v>
      </c>
      <c r="P40" t="s">
        <v>1568</v>
      </c>
      <c r="Q40" t="s">
        <v>1568</v>
      </c>
      <c r="R40" t="s">
        <v>1568</v>
      </c>
      <c r="S40" t="s">
        <v>1568</v>
      </c>
      <c r="T40" t="s">
        <v>1568</v>
      </c>
      <c r="U40" t="s">
        <v>1568</v>
      </c>
      <c r="V40" t="s">
        <v>1592</v>
      </c>
      <c r="W40" t="s">
        <v>93</v>
      </c>
      <c r="X40" t="s">
        <v>30</v>
      </c>
      <c r="Y40" t="s">
        <v>1572</v>
      </c>
    </row>
    <row r="41" spans="1:25" ht="16" x14ac:dyDescent="0.2">
      <c r="A41" t="s">
        <v>1568</v>
      </c>
      <c r="B41" t="s">
        <v>80</v>
      </c>
      <c r="C41" t="s">
        <v>1568</v>
      </c>
      <c r="D41" t="s">
        <v>1568</v>
      </c>
      <c r="E41" t="s">
        <v>55</v>
      </c>
      <c r="F41" t="s">
        <v>1600</v>
      </c>
      <c r="G41" t="s">
        <v>94</v>
      </c>
      <c r="H41" t="s">
        <v>1568</v>
      </c>
      <c r="I41" t="s">
        <v>95</v>
      </c>
      <c r="J41" t="s">
        <v>1568</v>
      </c>
      <c r="K41" t="s">
        <v>1568</v>
      </c>
      <c r="L41" t="s">
        <v>1568</v>
      </c>
      <c r="M41" t="s">
        <v>1568</v>
      </c>
      <c r="N41" t="s">
        <v>1568</v>
      </c>
      <c r="O41" t="s">
        <v>1568</v>
      </c>
      <c r="P41" t="s">
        <v>1568</v>
      </c>
      <c r="Q41" t="s">
        <v>1568</v>
      </c>
      <c r="R41" t="s">
        <v>1568</v>
      </c>
      <c r="S41" t="s">
        <v>1568</v>
      </c>
      <c r="T41" t="s">
        <v>1568</v>
      </c>
      <c r="U41" t="s">
        <v>1568</v>
      </c>
      <c r="V41" t="s">
        <v>1601</v>
      </c>
      <c r="W41" t="s">
        <v>96</v>
      </c>
      <c r="X41" t="s">
        <v>30</v>
      </c>
      <c r="Y41" t="s">
        <v>1572</v>
      </c>
    </row>
    <row r="42" spans="1:25" ht="16" x14ac:dyDescent="0.2">
      <c r="A42" t="s">
        <v>1568</v>
      </c>
      <c r="B42" t="s">
        <v>97</v>
      </c>
      <c r="C42" t="s">
        <v>1568</v>
      </c>
      <c r="D42" t="s">
        <v>1568</v>
      </c>
      <c r="E42" t="s">
        <v>36</v>
      </c>
      <c r="F42" t="s">
        <v>1602</v>
      </c>
      <c r="G42" t="s">
        <v>99</v>
      </c>
      <c r="H42" t="s">
        <v>1568</v>
      </c>
      <c r="I42" t="s">
        <v>100</v>
      </c>
      <c r="J42" t="s">
        <v>1568</v>
      </c>
      <c r="K42" t="s">
        <v>1568</v>
      </c>
      <c r="L42" t="s">
        <v>1568</v>
      </c>
      <c r="M42" t="s">
        <v>1568</v>
      </c>
      <c r="N42" t="s">
        <v>1568</v>
      </c>
      <c r="O42" t="s">
        <v>1568</v>
      </c>
      <c r="P42" t="s">
        <v>1568</v>
      </c>
      <c r="Q42" t="s">
        <v>1568</v>
      </c>
      <c r="R42" t="s">
        <v>1568</v>
      </c>
      <c r="S42" t="s">
        <v>1568</v>
      </c>
      <c r="T42" t="s">
        <v>1568</v>
      </c>
      <c r="U42" t="s">
        <v>1568</v>
      </c>
      <c r="V42" t="s">
        <v>1592</v>
      </c>
      <c r="W42" t="s">
        <v>101</v>
      </c>
      <c r="X42" t="s">
        <v>30</v>
      </c>
      <c r="Y42" t="s">
        <v>1572</v>
      </c>
    </row>
    <row r="43" spans="1:25" ht="16" x14ac:dyDescent="0.2">
      <c r="A43" t="s">
        <v>1568</v>
      </c>
      <c r="B43" t="s">
        <v>97</v>
      </c>
      <c r="C43" t="s">
        <v>1568</v>
      </c>
      <c r="D43" t="s">
        <v>1568</v>
      </c>
      <c r="E43" t="s">
        <v>43</v>
      </c>
      <c r="F43" t="s">
        <v>1602</v>
      </c>
      <c r="G43" t="s">
        <v>102</v>
      </c>
      <c r="H43" t="s">
        <v>1568</v>
      </c>
      <c r="I43" t="s">
        <v>103</v>
      </c>
      <c r="J43" t="s">
        <v>1568</v>
      </c>
      <c r="K43" t="s">
        <v>1568</v>
      </c>
      <c r="L43" t="s">
        <v>1568</v>
      </c>
      <c r="M43" t="s">
        <v>1568</v>
      </c>
      <c r="N43" t="s">
        <v>1568</v>
      </c>
      <c r="O43" t="s">
        <v>1568</v>
      </c>
      <c r="P43" t="s">
        <v>1568</v>
      </c>
      <c r="Q43" t="s">
        <v>1568</v>
      </c>
      <c r="R43" t="s">
        <v>1568</v>
      </c>
      <c r="S43" t="s">
        <v>1568</v>
      </c>
      <c r="T43" t="s">
        <v>1568</v>
      </c>
      <c r="U43" t="s">
        <v>1568</v>
      </c>
      <c r="V43" t="s">
        <v>1593</v>
      </c>
      <c r="W43" t="s">
        <v>104</v>
      </c>
      <c r="X43" t="s">
        <v>30</v>
      </c>
      <c r="Y43" t="s">
        <v>1572</v>
      </c>
    </row>
    <row r="44" spans="1:25" ht="16" x14ac:dyDescent="0.2">
      <c r="A44" t="s">
        <v>1568</v>
      </c>
      <c r="B44" t="s">
        <v>97</v>
      </c>
      <c r="C44" t="s">
        <v>1568</v>
      </c>
      <c r="D44" t="s">
        <v>1568</v>
      </c>
      <c r="E44" t="s">
        <v>47</v>
      </c>
      <c r="F44" t="s">
        <v>1602</v>
      </c>
      <c r="G44" t="s">
        <v>105</v>
      </c>
      <c r="H44" t="s">
        <v>1568</v>
      </c>
      <c r="I44" t="s">
        <v>106</v>
      </c>
      <c r="J44" t="s">
        <v>1568</v>
      </c>
      <c r="K44" t="s">
        <v>1568</v>
      </c>
      <c r="L44" t="s">
        <v>1568</v>
      </c>
      <c r="M44" t="s">
        <v>1568</v>
      </c>
      <c r="N44" t="s">
        <v>1568</v>
      </c>
      <c r="O44" t="s">
        <v>1568</v>
      </c>
      <c r="P44" t="s">
        <v>1568</v>
      </c>
      <c r="Q44" t="s">
        <v>1568</v>
      </c>
      <c r="R44" t="s">
        <v>1568</v>
      </c>
      <c r="S44" t="s">
        <v>1568</v>
      </c>
      <c r="T44" t="s">
        <v>1568</v>
      </c>
      <c r="U44" t="s">
        <v>1568</v>
      </c>
      <c r="V44" t="s">
        <v>1593</v>
      </c>
      <c r="W44" t="s">
        <v>107</v>
      </c>
      <c r="X44" t="s">
        <v>30</v>
      </c>
      <c r="Y44" t="s">
        <v>1572</v>
      </c>
    </row>
    <row r="45" spans="1:25" ht="16" x14ac:dyDescent="0.2">
      <c r="A45" t="s">
        <v>1568</v>
      </c>
      <c r="B45" t="s">
        <v>97</v>
      </c>
      <c r="C45" t="s">
        <v>1568</v>
      </c>
      <c r="D45" t="s">
        <v>1568</v>
      </c>
      <c r="E45" t="s">
        <v>51</v>
      </c>
      <c r="F45" t="s">
        <v>1602</v>
      </c>
      <c r="G45" t="s">
        <v>108</v>
      </c>
      <c r="H45" t="s">
        <v>1568</v>
      </c>
      <c r="I45" t="s">
        <v>109</v>
      </c>
      <c r="J45" t="s">
        <v>1568</v>
      </c>
      <c r="K45" t="s">
        <v>1568</v>
      </c>
      <c r="L45" t="s">
        <v>1568</v>
      </c>
      <c r="M45" t="s">
        <v>1568</v>
      </c>
      <c r="N45" t="s">
        <v>1568</v>
      </c>
      <c r="O45" t="s">
        <v>1568</v>
      </c>
      <c r="P45" t="s">
        <v>1568</v>
      </c>
      <c r="Q45" t="s">
        <v>1568</v>
      </c>
      <c r="R45" t="s">
        <v>1568</v>
      </c>
      <c r="S45" t="s">
        <v>1568</v>
      </c>
      <c r="T45" t="s">
        <v>1568</v>
      </c>
      <c r="U45" t="s">
        <v>1568</v>
      </c>
      <c r="V45" t="s">
        <v>1592</v>
      </c>
      <c r="W45" t="s">
        <v>110</v>
      </c>
      <c r="X45" t="s">
        <v>30</v>
      </c>
      <c r="Y45" t="s">
        <v>1572</v>
      </c>
    </row>
    <row r="46" spans="1:25" ht="16" x14ac:dyDescent="0.2">
      <c r="A46" t="s">
        <v>1568</v>
      </c>
      <c r="B46" t="s">
        <v>97</v>
      </c>
      <c r="C46" t="s">
        <v>1568</v>
      </c>
      <c r="D46" t="s">
        <v>1568</v>
      </c>
      <c r="E46" t="s">
        <v>55</v>
      </c>
      <c r="F46" t="s">
        <v>1602</v>
      </c>
      <c r="G46" t="s">
        <v>111</v>
      </c>
      <c r="H46" t="s">
        <v>1568</v>
      </c>
      <c r="I46" t="s">
        <v>112</v>
      </c>
      <c r="J46" t="s">
        <v>1568</v>
      </c>
      <c r="K46" t="s">
        <v>1568</v>
      </c>
      <c r="L46" t="s">
        <v>1568</v>
      </c>
      <c r="M46" t="s">
        <v>1568</v>
      </c>
      <c r="N46" t="s">
        <v>1568</v>
      </c>
      <c r="O46" t="s">
        <v>1568</v>
      </c>
      <c r="P46" t="s">
        <v>1568</v>
      </c>
      <c r="Q46" t="s">
        <v>1568</v>
      </c>
      <c r="R46" t="s">
        <v>1568</v>
      </c>
      <c r="S46" t="s">
        <v>1568</v>
      </c>
      <c r="T46" t="s">
        <v>1568</v>
      </c>
      <c r="U46" t="s">
        <v>1568</v>
      </c>
      <c r="V46" t="s">
        <v>1594</v>
      </c>
      <c r="W46" t="s">
        <v>113</v>
      </c>
      <c r="X46" t="s">
        <v>30</v>
      </c>
      <c r="Y46" t="s">
        <v>1572</v>
      </c>
    </row>
    <row r="47" spans="1:25" ht="16" x14ac:dyDescent="0.2">
      <c r="A47" t="s">
        <v>1568</v>
      </c>
      <c r="B47" t="s">
        <v>114</v>
      </c>
      <c r="C47" t="s">
        <v>1568</v>
      </c>
      <c r="D47" t="s">
        <v>1568</v>
      </c>
      <c r="E47" t="s">
        <v>36</v>
      </c>
      <c r="F47" t="s">
        <v>1599</v>
      </c>
      <c r="G47" t="s">
        <v>65</v>
      </c>
      <c r="H47" t="s">
        <v>1568</v>
      </c>
      <c r="I47" t="s">
        <v>66</v>
      </c>
      <c r="J47" t="s">
        <v>1568</v>
      </c>
      <c r="K47" t="s">
        <v>1568</v>
      </c>
      <c r="L47" t="s">
        <v>1568</v>
      </c>
      <c r="M47" t="s">
        <v>1568</v>
      </c>
      <c r="N47" t="s">
        <v>1568</v>
      </c>
      <c r="O47" t="s">
        <v>1568</v>
      </c>
      <c r="P47" t="s">
        <v>1568</v>
      </c>
      <c r="Q47" t="s">
        <v>1568</v>
      </c>
      <c r="R47" t="s">
        <v>1568</v>
      </c>
      <c r="S47" t="s">
        <v>1568</v>
      </c>
      <c r="T47" t="s">
        <v>1568</v>
      </c>
      <c r="U47" t="s">
        <v>1568</v>
      </c>
      <c r="V47" t="s">
        <v>1592</v>
      </c>
      <c r="W47" t="s">
        <v>67</v>
      </c>
      <c r="X47" t="s">
        <v>59</v>
      </c>
      <c r="Y47" t="s">
        <v>1581</v>
      </c>
    </row>
    <row r="48" spans="1:25" ht="16" x14ac:dyDescent="0.2">
      <c r="A48" t="s">
        <v>1568</v>
      </c>
      <c r="B48" t="s">
        <v>114</v>
      </c>
      <c r="C48" t="s">
        <v>1568</v>
      </c>
      <c r="D48" t="s">
        <v>1568</v>
      </c>
      <c r="E48" t="s">
        <v>43</v>
      </c>
      <c r="F48" t="s">
        <v>1599</v>
      </c>
      <c r="G48" t="s">
        <v>68</v>
      </c>
      <c r="H48" t="s">
        <v>1568</v>
      </c>
      <c r="I48" t="s">
        <v>69</v>
      </c>
      <c r="J48" t="s">
        <v>1568</v>
      </c>
      <c r="K48" t="s">
        <v>1568</v>
      </c>
      <c r="L48" t="s">
        <v>1568</v>
      </c>
      <c r="M48" t="s">
        <v>1568</v>
      </c>
      <c r="N48" t="s">
        <v>1568</v>
      </c>
      <c r="O48" t="s">
        <v>1568</v>
      </c>
      <c r="P48" t="s">
        <v>1568</v>
      </c>
      <c r="Q48" t="s">
        <v>1568</v>
      </c>
      <c r="R48" t="s">
        <v>1568</v>
      </c>
      <c r="S48" t="s">
        <v>1568</v>
      </c>
      <c r="T48" t="s">
        <v>1568</v>
      </c>
      <c r="U48" t="s">
        <v>1568</v>
      </c>
      <c r="V48" t="s">
        <v>1595</v>
      </c>
      <c r="W48" t="s">
        <v>70</v>
      </c>
      <c r="X48" t="s">
        <v>59</v>
      </c>
      <c r="Y48" t="s">
        <v>1581</v>
      </c>
    </row>
    <row r="49" spans="1:25" ht="16" x14ac:dyDescent="0.2">
      <c r="A49" t="s">
        <v>1568</v>
      </c>
      <c r="B49" t="s">
        <v>114</v>
      </c>
      <c r="C49" t="s">
        <v>1568</v>
      </c>
      <c r="D49" t="s">
        <v>1568</v>
      </c>
      <c r="E49" t="s">
        <v>47</v>
      </c>
      <c r="F49" t="s">
        <v>1599</v>
      </c>
      <c r="G49" t="s">
        <v>71</v>
      </c>
      <c r="H49" t="s">
        <v>1568</v>
      </c>
      <c r="I49" t="s">
        <v>72</v>
      </c>
      <c r="J49" t="s">
        <v>1568</v>
      </c>
      <c r="K49" t="s">
        <v>1568</v>
      </c>
      <c r="L49" t="s">
        <v>1568</v>
      </c>
      <c r="M49" t="s">
        <v>1568</v>
      </c>
      <c r="N49" t="s">
        <v>1568</v>
      </c>
      <c r="O49" t="s">
        <v>1568</v>
      </c>
      <c r="P49" t="s">
        <v>1568</v>
      </c>
      <c r="Q49" t="s">
        <v>1568</v>
      </c>
      <c r="R49" t="s">
        <v>1568</v>
      </c>
      <c r="S49" t="s">
        <v>1568</v>
      </c>
      <c r="T49" t="s">
        <v>1568</v>
      </c>
      <c r="U49" t="s">
        <v>1568</v>
      </c>
      <c r="V49" t="s">
        <v>1595</v>
      </c>
      <c r="W49" t="s">
        <v>73</v>
      </c>
      <c r="X49" t="s">
        <v>59</v>
      </c>
      <c r="Y49" t="s">
        <v>1581</v>
      </c>
    </row>
    <row r="50" spans="1:25" ht="16" x14ac:dyDescent="0.2">
      <c r="A50" t="s">
        <v>1568</v>
      </c>
      <c r="B50" t="s">
        <v>114</v>
      </c>
      <c r="C50" t="s">
        <v>1568</v>
      </c>
      <c r="D50" t="s">
        <v>1568</v>
      </c>
      <c r="E50" t="s">
        <v>51</v>
      </c>
      <c r="F50" t="s">
        <v>1599</v>
      </c>
      <c r="G50" t="s">
        <v>74</v>
      </c>
      <c r="H50" t="s">
        <v>1568</v>
      </c>
      <c r="I50" t="s">
        <v>75</v>
      </c>
      <c r="J50" t="s">
        <v>1568</v>
      </c>
      <c r="K50" t="s">
        <v>1568</v>
      </c>
      <c r="L50" t="s">
        <v>1568</v>
      </c>
      <c r="M50" t="s">
        <v>1568</v>
      </c>
      <c r="N50" t="s">
        <v>1568</v>
      </c>
      <c r="O50" t="s">
        <v>1568</v>
      </c>
      <c r="P50" t="s">
        <v>1568</v>
      </c>
      <c r="Q50" t="s">
        <v>1568</v>
      </c>
      <c r="R50" t="s">
        <v>1568</v>
      </c>
      <c r="S50" t="s">
        <v>1568</v>
      </c>
      <c r="T50" t="s">
        <v>1568</v>
      </c>
      <c r="U50" t="s">
        <v>1568</v>
      </c>
      <c r="V50" t="s">
        <v>1592</v>
      </c>
      <c r="W50" t="s">
        <v>76</v>
      </c>
      <c r="X50" t="s">
        <v>59</v>
      </c>
      <c r="Y50" t="s">
        <v>1581</v>
      </c>
    </row>
    <row r="51" spans="1:25" ht="16" x14ac:dyDescent="0.2">
      <c r="A51" t="s">
        <v>1568</v>
      </c>
      <c r="B51" t="s">
        <v>114</v>
      </c>
      <c r="C51" t="s">
        <v>1568</v>
      </c>
      <c r="D51" t="s">
        <v>1568</v>
      </c>
      <c r="E51" t="s">
        <v>55</v>
      </c>
      <c r="F51" t="s">
        <v>1599</v>
      </c>
      <c r="G51" t="s">
        <v>77</v>
      </c>
      <c r="H51" t="s">
        <v>1568</v>
      </c>
      <c r="I51" t="s">
        <v>78</v>
      </c>
      <c r="J51" t="s">
        <v>1568</v>
      </c>
      <c r="K51" t="s">
        <v>1568</v>
      </c>
      <c r="L51" t="s">
        <v>1568</v>
      </c>
      <c r="M51" t="s">
        <v>1568</v>
      </c>
      <c r="N51" t="s">
        <v>1568</v>
      </c>
      <c r="O51" t="s">
        <v>1568</v>
      </c>
      <c r="P51" t="s">
        <v>1568</v>
      </c>
      <c r="Q51" t="s">
        <v>1568</v>
      </c>
      <c r="R51" t="s">
        <v>1568</v>
      </c>
      <c r="S51" t="s">
        <v>1568</v>
      </c>
      <c r="T51" t="s">
        <v>1568</v>
      </c>
      <c r="U51" t="s">
        <v>1568</v>
      </c>
      <c r="V51" t="s">
        <v>1596</v>
      </c>
      <c r="W51" t="s">
        <v>79</v>
      </c>
      <c r="X51" t="s">
        <v>59</v>
      </c>
      <c r="Y51" t="s">
        <v>1581</v>
      </c>
    </row>
    <row r="52" spans="1:25" ht="16" x14ac:dyDescent="0.2">
      <c r="A52" t="s">
        <v>1568</v>
      </c>
      <c r="B52" t="s">
        <v>115</v>
      </c>
      <c r="C52" t="s">
        <v>1568</v>
      </c>
      <c r="D52" t="s">
        <v>1568</v>
      </c>
      <c r="E52" t="s">
        <v>36</v>
      </c>
      <c r="F52" t="s">
        <v>1603</v>
      </c>
      <c r="G52" t="s">
        <v>117</v>
      </c>
      <c r="H52" t="s">
        <v>1568</v>
      </c>
      <c r="I52" t="s">
        <v>118</v>
      </c>
      <c r="J52" t="s">
        <v>1568</v>
      </c>
      <c r="K52" t="s">
        <v>1568</v>
      </c>
      <c r="L52" t="s">
        <v>1568</v>
      </c>
      <c r="M52" t="s">
        <v>1568</v>
      </c>
      <c r="N52" t="s">
        <v>1568</v>
      </c>
      <c r="O52" t="s">
        <v>1568</v>
      </c>
      <c r="P52" t="s">
        <v>1568</v>
      </c>
      <c r="Q52" t="s">
        <v>1568</v>
      </c>
      <c r="R52" t="s">
        <v>1568</v>
      </c>
      <c r="S52" t="s">
        <v>1568</v>
      </c>
      <c r="T52" t="s">
        <v>1568</v>
      </c>
      <c r="U52" t="s">
        <v>1568</v>
      </c>
      <c r="V52" t="s">
        <v>1592</v>
      </c>
      <c r="W52" t="s">
        <v>119</v>
      </c>
      <c r="X52" t="s">
        <v>30</v>
      </c>
      <c r="Y52" t="s">
        <v>1572</v>
      </c>
    </row>
    <row r="53" spans="1:25" ht="16" x14ac:dyDescent="0.2">
      <c r="A53" t="s">
        <v>1568</v>
      </c>
      <c r="B53" t="s">
        <v>115</v>
      </c>
      <c r="C53" t="s">
        <v>1568</v>
      </c>
      <c r="D53" t="s">
        <v>1568</v>
      </c>
      <c r="E53" t="s">
        <v>43</v>
      </c>
      <c r="F53" t="s">
        <v>1603</v>
      </c>
      <c r="G53" t="s">
        <v>120</v>
      </c>
      <c r="H53" t="s">
        <v>1568</v>
      </c>
      <c r="I53" t="s">
        <v>121</v>
      </c>
      <c r="J53" t="s">
        <v>1568</v>
      </c>
      <c r="K53" t="s">
        <v>1568</v>
      </c>
      <c r="L53" t="s">
        <v>1568</v>
      </c>
      <c r="M53" t="s">
        <v>1568</v>
      </c>
      <c r="N53" t="s">
        <v>1568</v>
      </c>
      <c r="O53" t="s">
        <v>1568</v>
      </c>
      <c r="P53" t="s">
        <v>1568</v>
      </c>
      <c r="Q53" t="s">
        <v>1568</v>
      </c>
      <c r="R53" t="s">
        <v>1568</v>
      </c>
      <c r="S53" t="s">
        <v>1568</v>
      </c>
      <c r="T53" t="s">
        <v>1568</v>
      </c>
      <c r="U53" t="s">
        <v>1568</v>
      </c>
      <c r="V53" t="s">
        <v>1593</v>
      </c>
      <c r="W53" t="s">
        <v>122</v>
      </c>
      <c r="X53" t="s">
        <v>30</v>
      </c>
      <c r="Y53" t="s">
        <v>1572</v>
      </c>
    </row>
    <row r="54" spans="1:25" ht="16" x14ac:dyDescent="0.2">
      <c r="A54" t="s">
        <v>1568</v>
      </c>
      <c r="B54" t="s">
        <v>115</v>
      </c>
      <c r="C54" t="s">
        <v>1568</v>
      </c>
      <c r="D54" t="s">
        <v>1568</v>
      </c>
      <c r="E54" t="s">
        <v>47</v>
      </c>
      <c r="F54" t="s">
        <v>1603</v>
      </c>
      <c r="G54" t="s">
        <v>123</v>
      </c>
      <c r="H54" t="s">
        <v>1568</v>
      </c>
      <c r="I54" t="s">
        <v>124</v>
      </c>
      <c r="J54" t="s">
        <v>1568</v>
      </c>
      <c r="K54" t="s">
        <v>1568</v>
      </c>
      <c r="L54" t="s">
        <v>1568</v>
      </c>
      <c r="M54" t="s">
        <v>1568</v>
      </c>
      <c r="N54" t="s">
        <v>1568</v>
      </c>
      <c r="O54" t="s">
        <v>1568</v>
      </c>
      <c r="P54" t="s">
        <v>1568</v>
      </c>
      <c r="Q54" t="s">
        <v>1568</v>
      </c>
      <c r="R54" t="s">
        <v>1568</v>
      </c>
      <c r="S54" t="s">
        <v>1568</v>
      </c>
      <c r="T54" t="s">
        <v>1568</v>
      </c>
      <c r="U54" t="s">
        <v>1568</v>
      </c>
      <c r="V54" t="s">
        <v>1593</v>
      </c>
      <c r="W54" t="s">
        <v>125</v>
      </c>
      <c r="X54" t="s">
        <v>30</v>
      </c>
      <c r="Y54" t="s">
        <v>1572</v>
      </c>
    </row>
    <row r="55" spans="1:25" ht="16" x14ac:dyDescent="0.2">
      <c r="A55" t="s">
        <v>1568</v>
      </c>
      <c r="B55" t="s">
        <v>115</v>
      </c>
      <c r="C55" t="s">
        <v>1568</v>
      </c>
      <c r="D55" t="s">
        <v>1568</v>
      </c>
      <c r="E55" t="s">
        <v>51</v>
      </c>
      <c r="F55" t="s">
        <v>1603</v>
      </c>
      <c r="G55" t="s">
        <v>126</v>
      </c>
      <c r="H55" t="s">
        <v>1568</v>
      </c>
      <c r="I55" t="s">
        <v>127</v>
      </c>
      <c r="J55" t="s">
        <v>1568</v>
      </c>
      <c r="K55" t="s">
        <v>1568</v>
      </c>
      <c r="L55" t="s">
        <v>1568</v>
      </c>
      <c r="M55" t="s">
        <v>1568</v>
      </c>
      <c r="N55" t="s">
        <v>1568</v>
      </c>
      <c r="O55" t="s">
        <v>1568</v>
      </c>
      <c r="P55" t="s">
        <v>1568</v>
      </c>
      <c r="Q55" t="s">
        <v>1568</v>
      </c>
      <c r="R55" t="s">
        <v>1568</v>
      </c>
      <c r="S55" t="s">
        <v>1568</v>
      </c>
      <c r="T55" t="s">
        <v>1568</v>
      </c>
      <c r="U55" t="s">
        <v>1568</v>
      </c>
      <c r="V55" t="s">
        <v>1592</v>
      </c>
      <c r="W55" t="s">
        <v>128</v>
      </c>
      <c r="X55" t="s">
        <v>30</v>
      </c>
      <c r="Y55" t="s">
        <v>1572</v>
      </c>
    </row>
    <row r="56" spans="1:25" ht="16" x14ac:dyDescent="0.2">
      <c r="A56" t="s">
        <v>1568</v>
      </c>
      <c r="B56" t="s">
        <v>115</v>
      </c>
      <c r="C56" t="s">
        <v>1568</v>
      </c>
      <c r="D56" t="s">
        <v>1568</v>
      </c>
      <c r="E56" t="s">
        <v>55</v>
      </c>
      <c r="F56" t="s">
        <v>1603</v>
      </c>
      <c r="G56" t="s">
        <v>129</v>
      </c>
      <c r="H56" t="s">
        <v>1568</v>
      </c>
      <c r="I56" t="s">
        <v>130</v>
      </c>
      <c r="J56" t="s">
        <v>1568</v>
      </c>
      <c r="K56" t="s">
        <v>1568</v>
      </c>
      <c r="L56" t="s">
        <v>1568</v>
      </c>
      <c r="M56" t="s">
        <v>1568</v>
      </c>
      <c r="N56" t="s">
        <v>1568</v>
      </c>
      <c r="O56" t="s">
        <v>1568</v>
      </c>
      <c r="P56" t="s">
        <v>1568</v>
      </c>
      <c r="Q56" t="s">
        <v>1568</v>
      </c>
      <c r="R56" t="s">
        <v>1568</v>
      </c>
      <c r="S56" t="s">
        <v>1568</v>
      </c>
      <c r="T56" t="s">
        <v>1568</v>
      </c>
      <c r="U56" t="s">
        <v>1568</v>
      </c>
      <c r="V56" t="s">
        <v>1594</v>
      </c>
      <c r="W56" t="s">
        <v>131</v>
      </c>
      <c r="X56" t="s">
        <v>30</v>
      </c>
      <c r="Y56" t="s">
        <v>1572</v>
      </c>
    </row>
    <row r="57" spans="1:25" ht="16" x14ac:dyDescent="0.2">
      <c r="A57" t="s">
        <v>1568</v>
      </c>
      <c r="B57" t="s">
        <v>132</v>
      </c>
      <c r="C57" t="s">
        <v>1568</v>
      </c>
      <c r="D57" t="s">
        <v>1568</v>
      </c>
      <c r="E57" t="s">
        <v>36</v>
      </c>
      <c r="F57" t="s">
        <v>1600</v>
      </c>
      <c r="G57" t="s">
        <v>82</v>
      </c>
      <c r="H57" t="s">
        <v>1568</v>
      </c>
      <c r="I57" t="s">
        <v>83</v>
      </c>
      <c r="J57" t="s">
        <v>1568</v>
      </c>
      <c r="K57" t="s">
        <v>1568</v>
      </c>
      <c r="L57" t="s">
        <v>1568</v>
      </c>
      <c r="M57" t="s">
        <v>1568</v>
      </c>
      <c r="N57" t="s">
        <v>1568</v>
      </c>
      <c r="O57" t="s">
        <v>1568</v>
      </c>
      <c r="P57" t="s">
        <v>1568</v>
      </c>
      <c r="Q57" t="s">
        <v>1568</v>
      </c>
      <c r="R57" t="s">
        <v>1568</v>
      </c>
      <c r="S57" t="s">
        <v>1568</v>
      </c>
      <c r="T57" t="s">
        <v>1568</v>
      </c>
      <c r="U57" t="s">
        <v>1568</v>
      </c>
      <c r="V57" t="s">
        <v>1592</v>
      </c>
      <c r="W57" t="s">
        <v>84</v>
      </c>
      <c r="X57" t="s">
        <v>59</v>
      </c>
      <c r="Y57" t="s">
        <v>1581</v>
      </c>
    </row>
    <row r="58" spans="1:25" ht="16" x14ac:dyDescent="0.2">
      <c r="A58" t="s">
        <v>1568</v>
      </c>
      <c r="B58" t="s">
        <v>132</v>
      </c>
      <c r="C58" t="s">
        <v>1568</v>
      </c>
      <c r="D58" t="s">
        <v>1568</v>
      </c>
      <c r="E58" t="s">
        <v>43</v>
      </c>
      <c r="F58" t="s">
        <v>1600</v>
      </c>
      <c r="G58" t="s">
        <v>85</v>
      </c>
      <c r="H58" t="s">
        <v>1568</v>
      </c>
      <c r="I58" t="s">
        <v>86</v>
      </c>
      <c r="J58" t="s">
        <v>1568</v>
      </c>
      <c r="K58" t="s">
        <v>1568</v>
      </c>
      <c r="L58" t="s">
        <v>1568</v>
      </c>
      <c r="M58" t="s">
        <v>1568</v>
      </c>
      <c r="N58" t="s">
        <v>1568</v>
      </c>
      <c r="O58" t="s">
        <v>1568</v>
      </c>
      <c r="P58" t="s">
        <v>1568</v>
      </c>
      <c r="Q58" t="s">
        <v>1568</v>
      </c>
      <c r="R58" t="s">
        <v>1568</v>
      </c>
      <c r="S58" t="s">
        <v>1568</v>
      </c>
      <c r="T58" t="s">
        <v>1568</v>
      </c>
      <c r="U58" t="s">
        <v>1568</v>
      </c>
      <c r="V58" t="s">
        <v>1604</v>
      </c>
      <c r="W58" t="s">
        <v>87</v>
      </c>
      <c r="X58" t="s">
        <v>59</v>
      </c>
      <c r="Y58" t="s">
        <v>1581</v>
      </c>
    </row>
    <row r="59" spans="1:25" ht="16" x14ac:dyDescent="0.2">
      <c r="A59" t="s">
        <v>1568</v>
      </c>
      <c r="B59" t="s">
        <v>132</v>
      </c>
      <c r="C59" t="s">
        <v>1568</v>
      </c>
      <c r="D59" t="s">
        <v>1568</v>
      </c>
      <c r="E59" t="s">
        <v>47</v>
      </c>
      <c r="F59" t="s">
        <v>1600</v>
      </c>
      <c r="G59" t="s">
        <v>88</v>
      </c>
      <c r="H59" t="s">
        <v>1568</v>
      </c>
      <c r="I59" t="s">
        <v>89</v>
      </c>
      <c r="J59" t="s">
        <v>1568</v>
      </c>
      <c r="K59" t="s">
        <v>1568</v>
      </c>
      <c r="L59" t="s">
        <v>1568</v>
      </c>
      <c r="M59" t="s">
        <v>1568</v>
      </c>
      <c r="N59" t="s">
        <v>1568</v>
      </c>
      <c r="O59" t="s">
        <v>1568</v>
      </c>
      <c r="P59" t="s">
        <v>1568</v>
      </c>
      <c r="Q59" t="s">
        <v>1568</v>
      </c>
      <c r="R59" t="s">
        <v>1568</v>
      </c>
      <c r="S59" t="s">
        <v>1568</v>
      </c>
      <c r="T59" t="s">
        <v>1568</v>
      </c>
      <c r="U59" t="s">
        <v>1568</v>
      </c>
      <c r="V59" t="s">
        <v>1604</v>
      </c>
      <c r="W59" t="s">
        <v>90</v>
      </c>
      <c r="X59" t="s">
        <v>59</v>
      </c>
      <c r="Y59" t="s">
        <v>1581</v>
      </c>
    </row>
    <row r="60" spans="1:25" ht="16" x14ac:dyDescent="0.2">
      <c r="A60" t="s">
        <v>1568</v>
      </c>
      <c r="B60" t="s">
        <v>132</v>
      </c>
      <c r="C60" t="s">
        <v>1568</v>
      </c>
      <c r="D60" t="s">
        <v>1568</v>
      </c>
      <c r="E60" t="s">
        <v>51</v>
      </c>
      <c r="F60" t="s">
        <v>1600</v>
      </c>
      <c r="G60" t="s">
        <v>91</v>
      </c>
      <c r="H60" t="s">
        <v>1568</v>
      </c>
      <c r="I60" t="s">
        <v>92</v>
      </c>
      <c r="J60" t="s">
        <v>1568</v>
      </c>
      <c r="K60" t="s">
        <v>1568</v>
      </c>
      <c r="L60" t="s">
        <v>1568</v>
      </c>
      <c r="M60" t="s">
        <v>1568</v>
      </c>
      <c r="N60" t="s">
        <v>1568</v>
      </c>
      <c r="O60" t="s">
        <v>1568</v>
      </c>
      <c r="P60" t="s">
        <v>1568</v>
      </c>
      <c r="Q60" t="s">
        <v>1568</v>
      </c>
      <c r="R60" t="s">
        <v>1568</v>
      </c>
      <c r="S60" t="s">
        <v>1568</v>
      </c>
      <c r="T60" t="s">
        <v>1568</v>
      </c>
      <c r="U60" t="s">
        <v>1568</v>
      </c>
      <c r="V60" t="s">
        <v>1592</v>
      </c>
      <c r="W60" t="s">
        <v>93</v>
      </c>
      <c r="X60" t="s">
        <v>59</v>
      </c>
      <c r="Y60" t="s">
        <v>1581</v>
      </c>
    </row>
    <row r="61" spans="1:25" ht="16" x14ac:dyDescent="0.2">
      <c r="A61" t="s">
        <v>1568</v>
      </c>
      <c r="B61" t="s">
        <v>132</v>
      </c>
      <c r="C61" t="s">
        <v>1568</v>
      </c>
      <c r="D61" t="s">
        <v>1568</v>
      </c>
      <c r="E61" t="s">
        <v>55</v>
      </c>
      <c r="F61" t="s">
        <v>1600</v>
      </c>
      <c r="G61" t="s">
        <v>94</v>
      </c>
      <c r="H61" t="s">
        <v>1568</v>
      </c>
      <c r="I61" t="s">
        <v>95</v>
      </c>
      <c r="J61" t="s">
        <v>1568</v>
      </c>
      <c r="K61" t="s">
        <v>1568</v>
      </c>
      <c r="L61" t="s">
        <v>1568</v>
      </c>
      <c r="M61" t="s">
        <v>1568</v>
      </c>
      <c r="N61" t="s">
        <v>1568</v>
      </c>
      <c r="O61" t="s">
        <v>1568</v>
      </c>
      <c r="P61" t="s">
        <v>1568</v>
      </c>
      <c r="Q61" t="s">
        <v>1568</v>
      </c>
      <c r="R61" t="s">
        <v>1568</v>
      </c>
      <c r="S61" t="s">
        <v>1568</v>
      </c>
      <c r="T61" t="s">
        <v>1568</v>
      </c>
      <c r="U61" t="s">
        <v>1568</v>
      </c>
      <c r="V61" t="s">
        <v>1605</v>
      </c>
      <c r="W61" t="s">
        <v>96</v>
      </c>
      <c r="X61" t="s">
        <v>59</v>
      </c>
      <c r="Y61" t="s">
        <v>1581</v>
      </c>
    </row>
    <row r="62" spans="1:25" ht="16" x14ac:dyDescent="0.2">
      <c r="A62" t="s">
        <v>1568</v>
      </c>
      <c r="B62" t="s">
        <v>133</v>
      </c>
      <c r="C62" t="s">
        <v>1568</v>
      </c>
      <c r="D62" t="s">
        <v>1568</v>
      </c>
      <c r="E62" t="s">
        <v>36</v>
      </c>
      <c r="F62" t="s">
        <v>1602</v>
      </c>
      <c r="G62" t="s">
        <v>99</v>
      </c>
      <c r="H62" t="s">
        <v>1568</v>
      </c>
      <c r="I62" t="s">
        <v>100</v>
      </c>
      <c r="J62" t="s">
        <v>1568</v>
      </c>
      <c r="K62" t="s">
        <v>1568</v>
      </c>
      <c r="L62" t="s">
        <v>1568</v>
      </c>
      <c r="M62" t="s">
        <v>1568</v>
      </c>
      <c r="N62" t="s">
        <v>1568</v>
      </c>
      <c r="O62" t="s">
        <v>1568</v>
      </c>
      <c r="P62" t="s">
        <v>1568</v>
      </c>
      <c r="Q62" t="s">
        <v>1568</v>
      </c>
      <c r="R62" t="s">
        <v>1568</v>
      </c>
      <c r="S62" t="s">
        <v>1568</v>
      </c>
      <c r="T62" t="s">
        <v>1568</v>
      </c>
      <c r="U62" t="s">
        <v>1568</v>
      </c>
      <c r="V62" t="s">
        <v>1592</v>
      </c>
      <c r="W62" t="s">
        <v>101</v>
      </c>
      <c r="X62" t="s">
        <v>59</v>
      </c>
      <c r="Y62" t="s">
        <v>1581</v>
      </c>
    </row>
    <row r="63" spans="1:25" ht="16" x14ac:dyDescent="0.2">
      <c r="A63" t="s">
        <v>1568</v>
      </c>
      <c r="B63" t="s">
        <v>133</v>
      </c>
      <c r="C63" t="s">
        <v>1568</v>
      </c>
      <c r="D63" t="s">
        <v>1568</v>
      </c>
      <c r="E63" t="s">
        <v>43</v>
      </c>
      <c r="F63" t="s">
        <v>1602</v>
      </c>
      <c r="G63" t="s">
        <v>102</v>
      </c>
      <c r="H63" t="s">
        <v>1568</v>
      </c>
      <c r="I63" t="s">
        <v>103</v>
      </c>
      <c r="J63" t="s">
        <v>1568</v>
      </c>
      <c r="K63" t="s">
        <v>1568</v>
      </c>
      <c r="L63" t="s">
        <v>1568</v>
      </c>
      <c r="M63" t="s">
        <v>1568</v>
      </c>
      <c r="N63" t="s">
        <v>1568</v>
      </c>
      <c r="O63" t="s">
        <v>1568</v>
      </c>
      <c r="P63" t="s">
        <v>1568</v>
      </c>
      <c r="Q63" t="s">
        <v>1568</v>
      </c>
      <c r="R63" t="s">
        <v>1568</v>
      </c>
      <c r="S63" t="s">
        <v>1568</v>
      </c>
      <c r="T63" t="s">
        <v>1568</v>
      </c>
      <c r="U63" t="s">
        <v>1568</v>
      </c>
      <c r="V63" t="s">
        <v>1595</v>
      </c>
      <c r="W63" t="s">
        <v>104</v>
      </c>
      <c r="X63" t="s">
        <v>59</v>
      </c>
      <c r="Y63" t="s">
        <v>1581</v>
      </c>
    </row>
    <row r="64" spans="1:25" ht="16" x14ac:dyDescent="0.2">
      <c r="A64" t="s">
        <v>1568</v>
      </c>
      <c r="B64" t="s">
        <v>133</v>
      </c>
      <c r="C64" t="s">
        <v>1568</v>
      </c>
      <c r="D64" t="s">
        <v>1568</v>
      </c>
      <c r="E64" t="s">
        <v>47</v>
      </c>
      <c r="F64" t="s">
        <v>1602</v>
      </c>
      <c r="G64" t="s">
        <v>105</v>
      </c>
      <c r="H64" t="s">
        <v>1568</v>
      </c>
      <c r="I64" t="s">
        <v>106</v>
      </c>
      <c r="J64" t="s">
        <v>1568</v>
      </c>
      <c r="K64" t="s">
        <v>1568</v>
      </c>
      <c r="L64" t="s">
        <v>1568</v>
      </c>
      <c r="M64" t="s">
        <v>1568</v>
      </c>
      <c r="N64" t="s">
        <v>1568</v>
      </c>
      <c r="O64" t="s">
        <v>1568</v>
      </c>
      <c r="P64" t="s">
        <v>1568</v>
      </c>
      <c r="Q64" t="s">
        <v>1568</v>
      </c>
      <c r="R64" t="s">
        <v>1568</v>
      </c>
      <c r="S64" t="s">
        <v>1568</v>
      </c>
      <c r="T64" t="s">
        <v>1568</v>
      </c>
      <c r="U64" t="s">
        <v>1568</v>
      </c>
      <c r="V64" t="s">
        <v>1595</v>
      </c>
      <c r="W64" t="s">
        <v>107</v>
      </c>
      <c r="X64" t="s">
        <v>59</v>
      </c>
      <c r="Y64" t="s">
        <v>1581</v>
      </c>
    </row>
    <row r="65" spans="1:25" ht="16" x14ac:dyDescent="0.2">
      <c r="A65" t="s">
        <v>1568</v>
      </c>
      <c r="B65" t="s">
        <v>133</v>
      </c>
      <c r="C65" t="s">
        <v>1568</v>
      </c>
      <c r="D65" t="s">
        <v>1568</v>
      </c>
      <c r="E65" t="s">
        <v>51</v>
      </c>
      <c r="F65" t="s">
        <v>1602</v>
      </c>
      <c r="G65" t="s">
        <v>108</v>
      </c>
      <c r="H65" t="s">
        <v>1568</v>
      </c>
      <c r="I65" t="s">
        <v>109</v>
      </c>
      <c r="J65" t="s">
        <v>1568</v>
      </c>
      <c r="K65" t="s">
        <v>1568</v>
      </c>
      <c r="L65" t="s">
        <v>1568</v>
      </c>
      <c r="M65" t="s">
        <v>1568</v>
      </c>
      <c r="N65" t="s">
        <v>1568</v>
      </c>
      <c r="O65" t="s">
        <v>1568</v>
      </c>
      <c r="P65" t="s">
        <v>1568</v>
      </c>
      <c r="Q65" t="s">
        <v>1568</v>
      </c>
      <c r="R65" t="s">
        <v>1568</v>
      </c>
      <c r="S65" t="s">
        <v>1568</v>
      </c>
      <c r="T65" t="s">
        <v>1568</v>
      </c>
      <c r="U65" t="s">
        <v>1568</v>
      </c>
      <c r="V65" t="s">
        <v>1592</v>
      </c>
      <c r="W65" t="s">
        <v>110</v>
      </c>
      <c r="X65" t="s">
        <v>59</v>
      </c>
      <c r="Y65" t="s">
        <v>1581</v>
      </c>
    </row>
    <row r="66" spans="1:25" ht="16" x14ac:dyDescent="0.2">
      <c r="A66" t="s">
        <v>1568</v>
      </c>
      <c r="B66" t="s">
        <v>133</v>
      </c>
      <c r="C66" t="s">
        <v>1568</v>
      </c>
      <c r="D66" t="s">
        <v>1568</v>
      </c>
      <c r="E66" t="s">
        <v>55</v>
      </c>
      <c r="F66" t="s">
        <v>1602</v>
      </c>
      <c r="G66" t="s">
        <v>111</v>
      </c>
      <c r="H66" t="s">
        <v>1568</v>
      </c>
      <c r="I66" t="s">
        <v>112</v>
      </c>
      <c r="J66" t="s">
        <v>1568</v>
      </c>
      <c r="K66" t="s">
        <v>1568</v>
      </c>
      <c r="L66" t="s">
        <v>1568</v>
      </c>
      <c r="M66" t="s">
        <v>1568</v>
      </c>
      <c r="N66" t="s">
        <v>1568</v>
      </c>
      <c r="O66" t="s">
        <v>1568</v>
      </c>
      <c r="P66" t="s">
        <v>1568</v>
      </c>
      <c r="Q66" t="s">
        <v>1568</v>
      </c>
      <c r="R66" t="s">
        <v>1568</v>
      </c>
      <c r="S66" t="s">
        <v>1568</v>
      </c>
      <c r="T66" t="s">
        <v>1568</v>
      </c>
      <c r="U66" t="s">
        <v>1568</v>
      </c>
      <c r="V66" t="s">
        <v>1596</v>
      </c>
      <c r="W66" t="s">
        <v>113</v>
      </c>
      <c r="X66" t="s">
        <v>59</v>
      </c>
      <c r="Y66" t="s">
        <v>1581</v>
      </c>
    </row>
    <row r="67" spans="1:25" ht="16" x14ac:dyDescent="0.2">
      <c r="A67" t="s">
        <v>1568</v>
      </c>
      <c r="B67" t="s">
        <v>134</v>
      </c>
      <c r="C67" t="s">
        <v>1568</v>
      </c>
      <c r="D67" t="s">
        <v>1568</v>
      </c>
      <c r="E67" t="s">
        <v>36</v>
      </c>
      <c r="F67" t="s">
        <v>1606</v>
      </c>
      <c r="G67" t="s">
        <v>135</v>
      </c>
      <c r="H67" t="s">
        <v>1568</v>
      </c>
      <c r="I67" t="s">
        <v>136</v>
      </c>
      <c r="J67" t="s">
        <v>1568</v>
      </c>
      <c r="K67" t="s">
        <v>1568</v>
      </c>
      <c r="L67" t="s">
        <v>1568</v>
      </c>
      <c r="M67" t="s">
        <v>1568</v>
      </c>
      <c r="N67" t="s">
        <v>1568</v>
      </c>
      <c r="O67" t="s">
        <v>1568</v>
      </c>
      <c r="P67" t="s">
        <v>1568</v>
      </c>
      <c r="Q67" t="s">
        <v>1568</v>
      </c>
      <c r="R67" t="s">
        <v>1568</v>
      </c>
      <c r="S67" t="s">
        <v>1568</v>
      </c>
      <c r="T67" t="s">
        <v>1568</v>
      </c>
      <c r="U67" t="s">
        <v>1568</v>
      </c>
      <c r="V67" t="s">
        <v>1592</v>
      </c>
      <c r="W67" t="s">
        <v>137</v>
      </c>
      <c r="X67" t="s">
        <v>30</v>
      </c>
      <c r="Y67" t="s">
        <v>1572</v>
      </c>
    </row>
    <row r="68" spans="1:25" ht="16" x14ac:dyDescent="0.2">
      <c r="A68" t="s">
        <v>1568</v>
      </c>
      <c r="B68" t="s">
        <v>134</v>
      </c>
      <c r="C68" t="s">
        <v>1568</v>
      </c>
      <c r="D68" t="s">
        <v>1568</v>
      </c>
      <c r="E68" t="s">
        <v>43</v>
      </c>
      <c r="F68" t="s">
        <v>1606</v>
      </c>
      <c r="G68" t="s">
        <v>138</v>
      </c>
      <c r="H68" t="s">
        <v>1568</v>
      </c>
      <c r="I68" t="s">
        <v>139</v>
      </c>
      <c r="J68" t="s">
        <v>1568</v>
      </c>
      <c r="K68" t="s">
        <v>1568</v>
      </c>
      <c r="L68" t="s">
        <v>1568</v>
      </c>
      <c r="M68" t="s">
        <v>1568</v>
      </c>
      <c r="N68" t="s">
        <v>1568</v>
      </c>
      <c r="O68" t="s">
        <v>1568</v>
      </c>
      <c r="P68" t="s">
        <v>1568</v>
      </c>
      <c r="Q68" t="s">
        <v>1568</v>
      </c>
      <c r="R68" t="s">
        <v>1568</v>
      </c>
      <c r="S68" t="s">
        <v>1568</v>
      </c>
      <c r="T68" t="s">
        <v>1568</v>
      </c>
      <c r="U68" t="s">
        <v>1568</v>
      </c>
      <c r="V68" t="s">
        <v>1590</v>
      </c>
      <c r="W68" t="s">
        <v>140</v>
      </c>
      <c r="X68" t="s">
        <v>30</v>
      </c>
      <c r="Y68" t="s">
        <v>1572</v>
      </c>
    </row>
    <row r="69" spans="1:25" ht="16" x14ac:dyDescent="0.2">
      <c r="A69" t="s">
        <v>1568</v>
      </c>
      <c r="B69" t="s">
        <v>134</v>
      </c>
      <c r="C69" t="s">
        <v>1568</v>
      </c>
      <c r="D69" t="s">
        <v>1568</v>
      </c>
      <c r="E69" t="s">
        <v>47</v>
      </c>
      <c r="F69" t="s">
        <v>1606</v>
      </c>
      <c r="G69" t="s">
        <v>141</v>
      </c>
      <c r="H69" t="s">
        <v>1568</v>
      </c>
      <c r="I69" t="s">
        <v>142</v>
      </c>
      <c r="J69" t="s">
        <v>1568</v>
      </c>
      <c r="K69" t="s">
        <v>1568</v>
      </c>
      <c r="L69" t="s">
        <v>1568</v>
      </c>
      <c r="M69" t="s">
        <v>1568</v>
      </c>
      <c r="N69" t="s">
        <v>1568</v>
      </c>
      <c r="O69" t="s">
        <v>1568</v>
      </c>
      <c r="P69" t="s">
        <v>1568</v>
      </c>
      <c r="Q69" t="s">
        <v>1568</v>
      </c>
      <c r="R69" t="s">
        <v>1568</v>
      </c>
      <c r="S69" t="s">
        <v>1568</v>
      </c>
      <c r="T69" t="s">
        <v>1568</v>
      </c>
      <c r="U69" t="s">
        <v>1568</v>
      </c>
      <c r="V69" t="s">
        <v>1590</v>
      </c>
      <c r="W69" t="s">
        <v>143</v>
      </c>
      <c r="X69" t="s">
        <v>30</v>
      </c>
      <c r="Y69" t="s">
        <v>1572</v>
      </c>
    </row>
    <row r="70" spans="1:25" ht="16" x14ac:dyDescent="0.2">
      <c r="A70" t="s">
        <v>1568</v>
      </c>
      <c r="B70" t="s">
        <v>134</v>
      </c>
      <c r="C70" t="s">
        <v>1568</v>
      </c>
      <c r="D70" t="s">
        <v>1568</v>
      </c>
      <c r="E70" t="s">
        <v>51</v>
      </c>
      <c r="F70" t="s">
        <v>1606</v>
      </c>
      <c r="G70" t="s">
        <v>144</v>
      </c>
      <c r="H70" t="s">
        <v>1568</v>
      </c>
      <c r="I70" t="s">
        <v>145</v>
      </c>
      <c r="J70" t="s">
        <v>1568</v>
      </c>
      <c r="K70" t="s">
        <v>1568</v>
      </c>
      <c r="L70" t="s">
        <v>1568</v>
      </c>
      <c r="M70" t="s">
        <v>1568</v>
      </c>
      <c r="N70" t="s">
        <v>1568</v>
      </c>
      <c r="O70" t="s">
        <v>1568</v>
      </c>
      <c r="P70" t="s">
        <v>1568</v>
      </c>
      <c r="Q70" t="s">
        <v>1568</v>
      </c>
      <c r="R70" t="s">
        <v>1568</v>
      </c>
      <c r="S70" t="s">
        <v>1568</v>
      </c>
      <c r="T70" t="s">
        <v>1568</v>
      </c>
      <c r="U70" t="s">
        <v>1568</v>
      </c>
      <c r="V70" t="s">
        <v>1592</v>
      </c>
      <c r="W70" t="s">
        <v>146</v>
      </c>
      <c r="X70" t="s">
        <v>30</v>
      </c>
      <c r="Y70" t="s">
        <v>1572</v>
      </c>
    </row>
    <row r="71" spans="1:25" ht="16" x14ac:dyDescent="0.2">
      <c r="A71" t="s">
        <v>1568</v>
      </c>
      <c r="B71" t="s">
        <v>134</v>
      </c>
      <c r="C71" t="s">
        <v>1568</v>
      </c>
      <c r="D71" t="s">
        <v>1568</v>
      </c>
      <c r="E71" t="s">
        <v>55</v>
      </c>
      <c r="F71" t="s">
        <v>1606</v>
      </c>
      <c r="G71" t="s">
        <v>147</v>
      </c>
      <c r="H71" t="s">
        <v>1568</v>
      </c>
      <c r="I71" t="s">
        <v>148</v>
      </c>
      <c r="J71" t="s">
        <v>1568</v>
      </c>
      <c r="K71" t="s">
        <v>1568</v>
      </c>
      <c r="L71" t="s">
        <v>1568</v>
      </c>
      <c r="M71" t="s">
        <v>1568</v>
      </c>
      <c r="N71" t="s">
        <v>1568</v>
      </c>
      <c r="O71" t="s">
        <v>1568</v>
      </c>
      <c r="P71" t="s">
        <v>1568</v>
      </c>
      <c r="Q71" t="s">
        <v>1568</v>
      </c>
      <c r="R71" t="s">
        <v>1568</v>
      </c>
      <c r="S71" t="s">
        <v>1568</v>
      </c>
      <c r="T71" t="s">
        <v>1568</v>
      </c>
      <c r="U71" t="s">
        <v>1568</v>
      </c>
      <c r="V71" t="s">
        <v>1601</v>
      </c>
      <c r="W71" t="s">
        <v>149</v>
      </c>
      <c r="X71" t="s">
        <v>30</v>
      </c>
      <c r="Y71" t="s">
        <v>1572</v>
      </c>
    </row>
    <row r="72" spans="1:25" ht="16" x14ac:dyDescent="0.2">
      <c r="A72" t="s">
        <v>1568</v>
      </c>
      <c r="B72" t="s">
        <v>150</v>
      </c>
      <c r="C72" t="s">
        <v>1568</v>
      </c>
      <c r="D72" t="s">
        <v>1568</v>
      </c>
      <c r="E72" t="s">
        <v>36</v>
      </c>
      <c r="F72" t="s">
        <v>1599</v>
      </c>
      <c r="G72" t="s">
        <v>65</v>
      </c>
      <c r="H72" t="s">
        <v>1568</v>
      </c>
      <c r="I72" t="s">
        <v>66</v>
      </c>
      <c r="J72" t="s">
        <v>1568</v>
      </c>
      <c r="K72" t="s">
        <v>1568</v>
      </c>
      <c r="L72" t="s">
        <v>1568</v>
      </c>
      <c r="M72" t="s">
        <v>1568</v>
      </c>
      <c r="N72" t="s">
        <v>1568</v>
      </c>
      <c r="O72" t="s">
        <v>1568</v>
      </c>
      <c r="P72" t="s">
        <v>1568</v>
      </c>
      <c r="Q72" t="s">
        <v>1568</v>
      </c>
      <c r="R72" t="s">
        <v>1568</v>
      </c>
      <c r="S72" t="s">
        <v>1568</v>
      </c>
      <c r="T72" t="s">
        <v>1568</v>
      </c>
      <c r="U72" t="s">
        <v>1568</v>
      </c>
      <c r="V72" t="s">
        <v>1592</v>
      </c>
      <c r="W72" t="s">
        <v>67</v>
      </c>
      <c r="X72" t="s">
        <v>61</v>
      </c>
      <c r="Y72" t="s">
        <v>1587</v>
      </c>
    </row>
    <row r="73" spans="1:25" ht="16" x14ac:dyDescent="0.2">
      <c r="A73" t="s">
        <v>1568</v>
      </c>
      <c r="B73" t="s">
        <v>150</v>
      </c>
      <c r="C73" t="s">
        <v>1568</v>
      </c>
      <c r="D73" t="s">
        <v>1568</v>
      </c>
      <c r="E73" t="s">
        <v>43</v>
      </c>
      <c r="F73" t="s">
        <v>1599</v>
      </c>
      <c r="G73" t="s">
        <v>68</v>
      </c>
      <c r="H73" t="s">
        <v>1568</v>
      </c>
      <c r="I73" t="s">
        <v>69</v>
      </c>
      <c r="J73" t="s">
        <v>1568</v>
      </c>
      <c r="K73" t="s">
        <v>1568</v>
      </c>
      <c r="L73" t="s">
        <v>1568</v>
      </c>
      <c r="M73" t="s">
        <v>1568</v>
      </c>
      <c r="N73" t="s">
        <v>1568</v>
      </c>
      <c r="O73" t="s">
        <v>1568</v>
      </c>
      <c r="P73" t="s">
        <v>1568</v>
      </c>
      <c r="Q73" t="s">
        <v>1568</v>
      </c>
      <c r="R73" t="s">
        <v>1568</v>
      </c>
      <c r="S73" t="s">
        <v>1568</v>
      </c>
      <c r="T73" t="s">
        <v>1568</v>
      </c>
      <c r="U73" t="s">
        <v>1568</v>
      </c>
      <c r="V73" t="s">
        <v>1597</v>
      </c>
      <c r="W73" t="s">
        <v>70</v>
      </c>
      <c r="X73" t="s">
        <v>61</v>
      </c>
      <c r="Y73" t="s">
        <v>1587</v>
      </c>
    </row>
    <row r="74" spans="1:25" ht="16" x14ac:dyDescent="0.2">
      <c r="A74" t="s">
        <v>1568</v>
      </c>
      <c r="B74" t="s">
        <v>150</v>
      </c>
      <c r="C74" t="s">
        <v>1568</v>
      </c>
      <c r="D74" t="s">
        <v>1568</v>
      </c>
      <c r="E74" t="s">
        <v>47</v>
      </c>
      <c r="F74" t="s">
        <v>1599</v>
      </c>
      <c r="G74" t="s">
        <v>71</v>
      </c>
      <c r="H74" t="s">
        <v>1568</v>
      </c>
      <c r="I74" t="s">
        <v>72</v>
      </c>
      <c r="J74" t="s">
        <v>1568</v>
      </c>
      <c r="K74" t="s">
        <v>1568</v>
      </c>
      <c r="L74" t="s">
        <v>1568</v>
      </c>
      <c r="M74" t="s">
        <v>1568</v>
      </c>
      <c r="N74" t="s">
        <v>1568</v>
      </c>
      <c r="O74" t="s">
        <v>1568</v>
      </c>
      <c r="P74" t="s">
        <v>1568</v>
      </c>
      <c r="Q74" t="s">
        <v>1568</v>
      </c>
      <c r="R74" t="s">
        <v>1568</v>
      </c>
      <c r="S74" t="s">
        <v>1568</v>
      </c>
      <c r="T74" t="s">
        <v>1568</v>
      </c>
      <c r="U74" t="s">
        <v>1568</v>
      </c>
      <c r="V74" t="s">
        <v>1597</v>
      </c>
      <c r="W74" t="s">
        <v>73</v>
      </c>
      <c r="X74" t="s">
        <v>61</v>
      </c>
      <c r="Y74" t="s">
        <v>1587</v>
      </c>
    </row>
    <row r="75" spans="1:25" ht="16" x14ac:dyDescent="0.2">
      <c r="A75" t="s">
        <v>1568</v>
      </c>
      <c r="B75" t="s">
        <v>150</v>
      </c>
      <c r="C75" t="s">
        <v>1568</v>
      </c>
      <c r="D75" t="s">
        <v>1568</v>
      </c>
      <c r="E75" t="s">
        <v>51</v>
      </c>
      <c r="F75" t="s">
        <v>1599</v>
      </c>
      <c r="G75" t="s">
        <v>74</v>
      </c>
      <c r="H75" t="s">
        <v>1568</v>
      </c>
      <c r="I75" t="s">
        <v>75</v>
      </c>
      <c r="J75" t="s">
        <v>1568</v>
      </c>
      <c r="K75" t="s">
        <v>1568</v>
      </c>
      <c r="L75" t="s">
        <v>1568</v>
      </c>
      <c r="M75" t="s">
        <v>1568</v>
      </c>
      <c r="N75" t="s">
        <v>1568</v>
      </c>
      <c r="O75" t="s">
        <v>1568</v>
      </c>
      <c r="P75" t="s">
        <v>1568</v>
      </c>
      <c r="Q75" t="s">
        <v>1568</v>
      </c>
      <c r="R75" t="s">
        <v>1568</v>
      </c>
      <c r="S75" t="s">
        <v>1568</v>
      </c>
      <c r="T75" t="s">
        <v>1568</v>
      </c>
      <c r="U75" t="s">
        <v>1568</v>
      </c>
      <c r="V75" t="s">
        <v>1592</v>
      </c>
      <c r="W75" t="s">
        <v>76</v>
      </c>
      <c r="X75" t="s">
        <v>61</v>
      </c>
      <c r="Y75" t="s">
        <v>1587</v>
      </c>
    </row>
    <row r="76" spans="1:25" ht="16" x14ac:dyDescent="0.2">
      <c r="A76" t="s">
        <v>1568</v>
      </c>
      <c r="B76" t="s">
        <v>150</v>
      </c>
      <c r="C76" t="s">
        <v>1568</v>
      </c>
      <c r="D76" t="s">
        <v>1568</v>
      </c>
      <c r="E76" t="s">
        <v>55</v>
      </c>
      <c r="F76" t="s">
        <v>1599</v>
      </c>
      <c r="G76" t="s">
        <v>77</v>
      </c>
      <c r="H76" t="s">
        <v>1568</v>
      </c>
      <c r="I76" t="s">
        <v>78</v>
      </c>
      <c r="J76" t="s">
        <v>1568</v>
      </c>
      <c r="K76" t="s">
        <v>1568</v>
      </c>
      <c r="L76" t="s">
        <v>1568</v>
      </c>
      <c r="M76" t="s">
        <v>1568</v>
      </c>
      <c r="N76" t="s">
        <v>1568</v>
      </c>
      <c r="O76" t="s">
        <v>1568</v>
      </c>
      <c r="P76" t="s">
        <v>1568</v>
      </c>
      <c r="Q76" t="s">
        <v>1568</v>
      </c>
      <c r="R76" t="s">
        <v>1568</v>
      </c>
      <c r="S76" t="s">
        <v>1568</v>
      </c>
      <c r="T76" t="s">
        <v>1568</v>
      </c>
      <c r="U76" t="s">
        <v>1568</v>
      </c>
      <c r="V76" t="s">
        <v>1598</v>
      </c>
      <c r="W76" t="s">
        <v>79</v>
      </c>
      <c r="X76" t="s">
        <v>61</v>
      </c>
      <c r="Y76" t="s">
        <v>1587</v>
      </c>
    </row>
    <row r="77" spans="1:25" ht="16" x14ac:dyDescent="0.2">
      <c r="A77" t="s">
        <v>1568</v>
      </c>
      <c r="B77" t="s">
        <v>151</v>
      </c>
      <c r="C77" t="s">
        <v>1568</v>
      </c>
      <c r="D77" t="s">
        <v>1568</v>
      </c>
      <c r="E77" t="s">
        <v>36</v>
      </c>
      <c r="F77" t="s">
        <v>1603</v>
      </c>
      <c r="G77" t="s">
        <v>117</v>
      </c>
      <c r="H77" t="s">
        <v>1568</v>
      </c>
      <c r="I77" t="s">
        <v>118</v>
      </c>
      <c r="J77" t="s">
        <v>1568</v>
      </c>
      <c r="K77" t="s">
        <v>1568</v>
      </c>
      <c r="L77" t="s">
        <v>1568</v>
      </c>
      <c r="M77" t="s">
        <v>1568</v>
      </c>
      <c r="N77" t="s">
        <v>1568</v>
      </c>
      <c r="O77" t="s">
        <v>1568</v>
      </c>
      <c r="P77" t="s">
        <v>1568</v>
      </c>
      <c r="Q77" t="s">
        <v>1568</v>
      </c>
      <c r="R77" t="s">
        <v>1568</v>
      </c>
      <c r="S77" t="s">
        <v>1568</v>
      </c>
      <c r="T77" t="s">
        <v>1568</v>
      </c>
      <c r="U77" t="s">
        <v>1568</v>
      </c>
      <c r="V77" t="s">
        <v>1592</v>
      </c>
      <c r="W77" t="s">
        <v>119</v>
      </c>
      <c r="X77" t="s">
        <v>59</v>
      </c>
      <c r="Y77" t="s">
        <v>1581</v>
      </c>
    </row>
    <row r="78" spans="1:25" ht="16" x14ac:dyDescent="0.2">
      <c r="A78" t="s">
        <v>1568</v>
      </c>
      <c r="B78" t="s">
        <v>151</v>
      </c>
      <c r="C78" t="s">
        <v>1568</v>
      </c>
      <c r="D78" t="s">
        <v>1568</v>
      </c>
      <c r="E78" t="s">
        <v>43</v>
      </c>
      <c r="F78" t="s">
        <v>1603</v>
      </c>
      <c r="G78" t="s">
        <v>120</v>
      </c>
      <c r="H78" t="s">
        <v>1568</v>
      </c>
      <c r="I78" t="s">
        <v>121</v>
      </c>
      <c r="J78" t="s">
        <v>1568</v>
      </c>
      <c r="K78" t="s">
        <v>1568</v>
      </c>
      <c r="L78" t="s">
        <v>1568</v>
      </c>
      <c r="M78" t="s">
        <v>1568</v>
      </c>
      <c r="N78" t="s">
        <v>1568</v>
      </c>
      <c r="O78" t="s">
        <v>1568</v>
      </c>
      <c r="P78" t="s">
        <v>1568</v>
      </c>
      <c r="Q78" t="s">
        <v>1568</v>
      </c>
      <c r="R78" t="s">
        <v>1568</v>
      </c>
      <c r="S78" t="s">
        <v>1568</v>
      </c>
      <c r="T78" t="s">
        <v>1568</v>
      </c>
      <c r="U78" t="s">
        <v>1568</v>
      </c>
      <c r="V78" t="s">
        <v>1595</v>
      </c>
      <c r="W78" t="s">
        <v>122</v>
      </c>
      <c r="X78" t="s">
        <v>59</v>
      </c>
      <c r="Y78" t="s">
        <v>1581</v>
      </c>
    </row>
    <row r="79" spans="1:25" ht="16" x14ac:dyDescent="0.2">
      <c r="A79" t="s">
        <v>1568</v>
      </c>
      <c r="B79" t="s">
        <v>151</v>
      </c>
      <c r="C79" t="s">
        <v>1568</v>
      </c>
      <c r="D79" t="s">
        <v>1568</v>
      </c>
      <c r="E79" t="s">
        <v>47</v>
      </c>
      <c r="F79" t="s">
        <v>1603</v>
      </c>
      <c r="G79" t="s">
        <v>123</v>
      </c>
      <c r="H79" t="s">
        <v>1568</v>
      </c>
      <c r="I79" t="s">
        <v>124</v>
      </c>
      <c r="J79" t="s">
        <v>1568</v>
      </c>
      <c r="K79" t="s">
        <v>1568</v>
      </c>
      <c r="L79" t="s">
        <v>1568</v>
      </c>
      <c r="M79" t="s">
        <v>1568</v>
      </c>
      <c r="N79" t="s">
        <v>1568</v>
      </c>
      <c r="O79" t="s">
        <v>1568</v>
      </c>
      <c r="P79" t="s">
        <v>1568</v>
      </c>
      <c r="Q79" t="s">
        <v>1568</v>
      </c>
      <c r="R79" t="s">
        <v>1568</v>
      </c>
      <c r="S79" t="s">
        <v>1568</v>
      </c>
      <c r="T79" t="s">
        <v>1568</v>
      </c>
      <c r="U79" t="s">
        <v>1568</v>
      </c>
      <c r="V79" t="s">
        <v>1595</v>
      </c>
      <c r="W79" t="s">
        <v>125</v>
      </c>
      <c r="X79" t="s">
        <v>59</v>
      </c>
      <c r="Y79" t="s">
        <v>1581</v>
      </c>
    </row>
    <row r="80" spans="1:25" ht="16" x14ac:dyDescent="0.2">
      <c r="A80" t="s">
        <v>1568</v>
      </c>
      <c r="B80" t="s">
        <v>151</v>
      </c>
      <c r="C80" t="s">
        <v>1568</v>
      </c>
      <c r="D80" t="s">
        <v>1568</v>
      </c>
      <c r="E80" t="s">
        <v>51</v>
      </c>
      <c r="F80" t="s">
        <v>1603</v>
      </c>
      <c r="G80" t="s">
        <v>126</v>
      </c>
      <c r="H80" t="s">
        <v>1568</v>
      </c>
      <c r="I80" t="s">
        <v>127</v>
      </c>
      <c r="J80" t="s">
        <v>1568</v>
      </c>
      <c r="K80" t="s">
        <v>1568</v>
      </c>
      <c r="L80" t="s">
        <v>1568</v>
      </c>
      <c r="M80" t="s">
        <v>1568</v>
      </c>
      <c r="N80" t="s">
        <v>1568</v>
      </c>
      <c r="O80" t="s">
        <v>1568</v>
      </c>
      <c r="P80" t="s">
        <v>1568</v>
      </c>
      <c r="Q80" t="s">
        <v>1568</v>
      </c>
      <c r="R80" t="s">
        <v>1568</v>
      </c>
      <c r="S80" t="s">
        <v>1568</v>
      </c>
      <c r="T80" t="s">
        <v>1568</v>
      </c>
      <c r="U80" t="s">
        <v>1568</v>
      </c>
      <c r="V80" t="s">
        <v>1592</v>
      </c>
      <c r="W80" t="s">
        <v>128</v>
      </c>
      <c r="X80" t="s">
        <v>59</v>
      </c>
      <c r="Y80" t="s">
        <v>1581</v>
      </c>
    </row>
    <row r="81" spans="1:25" ht="16" x14ac:dyDescent="0.2">
      <c r="A81" t="s">
        <v>1568</v>
      </c>
      <c r="B81" t="s">
        <v>151</v>
      </c>
      <c r="C81" t="s">
        <v>1568</v>
      </c>
      <c r="D81" t="s">
        <v>1568</v>
      </c>
      <c r="E81" t="s">
        <v>55</v>
      </c>
      <c r="F81" t="s">
        <v>1603</v>
      </c>
      <c r="G81" t="s">
        <v>129</v>
      </c>
      <c r="H81" t="s">
        <v>1568</v>
      </c>
      <c r="I81" t="s">
        <v>130</v>
      </c>
      <c r="J81" t="s">
        <v>1568</v>
      </c>
      <c r="K81" t="s">
        <v>1568</v>
      </c>
      <c r="L81" t="s">
        <v>1568</v>
      </c>
      <c r="M81" t="s">
        <v>1568</v>
      </c>
      <c r="N81" t="s">
        <v>1568</v>
      </c>
      <c r="O81" t="s">
        <v>1568</v>
      </c>
      <c r="P81" t="s">
        <v>1568</v>
      </c>
      <c r="Q81" t="s">
        <v>1568</v>
      </c>
      <c r="R81" t="s">
        <v>1568</v>
      </c>
      <c r="S81" t="s">
        <v>1568</v>
      </c>
      <c r="T81" t="s">
        <v>1568</v>
      </c>
      <c r="U81" t="s">
        <v>1568</v>
      </c>
      <c r="V81" t="s">
        <v>1596</v>
      </c>
      <c r="W81" t="s">
        <v>131</v>
      </c>
      <c r="X81" t="s">
        <v>59</v>
      </c>
      <c r="Y81" t="s">
        <v>1581</v>
      </c>
    </row>
    <row r="82" spans="1:25" ht="16" x14ac:dyDescent="0.2">
      <c r="A82" t="s">
        <v>1568</v>
      </c>
      <c r="B82" t="s">
        <v>152</v>
      </c>
      <c r="C82" t="s">
        <v>1568</v>
      </c>
      <c r="D82" t="s">
        <v>1568</v>
      </c>
      <c r="E82" t="s">
        <v>36</v>
      </c>
      <c r="F82" t="s">
        <v>1600</v>
      </c>
      <c r="G82" t="s">
        <v>82</v>
      </c>
      <c r="H82" t="s">
        <v>1568</v>
      </c>
      <c r="I82" t="s">
        <v>83</v>
      </c>
      <c r="J82" t="s">
        <v>1568</v>
      </c>
      <c r="K82" t="s">
        <v>1568</v>
      </c>
      <c r="L82" t="s">
        <v>1568</v>
      </c>
      <c r="M82" t="s">
        <v>1568</v>
      </c>
      <c r="N82" t="s">
        <v>1568</v>
      </c>
      <c r="O82" t="s">
        <v>1568</v>
      </c>
      <c r="P82" t="s">
        <v>1568</v>
      </c>
      <c r="Q82" t="s">
        <v>1568</v>
      </c>
      <c r="R82" t="s">
        <v>1568</v>
      </c>
      <c r="S82" t="s">
        <v>1568</v>
      </c>
      <c r="T82" t="s">
        <v>1568</v>
      </c>
      <c r="U82" t="s">
        <v>1568</v>
      </c>
      <c r="V82" t="s">
        <v>1592</v>
      </c>
      <c r="W82" t="s">
        <v>84</v>
      </c>
      <c r="X82" t="s">
        <v>61</v>
      </c>
      <c r="Y82" t="s">
        <v>1587</v>
      </c>
    </row>
    <row r="83" spans="1:25" ht="16" x14ac:dyDescent="0.2">
      <c r="A83" t="s">
        <v>1568</v>
      </c>
      <c r="B83" t="s">
        <v>152</v>
      </c>
      <c r="C83" t="s">
        <v>1568</v>
      </c>
      <c r="D83" t="s">
        <v>1568</v>
      </c>
      <c r="E83" t="s">
        <v>43</v>
      </c>
      <c r="F83" t="s">
        <v>1600</v>
      </c>
      <c r="G83" t="s">
        <v>85</v>
      </c>
      <c r="H83" t="s">
        <v>1568</v>
      </c>
      <c r="I83" t="s">
        <v>86</v>
      </c>
      <c r="J83" t="s">
        <v>1568</v>
      </c>
      <c r="K83" t="s">
        <v>1568</v>
      </c>
      <c r="L83" t="s">
        <v>1568</v>
      </c>
      <c r="M83" t="s">
        <v>1568</v>
      </c>
      <c r="N83" t="s">
        <v>1568</v>
      </c>
      <c r="O83" t="s">
        <v>1568</v>
      </c>
      <c r="P83" t="s">
        <v>1568</v>
      </c>
      <c r="Q83" t="s">
        <v>1568</v>
      </c>
      <c r="R83" t="s">
        <v>1568</v>
      </c>
      <c r="S83" t="s">
        <v>1568</v>
      </c>
      <c r="T83" t="s">
        <v>1568</v>
      </c>
      <c r="U83" t="s">
        <v>1568</v>
      </c>
      <c r="V83" t="s">
        <v>1607</v>
      </c>
      <c r="W83" t="s">
        <v>87</v>
      </c>
      <c r="X83" t="s">
        <v>61</v>
      </c>
      <c r="Y83" t="s">
        <v>1587</v>
      </c>
    </row>
    <row r="84" spans="1:25" ht="16" x14ac:dyDescent="0.2">
      <c r="A84" t="s">
        <v>1568</v>
      </c>
      <c r="B84" t="s">
        <v>152</v>
      </c>
      <c r="C84" t="s">
        <v>1568</v>
      </c>
      <c r="D84" t="s">
        <v>1568</v>
      </c>
      <c r="E84" t="s">
        <v>47</v>
      </c>
      <c r="F84" t="s">
        <v>1600</v>
      </c>
      <c r="G84" t="s">
        <v>88</v>
      </c>
      <c r="H84" t="s">
        <v>1568</v>
      </c>
      <c r="I84" t="s">
        <v>89</v>
      </c>
      <c r="J84" t="s">
        <v>1568</v>
      </c>
      <c r="K84" t="s">
        <v>1568</v>
      </c>
      <c r="L84" t="s">
        <v>1568</v>
      </c>
      <c r="M84" t="s">
        <v>1568</v>
      </c>
      <c r="N84" t="s">
        <v>1568</v>
      </c>
      <c r="O84" t="s">
        <v>1568</v>
      </c>
      <c r="P84" t="s">
        <v>1568</v>
      </c>
      <c r="Q84" t="s">
        <v>1568</v>
      </c>
      <c r="R84" t="s">
        <v>1568</v>
      </c>
      <c r="S84" t="s">
        <v>1568</v>
      </c>
      <c r="T84" t="s">
        <v>1568</v>
      </c>
      <c r="U84" t="s">
        <v>1568</v>
      </c>
      <c r="V84" t="s">
        <v>1607</v>
      </c>
      <c r="W84" t="s">
        <v>90</v>
      </c>
      <c r="X84" t="s">
        <v>61</v>
      </c>
      <c r="Y84" t="s">
        <v>1587</v>
      </c>
    </row>
    <row r="85" spans="1:25" ht="16" x14ac:dyDescent="0.2">
      <c r="A85" t="s">
        <v>1568</v>
      </c>
      <c r="B85" t="s">
        <v>152</v>
      </c>
      <c r="C85" t="s">
        <v>1568</v>
      </c>
      <c r="D85" t="s">
        <v>1568</v>
      </c>
      <c r="E85" t="s">
        <v>51</v>
      </c>
      <c r="F85" t="s">
        <v>1600</v>
      </c>
      <c r="G85" t="s">
        <v>91</v>
      </c>
      <c r="H85" t="s">
        <v>1568</v>
      </c>
      <c r="I85" t="s">
        <v>92</v>
      </c>
      <c r="J85" t="s">
        <v>1568</v>
      </c>
      <c r="K85" t="s">
        <v>1568</v>
      </c>
      <c r="L85" t="s">
        <v>1568</v>
      </c>
      <c r="M85" t="s">
        <v>1568</v>
      </c>
      <c r="N85" t="s">
        <v>1568</v>
      </c>
      <c r="O85" t="s">
        <v>1568</v>
      </c>
      <c r="P85" t="s">
        <v>1568</v>
      </c>
      <c r="Q85" t="s">
        <v>1568</v>
      </c>
      <c r="R85" t="s">
        <v>1568</v>
      </c>
      <c r="S85" t="s">
        <v>1568</v>
      </c>
      <c r="T85" t="s">
        <v>1568</v>
      </c>
      <c r="U85" t="s">
        <v>1568</v>
      </c>
      <c r="V85" t="s">
        <v>1592</v>
      </c>
      <c r="W85" t="s">
        <v>93</v>
      </c>
      <c r="X85" t="s">
        <v>61</v>
      </c>
      <c r="Y85" t="s">
        <v>1587</v>
      </c>
    </row>
    <row r="86" spans="1:25" ht="16" x14ac:dyDescent="0.2">
      <c r="A86" t="s">
        <v>1568</v>
      </c>
      <c r="B86" t="s">
        <v>152</v>
      </c>
      <c r="C86" t="s">
        <v>1568</v>
      </c>
      <c r="D86" t="s">
        <v>1568</v>
      </c>
      <c r="E86" t="s">
        <v>55</v>
      </c>
      <c r="F86" t="s">
        <v>1600</v>
      </c>
      <c r="G86" t="s">
        <v>94</v>
      </c>
      <c r="H86" t="s">
        <v>1568</v>
      </c>
      <c r="I86" t="s">
        <v>95</v>
      </c>
      <c r="J86" t="s">
        <v>1568</v>
      </c>
      <c r="K86" t="s">
        <v>1568</v>
      </c>
      <c r="L86" t="s">
        <v>1568</v>
      </c>
      <c r="M86" t="s">
        <v>1568</v>
      </c>
      <c r="N86" t="s">
        <v>1568</v>
      </c>
      <c r="O86" t="s">
        <v>1568</v>
      </c>
      <c r="P86" t="s">
        <v>1568</v>
      </c>
      <c r="Q86" t="s">
        <v>1568</v>
      </c>
      <c r="R86" t="s">
        <v>1568</v>
      </c>
      <c r="S86" t="s">
        <v>1568</v>
      </c>
      <c r="T86" t="s">
        <v>1568</v>
      </c>
      <c r="U86" t="s">
        <v>1568</v>
      </c>
      <c r="V86" t="s">
        <v>1608</v>
      </c>
      <c r="W86" t="s">
        <v>96</v>
      </c>
      <c r="X86" t="s">
        <v>61</v>
      </c>
      <c r="Y86" t="s">
        <v>1587</v>
      </c>
    </row>
    <row r="87" spans="1:25" ht="16" x14ac:dyDescent="0.2">
      <c r="A87" t="s">
        <v>1568</v>
      </c>
      <c r="B87" t="s">
        <v>153</v>
      </c>
      <c r="C87" t="s">
        <v>1568</v>
      </c>
      <c r="D87" t="s">
        <v>1568</v>
      </c>
      <c r="E87" t="s">
        <v>36</v>
      </c>
      <c r="F87" t="s">
        <v>1602</v>
      </c>
      <c r="G87" t="s">
        <v>99</v>
      </c>
      <c r="H87" t="s">
        <v>1568</v>
      </c>
      <c r="I87" t="s">
        <v>100</v>
      </c>
      <c r="J87" t="s">
        <v>1568</v>
      </c>
      <c r="K87" t="s">
        <v>1568</v>
      </c>
      <c r="L87" t="s">
        <v>1568</v>
      </c>
      <c r="M87" t="s">
        <v>1568</v>
      </c>
      <c r="N87" t="s">
        <v>1568</v>
      </c>
      <c r="O87" t="s">
        <v>1568</v>
      </c>
      <c r="P87" t="s">
        <v>1568</v>
      </c>
      <c r="Q87" t="s">
        <v>1568</v>
      </c>
      <c r="R87" t="s">
        <v>1568</v>
      </c>
      <c r="S87" t="s">
        <v>1568</v>
      </c>
      <c r="T87" t="s">
        <v>1568</v>
      </c>
      <c r="U87" t="s">
        <v>1568</v>
      </c>
      <c r="V87" t="s">
        <v>1592</v>
      </c>
      <c r="W87" t="s">
        <v>101</v>
      </c>
      <c r="X87" t="s">
        <v>61</v>
      </c>
      <c r="Y87" t="s">
        <v>1587</v>
      </c>
    </row>
    <row r="88" spans="1:25" ht="16" x14ac:dyDescent="0.2">
      <c r="A88" t="s">
        <v>1568</v>
      </c>
      <c r="B88" t="s">
        <v>153</v>
      </c>
      <c r="C88" t="s">
        <v>1568</v>
      </c>
      <c r="D88" t="s">
        <v>1568</v>
      </c>
      <c r="E88" t="s">
        <v>43</v>
      </c>
      <c r="F88" t="s">
        <v>1602</v>
      </c>
      <c r="G88" t="s">
        <v>102</v>
      </c>
      <c r="H88" t="s">
        <v>1568</v>
      </c>
      <c r="I88" t="s">
        <v>103</v>
      </c>
      <c r="J88" t="s">
        <v>1568</v>
      </c>
      <c r="K88" t="s">
        <v>1568</v>
      </c>
      <c r="L88" t="s">
        <v>1568</v>
      </c>
      <c r="M88" t="s">
        <v>1568</v>
      </c>
      <c r="N88" t="s">
        <v>1568</v>
      </c>
      <c r="O88" t="s">
        <v>1568</v>
      </c>
      <c r="P88" t="s">
        <v>1568</v>
      </c>
      <c r="Q88" t="s">
        <v>1568</v>
      </c>
      <c r="R88" t="s">
        <v>1568</v>
      </c>
      <c r="S88" t="s">
        <v>1568</v>
      </c>
      <c r="T88" t="s">
        <v>1568</v>
      </c>
      <c r="U88" t="s">
        <v>1568</v>
      </c>
      <c r="V88" t="s">
        <v>1597</v>
      </c>
      <c r="W88" t="s">
        <v>104</v>
      </c>
      <c r="X88" t="s">
        <v>61</v>
      </c>
      <c r="Y88" t="s">
        <v>1587</v>
      </c>
    </row>
    <row r="89" spans="1:25" ht="16" x14ac:dyDescent="0.2">
      <c r="A89" t="s">
        <v>1568</v>
      </c>
      <c r="B89" t="s">
        <v>153</v>
      </c>
      <c r="C89" t="s">
        <v>1568</v>
      </c>
      <c r="D89" t="s">
        <v>1568</v>
      </c>
      <c r="E89" t="s">
        <v>47</v>
      </c>
      <c r="F89" t="s">
        <v>1602</v>
      </c>
      <c r="G89" t="s">
        <v>105</v>
      </c>
      <c r="H89" t="s">
        <v>1568</v>
      </c>
      <c r="I89" t="s">
        <v>106</v>
      </c>
      <c r="J89" t="s">
        <v>1568</v>
      </c>
      <c r="K89" t="s">
        <v>1568</v>
      </c>
      <c r="L89" t="s">
        <v>1568</v>
      </c>
      <c r="M89" t="s">
        <v>1568</v>
      </c>
      <c r="N89" t="s">
        <v>1568</v>
      </c>
      <c r="O89" t="s">
        <v>1568</v>
      </c>
      <c r="P89" t="s">
        <v>1568</v>
      </c>
      <c r="Q89" t="s">
        <v>1568</v>
      </c>
      <c r="R89" t="s">
        <v>1568</v>
      </c>
      <c r="S89" t="s">
        <v>1568</v>
      </c>
      <c r="T89" t="s">
        <v>1568</v>
      </c>
      <c r="U89" t="s">
        <v>1568</v>
      </c>
      <c r="V89" t="s">
        <v>1597</v>
      </c>
      <c r="W89" t="s">
        <v>107</v>
      </c>
      <c r="X89" t="s">
        <v>61</v>
      </c>
      <c r="Y89" t="s">
        <v>1587</v>
      </c>
    </row>
    <row r="90" spans="1:25" ht="16" x14ac:dyDescent="0.2">
      <c r="A90" t="s">
        <v>1568</v>
      </c>
      <c r="B90" t="s">
        <v>153</v>
      </c>
      <c r="C90" t="s">
        <v>1568</v>
      </c>
      <c r="D90" t="s">
        <v>1568</v>
      </c>
      <c r="E90" t="s">
        <v>51</v>
      </c>
      <c r="F90" t="s">
        <v>1602</v>
      </c>
      <c r="G90" t="s">
        <v>108</v>
      </c>
      <c r="H90" t="s">
        <v>1568</v>
      </c>
      <c r="I90" t="s">
        <v>109</v>
      </c>
      <c r="J90" t="s">
        <v>1568</v>
      </c>
      <c r="K90" t="s">
        <v>1568</v>
      </c>
      <c r="L90" t="s">
        <v>1568</v>
      </c>
      <c r="M90" t="s">
        <v>1568</v>
      </c>
      <c r="N90" t="s">
        <v>1568</v>
      </c>
      <c r="O90" t="s">
        <v>1568</v>
      </c>
      <c r="P90" t="s">
        <v>1568</v>
      </c>
      <c r="Q90" t="s">
        <v>1568</v>
      </c>
      <c r="R90" t="s">
        <v>1568</v>
      </c>
      <c r="S90" t="s">
        <v>1568</v>
      </c>
      <c r="T90" t="s">
        <v>1568</v>
      </c>
      <c r="U90" t="s">
        <v>1568</v>
      </c>
      <c r="V90" t="s">
        <v>1592</v>
      </c>
      <c r="W90" t="s">
        <v>110</v>
      </c>
      <c r="X90" t="s">
        <v>61</v>
      </c>
      <c r="Y90" t="s">
        <v>1587</v>
      </c>
    </row>
    <row r="91" spans="1:25" ht="16" x14ac:dyDescent="0.2">
      <c r="A91" t="s">
        <v>1568</v>
      </c>
      <c r="B91" t="s">
        <v>153</v>
      </c>
      <c r="C91" t="s">
        <v>1568</v>
      </c>
      <c r="D91" t="s">
        <v>1568</v>
      </c>
      <c r="E91" t="s">
        <v>55</v>
      </c>
      <c r="F91" t="s">
        <v>1602</v>
      </c>
      <c r="G91" t="s">
        <v>111</v>
      </c>
      <c r="H91" t="s">
        <v>1568</v>
      </c>
      <c r="I91" t="s">
        <v>112</v>
      </c>
      <c r="J91" t="s">
        <v>1568</v>
      </c>
      <c r="K91" t="s">
        <v>1568</v>
      </c>
      <c r="L91" t="s">
        <v>1568</v>
      </c>
      <c r="M91" t="s">
        <v>1568</v>
      </c>
      <c r="N91" t="s">
        <v>1568</v>
      </c>
      <c r="O91" t="s">
        <v>1568</v>
      </c>
      <c r="P91" t="s">
        <v>1568</v>
      </c>
      <c r="Q91" t="s">
        <v>1568</v>
      </c>
      <c r="R91" t="s">
        <v>1568</v>
      </c>
      <c r="S91" t="s">
        <v>1568</v>
      </c>
      <c r="T91" t="s">
        <v>1568</v>
      </c>
      <c r="U91" t="s">
        <v>1568</v>
      </c>
      <c r="V91" t="s">
        <v>1598</v>
      </c>
      <c r="W91" t="s">
        <v>113</v>
      </c>
      <c r="X91" t="s">
        <v>61</v>
      </c>
      <c r="Y91" t="s">
        <v>1587</v>
      </c>
    </row>
    <row r="92" spans="1:25" ht="16" x14ac:dyDescent="0.2">
      <c r="A92" t="s">
        <v>1568</v>
      </c>
      <c r="B92" t="s">
        <v>154</v>
      </c>
      <c r="C92" t="s">
        <v>1568</v>
      </c>
      <c r="D92" t="s">
        <v>1568</v>
      </c>
      <c r="E92" t="s">
        <v>36</v>
      </c>
      <c r="F92" t="s">
        <v>1606</v>
      </c>
      <c r="G92" t="s">
        <v>135</v>
      </c>
      <c r="H92" t="s">
        <v>1568</v>
      </c>
      <c r="I92" t="s">
        <v>136</v>
      </c>
      <c r="J92" t="s">
        <v>1568</v>
      </c>
      <c r="K92" t="s">
        <v>1568</v>
      </c>
      <c r="L92" t="s">
        <v>1568</v>
      </c>
      <c r="M92" t="s">
        <v>1568</v>
      </c>
      <c r="N92" t="s">
        <v>1568</v>
      </c>
      <c r="O92" t="s">
        <v>1568</v>
      </c>
      <c r="P92" t="s">
        <v>1568</v>
      </c>
      <c r="Q92" t="s">
        <v>1568</v>
      </c>
      <c r="R92" t="s">
        <v>1568</v>
      </c>
      <c r="S92" t="s">
        <v>1568</v>
      </c>
      <c r="T92" t="s">
        <v>1568</v>
      </c>
      <c r="U92" t="s">
        <v>1568</v>
      </c>
      <c r="V92" t="s">
        <v>1592</v>
      </c>
      <c r="W92" t="s">
        <v>137</v>
      </c>
      <c r="X92" t="s">
        <v>59</v>
      </c>
      <c r="Y92" t="s">
        <v>1581</v>
      </c>
    </row>
    <row r="93" spans="1:25" ht="16" x14ac:dyDescent="0.2">
      <c r="A93" t="s">
        <v>1568</v>
      </c>
      <c r="B93" t="s">
        <v>154</v>
      </c>
      <c r="C93" t="s">
        <v>1568</v>
      </c>
      <c r="D93" t="s">
        <v>1568</v>
      </c>
      <c r="E93" t="s">
        <v>43</v>
      </c>
      <c r="F93" t="s">
        <v>1606</v>
      </c>
      <c r="G93" t="s">
        <v>138</v>
      </c>
      <c r="H93" t="s">
        <v>1568</v>
      </c>
      <c r="I93" t="s">
        <v>139</v>
      </c>
      <c r="J93" t="s">
        <v>1568</v>
      </c>
      <c r="K93" t="s">
        <v>1568</v>
      </c>
      <c r="L93" t="s">
        <v>1568</v>
      </c>
      <c r="M93" t="s">
        <v>1568</v>
      </c>
      <c r="N93" t="s">
        <v>1568</v>
      </c>
      <c r="O93" t="s">
        <v>1568</v>
      </c>
      <c r="P93" t="s">
        <v>1568</v>
      </c>
      <c r="Q93" t="s">
        <v>1568</v>
      </c>
      <c r="R93" t="s">
        <v>1568</v>
      </c>
      <c r="S93" t="s">
        <v>1568</v>
      </c>
      <c r="T93" t="s">
        <v>1568</v>
      </c>
      <c r="U93" t="s">
        <v>1568</v>
      </c>
      <c r="V93" t="s">
        <v>1604</v>
      </c>
      <c r="W93" t="s">
        <v>140</v>
      </c>
      <c r="X93" t="s">
        <v>59</v>
      </c>
      <c r="Y93" t="s">
        <v>1581</v>
      </c>
    </row>
    <row r="94" spans="1:25" ht="16" x14ac:dyDescent="0.2">
      <c r="A94" t="s">
        <v>1568</v>
      </c>
      <c r="B94" t="s">
        <v>154</v>
      </c>
      <c r="C94" t="s">
        <v>1568</v>
      </c>
      <c r="D94" t="s">
        <v>1568</v>
      </c>
      <c r="E94" t="s">
        <v>47</v>
      </c>
      <c r="F94" t="s">
        <v>1606</v>
      </c>
      <c r="G94" t="s">
        <v>141</v>
      </c>
      <c r="H94" t="s">
        <v>1568</v>
      </c>
      <c r="I94" t="s">
        <v>142</v>
      </c>
      <c r="J94" t="s">
        <v>1568</v>
      </c>
      <c r="K94" t="s">
        <v>1568</v>
      </c>
      <c r="L94" t="s">
        <v>1568</v>
      </c>
      <c r="M94" t="s">
        <v>1568</v>
      </c>
      <c r="N94" t="s">
        <v>1568</v>
      </c>
      <c r="O94" t="s">
        <v>1568</v>
      </c>
      <c r="P94" t="s">
        <v>1568</v>
      </c>
      <c r="Q94" t="s">
        <v>1568</v>
      </c>
      <c r="R94" t="s">
        <v>1568</v>
      </c>
      <c r="S94" t="s">
        <v>1568</v>
      </c>
      <c r="T94" t="s">
        <v>1568</v>
      </c>
      <c r="U94" t="s">
        <v>1568</v>
      </c>
      <c r="V94" t="s">
        <v>1604</v>
      </c>
      <c r="W94" t="s">
        <v>143</v>
      </c>
      <c r="X94" t="s">
        <v>59</v>
      </c>
      <c r="Y94" t="s">
        <v>1581</v>
      </c>
    </row>
    <row r="95" spans="1:25" ht="16" x14ac:dyDescent="0.2">
      <c r="A95" t="s">
        <v>1568</v>
      </c>
      <c r="B95" t="s">
        <v>154</v>
      </c>
      <c r="C95" t="s">
        <v>1568</v>
      </c>
      <c r="D95" t="s">
        <v>1568</v>
      </c>
      <c r="E95" t="s">
        <v>51</v>
      </c>
      <c r="F95" t="s">
        <v>1606</v>
      </c>
      <c r="G95" t="s">
        <v>144</v>
      </c>
      <c r="H95" t="s">
        <v>1568</v>
      </c>
      <c r="I95" t="s">
        <v>145</v>
      </c>
      <c r="J95" t="s">
        <v>1568</v>
      </c>
      <c r="K95" t="s">
        <v>1568</v>
      </c>
      <c r="L95" t="s">
        <v>1568</v>
      </c>
      <c r="M95" t="s">
        <v>1568</v>
      </c>
      <c r="N95" t="s">
        <v>1568</v>
      </c>
      <c r="O95" t="s">
        <v>1568</v>
      </c>
      <c r="P95" t="s">
        <v>1568</v>
      </c>
      <c r="Q95" t="s">
        <v>1568</v>
      </c>
      <c r="R95" t="s">
        <v>1568</v>
      </c>
      <c r="S95" t="s">
        <v>1568</v>
      </c>
      <c r="T95" t="s">
        <v>1568</v>
      </c>
      <c r="U95" t="s">
        <v>1568</v>
      </c>
      <c r="V95" t="s">
        <v>1592</v>
      </c>
      <c r="W95" t="s">
        <v>146</v>
      </c>
      <c r="X95" t="s">
        <v>59</v>
      </c>
      <c r="Y95" t="s">
        <v>1581</v>
      </c>
    </row>
    <row r="96" spans="1:25" ht="16" x14ac:dyDescent="0.2">
      <c r="A96" t="s">
        <v>1568</v>
      </c>
      <c r="B96" t="s">
        <v>154</v>
      </c>
      <c r="C96" t="s">
        <v>1568</v>
      </c>
      <c r="D96" t="s">
        <v>1568</v>
      </c>
      <c r="E96" t="s">
        <v>55</v>
      </c>
      <c r="F96" t="s">
        <v>1606</v>
      </c>
      <c r="G96" t="s">
        <v>147</v>
      </c>
      <c r="H96" t="s">
        <v>1568</v>
      </c>
      <c r="I96" t="s">
        <v>148</v>
      </c>
      <c r="J96" t="s">
        <v>1568</v>
      </c>
      <c r="K96" t="s">
        <v>1568</v>
      </c>
      <c r="L96" t="s">
        <v>1568</v>
      </c>
      <c r="M96" t="s">
        <v>1568</v>
      </c>
      <c r="N96" t="s">
        <v>1568</v>
      </c>
      <c r="O96" t="s">
        <v>1568</v>
      </c>
      <c r="P96" t="s">
        <v>1568</v>
      </c>
      <c r="Q96" t="s">
        <v>1568</v>
      </c>
      <c r="R96" t="s">
        <v>1568</v>
      </c>
      <c r="S96" t="s">
        <v>1568</v>
      </c>
      <c r="T96" t="s">
        <v>1568</v>
      </c>
      <c r="U96" t="s">
        <v>1568</v>
      </c>
      <c r="V96" t="s">
        <v>1605</v>
      </c>
      <c r="W96" t="s">
        <v>149</v>
      </c>
      <c r="X96" t="s">
        <v>59</v>
      </c>
      <c r="Y96" t="s">
        <v>1581</v>
      </c>
    </row>
    <row r="97" spans="1:25" ht="16" x14ac:dyDescent="0.2">
      <c r="A97" t="s">
        <v>1568</v>
      </c>
      <c r="B97" t="s">
        <v>155</v>
      </c>
      <c r="C97" t="s">
        <v>1568</v>
      </c>
      <c r="D97" t="s">
        <v>1568</v>
      </c>
      <c r="E97" t="s">
        <v>36</v>
      </c>
      <c r="F97" t="s">
        <v>1609</v>
      </c>
      <c r="G97" t="s">
        <v>156</v>
      </c>
      <c r="H97" t="s">
        <v>1568</v>
      </c>
      <c r="I97" t="s">
        <v>157</v>
      </c>
      <c r="J97" t="s">
        <v>1568</v>
      </c>
      <c r="K97" t="s">
        <v>1568</v>
      </c>
      <c r="L97" t="s">
        <v>1568</v>
      </c>
      <c r="M97" t="s">
        <v>1568</v>
      </c>
      <c r="N97" t="s">
        <v>1568</v>
      </c>
      <c r="O97" t="s">
        <v>1568</v>
      </c>
      <c r="P97" t="s">
        <v>1568</v>
      </c>
      <c r="Q97" t="s">
        <v>1568</v>
      </c>
      <c r="R97" t="s">
        <v>1568</v>
      </c>
      <c r="S97" t="s">
        <v>1568</v>
      </c>
      <c r="T97" t="s">
        <v>1568</v>
      </c>
      <c r="U97" t="s">
        <v>1568</v>
      </c>
      <c r="V97" t="s">
        <v>1592</v>
      </c>
      <c r="W97" t="s">
        <v>39</v>
      </c>
      <c r="X97" t="s">
        <v>59</v>
      </c>
      <c r="Y97" t="s">
        <v>1581</v>
      </c>
    </row>
    <row r="98" spans="1:25" ht="16" x14ac:dyDescent="0.2">
      <c r="A98" t="s">
        <v>1568</v>
      </c>
      <c r="B98" t="s">
        <v>155</v>
      </c>
      <c r="C98" t="s">
        <v>1568</v>
      </c>
      <c r="D98" t="s">
        <v>1568</v>
      </c>
      <c r="E98" t="s">
        <v>43</v>
      </c>
      <c r="F98" t="s">
        <v>1609</v>
      </c>
      <c r="G98" t="s">
        <v>158</v>
      </c>
      <c r="H98" t="s">
        <v>1568</v>
      </c>
      <c r="I98" t="s">
        <v>159</v>
      </c>
      <c r="J98" t="s">
        <v>1568</v>
      </c>
      <c r="K98" t="s">
        <v>1568</v>
      </c>
      <c r="L98" t="s">
        <v>1568</v>
      </c>
      <c r="M98" t="s">
        <v>1568</v>
      </c>
      <c r="N98" t="s">
        <v>1568</v>
      </c>
      <c r="O98" t="s">
        <v>1568</v>
      </c>
      <c r="P98" t="s">
        <v>1568</v>
      </c>
      <c r="Q98" t="s">
        <v>1568</v>
      </c>
      <c r="R98" t="s">
        <v>1568</v>
      </c>
      <c r="S98" t="s">
        <v>1568</v>
      </c>
      <c r="T98" t="s">
        <v>1568</v>
      </c>
      <c r="U98" t="s">
        <v>1568</v>
      </c>
      <c r="V98" t="s">
        <v>1595</v>
      </c>
      <c r="W98" t="s">
        <v>160</v>
      </c>
      <c r="X98" t="s">
        <v>59</v>
      </c>
      <c r="Y98" t="s">
        <v>1581</v>
      </c>
    </row>
    <row r="99" spans="1:25" ht="16" x14ac:dyDescent="0.2">
      <c r="A99" t="s">
        <v>1568</v>
      </c>
      <c r="B99" t="s">
        <v>155</v>
      </c>
      <c r="C99" t="s">
        <v>1568</v>
      </c>
      <c r="D99" t="s">
        <v>1568</v>
      </c>
      <c r="E99" t="s">
        <v>47</v>
      </c>
      <c r="F99" t="s">
        <v>1609</v>
      </c>
      <c r="G99" t="s">
        <v>161</v>
      </c>
      <c r="H99" t="s">
        <v>1568</v>
      </c>
      <c r="I99" t="s">
        <v>162</v>
      </c>
      <c r="J99" t="s">
        <v>1568</v>
      </c>
      <c r="K99" t="s">
        <v>1568</v>
      </c>
      <c r="L99" t="s">
        <v>1568</v>
      </c>
      <c r="M99" t="s">
        <v>1568</v>
      </c>
      <c r="N99" t="s">
        <v>1568</v>
      </c>
      <c r="O99" t="s">
        <v>1568</v>
      </c>
      <c r="P99" t="s">
        <v>1568</v>
      </c>
      <c r="Q99" t="s">
        <v>1568</v>
      </c>
      <c r="R99" t="s">
        <v>1568</v>
      </c>
      <c r="S99" t="s">
        <v>1568</v>
      </c>
      <c r="T99" t="s">
        <v>1568</v>
      </c>
      <c r="U99" t="s">
        <v>1568</v>
      </c>
      <c r="V99" t="s">
        <v>1595</v>
      </c>
      <c r="W99" t="s">
        <v>163</v>
      </c>
      <c r="X99" t="s">
        <v>59</v>
      </c>
      <c r="Y99" t="s">
        <v>1581</v>
      </c>
    </row>
    <row r="100" spans="1:25" ht="16" x14ac:dyDescent="0.2">
      <c r="A100" t="s">
        <v>1568</v>
      </c>
      <c r="B100" t="s">
        <v>155</v>
      </c>
      <c r="C100" t="s">
        <v>1568</v>
      </c>
      <c r="D100" t="s">
        <v>1568</v>
      </c>
      <c r="E100" t="s">
        <v>51</v>
      </c>
      <c r="F100" t="s">
        <v>1609</v>
      </c>
      <c r="G100" t="s">
        <v>164</v>
      </c>
      <c r="H100" t="s">
        <v>1568</v>
      </c>
      <c r="I100" t="s">
        <v>165</v>
      </c>
      <c r="J100" t="s">
        <v>1568</v>
      </c>
      <c r="K100" t="s">
        <v>1568</v>
      </c>
      <c r="L100" t="s">
        <v>1568</v>
      </c>
      <c r="M100" t="s">
        <v>1568</v>
      </c>
      <c r="N100" t="s">
        <v>1568</v>
      </c>
      <c r="O100" t="s">
        <v>1568</v>
      </c>
      <c r="P100" t="s">
        <v>1568</v>
      </c>
      <c r="Q100" t="s">
        <v>1568</v>
      </c>
      <c r="R100" t="s">
        <v>1568</v>
      </c>
      <c r="S100" t="s">
        <v>1568</v>
      </c>
      <c r="T100" t="s">
        <v>1568</v>
      </c>
      <c r="U100" t="s">
        <v>1568</v>
      </c>
      <c r="V100" t="s">
        <v>1592</v>
      </c>
      <c r="W100" t="s">
        <v>166</v>
      </c>
      <c r="X100" t="s">
        <v>59</v>
      </c>
      <c r="Y100" t="s">
        <v>1581</v>
      </c>
    </row>
    <row r="101" spans="1:25" ht="16" x14ac:dyDescent="0.2">
      <c r="A101" t="s">
        <v>1568</v>
      </c>
      <c r="B101" t="s">
        <v>155</v>
      </c>
      <c r="C101" t="s">
        <v>1568</v>
      </c>
      <c r="D101" t="s">
        <v>1568</v>
      </c>
      <c r="E101" t="s">
        <v>55</v>
      </c>
      <c r="F101" t="s">
        <v>1609</v>
      </c>
      <c r="G101" t="s">
        <v>167</v>
      </c>
      <c r="H101" t="s">
        <v>1568</v>
      </c>
      <c r="I101" t="s">
        <v>168</v>
      </c>
      <c r="J101" t="s">
        <v>1568</v>
      </c>
      <c r="K101" t="s">
        <v>1568</v>
      </c>
      <c r="L101" t="s">
        <v>1568</v>
      </c>
      <c r="M101" t="s">
        <v>1568</v>
      </c>
      <c r="N101" t="s">
        <v>1568</v>
      </c>
      <c r="O101" t="s">
        <v>1568</v>
      </c>
      <c r="P101" t="s">
        <v>1568</v>
      </c>
      <c r="Q101" t="s">
        <v>1568</v>
      </c>
      <c r="R101" t="s">
        <v>1568</v>
      </c>
      <c r="S101" t="s">
        <v>1568</v>
      </c>
      <c r="T101" t="s">
        <v>1568</v>
      </c>
      <c r="U101" t="s">
        <v>1568</v>
      </c>
      <c r="V101" t="s">
        <v>1596</v>
      </c>
      <c r="W101" t="s">
        <v>58</v>
      </c>
      <c r="X101" t="s">
        <v>59</v>
      </c>
      <c r="Y101" t="s">
        <v>1581</v>
      </c>
    </row>
    <row r="102" spans="1:25" ht="16" x14ac:dyDescent="0.2">
      <c r="A102" t="s">
        <v>1568</v>
      </c>
      <c r="B102" t="s">
        <v>169</v>
      </c>
      <c r="C102" t="s">
        <v>1568</v>
      </c>
      <c r="D102" t="s">
        <v>1568</v>
      </c>
      <c r="E102" t="s">
        <v>36</v>
      </c>
      <c r="F102" t="s">
        <v>1603</v>
      </c>
      <c r="G102" t="s">
        <v>117</v>
      </c>
      <c r="H102" t="s">
        <v>1568</v>
      </c>
      <c r="I102" t="s">
        <v>118</v>
      </c>
      <c r="J102" t="s">
        <v>1568</v>
      </c>
      <c r="K102" t="s">
        <v>1568</v>
      </c>
      <c r="L102" t="s">
        <v>1568</v>
      </c>
      <c r="M102" t="s">
        <v>1568</v>
      </c>
      <c r="N102" t="s">
        <v>1568</v>
      </c>
      <c r="O102" t="s">
        <v>1568</v>
      </c>
      <c r="P102" t="s">
        <v>1568</v>
      </c>
      <c r="Q102" t="s">
        <v>1568</v>
      </c>
      <c r="R102" t="s">
        <v>1568</v>
      </c>
      <c r="S102" t="s">
        <v>1568</v>
      </c>
      <c r="T102" t="s">
        <v>1568</v>
      </c>
      <c r="U102" t="s">
        <v>1568</v>
      </c>
      <c r="V102" t="s">
        <v>1592</v>
      </c>
      <c r="W102" t="s">
        <v>119</v>
      </c>
      <c r="X102" t="s">
        <v>61</v>
      </c>
      <c r="Y102" t="s">
        <v>1587</v>
      </c>
    </row>
    <row r="103" spans="1:25" ht="16" x14ac:dyDescent="0.2">
      <c r="A103" t="s">
        <v>1568</v>
      </c>
      <c r="B103" t="s">
        <v>169</v>
      </c>
      <c r="C103" t="s">
        <v>1568</v>
      </c>
      <c r="D103" t="s">
        <v>1568</v>
      </c>
      <c r="E103" t="s">
        <v>43</v>
      </c>
      <c r="F103" t="s">
        <v>1603</v>
      </c>
      <c r="G103" t="s">
        <v>120</v>
      </c>
      <c r="H103" t="s">
        <v>1568</v>
      </c>
      <c r="I103" t="s">
        <v>121</v>
      </c>
      <c r="J103" t="s">
        <v>1568</v>
      </c>
      <c r="K103" t="s">
        <v>1568</v>
      </c>
      <c r="L103" t="s">
        <v>1568</v>
      </c>
      <c r="M103" t="s">
        <v>1568</v>
      </c>
      <c r="N103" t="s">
        <v>1568</v>
      </c>
      <c r="O103" t="s">
        <v>1568</v>
      </c>
      <c r="P103" t="s">
        <v>1568</v>
      </c>
      <c r="Q103" t="s">
        <v>1568</v>
      </c>
      <c r="R103" t="s">
        <v>1568</v>
      </c>
      <c r="S103" t="s">
        <v>1568</v>
      </c>
      <c r="T103" t="s">
        <v>1568</v>
      </c>
      <c r="U103" t="s">
        <v>1568</v>
      </c>
      <c r="V103" t="s">
        <v>1597</v>
      </c>
      <c r="W103" t="s">
        <v>122</v>
      </c>
      <c r="X103" t="s">
        <v>61</v>
      </c>
      <c r="Y103" t="s">
        <v>1587</v>
      </c>
    </row>
    <row r="104" spans="1:25" ht="16" x14ac:dyDescent="0.2">
      <c r="A104" t="s">
        <v>1568</v>
      </c>
      <c r="B104" t="s">
        <v>169</v>
      </c>
      <c r="C104" t="s">
        <v>1568</v>
      </c>
      <c r="D104" t="s">
        <v>1568</v>
      </c>
      <c r="E104" t="s">
        <v>47</v>
      </c>
      <c r="F104" t="s">
        <v>1603</v>
      </c>
      <c r="G104" t="s">
        <v>123</v>
      </c>
      <c r="H104" t="s">
        <v>1568</v>
      </c>
      <c r="I104" t="s">
        <v>124</v>
      </c>
      <c r="J104" t="s">
        <v>1568</v>
      </c>
      <c r="K104" t="s">
        <v>1568</v>
      </c>
      <c r="L104" t="s">
        <v>1568</v>
      </c>
      <c r="M104" t="s">
        <v>1568</v>
      </c>
      <c r="N104" t="s">
        <v>1568</v>
      </c>
      <c r="O104" t="s">
        <v>1568</v>
      </c>
      <c r="P104" t="s">
        <v>1568</v>
      </c>
      <c r="Q104" t="s">
        <v>1568</v>
      </c>
      <c r="R104" t="s">
        <v>1568</v>
      </c>
      <c r="S104" t="s">
        <v>1568</v>
      </c>
      <c r="T104" t="s">
        <v>1568</v>
      </c>
      <c r="U104" t="s">
        <v>1568</v>
      </c>
      <c r="V104" t="s">
        <v>1597</v>
      </c>
      <c r="W104" t="s">
        <v>125</v>
      </c>
      <c r="X104" t="s">
        <v>61</v>
      </c>
      <c r="Y104" t="s">
        <v>1587</v>
      </c>
    </row>
    <row r="105" spans="1:25" ht="16" x14ac:dyDescent="0.2">
      <c r="A105" t="s">
        <v>1568</v>
      </c>
      <c r="B105" t="s">
        <v>169</v>
      </c>
      <c r="C105" t="s">
        <v>1568</v>
      </c>
      <c r="D105" t="s">
        <v>1568</v>
      </c>
      <c r="E105" t="s">
        <v>51</v>
      </c>
      <c r="F105" t="s">
        <v>1603</v>
      </c>
      <c r="G105" t="s">
        <v>126</v>
      </c>
      <c r="H105" t="s">
        <v>1568</v>
      </c>
      <c r="I105" t="s">
        <v>127</v>
      </c>
      <c r="J105" t="s">
        <v>1568</v>
      </c>
      <c r="K105" t="s">
        <v>1568</v>
      </c>
      <c r="L105" t="s">
        <v>1568</v>
      </c>
      <c r="M105" t="s">
        <v>1568</v>
      </c>
      <c r="N105" t="s">
        <v>1568</v>
      </c>
      <c r="O105" t="s">
        <v>1568</v>
      </c>
      <c r="P105" t="s">
        <v>1568</v>
      </c>
      <c r="Q105" t="s">
        <v>1568</v>
      </c>
      <c r="R105" t="s">
        <v>1568</v>
      </c>
      <c r="S105" t="s">
        <v>1568</v>
      </c>
      <c r="T105" t="s">
        <v>1568</v>
      </c>
      <c r="U105" t="s">
        <v>1568</v>
      </c>
      <c r="V105" t="s">
        <v>1592</v>
      </c>
      <c r="W105" t="s">
        <v>128</v>
      </c>
      <c r="X105" t="s">
        <v>61</v>
      </c>
      <c r="Y105" t="s">
        <v>1587</v>
      </c>
    </row>
    <row r="106" spans="1:25" ht="16" x14ac:dyDescent="0.2">
      <c r="A106" t="s">
        <v>1568</v>
      </c>
      <c r="B106" t="s">
        <v>169</v>
      </c>
      <c r="C106" t="s">
        <v>1568</v>
      </c>
      <c r="D106" t="s">
        <v>1568</v>
      </c>
      <c r="E106" t="s">
        <v>55</v>
      </c>
      <c r="F106" t="s">
        <v>1603</v>
      </c>
      <c r="G106" t="s">
        <v>129</v>
      </c>
      <c r="H106" t="s">
        <v>1568</v>
      </c>
      <c r="I106" t="s">
        <v>130</v>
      </c>
      <c r="J106" t="s">
        <v>1568</v>
      </c>
      <c r="K106" t="s">
        <v>1568</v>
      </c>
      <c r="L106" t="s">
        <v>1568</v>
      </c>
      <c r="M106" t="s">
        <v>1568</v>
      </c>
      <c r="N106" t="s">
        <v>1568</v>
      </c>
      <c r="O106" t="s">
        <v>1568</v>
      </c>
      <c r="P106" t="s">
        <v>1568</v>
      </c>
      <c r="Q106" t="s">
        <v>1568</v>
      </c>
      <c r="R106" t="s">
        <v>1568</v>
      </c>
      <c r="S106" t="s">
        <v>1568</v>
      </c>
      <c r="T106" t="s">
        <v>1568</v>
      </c>
      <c r="U106" t="s">
        <v>1568</v>
      </c>
      <c r="V106" t="s">
        <v>1598</v>
      </c>
      <c r="W106" t="s">
        <v>131</v>
      </c>
      <c r="X106" t="s">
        <v>61</v>
      </c>
      <c r="Y106" t="s">
        <v>1587</v>
      </c>
    </row>
    <row r="107" spans="1:25" ht="16" x14ac:dyDescent="0.2">
      <c r="A107" t="s">
        <v>1568</v>
      </c>
      <c r="B107" t="s">
        <v>170</v>
      </c>
      <c r="C107" t="s">
        <v>1568</v>
      </c>
      <c r="D107" t="s">
        <v>1568</v>
      </c>
      <c r="E107" t="s">
        <v>36</v>
      </c>
      <c r="F107" t="s">
        <v>1606</v>
      </c>
      <c r="G107" t="s">
        <v>135</v>
      </c>
      <c r="H107" t="s">
        <v>1568</v>
      </c>
      <c r="I107" t="s">
        <v>136</v>
      </c>
      <c r="J107" t="s">
        <v>1568</v>
      </c>
      <c r="K107" t="s">
        <v>1568</v>
      </c>
      <c r="L107" t="s">
        <v>1568</v>
      </c>
      <c r="M107" t="s">
        <v>1568</v>
      </c>
      <c r="N107" t="s">
        <v>1568</v>
      </c>
      <c r="O107" t="s">
        <v>1568</v>
      </c>
      <c r="P107" t="s">
        <v>1568</v>
      </c>
      <c r="Q107" t="s">
        <v>1568</v>
      </c>
      <c r="R107" t="s">
        <v>1568</v>
      </c>
      <c r="S107" t="s">
        <v>1568</v>
      </c>
      <c r="T107" t="s">
        <v>1568</v>
      </c>
      <c r="U107" t="s">
        <v>1568</v>
      </c>
      <c r="V107" t="s">
        <v>1592</v>
      </c>
      <c r="W107" t="s">
        <v>137</v>
      </c>
      <c r="X107" t="s">
        <v>61</v>
      </c>
      <c r="Y107" t="s">
        <v>1587</v>
      </c>
    </row>
    <row r="108" spans="1:25" ht="16" x14ac:dyDescent="0.2">
      <c r="A108" t="s">
        <v>1568</v>
      </c>
      <c r="B108" t="s">
        <v>170</v>
      </c>
      <c r="C108" t="s">
        <v>1568</v>
      </c>
      <c r="D108" t="s">
        <v>1568</v>
      </c>
      <c r="E108" t="s">
        <v>43</v>
      </c>
      <c r="F108" t="s">
        <v>1606</v>
      </c>
      <c r="G108" t="s">
        <v>138</v>
      </c>
      <c r="H108" t="s">
        <v>1568</v>
      </c>
      <c r="I108" t="s">
        <v>139</v>
      </c>
      <c r="J108" t="s">
        <v>1568</v>
      </c>
      <c r="K108" t="s">
        <v>1568</v>
      </c>
      <c r="L108" t="s">
        <v>1568</v>
      </c>
      <c r="M108" t="s">
        <v>1568</v>
      </c>
      <c r="N108" t="s">
        <v>1568</v>
      </c>
      <c r="O108" t="s">
        <v>1568</v>
      </c>
      <c r="P108" t="s">
        <v>1568</v>
      </c>
      <c r="Q108" t="s">
        <v>1568</v>
      </c>
      <c r="R108" t="s">
        <v>1568</v>
      </c>
      <c r="S108" t="s">
        <v>1568</v>
      </c>
      <c r="T108" t="s">
        <v>1568</v>
      </c>
      <c r="U108" t="s">
        <v>1568</v>
      </c>
      <c r="V108" t="s">
        <v>1607</v>
      </c>
      <c r="W108" t="s">
        <v>140</v>
      </c>
      <c r="X108" t="s">
        <v>61</v>
      </c>
      <c r="Y108" t="s">
        <v>1587</v>
      </c>
    </row>
    <row r="109" spans="1:25" ht="16" x14ac:dyDescent="0.2">
      <c r="A109" t="s">
        <v>1568</v>
      </c>
      <c r="B109" t="s">
        <v>170</v>
      </c>
      <c r="C109" t="s">
        <v>1568</v>
      </c>
      <c r="D109" t="s">
        <v>1568</v>
      </c>
      <c r="E109" t="s">
        <v>47</v>
      </c>
      <c r="F109" t="s">
        <v>1606</v>
      </c>
      <c r="G109" t="s">
        <v>141</v>
      </c>
      <c r="H109" t="s">
        <v>1568</v>
      </c>
      <c r="I109" t="s">
        <v>142</v>
      </c>
      <c r="J109" t="s">
        <v>1568</v>
      </c>
      <c r="K109" t="s">
        <v>1568</v>
      </c>
      <c r="L109" t="s">
        <v>1568</v>
      </c>
      <c r="M109" t="s">
        <v>1568</v>
      </c>
      <c r="N109" t="s">
        <v>1568</v>
      </c>
      <c r="O109" t="s">
        <v>1568</v>
      </c>
      <c r="P109" t="s">
        <v>1568</v>
      </c>
      <c r="Q109" t="s">
        <v>1568</v>
      </c>
      <c r="R109" t="s">
        <v>1568</v>
      </c>
      <c r="S109" t="s">
        <v>1568</v>
      </c>
      <c r="T109" t="s">
        <v>1568</v>
      </c>
      <c r="U109" t="s">
        <v>1568</v>
      </c>
      <c r="V109" t="s">
        <v>1607</v>
      </c>
      <c r="W109" t="s">
        <v>143</v>
      </c>
      <c r="X109" t="s">
        <v>61</v>
      </c>
      <c r="Y109" t="s">
        <v>1587</v>
      </c>
    </row>
    <row r="110" spans="1:25" ht="16" x14ac:dyDescent="0.2">
      <c r="A110" t="s">
        <v>1568</v>
      </c>
      <c r="B110" t="s">
        <v>170</v>
      </c>
      <c r="C110" t="s">
        <v>1568</v>
      </c>
      <c r="D110" t="s">
        <v>1568</v>
      </c>
      <c r="E110" t="s">
        <v>51</v>
      </c>
      <c r="F110" t="s">
        <v>1606</v>
      </c>
      <c r="G110" t="s">
        <v>144</v>
      </c>
      <c r="H110" t="s">
        <v>1568</v>
      </c>
      <c r="I110" t="s">
        <v>145</v>
      </c>
      <c r="J110" t="s">
        <v>1568</v>
      </c>
      <c r="K110" t="s">
        <v>1568</v>
      </c>
      <c r="L110" t="s">
        <v>1568</v>
      </c>
      <c r="M110" t="s">
        <v>1568</v>
      </c>
      <c r="N110" t="s">
        <v>1568</v>
      </c>
      <c r="O110" t="s">
        <v>1568</v>
      </c>
      <c r="P110" t="s">
        <v>1568</v>
      </c>
      <c r="Q110" t="s">
        <v>1568</v>
      </c>
      <c r="R110" t="s">
        <v>1568</v>
      </c>
      <c r="S110" t="s">
        <v>1568</v>
      </c>
      <c r="T110" t="s">
        <v>1568</v>
      </c>
      <c r="U110" t="s">
        <v>1568</v>
      </c>
      <c r="V110" t="s">
        <v>1592</v>
      </c>
      <c r="W110" t="s">
        <v>146</v>
      </c>
      <c r="X110" t="s">
        <v>61</v>
      </c>
      <c r="Y110" t="s">
        <v>1587</v>
      </c>
    </row>
    <row r="111" spans="1:25" ht="16" x14ac:dyDescent="0.2">
      <c r="A111" t="s">
        <v>1568</v>
      </c>
      <c r="B111" t="s">
        <v>170</v>
      </c>
      <c r="C111" t="s">
        <v>1568</v>
      </c>
      <c r="D111" t="s">
        <v>1568</v>
      </c>
      <c r="E111" t="s">
        <v>55</v>
      </c>
      <c r="F111" t="s">
        <v>1606</v>
      </c>
      <c r="G111" t="s">
        <v>147</v>
      </c>
      <c r="H111" t="s">
        <v>1568</v>
      </c>
      <c r="I111" t="s">
        <v>148</v>
      </c>
      <c r="J111" t="s">
        <v>1568</v>
      </c>
      <c r="K111" t="s">
        <v>1568</v>
      </c>
      <c r="L111" t="s">
        <v>1568</v>
      </c>
      <c r="M111" t="s">
        <v>1568</v>
      </c>
      <c r="N111" t="s">
        <v>1568</v>
      </c>
      <c r="O111" t="s">
        <v>1568</v>
      </c>
      <c r="P111" t="s">
        <v>1568</v>
      </c>
      <c r="Q111" t="s">
        <v>1568</v>
      </c>
      <c r="R111" t="s">
        <v>1568</v>
      </c>
      <c r="S111" t="s">
        <v>1568</v>
      </c>
      <c r="T111" t="s">
        <v>1568</v>
      </c>
      <c r="U111" t="s">
        <v>1568</v>
      </c>
      <c r="V111" t="s">
        <v>1608</v>
      </c>
      <c r="W111" t="s">
        <v>149</v>
      </c>
      <c r="X111" t="s">
        <v>61</v>
      </c>
      <c r="Y111" t="s">
        <v>1587</v>
      </c>
    </row>
    <row r="112" spans="1:25" ht="16" x14ac:dyDescent="0.2">
      <c r="A112" t="s">
        <v>1568</v>
      </c>
      <c r="B112" t="s">
        <v>171</v>
      </c>
      <c r="C112" t="s">
        <v>1568</v>
      </c>
      <c r="D112" t="s">
        <v>1568</v>
      </c>
      <c r="E112" t="s">
        <v>36</v>
      </c>
      <c r="F112" t="s">
        <v>1609</v>
      </c>
      <c r="G112" t="s">
        <v>156</v>
      </c>
      <c r="H112" t="s">
        <v>1568</v>
      </c>
      <c r="I112" t="s">
        <v>157</v>
      </c>
      <c r="J112" t="s">
        <v>1568</v>
      </c>
      <c r="K112" t="s">
        <v>1568</v>
      </c>
      <c r="L112" t="s">
        <v>1568</v>
      </c>
      <c r="M112" t="s">
        <v>1568</v>
      </c>
      <c r="N112" t="s">
        <v>1568</v>
      </c>
      <c r="O112" t="s">
        <v>1568</v>
      </c>
      <c r="P112" t="s">
        <v>1568</v>
      </c>
      <c r="Q112" t="s">
        <v>1568</v>
      </c>
      <c r="R112" t="s">
        <v>1568</v>
      </c>
      <c r="S112" t="s">
        <v>1568</v>
      </c>
      <c r="T112" t="s">
        <v>1568</v>
      </c>
      <c r="U112" t="s">
        <v>1568</v>
      </c>
      <c r="V112" t="s">
        <v>1592</v>
      </c>
      <c r="W112" t="s">
        <v>39</v>
      </c>
      <c r="X112" t="s">
        <v>61</v>
      </c>
      <c r="Y112" t="s">
        <v>1587</v>
      </c>
    </row>
    <row r="113" spans="1:25" ht="16" x14ac:dyDescent="0.2">
      <c r="A113" t="s">
        <v>1568</v>
      </c>
      <c r="B113" t="s">
        <v>171</v>
      </c>
      <c r="C113" t="s">
        <v>1568</v>
      </c>
      <c r="D113" t="s">
        <v>1568</v>
      </c>
      <c r="E113" t="s">
        <v>43</v>
      </c>
      <c r="F113" t="s">
        <v>1609</v>
      </c>
      <c r="G113" t="s">
        <v>158</v>
      </c>
      <c r="H113" t="s">
        <v>1568</v>
      </c>
      <c r="I113" t="s">
        <v>159</v>
      </c>
      <c r="J113" t="s">
        <v>1568</v>
      </c>
      <c r="K113" t="s">
        <v>1568</v>
      </c>
      <c r="L113" t="s">
        <v>1568</v>
      </c>
      <c r="M113" t="s">
        <v>1568</v>
      </c>
      <c r="N113" t="s">
        <v>1568</v>
      </c>
      <c r="O113" t="s">
        <v>1568</v>
      </c>
      <c r="P113" t="s">
        <v>1568</v>
      </c>
      <c r="Q113" t="s">
        <v>1568</v>
      </c>
      <c r="R113" t="s">
        <v>1568</v>
      </c>
      <c r="S113" t="s">
        <v>1568</v>
      </c>
      <c r="T113" t="s">
        <v>1568</v>
      </c>
      <c r="U113" t="s">
        <v>1568</v>
      </c>
      <c r="V113" t="s">
        <v>1597</v>
      </c>
      <c r="W113" t="s">
        <v>160</v>
      </c>
      <c r="X113" t="s">
        <v>61</v>
      </c>
      <c r="Y113" t="s">
        <v>1587</v>
      </c>
    </row>
    <row r="114" spans="1:25" ht="16" x14ac:dyDescent="0.2">
      <c r="A114" t="s">
        <v>1568</v>
      </c>
      <c r="B114" t="s">
        <v>171</v>
      </c>
      <c r="C114" t="s">
        <v>1568</v>
      </c>
      <c r="D114" t="s">
        <v>1568</v>
      </c>
      <c r="E114" t="s">
        <v>47</v>
      </c>
      <c r="F114" t="s">
        <v>1609</v>
      </c>
      <c r="G114" t="s">
        <v>161</v>
      </c>
      <c r="H114" t="s">
        <v>1568</v>
      </c>
      <c r="I114" t="s">
        <v>162</v>
      </c>
      <c r="J114" t="s">
        <v>1568</v>
      </c>
      <c r="K114" t="s">
        <v>1568</v>
      </c>
      <c r="L114" t="s">
        <v>1568</v>
      </c>
      <c r="M114" t="s">
        <v>1568</v>
      </c>
      <c r="N114" t="s">
        <v>1568</v>
      </c>
      <c r="O114" t="s">
        <v>1568</v>
      </c>
      <c r="P114" t="s">
        <v>1568</v>
      </c>
      <c r="Q114" t="s">
        <v>1568</v>
      </c>
      <c r="R114" t="s">
        <v>1568</v>
      </c>
      <c r="S114" t="s">
        <v>1568</v>
      </c>
      <c r="T114" t="s">
        <v>1568</v>
      </c>
      <c r="U114" t="s">
        <v>1568</v>
      </c>
      <c r="V114" t="s">
        <v>1597</v>
      </c>
      <c r="W114" t="s">
        <v>163</v>
      </c>
      <c r="X114" t="s">
        <v>61</v>
      </c>
      <c r="Y114" t="s">
        <v>1587</v>
      </c>
    </row>
    <row r="115" spans="1:25" ht="16" x14ac:dyDescent="0.2">
      <c r="A115" t="s">
        <v>1568</v>
      </c>
      <c r="B115" t="s">
        <v>171</v>
      </c>
      <c r="C115" t="s">
        <v>1568</v>
      </c>
      <c r="D115" t="s">
        <v>1568</v>
      </c>
      <c r="E115" t="s">
        <v>51</v>
      </c>
      <c r="F115" t="s">
        <v>1609</v>
      </c>
      <c r="G115" t="s">
        <v>164</v>
      </c>
      <c r="H115" t="s">
        <v>1568</v>
      </c>
      <c r="I115" t="s">
        <v>165</v>
      </c>
      <c r="J115" t="s">
        <v>1568</v>
      </c>
      <c r="K115" t="s">
        <v>1568</v>
      </c>
      <c r="L115" t="s">
        <v>1568</v>
      </c>
      <c r="M115" t="s">
        <v>1568</v>
      </c>
      <c r="N115" t="s">
        <v>1568</v>
      </c>
      <c r="O115" t="s">
        <v>1568</v>
      </c>
      <c r="P115" t="s">
        <v>1568</v>
      </c>
      <c r="Q115" t="s">
        <v>1568</v>
      </c>
      <c r="R115" t="s">
        <v>1568</v>
      </c>
      <c r="S115" t="s">
        <v>1568</v>
      </c>
      <c r="T115" t="s">
        <v>1568</v>
      </c>
      <c r="U115" t="s">
        <v>1568</v>
      </c>
      <c r="V115" t="s">
        <v>1592</v>
      </c>
      <c r="W115" t="s">
        <v>166</v>
      </c>
      <c r="X115" t="s">
        <v>61</v>
      </c>
      <c r="Y115" t="s">
        <v>1587</v>
      </c>
    </row>
    <row r="116" spans="1:25" ht="16" x14ac:dyDescent="0.2">
      <c r="A116" t="s">
        <v>1568</v>
      </c>
      <c r="B116" t="s">
        <v>171</v>
      </c>
      <c r="C116" t="s">
        <v>1568</v>
      </c>
      <c r="D116" t="s">
        <v>1568</v>
      </c>
      <c r="E116" t="s">
        <v>55</v>
      </c>
      <c r="F116" t="s">
        <v>1609</v>
      </c>
      <c r="G116" t="s">
        <v>167</v>
      </c>
      <c r="H116" t="s">
        <v>1568</v>
      </c>
      <c r="I116" t="s">
        <v>168</v>
      </c>
      <c r="J116" t="s">
        <v>1568</v>
      </c>
      <c r="K116" t="s">
        <v>1568</v>
      </c>
      <c r="L116" t="s">
        <v>1568</v>
      </c>
      <c r="M116" t="s">
        <v>1568</v>
      </c>
      <c r="N116" t="s">
        <v>1568</v>
      </c>
      <c r="O116" t="s">
        <v>1568</v>
      </c>
      <c r="P116" t="s">
        <v>1568</v>
      </c>
      <c r="Q116" t="s">
        <v>1568</v>
      </c>
      <c r="R116" t="s">
        <v>1568</v>
      </c>
      <c r="S116" t="s">
        <v>1568</v>
      </c>
      <c r="T116" t="s">
        <v>1568</v>
      </c>
      <c r="U116" t="s">
        <v>1568</v>
      </c>
      <c r="V116" t="s">
        <v>1598</v>
      </c>
      <c r="W116" t="s">
        <v>58</v>
      </c>
      <c r="X116" t="s">
        <v>61</v>
      </c>
      <c r="Y116" t="s">
        <v>1587</v>
      </c>
    </row>
    <row r="117" spans="1:25" ht="16" x14ac:dyDescent="0.2">
      <c r="A117" t="s">
        <v>1568</v>
      </c>
      <c r="B117" t="s">
        <v>172</v>
      </c>
      <c r="C117" t="s">
        <v>1568</v>
      </c>
      <c r="D117" t="s">
        <v>1568</v>
      </c>
      <c r="E117" t="s">
        <v>36</v>
      </c>
      <c r="F117" t="s">
        <v>1610</v>
      </c>
      <c r="G117" t="s">
        <v>173</v>
      </c>
      <c r="H117" t="s">
        <v>1568</v>
      </c>
      <c r="I117" t="s">
        <v>174</v>
      </c>
      <c r="J117" t="s">
        <v>1568</v>
      </c>
      <c r="K117" t="s">
        <v>1568</v>
      </c>
      <c r="L117" t="s">
        <v>1568</v>
      </c>
      <c r="M117" t="s">
        <v>1568</v>
      </c>
      <c r="N117" t="s">
        <v>1568</v>
      </c>
      <c r="O117" t="s">
        <v>1568</v>
      </c>
      <c r="P117" t="s">
        <v>1568</v>
      </c>
      <c r="Q117" t="s">
        <v>1568</v>
      </c>
      <c r="R117" t="s">
        <v>1568</v>
      </c>
      <c r="S117" t="s">
        <v>1568</v>
      </c>
      <c r="T117" t="s">
        <v>1568</v>
      </c>
      <c r="U117" t="s">
        <v>1568</v>
      </c>
      <c r="V117" t="s">
        <v>1592</v>
      </c>
      <c r="W117" t="s">
        <v>175</v>
      </c>
      <c r="X117" t="s">
        <v>30</v>
      </c>
      <c r="Y117" t="s">
        <v>1572</v>
      </c>
    </row>
    <row r="118" spans="1:25" ht="16" x14ac:dyDescent="0.2">
      <c r="A118" t="s">
        <v>1568</v>
      </c>
      <c r="B118" t="s">
        <v>172</v>
      </c>
      <c r="C118" t="s">
        <v>1568</v>
      </c>
      <c r="D118" t="s">
        <v>1568</v>
      </c>
      <c r="E118" t="s">
        <v>43</v>
      </c>
      <c r="F118" t="s">
        <v>1610</v>
      </c>
      <c r="G118" t="s">
        <v>176</v>
      </c>
      <c r="H118" t="s">
        <v>1568</v>
      </c>
      <c r="I118" t="s">
        <v>177</v>
      </c>
      <c r="J118" t="s">
        <v>1568</v>
      </c>
      <c r="K118" t="s">
        <v>1568</v>
      </c>
      <c r="L118" t="s">
        <v>1568</v>
      </c>
      <c r="M118" t="s">
        <v>1568</v>
      </c>
      <c r="N118" t="s">
        <v>1568</v>
      </c>
      <c r="O118" t="s">
        <v>1568</v>
      </c>
      <c r="P118" t="s">
        <v>1568</v>
      </c>
      <c r="Q118" t="s">
        <v>1568</v>
      </c>
      <c r="R118" t="s">
        <v>1568</v>
      </c>
      <c r="S118" t="s">
        <v>1568</v>
      </c>
      <c r="T118" t="s">
        <v>1568</v>
      </c>
      <c r="U118" t="s">
        <v>1568</v>
      </c>
      <c r="V118" t="s">
        <v>1593</v>
      </c>
      <c r="W118" t="s">
        <v>178</v>
      </c>
      <c r="X118" t="s">
        <v>30</v>
      </c>
      <c r="Y118" t="s">
        <v>1572</v>
      </c>
    </row>
    <row r="119" spans="1:25" ht="16" x14ac:dyDescent="0.2">
      <c r="A119" t="s">
        <v>1568</v>
      </c>
      <c r="B119" t="s">
        <v>172</v>
      </c>
      <c r="C119" t="s">
        <v>1568</v>
      </c>
      <c r="D119" t="s">
        <v>1568</v>
      </c>
      <c r="E119" t="s">
        <v>47</v>
      </c>
      <c r="F119" t="s">
        <v>1610</v>
      </c>
      <c r="G119" t="s">
        <v>179</v>
      </c>
      <c r="H119" t="s">
        <v>1568</v>
      </c>
      <c r="I119" t="s">
        <v>180</v>
      </c>
      <c r="J119" t="s">
        <v>1568</v>
      </c>
      <c r="K119" t="s">
        <v>1568</v>
      </c>
      <c r="L119" t="s">
        <v>1568</v>
      </c>
      <c r="M119" t="s">
        <v>1568</v>
      </c>
      <c r="N119" t="s">
        <v>1568</v>
      </c>
      <c r="O119" t="s">
        <v>1568</v>
      </c>
      <c r="P119" t="s">
        <v>1568</v>
      </c>
      <c r="Q119" t="s">
        <v>1568</v>
      </c>
      <c r="R119" t="s">
        <v>1568</v>
      </c>
      <c r="S119" t="s">
        <v>1568</v>
      </c>
      <c r="T119" t="s">
        <v>1568</v>
      </c>
      <c r="U119" t="s">
        <v>1568</v>
      </c>
      <c r="V119" t="s">
        <v>1593</v>
      </c>
      <c r="W119" t="s">
        <v>181</v>
      </c>
      <c r="X119" t="s">
        <v>30</v>
      </c>
      <c r="Y119" t="s">
        <v>1572</v>
      </c>
    </row>
    <row r="120" spans="1:25" ht="16" x14ac:dyDescent="0.2">
      <c r="A120" t="s">
        <v>1568</v>
      </c>
      <c r="B120" t="s">
        <v>172</v>
      </c>
      <c r="C120" t="s">
        <v>1568</v>
      </c>
      <c r="D120" t="s">
        <v>1568</v>
      </c>
      <c r="E120" t="s">
        <v>51</v>
      </c>
      <c r="F120" t="s">
        <v>1610</v>
      </c>
      <c r="G120" t="s">
        <v>182</v>
      </c>
      <c r="H120" t="s">
        <v>1568</v>
      </c>
      <c r="I120" t="s">
        <v>183</v>
      </c>
      <c r="J120" t="s">
        <v>1568</v>
      </c>
      <c r="K120" t="s">
        <v>1568</v>
      </c>
      <c r="L120" t="s">
        <v>1568</v>
      </c>
      <c r="M120" t="s">
        <v>1568</v>
      </c>
      <c r="N120" t="s">
        <v>1568</v>
      </c>
      <c r="O120" t="s">
        <v>1568</v>
      </c>
      <c r="P120" t="s">
        <v>1568</v>
      </c>
      <c r="Q120" t="s">
        <v>1568</v>
      </c>
      <c r="R120" t="s">
        <v>1568</v>
      </c>
      <c r="S120" t="s">
        <v>1568</v>
      </c>
      <c r="T120" t="s">
        <v>1568</v>
      </c>
      <c r="U120" t="s">
        <v>1568</v>
      </c>
      <c r="V120" t="s">
        <v>1592</v>
      </c>
      <c r="W120" t="s">
        <v>184</v>
      </c>
      <c r="X120" t="s">
        <v>30</v>
      </c>
      <c r="Y120" t="s">
        <v>1572</v>
      </c>
    </row>
    <row r="121" spans="1:25" ht="16" x14ac:dyDescent="0.2">
      <c r="A121" t="s">
        <v>1568</v>
      </c>
      <c r="B121" t="s">
        <v>172</v>
      </c>
      <c r="C121" t="s">
        <v>1568</v>
      </c>
      <c r="D121" t="s">
        <v>1568</v>
      </c>
      <c r="E121" t="s">
        <v>55</v>
      </c>
      <c r="F121" t="s">
        <v>1610</v>
      </c>
      <c r="G121" t="s">
        <v>185</v>
      </c>
      <c r="H121" t="s">
        <v>1568</v>
      </c>
      <c r="I121" t="s">
        <v>186</v>
      </c>
      <c r="J121" t="s">
        <v>1568</v>
      </c>
      <c r="K121" t="s">
        <v>1568</v>
      </c>
      <c r="L121" t="s">
        <v>1568</v>
      </c>
      <c r="M121" t="s">
        <v>1568</v>
      </c>
      <c r="N121" t="s">
        <v>1568</v>
      </c>
      <c r="O121" t="s">
        <v>1568</v>
      </c>
      <c r="P121" t="s">
        <v>1568</v>
      </c>
      <c r="Q121" t="s">
        <v>1568</v>
      </c>
      <c r="R121" t="s">
        <v>1568</v>
      </c>
      <c r="S121" t="s">
        <v>1568</v>
      </c>
      <c r="T121" t="s">
        <v>1568</v>
      </c>
      <c r="U121" t="s">
        <v>1568</v>
      </c>
      <c r="V121" t="s">
        <v>1594</v>
      </c>
      <c r="W121" t="s">
        <v>187</v>
      </c>
      <c r="X121" t="s">
        <v>30</v>
      </c>
      <c r="Y121" t="s">
        <v>1572</v>
      </c>
    </row>
    <row r="122" spans="1:25" ht="16" x14ac:dyDescent="0.2">
      <c r="A122" t="s">
        <v>1568</v>
      </c>
      <c r="B122" t="s">
        <v>188</v>
      </c>
      <c r="C122" t="s">
        <v>1568</v>
      </c>
      <c r="D122" t="s">
        <v>1568</v>
      </c>
      <c r="E122" t="s">
        <v>36</v>
      </c>
      <c r="F122" t="s">
        <v>1611</v>
      </c>
      <c r="G122" t="s">
        <v>189</v>
      </c>
      <c r="H122" t="s">
        <v>1568</v>
      </c>
      <c r="I122" t="s">
        <v>190</v>
      </c>
      <c r="J122" t="s">
        <v>1568</v>
      </c>
      <c r="K122" t="s">
        <v>1568</v>
      </c>
      <c r="L122" t="s">
        <v>1568</v>
      </c>
      <c r="M122" t="s">
        <v>1568</v>
      </c>
      <c r="N122" t="s">
        <v>1568</v>
      </c>
      <c r="O122" t="s">
        <v>1568</v>
      </c>
      <c r="P122" t="s">
        <v>1568</v>
      </c>
      <c r="Q122" t="s">
        <v>1568</v>
      </c>
      <c r="R122" t="s">
        <v>1568</v>
      </c>
      <c r="S122" t="s">
        <v>1568</v>
      </c>
      <c r="T122" t="s">
        <v>1568</v>
      </c>
      <c r="U122" t="s">
        <v>1568</v>
      </c>
      <c r="V122" t="s">
        <v>1592</v>
      </c>
      <c r="W122" t="s">
        <v>191</v>
      </c>
      <c r="X122" t="s">
        <v>30</v>
      </c>
      <c r="Y122" t="s">
        <v>1572</v>
      </c>
    </row>
    <row r="123" spans="1:25" ht="16" x14ac:dyDescent="0.2">
      <c r="A123" t="s">
        <v>1568</v>
      </c>
      <c r="B123" t="s">
        <v>188</v>
      </c>
      <c r="C123" t="s">
        <v>1568</v>
      </c>
      <c r="D123" t="s">
        <v>1568</v>
      </c>
      <c r="E123" t="s">
        <v>43</v>
      </c>
      <c r="F123" t="s">
        <v>1611</v>
      </c>
      <c r="G123" t="s">
        <v>192</v>
      </c>
      <c r="H123" t="s">
        <v>1568</v>
      </c>
      <c r="I123" t="s">
        <v>193</v>
      </c>
      <c r="J123" t="s">
        <v>1568</v>
      </c>
      <c r="K123" t="s">
        <v>1568</v>
      </c>
      <c r="L123" t="s">
        <v>1568</v>
      </c>
      <c r="M123" t="s">
        <v>1568</v>
      </c>
      <c r="N123" t="s">
        <v>1568</v>
      </c>
      <c r="O123" t="s">
        <v>1568</v>
      </c>
      <c r="P123" t="s">
        <v>1568</v>
      </c>
      <c r="Q123" t="s">
        <v>1568</v>
      </c>
      <c r="R123" t="s">
        <v>1568</v>
      </c>
      <c r="S123" t="s">
        <v>1568</v>
      </c>
      <c r="T123" t="s">
        <v>1568</v>
      </c>
      <c r="U123" t="s">
        <v>1568</v>
      </c>
      <c r="V123" t="s">
        <v>1590</v>
      </c>
      <c r="W123" t="s">
        <v>194</v>
      </c>
      <c r="X123" t="s">
        <v>30</v>
      </c>
      <c r="Y123" t="s">
        <v>1572</v>
      </c>
    </row>
    <row r="124" spans="1:25" ht="16" x14ac:dyDescent="0.2">
      <c r="A124" t="s">
        <v>1568</v>
      </c>
      <c r="B124" t="s">
        <v>188</v>
      </c>
      <c r="C124" t="s">
        <v>1568</v>
      </c>
      <c r="D124" t="s">
        <v>1568</v>
      </c>
      <c r="E124" t="s">
        <v>47</v>
      </c>
      <c r="F124" t="s">
        <v>1611</v>
      </c>
      <c r="G124" t="s">
        <v>195</v>
      </c>
      <c r="H124" t="s">
        <v>1568</v>
      </c>
      <c r="I124" t="s">
        <v>196</v>
      </c>
      <c r="J124" t="s">
        <v>1568</v>
      </c>
      <c r="K124" t="s">
        <v>1568</v>
      </c>
      <c r="L124" t="s">
        <v>1568</v>
      </c>
      <c r="M124" t="s">
        <v>1568</v>
      </c>
      <c r="N124" t="s">
        <v>1568</v>
      </c>
      <c r="O124" t="s">
        <v>1568</v>
      </c>
      <c r="P124" t="s">
        <v>1568</v>
      </c>
      <c r="Q124" t="s">
        <v>1568</v>
      </c>
      <c r="R124" t="s">
        <v>1568</v>
      </c>
      <c r="S124" t="s">
        <v>1568</v>
      </c>
      <c r="T124" t="s">
        <v>1568</v>
      </c>
      <c r="U124" t="s">
        <v>1568</v>
      </c>
      <c r="V124" t="s">
        <v>1590</v>
      </c>
      <c r="W124" t="s">
        <v>197</v>
      </c>
      <c r="X124" t="s">
        <v>30</v>
      </c>
      <c r="Y124" t="s">
        <v>1572</v>
      </c>
    </row>
    <row r="125" spans="1:25" ht="16" x14ac:dyDescent="0.2">
      <c r="A125" t="s">
        <v>1568</v>
      </c>
      <c r="B125" t="s">
        <v>188</v>
      </c>
      <c r="C125" t="s">
        <v>1568</v>
      </c>
      <c r="D125" t="s">
        <v>1568</v>
      </c>
      <c r="E125" t="s">
        <v>51</v>
      </c>
      <c r="F125" t="s">
        <v>1611</v>
      </c>
      <c r="G125" t="s">
        <v>198</v>
      </c>
      <c r="H125" t="s">
        <v>1568</v>
      </c>
      <c r="I125" t="s">
        <v>199</v>
      </c>
      <c r="J125" t="s">
        <v>1568</v>
      </c>
      <c r="K125" t="s">
        <v>1568</v>
      </c>
      <c r="L125" t="s">
        <v>1568</v>
      </c>
      <c r="M125" t="s">
        <v>1568</v>
      </c>
      <c r="N125" t="s">
        <v>1568</v>
      </c>
      <c r="O125" t="s">
        <v>1568</v>
      </c>
      <c r="P125" t="s">
        <v>1568</v>
      </c>
      <c r="Q125" t="s">
        <v>1568</v>
      </c>
      <c r="R125" t="s">
        <v>1568</v>
      </c>
      <c r="S125" t="s">
        <v>1568</v>
      </c>
      <c r="T125" t="s">
        <v>1568</v>
      </c>
      <c r="U125" t="s">
        <v>1568</v>
      </c>
      <c r="V125" t="s">
        <v>1592</v>
      </c>
      <c r="W125" t="s">
        <v>200</v>
      </c>
      <c r="X125" t="s">
        <v>30</v>
      </c>
      <c r="Y125" t="s">
        <v>1572</v>
      </c>
    </row>
    <row r="126" spans="1:25" ht="16" x14ac:dyDescent="0.2">
      <c r="A126" t="s">
        <v>1568</v>
      </c>
      <c r="B126" t="s">
        <v>188</v>
      </c>
      <c r="C126" t="s">
        <v>1568</v>
      </c>
      <c r="D126" t="s">
        <v>1568</v>
      </c>
      <c r="E126" t="s">
        <v>55</v>
      </c>
      <c r="F126" t="s">
        <v>1611</v>
      </c>
      <c r="G126" t="s">
        <v>201</v>
      </c>
      <c r="H126" t="s">
        <v>1568</v>
      </c>
      <c r="I126" t="s">
        <v>202</v>
      </c>
      <c r="J126" t="s">
        <v>1568</v>
      </c>
      <c r="K126" t="s">
        <v>1568</v>
      </c>
      <c r="L126" t="s">
        <v>1568</v>
      </c>
      <c r="M126" t="s">
        <v>1568</v>
      </c>
      <c r="N126" t="s">
        <v>1568</v>
      </c>
      <c r="O126" t="s">
        <v>1568</v>
      </c>
      <c r="P126" t="s">
        <v>1568</v>
      </c>
      <c r="Q126" t="s">
        <v>1568</v>
      </c>
      <c r="R126" t="s">
        <v>1568</v>
      </c>
      <c r="S126" t="s">
        <v>1568</v>
      </c>
      <c r="T126" t="s">
        <v>1568</v>
      </c>
      <c r="U126" t="s">
        <v>1568</v>
      </c>
      <c r="V126" t="s">
        <v>1601</v>
      </c>
      <c r="W126" t="s">
        <v>203</v>
      </c>
      <c r="X126" t="s">
        <v>30</v>
      </c>
      <c r="Y126" t="s">
        <v>1572</v>
      </c>
    </row>
    <row r="127" spans="1:25" ht="16" x14ac:dyDescent="0.2">
      <c r="A127" t="s">
        <v>1568</v>
      </c>
      <c r="B127" t="s">
        <v>204</v>
      </c>
      <c r="C127" t="s">
        <v>1568</v>
      </c>
      <c r="D127" t="s">
        <v>1568</v>
      </c>
      <c r="E127" t="s">
        <v>36</v>
      </c>
      <c r="F127" t="s">
        <v>1612</v>
      </c>
      <c r="G127" t="s">
        <v>206</v>
      </c>
      <c r="H127" t="s">
        <v>1568</v>
      </c>
      <c r="I127" t="s">
        <v>207</v>
      </c>
      <c r="J127" t="s">
        <v>1568</v>
      </c>
      <c r="K127" t="s">
        <v>1568</v>
      </c>
      <c r="L127" t="s">
        <v>1568</v>
      </c>
      <c r="M127" t="s">
        <v>1568</v>
      </c>
      <c r="N127" t="s">
        <v>1568</v>
      </c>
      <c r="O127" t="s">
        <v>1568</v>
      </c>
      <c r="P127" t="s">
        <v>1568</v>
      </c>
      <c r="Q127" t="s">
        <v>1568</v>
      </c>
      <c r="R127" t="s">
        <v>1568</v>
      </c>
      <c r="S127" t="s">
        <v>1568</v>
      </c>
      <c r="T127" t="s">
        <v>1568</v>
      </c>
      <c r="U127" t="s">
        <v>1568</v>
      </c>
      <c r="V127" t="s">
        <v>1592</v>
      </c>
      <c r="W127" t="s">
        <v>191</v>
      </c>
      <c r="X127" t="s">
        <v>30</v>
      </c>
      <c r="Y127" t="s">
        <v>1572</v>
      </c>
    </row>
    <row r="128" spans="1:25" ht="16" x14ac:dyDescent="0.2">
      <c r="A128" t="s">
        <v>1568</v>
      </c>
      <c r="B128" t="s">
        <v>204</v>
      </c>
      <c r="C128" t="s">
        <v>1568</v>
      </c>
      <c r="D128" t="s">
        <v>1568</v>
      </c>
      <c r="E128" t="s">
        <v>43</v>
      </c>
      <c r="F128" t="s">
        <v>1612</v>
      </c>
      <c r="G128" t="s">
        <v>208</v>
      </c>
      <c r="H128" t="s">
        <v>1568</v>
      </c>
      <c r="I128" t="s">
        <v>209</v>
      </c>
      <c r="J128" t="s">
        <v>1568</v>
      </c>
      <c r="K128" t="s">
        <v>1568</v>
      </c>
      <c r="L128" t="s">
        <v>1568</v>
      </c>
      <c r="M128" t="s">
        <v>1568</v>
      </c>
      <c r="N128" t="s">
        <v>1568</v>
      </c>
      <c r="O128" t="s">
        <v>1568</v>
      </c>
      <c r="P128" t="s">
        <v>1568</v>
      </c>
      <c r="Q128" t="s">
        <v>1568</v>
      </c>
      <c r="R128" t="s">
        <v>1568</v>
      </c>
      <c r="S128" t="s">
        <v>1568</v>
      </c>
      <c r="T128" t="s">
        <v>1568</v>
      </c>
      <c r="U128" t="s">
        <v>1568</v>
      </c>
      <c r="V128" t="s">
        <v>1613</v>
      </c>
      <c r="W128" t="s">
        <v>194</v>
      </c>
      <c r="X128" t="s">
        <v>30</v>
      </c>
      <c r="Y128" t="s">
        <v>1572</v>
      </c>
    </row>
    <row r="129" spans="1:25" ht="16" x14ac:dyDescent="0.2">
      <c r="A129" t="s">
        <v>1568</v>
      </c>
      <c r="B129" t="s">
        <v>204</v>
      </c>
      <c r="C129" t="s">
        <v>1568</v>
      </c>
      <c r="D129" t="s">
        <v>1568</v>
      </c>
      <c r="E129" t="s">
        <v>47</v>
      </c>
      <c r="F129" t="s">
        <v>1612</v>
      </c>
      <c r="G129" t="s">
        <v>210</v>
      </c>
      <c r="H129" t="s">
        <v>1568</v>
      </c>
      <c r="I129" t="s">
        <v>211</v>
      </c>
      <c r="J129" t="s">
        <v>1568</v>
      </c>
      <c r="K129" t="s">
        <v>1568</v>
      </c>
      <c r="L129" t="s">
        <v>1568</v>
      </c>
      <c r="M129" t="s">
        <v>1568</v>
      </c>
      <c r="N129" t="s">
        <v>1568</v>
      </c>
      <c r="O129" t="s">
        <v>1568</v>
      </c>
      <c r="P129" t="s">
        <v>1568</v>
      </c>
      <c r="Q129" t="s">
        <v>1568</v>
      </c>
      <c r="R129" t="s">
        <v>1568</v>
      </c>
      <c r="S129" t="s">
        <v>1568</v>
      </c>
      <c r="T129" t="s">
        <v>1568</v>
      </c>
      <c r="U129" t="s">
        <v>1568</v>
      </c>
      <c r="V129" t="s">
        <v>1613</v>
      </c>
      <c r="W129" t="s">
        <v>197</v>
      </c>
      <c r="X129" t="s">
        <v>30</v>
      </c>
      <c r="Y129" t="s">
        <v>1572</v>
      </c>
    </row>
    <row r="130" spans="1:25" ht="16" x14ac:dyDescent="0.2">
      <c r="A130" t="s">
        <v>1568</v>
      </c>
      <c r="B130" t="s">
        <v>204</v>
      </c>
      <c r="C130" t="s">
        <v>1568</v>
      </c>
      <c r="D130" t="s">
        <v>1568</v>
      </c>
      <c r="E130" t="s">
        <v>51</v>
      </c>
      <c r="F130" t="s">
        <v>1612</v>
      </c>
      <c r="G130" t="s">
        <v>212</v>
      </c>
      <c r="H130" t="s">
        <v>1568</v>
      </c>
      <c r="I130" t="s">
        <v>213</v>
      </c>
      <c r="J130" t="s">
        <v>1568</v>
      </c>
      <c r="K130" t="s">
        <v>1568</v>
      </c>
      <c r="L130" t="s">
        <v>1568</v>
      </c>
      <c r="M130" t="s">
        <v>1568</v>
      </c>
      <c r="N130" t="s">
        <v>1568</v>
      </c>
      <c r="O130" t="s">
        <v>1568</v>
      </c>
      <c r="P130" t="s">
        <v>1568</v>
      </c>
      <c r="Q130" t="s">
        <v>1568</v>
      </c>
      <c r="R130" t="s">
        <v>1568</v>
      </c>
      <c r="S130" t="s">
        <v>1568</v>
      </c>
      <c r="T130" t="s">
        <v>1568</v>
      </c>
      <c r="U130" t="s">
        <v>1568</v>
      </c>
      <c r="V130" t="s">
        <v>1592</v>
      </c>
      <c r="W130" t="s">
        <v>200</v>
      </c>
      <c r="X130" t="s">
        <v>30</v>
      </c>
      <c r="Y130" t="s">
        <v>1572</v>
      </c>
    </row>
    <row r="131" spans="1:25" ht="16" x14ac:dyDescent="0.2">
      <c r="A131" t="s">
        <v>1568</v>
      </c>
      <c r="B131" t="s">
        <v>204</v>
      </c>
      <c r="C131" t="s">
        <v>1568</v>
      </c>
      <c r="D131" t="s">
        <v>1568</v>
      </c>
      <c r="E131" t="s">
        <v>55</v>
      </c>
      <c r="F131" t="s">
        <v>1612</v>
      </c>
      <c r="G131" t="s">
        <v>214</v>
      </c>
      <c r="H131" t="s">
        <v>1568</v>
      </c>
      <c r="I131" t="s">
        <v>215</v>
      </c>
      <c r="J131" t="s">
        <v>1568</v>
      </c>
      <c r="K131" t="s">
        <v>1568</v>
      </c>
      <c r="L131" t="s">
        <v>1568</v>
      </c>
      <c r="M131" t="s">
        <v>1568</v>
      </c>
      <c r="N131" t="s">
        <v>1568</v>
      </c>
      <c r="O131" t="s">
        <v>1568</v>
      </c>
      <c r="P131" t="s">
        <v>1568</v>
      </c>
      <c r="Q131" t="s">
        <v>1568</v>
      </c>
      <c r="R131" t="s">
        <v>1568</v>
      </c>
      <c r="S131" t="s">
        <v>1568</v>
      </c>
      <c r="T131" t="s">
        <v>1568</v>
      </c>
      <c r="U131" t="s">
        <v>1568</v>
      </c>
      <c r="V131" t="s">
        <v>1614</v>
      </c>
      <c r="W131" t="s">
        <v>203</v>
      </c>
      <c r="X131" t="s">
        <v>30</v>
      </c>
      <c r="Y131" t="s">
        <v>1572</v>
      </c>
    </row>
    <row r="132" spans="1:25" ht="16" x14ac:dyDescent="0.2">
      <c r="A132" t="s">
        <v>1568</v>
      </c>
      <c r="B132" t="s">
        <v>216</v>
      </c>
      <c r="C132" t="s">
        <v>1568</v>
      </c>
      <c r="D132" t="s">
        <v>1568</v>
      </c>
      <c r="E132" t="s">
        <v>36</v>
      </c>
      <c r="F132" t="s">
        <v>1610</v>
      </c>
      <c r="G132" t="s">
        <v>173</v>
      </c>
      <c r="H132" t="s">
        <v>1568</v>
      </c>
      <c r="I132" t="s">
        <v>174</v>
      </c>
      <c r="J132" t="s">
        <v>1568</v>
      </c>
      <c r="K132" t="s">
        <v>1568</v>
      </c>
      <c r="L132" t="s">
        <v>1568</v>
      </c>
      <c r="M132" t="s">
        <v>1568</v>
      </c>
      <c r="N132" t="s">
        <v>1568</v>
      </c>
      <c r="O132" t="s">
        <v>1568</v>
      </c>
      <c r="P132" t="s">
        <v>1568</v>
      </c>
      <c r="Q132" t="s">
        <v>1568</v>
      </c>
      <c r="R132" t="s">
        <v>1568</v>
      </c>
      <c r="S132" t="s">
        <v>1568</v>
      </c>
      <c r="T132" t="s">
        <v>1568</v>
      </c>
      <c r="U132" t="s">
        <v>1568</v>
      </c>
      <c r="V132" t="s">
        <v>1592</v>
      </c>
      <c r="W132" t="s">
        <v>175</v>
      </c>
      <c r="X132" t="s">
        <v>59</v>
      </c>
      <c r="Y132" t="s">
        <v>1581</v>
      </c>
    </row>
    <row r="133" spans="1:25" ht="16" x14ac:dyDescent="0.2">
      <c r="A133" t="s">
        <v>1568</v>
      </c>
      <c r="B133" t="s">
        <v>216</v>
      </c>
      <c r="C133" t="s">
        <v>1568</v>
      </c>
      <c r="D133" t="s">
        <v>1568</v>
      </c>
      <c r="E133" t="s">
        <v>43</v>
      </c>
      <c r="F133" t="s">
        <v>1610</v>
      </c>
      <c r="G133" t="s">
        <v>176</v>
      </c>
      <c r="H133" t="s">
        <v>1568</v>
      </c>
      <c r="I133" t="s">
        <v>177</v>
      </c>
      <c r="J133" t="s">
        <v>1568</v>
      </c>
      <c r="K133" t="s">
        <v>1568</v>
      </c>
      <c r="L133" t="s">
        <v>1568</v>
      </c>
      <c r="M133" t="s">
        <v>1568</v>
      </c>
      <c r="N133" t="s">
        <v>1568</v>
      </c>
      <c r="O133" t="s">
        <v>1568</v>
      </c>
      <c r="P133" t="s">
        <v>1568</v>
      </c>
      <c r="Q133" t="s">
        <v>1568</v>
      </c>
      <c r="R133" t="s">
        <v>1568</v>
      </c>
      <c r="S133" t="s">
        <v>1568</v>
      </c>
      <c r="T133" t="s">
        <v>1568</v>
      </c>
      <c r="U133" t="s">
        <v>1568</v>
      </c>
      <c r="V133" t="s">
        <v>1595</v>
      </c>
      <c r="W133" t="s">
        <v>178</v>
      </c>
      <c r="X133" t="s">
        <v>59</v>
      </c>
      <c r="Y133" t="s">
        <v>1581</v>
      </c>
    </row>
    <row r="134" spans="1:25" ht="16" x14ac:dyDescent="0.2">
      <c r="A134" t="s">
        <v>1568</v>
      </c>
      <c r="B134" t="s">
        <v>216</v>
      </c>
      <c r="C134" t="s">
        <v>1568</v>
      </c>
      <c r="D134" t="s">
        <v>1568</v>
      </c>
      <c r="E134" t="s">
        <v>47</v>
      </c>
      <c r="F134" t="s">
        <v>1610</v>
      </c>
      <c r="G134" t="s">
        <v>179</v>
      </c>
      <c r="H134" t="s">
        <v>1568</v>
      </c>
      <c r="I134" t="s">
        <v>180</v>
      </c>
      <c r="J134" t="s">
        <v>1568</v>
      </c>
      <c r="K134" t="s">
        <v>1568</v>
      </c>
      <c r="L134" t="s">
        <v>1568</v>
      </c>
      <c r="M134" t="s">
        <v>1568</v>
      </c>
      <c r="N134" t="s">
        <v>1568</v>
      </c>
      <c r="O134" t="s">
        <v>1568</v>
      </c>
      <c r="P134" t="s">
        <v>1568</v>
      </c>
      <c r="Q134" t="s">
        <v>1568</v>
      </c>
      <c r="R134" t="s">
        <v>1568</v>
      </c>
      <c r="S134" t="s">
        <v>1568</v>
      </c>
      <c r="T134" t="s">
        <v>1568</v>
      </c>
      <c r="U134" t="s">
        <v>1568</v>
      </c>
      <c r="V134" t="s">
        <v>1595</v>
      </c>
      <c r="W134" t="s">
        <v>181</v>
      </c>
      <c r="X134" t="s">
        <v>59</v>
      </c>
      <c r="Y134" t="s">
        <v>1581</v>
      </c>
    </row>
    <row r="135" spans="1:25" ht="16" x14ac:dyDescent="0.2">
      <c r="A135" t="s">
        <v>1568</v>
      </c>
      <c r="B135" t="s">
        <v>216</v>
      </c>
      <c r="C135" t="s">
        <v>1568</v>
      </c>
      <c r="D135" t="s">
        <v>1568</v>
      </c>
      <c r="E135" t="s">
        <v>51</v>
      </c>
      <c r="F135" t="s">
        <v>1610</v>
      </c>
      <c r="G135" t="s">
        <v>182</v>
      </c>
      <c r="H135" t="s">
        <v>1568</v>
      </c>
      <c r="I135" t="s">
        <v>183</v>
      </c>
      <c r="J135" t="s">
        <v>1568</v>
      </c>
      <c r="K135" t="s">
        <v>1568</v>
      </c>
      <c r="L135" t="s">
        <v>1568</v>
      </c>
      <c r="M135" t="s">
        <v>1568</v>
      </c>
      <c r="N135" t="s">
        <v>1568</v>
      </c>
      <c r="O135" t="s">
        <v>1568</v>
      </c>
      <c r="P135" t="s">
        <v>1568</v>
      </c>
      <c r="Q135" t="s">
        <v>1568</v>
      </c>
      <c r="R135" t="s">
        <v>1568</v>
      </c>
      <c r="S135" t="s">
        <v>1568</v>
      </c>
      <c r="T135" t="s">
        <v>1568</v>
      </c>
      <c r="U135" t="s">
        <v>1568</v>
      </c>
      <c r="V135" t="s">
        <v>1592</v>
      </c>
      <c r="W135" t="s">
        <v>184</v>
      </c>
      <c r="X135" t="s">
        <v>59</v>
      </c>
      <c r="Y135" t="s">
        <v>1581</v>
      </c>
    </row>
    <row r="136" spans="1:25" ht="16" x14ac:dyDescent="0.2">
      <c r="A136" t="s">
        <v>1568</v>
      </c>
      <c r="B136" t="s">
        <v>216</v>
      </c>
      <c r="C136" t="s">
        <v>1568</v>
      </c>
      <c r="D136" t="s">
        <v>1568</v>
      </c>
      <c r="E136" t="s">
        <v>55</v>
      </c>
      <c r="F136" t="s">
        <v>1610</v>
      </c>
      <c r="G136" t="s">
        <v>185</v>
      </c>
      <c r="H136" t="s">
        <v>1568</v>
      </c>
      <c r="I136" t="s">
        <v>186</v>
      </c>
      <c r="J136" t="s">
        <v>1568</v>
      </c>
      <c r="K136" t="s">
        <v>1568</v>
      </c>
      <c r="L136" t="s">
        <v>1568</v>
      </c>
      <c r="M136" t="s">
        <v>1568</v>
      </c>
      <c r="N136" t="s">
        <v>1568</v>
      </c>
      <c r="O136" t="s">
        <v>1568</v>
      </c>
      <c r="P136" t="s">
        <v>1568</v>
      </c>
      <c r="Q136" t="s">
        <v>1568</v>
      </c>
      <c r="R136" t="s">
        <v>1568</v>
      </c>
      <c r="S136" t="s">
        <v>1568</v>
      </c>
      <c r="T136" t="s">
        <v>1568</v>
      </c>
      <c r="U136" t="s">
        <v>1568</v>
      </c>
      <c r="V136" t="s">
        <v>1596</v>
      </c>
      <c r="W136" t="s">
        <v>187</v>
      </c>
      <c r="X136" t="s">
        <v>59</v>
      </c>
      <c r="Y136" t="s">
        <v>1581</v>
      </c>
    </row>
    <row r="137" spans="1:25" ht="16" x14ac:dyDescent="0.2">
      <c r="A137" t="s">
        <v>1568</v>
      </c>
      <c r="B137" t="s">
        <v>217</v>
      </c>
      <c r="C137" t="s">
        <v>1568</v>
      </c>
      <c r="D137" t="s">
        <v>1568</v>
      </c>
      <c r="E137" t="s">
        <v>36</v>
      </c>
      <c r="F137" t="s">
        <v>1615</v>
      </c>
      <c r="G137" t="s">
        <v>219</v>
      </c>
      <c r="H137" t="s">
        <v>1568</v>
      </c>
      <c r="I137" t="s">
        <v>220</v>
      </c>
      <c r="J137" t="s">
        <v>1568</v>
      </c>
      <c r="K137" t="s">
        <v>1568</v>
      </c>
      <c r="L137" t="s">
        <v>1568</v>
      </c>
      <c r="M137" t="s">
        <v>1568</v>
      </c>
      <c r="N137" t="s">
        <v>1568</v>
      </c>
      <c r="O137" t="s">
        <v>1568</v>
      </c>
      <c r="P137" t="s">
        <v>1568</v>
      </c>
      <c r="Q137" t="s">
        <v>1568</v>
      </c>
      <c r="R137" t="s">
        <v>1568</v>
      </c>
      <c r="S137" t="s">
        <v>1568</v>
      </c>
      <c r="T137" t="s">
        <v>1568</v>
      </c>
      <c r="U137" t="s">
        <v>1568</v>
      </c>
      <c r="V137" t="s">
        <v>1592</v>
      </c>
      <c r="W137" t="s">
        <v>221</v>
      </c>
      <c r="X137" t="s">
        <v>30</v>
      </c>
      <c r="Y137" t="s">
        <v>1572</v>
      </c>
    </row>
    <row r="138" spans="1:25" ht="16" x14ac:dyDescent="0.2">
      <c r="A138" t="s">
        <v>1568</v>
      </c>
      <c r="B138" t="s">
        <v>217</v>
      </c>
      <c r="C138" t="s">
        <v>1568</v>
      </c>
      <c r="D138" t="s">
        <v>1568</v>
      </c>
      <c r="E138" t="s">
        <v>43</v>
      </c>
      <c r="F138" t="s">
        <v>1615</v>
      </c>
      <c r="G138" t="s">
        <v>222</v>
      </c>
      <c r="H138" t="s">
        <v>1568</v>
      </c>
      <c r="I138" t="s">
        <v>223</v>
      </c>
      <c r="J138" t="s">
        <v>1568</v>
      </c>
      <c r="K138" t="s">
        <v>1568</v>
      </c>
      <c r="L138" t="s">
        <v>1568</v>
      </c>
      <c r="M138" t="s">
        <v>1568</v>
      </c>
      <c r="N138" t="s">
        <v>1568</v>
      </c>
      <c r="O138" t="s">
        <v>1568</v>
      </c>
      <c r="P138" t="s">
        <v>1568</v>
      </c>
      <c r="Q138" t="s">
        <v>1568</v>
      </c>
      <c r="R138" t="s">
        <v>1568</v>
      </c>
      <c r="S138" t="s">
        <v>1568</v>
      </c>
      <c r="T138" t="s">
        <v>1568</v>
      </c>
      <c r="U138" t="s">
        <v>1568</v>
      </c>
      <c r="V138" t="s">
        <v>1593</v>
      </c>
      <c r="W138" t="s">
        <v>224</v>
      </c>
      <c r="X138" t="s">
        <v>30</v>
      </c>
      <c r="Y138" t="s">
        <v>1572</v>
      </c>
    </row>
    <row r="139" spans="1:25" ht="16" x14ac:dyDescent="0.2">
      <c r="A139" t="s">
        <v>1568</v>
      </c>
      <c r="B139" t="s">
        <v>217</v>
      </c>
      <c r="C139" t="s">
        <v>1568</v>
      </c>
      <c r="D139" t="s">
        <v>1568</v>
      </c>
      <c r="E139" t="s">
        <v>47</v>
      </c>
      <c r="F139" t="s">
        <v>1615</v>
      </c>
      <c r="G139" t="s">
        <v>225</v>
      </c>
      <c r="H139" t="s">
        <v>1568</v>
      </c>
      <c r="I139" t="s">
        <v>226</v>
      </c>
      <c r="J139" t="s">
        <v>1568</v>
      </c>
      <c r="K139" t="s">
        <v>1568</v>
      </c>
      <c r="L139" t="s">
        <v>1568</v>
      </c>
      <c r="M139" t="s">
        <v>1568</v>
      </c>
      <c r="N139" t="s">
        <v>1568</v>
      </c>
      <c r="O139" t="s">
        <v>1568</v>
      </c>
      <c r="P139" t="s">
        <v>1568</v>
      </c>
      <c r="Q139" t="s">
        <v>1568</v>
      </c>
      <c r="R139" t="s">
        <v>1568</v>
      </c>
      <c r="S139" t="s">
        <v>1568</v>
      </c>
      <c r="T139" t="s">
        <v>1568</v>
      </c>
      <c r="U139" t="s">
        <v>1568</v>
      </c>
      <c r="V139" t="s">
        <v>1593</v>
      </c>
      <c r="W139" t="s">
        <v>227</v>
      </c>
      <c r="X139" t="s">
        <v>30</v>
      </c>
      <c r="Y139" t="s">
        <v>1572</v>
      </c>
    </row>
    <row r="140" spans="1:25" ht="16" x14ac:dyDescent="0.2">
      <c r="A140" t="s">
        <v>1568</v>
      </c>
      <c r="B140" t="s">
        <v>217</v>
      </c>
      <c r="C140" t="s">
        <v>1568</v>
      </c>
      <c r="D140" t="s">
        <v>1568</v>
      </c>
      <c r="E140" t="s">
        <v>51</v>
      </c>
      <c r="F140" t="s">
        <v>1615</v>
      </c>
      <c r="G140" t="s">
        <v>228</v>
      </c>
      <c r="H140" t="s">
        <v>1568</v>
      </c>
      <c r="I140" t="s">
        <v>229</v>
      </c>
      <c r="J140" t="s">
        <v>1568</v>
      </c>
      <c r="K140" t="s">
        <v>1568</v>
      </c>
      <c r="L140" t="s">
        <v>1568</v>
      </c>
      <c r="M140" t="s">
        <v>1568</v>
      </c>
      <c r="N140" t="s">
        <v>1568</v>
      </c>
      <c r="O140" t="s">
        <v>1568</v>
      </c>
      <c r="P140" t="s">
        <v>1568</v>
      </c>
      <c r="Q140" t="s">
        <v>1568</v>
      </c>
      <c r="R140" t="s">
        <v>1568</v>
      </c>
      <c r="S140" t="s">
        <v>1568</v>
      </c>
      <c r="T140" t="s">
        <v>1568</v>
      </c>
      <c r="U140" t="s">
        <v>1568</v>
      </c>
      <c r="V140" t="s">
        <v>1592</v>
      </c>
      <c r="W140" t="s">
        <v>230</v>
      </c>
      <c r="X140" t="s">
        <v>30</v>
      </c>
      <c r="Y140" t="s">
        <v>1572</v>
      </c>
    </row>
    <row r="141" spans="1:25" ht="16" x14ac:dyDescent="0.2">
      <c r="A141" t="s">
        <v>1568</v>
      </c>
      <c r="B141" t="s">
        <v>217</v>
      </c>
      <c r="C141" t="s">
        <v>1568</v>
      </c>
      <c r="D141" t="s">
        <v>1568</v>
      </c>
      <c r="E141" t="s">
        <v>55</v>
      </c>
      <c r="F141" t="s">
        <v>1615</v>
      </c>
      <c r="G141" t="s">
        <v>231</v>
      </c>
      <c r="H141" t="s">
        <v>1568</v>
      </c>
      <c r="I141" t="s">
        <v>232</v>
      </c>
      <c r="J141" t="s">
        <v>1568</v>
      </c>
      <c r="K141" t="s">
        <v>1568</v>
      </c>
      <c r="L141" t="s">
        <v>1568</v>
      </c>
      <c r="M141" t="s">
        <v>1568</v>
      </c>
      <c r="N141" t="s">
        <v>1568</v>
      </c>
      <c r="O141" t="s">
        <v>1568</v>
      </c>
      <c r="P141" t="s">
        <v>1568</v>
      </c>
      <c r="Q141" t="s">
        <v>1568</v>
      </c>
      <c r="R141" t="s">
        <v>1568</v>
      </c>
      <c r="S141" t="s">
        <v>1568</v>
      </c>
      <c r="T141" t="s">
        <v>1568</v>
      </c>
      <c r="U141" t="s">
        <v>1568</v>
      </c>
      <c r="V141" t="s">
        <v>1594</v>
      </c>
      <c r="W141" t="s">
        <v>233</v>
      </c>
      <c r="X141" t="s">
        <v>30</v>
      </c>
      <c r="Y141" t="s">
        <v>1572</v>
      </c>
    </row>
    <row r="142" spans="1:25" ht="16" x14ac:dyDescent="0.2">
      <c r="A142" t="s">
        <v>1568</v>
      </c>
      <c r="B142" t="s">
        <v>234</v>
      </c>
      <c r="C142" t="s">
        <v>1568</v>
      </c>
      <c r="D142" t="s">
        <v>1568</v>
      </c>
      <c r="E142" t="s">
        <v>36</v>
      </c>
      <c r="F142" t="s">
        <v>1611</v>
      </c>
      <c r="G142" t="s">
        <v>189</v>
      </c>
      <c r="H142" t="s">
        <v>1568</v>
      </c>
      <c r="I142" t="s">
        <v>190</v>
      </c>
      <c r="J142" t="s">
        <v>1568</v>
      </c>
      <c r="K142" t="s">
        <v>1568</v>
      </c>
      <c r="L142" t="s">
        <v>1568</v>
      </c>
      <c r="M142" t="s">
        <v>1568</v>
      </c>
      <c r="N142" t="s">
        <v>1568</v>
      </c>
      <c r="O142" t="s">
        <v>1568</v>
      </c>
      <c r="P142" t="s">
        <v>1568</v>
      </c>
      <c r="Q142" t="s">
        <v>1568</v>
      </c>
      <c r="R142" t="s">
        <v>1568</v>
      </c>
      <c r="S142" t="s">
        <v>1568</v>
      </c>
      <c r="T142" t="s">
        <v>1568</v>
      </c>
      <c r="U142" t="s">
        <v>1568</v>
      </c>
      <c r="V142" t="s">
        <v>1592</v>
      </c>
      <c r="W142" t="s">
        <v>191</v>
      </c>
      <c r="X142" t="s">
        <v>59</v>
      </c>
      <c r="Y142" t="s">
        <v>1581</v>
      </c>
    </row>
    <row r="143" spans="1:25" ht="16" x14ac:dyDescent="0.2">
      <c r="A143" t="s">
        <v>1568</v>
      </c>
      <c r="B143" t="s">
        <v>234</v>
      </c>
      <c r="C143" t="s">
        <v>1568</v>
      </c>
      <c r="D143" t="s">
        <v>1568</v>
      </c>
      <c r="E143" t="s">
        <v>43</v>
      </c>
      <c r="F143" t="s">
        <v>1611</v>
      </c>
      <c r="G143" t="s">
        <v>192</v>
      </c>
      <c r="H143" t="s">
        <v>1568</v>
      </c>
      <c r="I143" t="s">
        <v>193</v>
      </c>
      <c r="J143" t="s">
        <v>1568</v>
      </c>
      <c r="K143" t="s">
        <v>1568</v>
      </c>
      <c r="L143" t="s">
        <v>1568</v>
      </c>
      <c r="M143" t="s">
        <v>1568</v>
      </c>
      <c r="N143" t="s">
        <v>1568</v>
      </c>
      <c r="O143" t="s">
        <v>1568</v>
      </c>
      <c r="P143" t="s">
        <v>1568</v>
      </c>
      <c r="Q143" t="s">
        <v>1568</v>
      </c>
      <c r="R143" t="s">
        <v>1568</v>
      </c>
      <c r="S143" t="s">
        <v>1568</v>
      </c>
      <c r="T143" t="s">
        <v>1568</v>
      </c>
      <c r="U143" t="s">
        <v>1568</v>
      </c>
      <c r="V143" t="s">
        <v>1604</v>
      </c>
      <c r="W143" t="s">
        <v>194</v>
      </c>
      <c r="X143" t="s">
        <v>59</v>
      </c>
      <c r="Y143" t="s">
        <v>1581</v>
      </c>
    </row>
    <row r="144" spans="1:25" ht="16" x14ac:dyDescent="0.2">
      <c r="A144" t="s">
        <v>1568</v>
      </c>
      <c r="B144" t="s">
        <v>234</v>
      </c>
      <c r="C144" t="s">
        <v>1568</v>
      </c>
      <c r="D144" t="s">
        <v>1568</v>
      </c>
      <c r="E144" t="s">
        <v>47</v>
      </c>
      <c r="F144" t="s">
        <v>1611</v>
      </c>
      <c r="G144" t="s">
        <v>195</v>
      </c>
      <c r="H144" t="s">
        <v>1568</v>
      </c>
      <c r="I144" t="s">
        <v>196</v>
      </c>
      <c r="J144" t="s">
        <v>1568</v>
      </c>
      <c r="K144" t="s">
        <v>1568</v>
      </c>
      <c r="L144" t="s">
        <v>1568</v>
      </c>
      <c r="M144" t="s">
        <v>1568</v>
      </c>
      <c r="N144" t="s">
        <v>1568</v>
      </c>
      <c r="O144" t="s">
        <v>1568</v>
      </c>
      <c r="P144" t="s">
        <v>1568</v>
      </c>
      <c r="Q144" t="s">
        <v>1568</v>
      </c>
      <c r="R144" t="s">
        <v>1568</v>
      </c>
      <c r="S144" t="s">
        <v>1568</v>
      </c>
      <c r="T144" t="s">
        <v>1568</v>
      </c>
      <c r="U144" t="s">
        <v>1568</v>
      </c>
      <c r="V144" t="s">
        <v>1604</v>
      </c>
      <c r="W144" t="s">
        <v>197</v>
      </c>
      <c r="X144" t="s">
        <v>59</v>
      </c>
      <c r="Y144" t="s">
        <v>1581</v>
      </c>
    </row>
    <row r="145" spans="1:25" ht="16" x14ac:dyDescent="0.2">
      <c r="A145" t="s">
        <v>1568</v>
      </c>
      <c r="B145" t="s">
        <v>234</v>
      </c>
      <c r="C145" t="s">
        <v>1568</v>
      </c>
      <c r="D145" t="s">
        <v>1568</v>
      </c>
      <c r="E145" t="s">
        <v>51</v>
      </c>
      <c r="F145" t="s">
        <v>1611</v>
      </c>
      <c r="G145" t="s">
        <v>198</v>
      </c>
      <c r="H145" t="s">
        <v>1568</v>
      </c>
      <c r="I145" t="s">
        <v>199</v>
      </c>
      <c r="J145" t="s">
        <v>1568</v>
      </c>
      <c r="K145" t="s">
        <v>1568</v>
      </c>
      <c r="L145" t="s">
        <v>1568</v>
      </c>
      <c r="M145" t="s">
        <v>1568</v>
      </c>
      <c r="N145" t="s">
        <v>1568</v>
      </c>
      <c r="O145" t="s">
        <v>1568</v>
      </c>
      <c r="P145" t="s">
        <v>1568</v>
      </c>
      <c r="Q145" t="s">
        <v>1568</v>
      </c>
      <c r="R145" t="s">
        <v>1568</v>
      </c>
      <c r="S145" t="s">
        <v>1568</v>
      </c>
      <c r="T145" t="s">
        <v>1568</v>
      </c>
      <c r="U145" t="s">
        <v>1568</v>
      </c>
      <c r="V145" t="s">
        <v>1592</v>
      </c>
      <c r="W145" t="s">
        <v>200</v>
      </c>
      <c r="X145" t="s">
        <v>59</v>
      </c>
      <c r="Y145" t="s">
        <v>1581</v>
      </c>
    </row>
    <row r="146" spans="1:25" ht="16" x14ac:dyDescent="0.2">
      <c r="A146" t="s">
        <v>1568</v>
      </c>
      <c r="B146" t="s">
        <v>234</v>
      </c>
      <c r="C146" t="s">
        <v>1568</v>
      </c>
      <c r="D146" t="s">
        <v>1568</v>
      </c>
      <c r="E146" t="s">
        <v>55</v>
      </c>
      <c r="F146" t="s">
        <v>1611</v>
      </c>
      <c r="G146" t="s">
        <v>201</v>
      </c>
      <c r="H146" t="s">
        <v>1568</v>
      </c>
      <c r="I146" t="s">
        <v>202</v>
      </c>
      <c r="J146" t="s">
        <v>1568</v>
      </c>
      <c r="K146" t="s">
        <v>1568</v>
      </c>
      <c r="L146" t="s">
        <v>1568</v>
      </c>
      <c r="M146" t="s">
        <v>1568</v>
      </c>
      <c r="N146" t="s">
        <v>1568</v>
      </c>
      <c r="O146" t="s">
        <v>1568</v>
      </c>
      <c r="P146" t="s">
        <v>1568</v>
      </c>
      <c r="Q146" t="s">
        <v>1568</v>
      </c>
      <c r="R146" t="s">
        <v>1568</v>
      </c>
      <c r="S146" t="s">
        <v>1568</v>
      </c>
      <c r="T146" t="s">
        <v>1568</v>
      </c>
      <c r="U146" t="s">
        <v>1568</v>
      </c>
      <c r="V146" t="s">
        <v>1605</v>
      </c>
      <c r="W146" t="s">
        <v>203</v>
      </c>
      <c r="X146" t="s">
        <v>59</v>
      </c>
      <c r="Y146" t="s">
        <v>1581</v>
      </c>
    </row>
    <row r="147" spans="1:25" ht="16" x14ac:dyDescent="0.2">
      <c r="A147" t="s">
        <v>1568</v>
      </c>
      <c r="B147" t="s">
        <v>235</v>
      </c>
      <c r="C147" t="s">
        <v>1568</v>
      </c>
      <c r="D147" t="s">
        <v>1568</v>
      </c>
      <c r="E147" t="s">
        <v>36</v>
      </c>
      <c r="F147" t="s">
        <v>1616</v>
      </c>
      <c r="G147" t="s">
        <v>236</v>
      </c>
      <c r="H147" t="s">
        <v>1568</v>
      </c>
      <c r="I147" t="s">
        <v>237</v>
      </c>
      <c r="J147" t="s">
        <v>1568</v>
      </c>
      <c r="K147" t="s">
        <v>1568</v>
      </c>
      <c r="L147" t="s">
        <v>1568</v>
      </c>
      <c r="M147" t="s">
        <v>1568</v>
      </c>
      <c r="N147" t="s">
        <v>1568</v>
      </c>
      <c r="O147" t="s">
        <v>1568</v>
      </c>
      <c r="P147" t="s">
        <v>1568</v>
      </c>
      <c r="Q147" t="s">
        <v>1568</v>
      </c>
      <c r="R147" t="s">
        <v>1568</v>
      </c>
      <c r="S147" t="s">
        <v>1568</v>
      </c>
      <c r="T147" t="s">
        <v>1568</v>
      </c>
      <c r="U147" t="s">
        <v>1568</v>
      </c>
      <c r="V147" t="s">
        <v>1592</v>
      </c>
      <c r="W147" t="s">
        <v>238</v>
      </c>
      <c r="X147" t="s">
        <v>30</v>
      </c>
      <c r="Y147" t="s">
        <v>1572</v>
      </c>
    </row>
    <row r="148" spans="1:25" ht="16" x14ac:dyDescent="0.2">
      <c r="A148" t="s">
        <v>1568</v>
      </c>
      <c r="B148" t="s">
        <v>235</v>
      </c>
      <c r="C148" t="s">
        <v>1568</v>
      </c>
      <c r="D148" t="s">
        <v>1568</v>
      </c>
      <c r="E148" t="s">
        <v>43</v>
      </c>
      <c r="F148" t="s">
        <v>1616</v>
      </c>
      <c r="G148" t="s">
        <v>239</v>
      </c>
      <c r="H148" t="s">
        <v>1568</v>
      </c>
      <c r="I148" t="s">
        <v>240</v>
      </c>
      <c r="J148" t="s">
        <v>1568</v>
      </c>
      <c r="K148" t="s">
        <v>1568</v>
      </c>
      <c r="L148" t="s">
        <v>1568</v>
      </c>
      <c r="M148" t="s">
        <v>1568</v>
      </c>
      <c r="N148" t="s">
        <v>1568</v>
      </c>
      <c r="O148" t="s">
        <v>1568</v>
      </c>
      <c r="P148" t="s">
        <v>1568</v>
      </c>
      <c r="Q148" t="s">
        <v>1568</v>
      </c>
      <c r="R148" t="s">
        <v>1568</v>
      </c>
      <c r="S148" t="s">
        <v>1568</v>
      </c>
      <c r="T148" t="s">
        <v>1568</v>
      </c>
      <c r="U148" t="s">
        <v>1568</v>
      </c>
      <c r="V148" t="s">
        <v>1593</v>
      </c>
      <c r="W148" t="s">
        <v>241</v>
      </c>
      <c r="X148" t="s">
        <v>30</v>
      </c>
      <c r="Y148" t="s">
        <v>1572</v>
      </c>
    </row>
    <row r="149" spans="1:25" ht="16" x14ac:dyDescent="0.2">
      <c r="A149" t="s">
        <v>1568</v>
      </c>
      <c r="B149" t="s">
        <v>235</v>
      </c>
      <c r="C149" t="s">
        <v>1568</v>
      </c>
      <c r="D149" t="s">
        <v>1568</v>
      </c>
      <c r="E149" t="s">
        <v>47</v>
      </c>
      <c r="F149" t="s">
        <v>1616</v>
      </c>
      <c r="G149" t="s">
        <v>242</v>
      </c>
      <c r="H149" t="s">
        <v>1568</v>
      </c>
      <c r="I149" t="s">
        <v>243</v>
      </c>
      <c r="J149" t="s">
        <v>1568</v>
      </c>
      <c r="K149" t="s">
        <v>1568</v>
      </c>
      <c r="L149" t="s">
        <v>1568</v>
      </c>
      <c r="M149" t="s">
        <v>1568</v>
      </c>
      <c r="N149" t="s">
        <v>1568</v>
      </c>
      <c r="O149" t="s">
        <v>1568</v>
      </c>
      <c r="P149" t="s">
        <v>1568</v>
      </c>
      <c r="Q149" t="s">
        <v>1568</v>
      </c>
      <c r="R149" t="s">
        <v>1568</v>
      </c>
      <c r="S149" t="s">
        <v>1568</v>
      </c>
      <c r="T149" t="s">
        <v>1568</v>
      </c>
      <c r="U149" t="s">
        <v>1568</v>
      </c>
      <c r="V149" t="s">
        <v>1593</v>
      </c>
      <c r="W149" t="s">
        <v>244</v>
      </c>
      <c r="X149" t="s">
        <v>30</v>
      </c>
      <c r="Y149" t="s">
        <v>1572</v>
      </c>
    </row>
    <row r="150" spans="1:25" ht="16" x14ac:dyDescent="0.2">
      <c r="A150" t="s">
        <v>1568</v>
      </c>
      <c r="B150" t="s">
        <v>235</v>
      </c>
      <c r="C150" t="s">
        <v>1568</v>
      </c>
      <c r="D150" t="s">
        <v>1568</v>
      </c>
      <c r="E150" t="s">
        <v>51</v>
      </c>
      <c r="F150" t="s">
        <v>1616</v>
      </c>
      <c r="G150" t="s">
        <v>245</v>
      </c>
      <c r="H150" t="s">
        <v>1568</v>
      </c>
      <c r="I150" t="s">
        <v>246</v>
      </c>
      <c r="J150" t="s">
        <v>1568</v>
      </c>
      <c r="K150" t="s">
        <v>1568</v>
      </c>
      <c r="L150" t="s">
        <v>1568</v>
      </c>
      <c r="M150" t="s">
        <v>1568</v>
      </c>
      <c r="N150" t="s">
        <v>1568</v>
      </c>
      <c r="O150" t="s">
        <v>1568</v>
      </c>
      <c r="P150" t="s">
        <v>1568</v>
      </c>
      <c r="Q150" t="s">
        <v>1568</v>
      </c>
      <c r="R150" t="s">
        <v>1568</v>
      </c>
      <c r="S150" t="s">
        <v>1568</v>
      </c>
      <c r="T150" t="s">
        <v>1568</v>
      </c>
      <c r="U150" t="s">
        <v>1568</v>
      </c>
      <c r="V150" t="s">
        <v>1592</v>
      </c>
      <c r="W150" t="s">
        <v>247</v>
      </c>
      <c r="X150" t="s">
        <v>30</v>
      </c>
      <c r="Y150" t="s">
        <v>1572</v>
      </c>
    </row>
    <row r="151" spans="1:25" ht="16" x14ac:dyDescent="0.2">
      <c r="A151" t="s">
        <v>1568</v>
      </c>
      <c r="B151" t="s">
        <v>235</v>
      </c>
      <c r="C151" t="s">
        <v>1568</v>
      </c>
      <c r="D151" t="s">
        <v>1568</v>
      </c>
      <c r="E151" t="s">
        <v>55</v>
      </c>
      <c r="F151" t="s">
        <v>1616</v>
      </c>
      <c r="G151" t="s">
        <v>248</v>
      </c>
      <c r="H151" t="s">
        <v>1568</v>
      </c>
      <c r="I151" t="s">
        <v>249</v>
      </c>
      <c r="J151" t="s">
        <v>1568</v>
      </c>
      <c r="K151" t="s">
        <v>1568</v>
      </c>
      <c r="L151" t="s">
        <v>1568</v>
      </c>
      <c r="M151" t="s">
        <v>1568</v>
      </c>
      <c r="N151" t="s">
        <v>1568</v>
      </c>
      <c r="O151" t="s">
        <v>1568</v>
      </c>
      <c r="P151" t="s">
        <v>1568</v>
      </c>
      <c r="Q151" t="s">
        <v>1568</v>
      </c>
      <c r="R151" t="s">
        <v>1568</v>
      </c>
      <c r="S151" t="s">
        <v>1568</v>
      </c>
      <c r="T151" t="s">
        <v>1568</v>
      </c>
      <c r="U151" t="s">
        <v>1568</v>
      </c>
      <c r="V151" t="s">
        <v>1594</v>
      </c>
      <c r="W151" t="s">
        <v>250</v>
      </c>
      <c r="X151" t="s">
        <v>30</v>
      </c>
      <c r="Y151" t="s">
        <v>1572</v>
      </c>
    </row>
    <row r="152" spans="1:25" ht="16" x14ac:dyDescent="0.2">
      <c r="A152" t="s">
        <v>1568</v>
      </c>
      <c r="B152" t="s">
        <v>251</v>
      </c>
      <c r="C152" t="s">
        <v>1568</v>
      </c>
      <c r="D152" t="s">
        <v>1568</v>
      </c>
      <c r="E152" t="s">
        <v>36</v>
      </c>
      <c r="F152" t="s">
        <v>1612</v>
      </c>
      <c r="G152" t="s">
        <v>206</v>
      </c>
      <c r="H152" t="s">
        <v>1568</v>
      </c>
      <c r="I152" t="s">
        <v>207</v>
      </c>
      <c r="J152" t="s">
        <v>1568</v>
      </c>
      <c r="K152" t="s">
        <v>1568</v>
      </c>
      <c r="L152" t="s">
        <v>1568</v>
      </c>
      <c r="M152" t="s">
        <v>1568</v>
      </c>
      <c r="N152" t="s">
        <v>1568</v>
      </c>
      <c r="O152" t="s">
        <v>1568</v>
      </c>
      <c r="P152" t="s">
        <v>1568</v>
      </c>
      <c r="Q152" t="s">
        <v>1568</v>
      </c>
      <c r="R152" t="s">
        <v>1568</v>
      </c>
      <c r="S152" t="s">
        <v>1568</v>
      </c>
      <c r="T152" t="s">
        <v>1568</v>
      </c>
      <c r="U152" t="s">
        <v>1568</v>
      </c>
      <c r="V152" t="s">
        <v>1592</v>
      </c>
      <c r="W152" t="s">
        <v>191</v>
      </c>
      <c r="X152" t="s">
        <v>59</v>
      </c>
      <c r="Y152" t="s">
        <v>1581</v>
      </c>
    </row>
    <row r="153" spans="1:25" ht="16" x14ac:dyDescent="0.2">
      <c r="A153" t="s">
        <v>1568</v>
      </c>
      <c r="B153" t="s">
        <v>251</v>
      </c>
      <c r="C153" t="s">
        <v>1568</v>
      </c>
      <c r="D153" t="s">
        <v>1568</v>
      </c>
      <c r="E153" t="s">
        <v>43</v>
      </c>
      <c r="F153" t="s">
        <v>1612</v>
      </c>
      <c r="G153" t="s">
        <v>208</v>
      </c>
      <c r="H153" t="s">
        <v>1568</v>
      </c>
      <c r="I153" t="s">
        <v>209</v>
      </c>
      <c r="J153" t="s">
        <v>1568</v>
      </c>
      <c r="K153" t="s">
        <v>1568</v>
      </c>
      <c r="L153" t="s">
        <v>1568</v>
      </c>
      <c r="M153" t="s">
        <v>1568</v>
      </c>
      <c r="N153" t="s">
        <v>1568</v>
      </c>
      <c r="O153" t="s">
        <v>1568</v>
      </c>
      <c r="P153" t="s">
        <v>1568</v>
      </c>
      <c r="Q153" t="s">
        <v>1568</v>
      </c>
      <c r="R153" t="s">
        <v>1568</v>
      </c>
      <c r="S153" t="s">
        <v>1568</v>
      </c>
      <c r="T153" t="s">
        <v>1568</v>
      </c>
      <c r="U153" t="s">
        <v>1568</v>
      </c>
      <c r="V153" t="s">
        <v>1617</v>
      </c>
      <c r="W153" t="s">
        <v>194</v>
      </c>
      <c r="X153" t="s">
        <v>59</v>
      </c>
      <c r="Y153" t="s">
        <v>1581</v>
      </c>
    </row>
    <row r="154" spans="1:25" ht="16" x14ac:dyDescent="0.2">
      <c r="A154" t="s">
        <v>1568</v>
      </c>
      <c r="B154" t="s">
        <v>251</v>
      </c>
      <c r="C154" t="s">
        <v>1568</v>
      </c>
      <c r="D154" t="s">
        <v>1568</v>
      </c>
      <c r="E154" t="s">
        <v>47</v>
      </c>
      <c r="F154" t="s">
        <v>1612</v>
      </c>
      <c r="G154" t="s">
        <v>210</v>
      </c>
      <c r="H154" t="s">
        <v>1568</v>
      </c>
      <c r="I154" t="s">
        <v>211</v>
      </c>
      <c r="J154" t="s">
        <v>1568</v>
      </c>
      <c r="K154" t="s">
        <v>1568</v>
      </c>
      <c r="L154" t="s">
        <v>1568</v>
      </c>
      <c r="M154" t="s">
        <v>1568</v>
      </c>
      <c r="N154" t="s">
        <v>1568</v>
      </c>
      <c r="O154" t="s">
        <v>1568</v>
      </c>
      <c r="P154" t="s">
        <v>1568</v>
      </c>
      <c r="Q154" t="s">
        <v>1568</v>
      </c>
      <c r="R154" t="s">
        <v>1568</v>
      </c>
      <c r="S154" t="s">
        <v>1568</v>
      </c>
      <c r="T154" t="s">
        <v>1568</v>
      </c>
      <c r="U154" t="s">
        <v>1568</v>
      </c>
      <c r="V154" t="s">
        <v>1617</v>
      </c>
      <c r="W154" t="s">
        <v>197</v>
      </c>
      <c r="X154" t="s">
        <v>59</v>
      </c>
      <c r="Y154" t="s">
        <v>1581</v>
      </c>
    </row>
    <row r="155" spans="1:25" ht="16" x14ac:dyDescent="0.2">
      <c r="A155" t="s">
        <v>1568</v>
      </c>
      <c r="B155" t="s">
        <v>251</v>
      </c>
      <c r="C155" t="s">
        <v>1568</v>
      </c>
      <c r="D155" t="s">
        <v>1568</v>
      </c>
      <c r="E155" t="s">
        <v>51</v>
      </c>
      <c r="F155" t="s">
        <v>1612</v>
      </c>
      <c r="G155" t="s">
        <v>212</v>
      </c>
      <c r="H155" t="s">
        <v>1568</v>
      </c>
      <c r="I155" t="s">
        <v>213</v>
      </c>
      <c r="J155" t="s">
        <v>1568</v>
      </c>
      <c r="K155" t="s">
        <v>1568</v>
      </c>
      <c r="L155" t="s">
        <v>1568</v>
      </c>
      <c r="M155" t="s">
        <v>1568</v>
      </c>
      <c r="N155" t="s">
        <v>1568</v>
      </c>
      <c r="O155" t="s">
        <v>1568</v>
      </c>
      <c r="P155" t="s">
        <v>1568</v>
      </c>
      <c r="Q155" t="s">
        <v>1568</v>
      </c>
      <c r="R155" t="s">
        <v>1568</v>
      </c>
      <c r="S155" t="s">
        <v>1568</v>
      </c>
      <c r="T155" t="s">
        <v>1568</v>
      </c>
      <c r="U155" t="s">
        <v>1568</v>
      </c>
      <c r="V155" t="s">
        <v>1592</v>
      </c>
      <c r="W155" t="s">
        <v>200</v>
      </c>
      <c r="X155" t="s">
        <v>59</v>
      </c>
      <c r="Y155" t="s">
        <v>1581</v>
      </c>
    </row>
    <row r="156" spans="1:25" ht="16" x14ac:dyDescent="0.2">
      <c r="A156" t="s">
        <v>1568</v>
      </c>
      <c r="B156" t="s">
        <v>251</v>
      </c>
      <c r="C156" t="s">
        <v>1568</v>
      </c>
      <c r="D156" t="s">
        <v>1568</v>
      </c>
      <c r="E156" t="s">
        <v>55</v>
      </c>
      <c r="F156" t="s">
        <v>1612</v>
      </c>
      <c r="G156" t="s">
        <v>214</v>
      </c>
      <c r="H156" t="s">
        <v>1568</v>
      </c>
      <c r="I156" t="s">
        <v>215</v>
      </c>
      <c r="J156" t="s">
        <v>1568</v>
      </c>
      <c r="K156" t="s">
        <v>1568</v>
      </c>
      <c r="L156" t="s">
        <v>1568</v>
      </c>
      <c r="M156" t="s">
        <v>1568</v>
      </c>
      <c r="N156" t="s">
        <v>1568</v>
      </c>
      <c r="O156" t="s">
        <v>1568</v>
      </c>
      <c r="P156" t="s">
        <v>1568</v>
      </c>
      <c r="Q156" t="s">
        <v>1568</v>
      </c>
      <c r="R156" t="s">
        <v>1568</v>
      </c>
      <c r="S156" t="s">
        <v>1568</v>
      </c>
      <c r="T156" t="s">
        <v>1568</v>
      </c>
      <c r="U156" t="s">
        <v>1568</v>
      </c>
      <c r="V156" t="s">
        <v>1618</v>
      </c>
      <c r="W156" t="s">
        <v>203</v>
      </c>
      <c r="X156" t="s">
        <v>59</v>
      </c>
      <c r="Y156" t="s">
        <v>1581</v>
      </c>
    </row>
    <row r="157" spans="1:25" ht="16" x14ac:dyDescent="0.2">
      <c r="A157" t="s">
        <v>1568</v>
      </c>
      <c r="B157" t="s">
        <v>252</v>
      </c>
      <c r="C157" t="s">
        <v>1568</v>
      </c>
      <c r="D157" t="s">
        <v>1568</v>
      </c>
      <c r="E157" t="s">
        <v>36</v>
      </c>
      <c r="F157" t="s">
        <v>1616</v>
      </c>
      <c r="G157" t="s">
        <v>253</v>
      </c>
      <c r="H157" t="s">
        <v>1568</v>
      </c>
      <c r="I157" t="s">
        <v>254</v>
      </c>
      <c r="J157" t="s">
        <v>1568</v>
      </c>
      <c r="K157" t="s">
        <v>1568</v>
      </c>
      <c r="L157" t="s">
        <v>1568</v>
      </c>
      <c r="M157" t="s">
        <v>1568</v>
      </c>
      <c r="N157" t="s">
        <v>1568</v>
      </c>
      <c r="O157" t="s">
        <v>1568</v>
      </c>
      <c r="P157" t="s">
        <v>1568</v>
      </c>
      <c r="Q157" t="s">
        <v>1568</v>
      </c>
      <c r="R157" t="s">
        <v>1568</v>
      </c>
      <c r="S157" t="s">
        <v>1568</v>
      </c>
      <c r="T157" t="s">
        <v>1568</v>
      </c>
      <c r="U157" t="s">
        <v>1568</v>
      </c>
      <c r="V157" t="s">
        <v>1592</v>
      </c>
      <c r="W157" t="s">
        <v>255</v>
      </c>
      <c r="X157" t="s">
        <v>30</v>
      </c>
      <c r="Y157" t="s">
        <v>1572</v>
      </c>
    </row>
    <row r="158" spans="1:25" ht="16" x14ac:dyDescent="0.2">
      <c r="A158" t="s">
        <v>1568</v>
      </c>
      <c r="B158" t="s">
        <v>252</v>
      </c>
      <c r="C158" t="s">
        <v>1568</v>
      </c>
      <c r="D158" t="s">
        <v>1568</v>
      </c>
      <c r="E158" t="s">
        <v>43</v>
      </c>
      <c r="F158" t="s">
        <v>1616</v>
      </c>
      <c r="G158" t="s">
        <v>256</v>
      </c>
      <c r="H158" t="s">
        <v>1568</v>
      </c>
      <c r="I158" t="s">
        <v>257</v>
      </c>
      <c r="J158" t="s">
        <v>1568</v>
      </c>
      <c r="K158" t="s">
        <v>1568</v>
      </c>
      <c r="L158" t="s">
        <v>1568</v>
      </c>
      <c r="M158" t="s">
        <v>1568</v>
      </c>
      <c r="N158" t="s">
        <v>1568</v>
      </c>
      <c r="O158" t="s">
        <v>1568</v>
      </c>
      <c r="P158" t="s">
        <v>1568</v>
      </c>
      <c r="Q158" t="s">
        <v>1568</v>
      </c>
      <c r="R158" t="s">
        <v>1568</v>
      </c>
      <c r="S158" t="s">
        <v>1568</v>
      </c>
      <c r="T158" t="s">
        <v>1568</v>
      </c>
      <c r="U158" t="s">
        <v>1568</v>
      </c>
      <c r="V158" t="s">
        <v>1593</v>
      </c>
      <c r="W158" t="s">
        <v>258</v>
      </c>
      <c r="X158" t="s">
        <v>30</v>
      </c>
      <c r="Y158" t="s">
        <v>1572</v>
      </c>
    </row>
    <row r="159" spans="1:25" ht="16" x14ac:dyDescent="0.2">
      <c r="A159" t="s">
        <v>1568</v>
      </c>
      <c r="B159" t="s">
        <v>252</v>
      </c>
      <c r="C159" t="s">
        <v>1568</v>
      </c>
      <c r="D159" t="s">
        <v>1568</v>
      </c>
      <c r="E159" t="s">
        <v>47</v>
      </c>
      <c r="F159" t="s">
        <v>1616</v>
      </c>
      <c r="G159" t="s">
        <v>259</v>
      </c>
      <c r="H159" t="s">
        <v>1568</v>
      </c>
      <c r="I159" t="s">
        <v>260</v>
      </c>
      <c r="J159" t="s">
        <v>1568</v>
      </c>
      <c r="K159" t="s">
        <v>1568</v>
      </c>
      <c r="L159" t="s">
        <v>1568</v>
      </c>
      <c r="M159" t="s">
        <v>1568</v>
      </c>
      <c r="N159" t="s">
        <v>1568</v>
      </c>
      <c r="O159" t="s">
        <v>1568</v>
      </c>
      <c r="P159" t="s">
        <v>1568</v>
      </c>
      <c r="Q159" t="s">
        <v>1568</v>
      </c>
      <c r="R159" t="s">
        <v>1568</v>
      </c>
      <c r="S159" t="s">
        <v>1568</v>
      </c>
      <c r="T159" t="s">
        <v>1568</v>
      </c>
      <c r="U159" t="s">
        <v>1568</v>
      </c>
      <c r="V159" t="s">
        <v>1593</v>
      </c>
      <c r="W159" t="s">
        <v>261</v>
      </c>
      <c r="X159" t="s">
        <v>30</v>
      </c>
      <c r="Y159" t="s">
        <v>1572</v>
      </c>
    </row>
    <row r="160" spans="1:25" ht="16" x14ac:dyDescent="0.2">
      <c r="A160" t="s">
        <v>1568</v>
      </c>
      <c r="B160" t="s">
        <v>252</v>
      </c>
      <c r="C160" t="s">
        <v>1568</v>
      </c>
      <c r="D160" t="s">
        <v>1568</v>
      </c>
      <c r="E160" t="s">
        <v>51</v>
      </c>
      <c r="F160" t="s">
        <v>1616</v>
      </c>
      <c r="G160" t="s">
        <v>262</v>
      </c>
      <c r="H160" t="s">
        <v>1568</v>
      </c>
      <c r="I160" t="s">
        <v>263</v>
      </c>
      <c r="J160" t="s">
        <v>1568</v>
      </c>
      <c r="K160" t="s">
        <v>1568</v>
      </c>
      <c r="L160" t="s">
        <v>1568</v>
      </c>
      <c r="M160" t="s">
        <v>1568</v>
      </c>
      <c r="N160" t="s">
        <v>1568</v>
      </c>
      <c r="O160" t="s">
        <v>1568</v>
      </c>
      <c r="P160" t="s">
        <v>1568</v>
      </c>
      <c r="Q160" t="s">
        <v>1568</v>
      </c>
      <c r="R160" t="s">
        <v>1568</v>
      </c>
      <c r="S160" t="s">
        <v>1568</v>
      </c>
      <c r="T160" t="s">
        <v>1568</v>
      </c>
      <c r="U160" t="s">
        <v>1568</v>
      </c>
      <c r="V160" t="s">
        <v>1592</v>
      </c>
      <c r="W160" t="s">
        <v>264</v>
      </c>
      <c r="X160" t="s">
        <v>30</v>
      </c>
      <c r="Y160" t="s">
        <v>1572</v>
      </c>
    </row>
    <row r="161" spans="1:25" ht="16" x14ac:dyDescent="0.2">
      <c r="A161" t="s">
        <v>1568</v>
      </c>
      <c r="B161" t="s">
        <v>252</v>
      </c>
      <c r="C161" t="s">
        <v>1568</v>
      </c>
      <c r="D161" t="s">
        <v>1568</v>
      </c>
      <c r="E161" t="s">
        <v>55</v>
      </c>
      <c r="F161" t="s">
        <v>1616</v>
      </c>
      <c r="G161" t="s">
        <v>265</v>
      </c>
      <c r="H161" t="s">
        <v>1568</v>
      </c>
      <c r="I161" t="s">
        <v>266</v>
      </c>
      <c r="J161" t="s">
        <v>1568</v>
      </c>
      <c r="K161" t="s">
        <v>1568</v>
      </c>
      <c r="L161" t="s">
        <v>1568</v>
      </c>
      <c r="M161" t="s">
        <v>1568</v>
      </c>
      <c r="N161" t="s">
        <v>1568</v>
      </c>
      <c r="O161" t="s">
        <v>1568</v>
      </c>
      <c r="P161" t="s">
        <v>1568</v>
      </c>
      <c r="Q161" t="s">
        <v>1568</v>
      </c>
      <c r="R161" t="s">
        <v>1568</v>
      </c>
      <c r="S161" t="s">
        <v>1568</v>
      </c>
      <c r="T161" t="s">
        <v>1568</v>
      </c>
      <c r="U161" t="s">
        <v>1568</v>
      </c>
      <c r="V161" t="s">
        <v>1594</v>
      </c>
      <c r="W161" t="s">
        <v>267</v>
      </c>
      <c r="X161" t="s">
        <v>30</v>
      </c>
      <c r="Y161" t="s">
        <v>1572</v>
      </c>
    </row>
    <row r="162" spans="1:25" ht="16" x14ac:dyDescent="0.2">
      <c r="A162" t="s">
        <v>1568</v>
      </c>
      <c r="B162" t="s">
        <v>268</v>
      </c>
      <c r="C162" t="s">
        <v>1568</v>
      </c>
      <c r="D162" t="s">
        <v>1568</v>
      </c>
      <c r="E162" t="s">
        <v>36</v>
      </c>
      <c r="F162" t="s">
        <v>1610</v>
      </c>
      <c r="G162" t="s">
        <v>173</v>
      </c>
      <c r="H162" t="s">
        <v>1568</v>
      </c>
      <c r="I162" t="s">
        <v>174</v>
      </c>
      <c r="J162" t="s">
        <v>1568</v>
      </c>
      <c r="K162" t="s">
        <v>1568</v>
      </c>
      <c r="L162" t="s">
        <v>1568</v>
      </c>
      <c r="M162" t="s">
        <v>1568</v>
      </c>
      <c r="N162" t="s">
        <v>1568</v>
      </c>
      <c r="O162" t="s">
        <v>1568</v>
      </c>
      <c r="P162" t="s">
        <v>1568</v>
      </c>
      <c r="Q162" t="s">
        <v>1568</v>
      </c>
      <c r="R162" t="s">
        <v>1568</v>
      </c>
      <c r="S162" t="s">
        <v>1568</v>
      </c>
      <c r="T162" t="s">
        <v>1568</v>
      </c>
      <c r="U162" t="s">
        <v>1568</v>
      </c>
      <c r="V162" t="s">
        <v>1592</v>
      </c>
      <c r="W162" t="s">
        <v>175</v>
      </c>
      <c r="X162" t="s">
        <v>61</v>
      </c>
      <c r="Y162" t="s">
        <v>1587</v>
      </c>
    </row>
    <row r="163" spans="1:25" ht="16" x14ac:dyDescent="0.2">
      <c r="A163" t="s">
        <v>1568</v>
      </c>
      <c r="B163" t="s">
        <v>268</v>
      </c>
      <c r="C163" t="s">
        <v>1568</v>
      </c>
      <c r="D163" t="s">
        <v>1568</v>
      </c>
      <c r="E163" t="s">
        <v>43</v>
      </c>
      <c r="F163" t="s">
        <v>1610</v>
      </c>
      <c r="G163" t="s">
        <v>176</v>
      </c>
      <c r="H163" t="s">
        <v>1568</v>
      </c>
      <c r="I163" t="s">
        <v>177</v>
      </c>
      <c r="J163" t="s">
        <v>1568</v>
      </c>
      <c r="K163" t="s">
        <v>1568</v>
      </c>
      <c r="L163" t="s">
        <v>1568</v>
      </c>
      <c r="M163" t="s">
        <v>1568</v>
      </c>
      <c r="N163" t="s">
        <v>1568</v>
      </c>
      <c r="O163" t="s">
        <v>1568</v>
      </c>
      <c r="P163" t="s">
        <v>1568</v>
      </c>
      <c r="Q163" t="s">
        <v>1568</v>
      </c>
      <c r="R163" t="s">
        <v>1568</v>
      </c>
      <c r="S163" t="s">
        <v>1568</v>
      </c>
      <c r="T163" t="s">
        <v>1568</v>
      </c>
      <c r="U163" t="s">
        <v>1568</v>
      </c>
      <c r="V163" t="s">
        <v>1597</v>
      </c>
      <c r="W163" t="s">
        <v>178</v>
      </c>
      <c r="X163" t="s">
        <v>61</v>
      </c>
      <c r="Y163" t="s">
        <v>1587</v>
      </c>
    </row>
    <row r="164" spans="1:25" ht="16" x14ac:dyDescent="0.2">
      <c r="A164" t="s">
        <v>1568</v>
      </c>
      <c r="B164" t="s">
        <v>268</v>
      </c>
      <c r="C164" t="s">
        <v>1568</v>
      </c>
      <c r="D164" t="s">
        <v>1568</v>
      </c>
      <c r="E164" t="s">
        <v>47</v>
      </c>
      <c r="F164" t="s">
        <v>1610</v>
      </c>
      <c r="G164" t="s">
        <v>179</v>
      </c>
      <c r="H164" t="s">
        <v>1568</v>
      </c>
      <c r="I164" t="s">
        <v>180</v>
      </c>
      <c r="J164" t="s">
        <v>1568</v>
      </c>
      <c r="K164" t="s">
        <v>1568</v>
      </c>
      <c r="L164" t="s">
        <v>1568</v>
      </c>
      <c r="M164" t="s">
        <v>1568</v>
      </c>
      <c r="N164" t="s">
        <v>1568</v>
      </c>
      <c r="O164" t="s">
        <v>1568</v>
      </c>
      <c r="P164" t="s">
        <v>1568</v>
      </c>
      <c r="Q164" t="s">
        <v>1568</v>
      </c>
      <c r="R164" t="s">
        <v>1568</v>
      </c>
      <c r="S164" t="s">
        <v>1568</v>
      </c>
      <c r="T164" t="s">
        <v>1568</v>
      </c>
      <c r="U164" t="s">
        <v>1568</v>
      </c>
      <c r="V164" t="s">
        <v>1597</v>
      </c>
      <c r="W164" t="s">
        <v>181</v>
      </c>
      <c r="X164" t="s">
        <v>61</v>
      </c>
      <c r="Y164" t="s">
        <v>1587</v>
      </c>
    </row>
    <row r="165" spans="1:25" ht="16" x14ac:dyDescent="0.2">
      <c r="A165" t="s">
        <v>1568</v>
      </c>
      <c r="B165" t="s">
        <v>268</v>
      </c>
      <c r="C165" t="s">
        <v>1568</v>
      </c>
      <c r="D165" t="s">
        <v>1568</v>
      </c>
      <c r="E165" t="s">
        <v>51</v>
      </c>
      <c r="F165" t="s">
        <v>1610</v>
      </c>
      <c r="G165" t="s">
        <v>182</v>
      </c>
      <c r="H165" t="s">
        <v>1568</v>
      </c>
      <c r="I165" t="s">
        <v>183</v>
      </c>
      <c r="J165" t="s">
        <v>1568</v>
      </c>
      <c r="K165" t="s">
        <v>1568</v>
      </c>
      <c r="L165" t="s">
        <v>1568</v>
      </c>
      <c r="M165" t="s">
        <v>1568</v>
      </c>
      <c r="N165" t="s">
        <v>1568</v>
      </c>
      <c r="O165" t="s">
        <v>1568</v>
      </c>
      <c r="P165" t="s">
        <v>1568</v>
      </c>
      <c r="Q165" t="s">
        <v>1568</v>
      </c>
      <c r="R165" t="s">
        <v>1568</v>
      </c>
      <c r="S165" t="s">
        <v>1568</v>
      </c>
      <c r="T165" t="s">
        <v>1568</v>
      </c>
      <c r="U165" t="s">
        <v>1568</v>
      </c>
      <c r="V165" t="s">
        <v>1592</v>
      </c>
      <c r="W165" t="s">
        <v>184</v>
      </c>
      <c r="X165" t="s">
        <v>61</v>
      </c>
      <c r="Y165" t="s">
        <v>1587</v>
      </c>
    </row>
    <row r="166" spans="1:25" ht="16" x14ac:dyDescent="0.2">
      <c r="A166" t="s">
        <v>1568</v>
      </c>
      <c r="B166" t="s">
        <v>268</v>
      </c>
      <c r="C166" t="s">
        <v>1568</v>
      </c>
      <c r="D166" t="s">
        <v>1568</v>
      </c>
      <c r="E166" t="s">
        <v>55</v>
      </c>
      <c r="F166" t="s">
        <v>1610</v>
      </c>
      <c r="G166" t="s">
        <v>185</v>
      </c>
      <c r="H166" t="s">
        <v>1568</v>
      </c>
      <c r="I166" t="s">
        <v>186</v>
      </c>
      <c r="J166" t="s">
        <v>1568</v>
      </c>
      <c r="K166" t="s">
        <v>1568</v>
      </c>
      <c r="L166" t="s">
        <v>1568</v>
      </c>
      <c r="M166" t="s">
        <v>1568</v>
      </c>
      <c r="N166" t="s">
        <v>1568</v>
      </c>
      <c r="O166" t="s">
        <v>1568</v>
      </c>
      <c r="P166" t="s">
        <v>1568</v>
      </c>
      <c r="Q166" t="s">
        <v>1568</v>
      </c>
      <c r="R166" t="s">
        <v>1568</v>
      </c>
      <c r="S166" t="s">
        <v>1568</v>
      </c>
      <c r="T166" t="s">
        <v>1568</v>
      </c>
      <c r="U166" t="s">
        <v>1568</v>
      </c>
      <c r="V166" t="s">
        <v>1598</v>
      </c>
      <c r="W166" t="s">
        <v>187</v>
      </c>
      <c r="X166" t="s">
        <v>61</v>
      </c>
      <c r="Y166" t="s">
        <v>1587</v>
      </c>
    </row>
    <row r="167" spans="1:25" ht="16" x14ac:dyDescent="0.2">
      <c r="A167" t="s">
        <v>1568</v>
      </c>
      <c r="B167" t="s">
        <v>269</v>
      </c>
      <c r="C167" t="s">
        <v>1568</v>
      </c>
      <c r="D167" t="s">
        <v>1568</v>
      </c>
      <c r="E167" t="s">
        <v>36</v>
      </c>
      <c r="F167" t="s">
        <v>1615</v>
      </c>
      <c r="G167" t="s">
        <v>219</v>
      </c>
      <c r="H167" t="s">
        <v>1568</v>
      </c>
      <c r="I167" t="s">
        <v>220</v>
      </c>
      <c r="J167" t="s">
        <v>1568</v>
      </c>
      <c r="K167" t="s">
        <v>1568</v>
      </c>
      <c r="L167" t="s">
        <v>1568</v>
      </c>
      <c r="M167" t="s">
        <v>1568</v>
      </c>
      <c r="N167" t="s">
        <v>1568</v>
      </c>
      <c r="O167" t="s">
        <v>1568</v>
      </c>
      <c r="P167" t="s">
        <v>1568</v>
      </c>
      <c r="Q167" t="s">
        <v>1568</v>
      </c>
      <c r="R167" t="s">
        <v>1568</v>
      </c>
      <c r="S167" t="s">
        <v>1568</v>
      </c>
      <c r="T167" t="s">
        <v>1568</v>
      </c>
      <c r="U167" t="s">
        <v>1568</v>
      </c>
      <c r="V167" t="s">
        <v>1592</v>
      </c>
      <c r="W167" t="s">
        <v>221</v>
      </c>
      <c r="X167" t="s">
        <v>59</v>
      </c>
      <c r="Y167" t="s">
        <v>1581</v>
      </c>
    </row>
    <row r="168" spans="1:25" ht="16" x14ac:dyDescent="0.2">
      <c r="A168" t="s">
        <v>1568</v>
      </c>
      <c r="B168" t="s">
        <v>269</v>
      </c>
      <c r="C168" t="s">
        <v>1568</v>
      </c>
      <c r="D168" t="s">
        <v>1568</v>
      </c>
      <c r="E168" t="s">
        <v>43</v>
      </c>
      <c r="F168" t="s">
        <v>1615</v>
      </c>
      <c r="G168" t="s">
        <v>222</v>
      </c>
      <c r="H168" t="s">
        <v>1568</v>
      </c>
      <c r="I168" t="s">
        <v>223</v>
      </c>
      <c r="J168" t="s">
        <v>1568</v>
      </c>
      <c r="K168" t="s">
        <v>1568</v>
      </c>
      <c r="L168" t="s">
        <v>1568</v>
      </c>
      <c r="M168" t="s">
        <v>1568</v>
      </c>
      <c r="N168" t="s">
        <v>1568</v>
      </c>
      <c r="O168" t="s">
        <v>1568</v>
      </c>
      <c r="P168" t="s">
        <v>1568</v>
      </c>
      <c r="Q168" t="s">
        <v>1568</v>
      </c>
      <c r="R168" t="s">
        <v>1568</v>
      </c>
      <c r="S168" t="s">
        <v>1568</v>
      </c>
      <c r="T168" t="s">
        <v>1568</v>
      </c>
      <c r="U168" t="s">
        <v>1568</v>
      </c>
      <c r="V168" t="s">
        <v>1595</v>
      </c>
      <c r="W168" t="s">
        <v>224</v>
      </c>
      <c r="X168" t="s">
        <v>59</v>
      </c>
      <c r="Y168" t="s">
        <v>1581</v>
      </c>
    </row>
    <row r="169" spans="1:25" ht="16" x14ac:dyDescent="0.2">
      <c r="A169" t="s">
        <v>1568</v>
      </c>
      <c r="B169" t="s">
        <v>269</v>
      </c>
      <c r="C169" t="s">
        <v>1568</v>
      </c>
      <c r="D169" t="s">
        <v>1568</v>
      </c>
      <c r="E169" t="s">
        <v>47</v>
      </c>
      <c r="F169" t="s">
        <v>1615</v>
      </c>
      <c r="G169" t="s">
        <v>225</v>
      </c>
      <c r="H169" t="s">
        <v>1568</v>
      </c>
      <c r="I169" t="s">
        <v>226</v>
      </c>
      <c r="J169" t="s">
        <v>1568</v>
      </c>
      <c r="K169" t="s">
        <v>1568</v>
      </c>
      <c r="L169" t="s">
        <v>1568</v>
      </c>
      <c r="M169" t="s">
        <v>1568</v>
      </c>
      <c r="N169" t="s">
        <v>1568</v>
      </c>
      <c r="O169" t="s">
        <v>1568</v>
      </c>
      <c r="P169" t="s">
        <v>1568</v>
      </c>
      <c r="Q169" t="s">
        <v>1568</v>
      </c>
      <c r="R169" t="s">
        <v>1568</v>
      </c>
      <c r="S169" t="s">
        <v>1568</v>
      </c>
      <c r="T169" t="s">
        <v>1568</v>
      </c>
      <c r="U169" t="s">
        <v>1568</v>
      </c>
      <c r="V169" t="s">
        <v>1595</v>
      </c>
      <c r="W169" t="s">
        <v>227</v>
      </c>
      <c r="X169" t="s">
        <v>59</v>
      </c>
      <c r="Y169" t="s">
        <v>1581</v>
      </c>
    </row>
    <row r="170" spans="1:25" ht="16" x14ac:dyDescent="0.2">
      <c r="A170" t="s">
        <v>1568</v>
      </c>
      <c r="B170" t="s">
        <v>269</v>
      </c>
      <c r="C170" t="s">
        <v>1568</v>
      </c>
      <c r="D170" t="s">
        <v>1568</v>
      </c>
      <c r="E170" t="s">
        <v>51</v>
      </c>
      <c r="F170" t="s">
        <v>1615</v>
      </c>
      <c r="G170" t="s">
        <v>228</v>
      </c>
      <c r="H170" t="s">
        <v>1568</v>
      </c>
      <c r="I170" t="s">
        <v>229</v>
      </c>
      <c r="J170" t="s">
        <v>1568</v>
      </c>
      <c r="K170" t="s">
        <v>1568</v>
      </c>
      <c r="L170" t="s">
        <v>1568</v>
      </c>
      <c r="M170" t="s">
        <v>1568</v>
      </c>
      <c r="N170" t="s">
        <v>1568</v>
      </c>
      <c r="O170" t="s">
        <v>1568</v>
      </c>
      <c r="P170" t="s">
        <v>1568</v>
      </c>
      <c r="Q170" t="s">
        <v>1568</v>
      </c>
      <c r="R170" t="s">
        <v>1568</v>
      </c>
      <c r="S170" t="s">
        <v>1568</v>
      </c>
      <c r="T170" t="s">
        <v>1568</v>
      </c>
      <c r="U170" t="s">
        <v>1568</v>
      </c>
      <c r="V170" t="s">
        <v>1592</v>
      </c>
      <c r="W170" t="s">
        <v>230</v>
      </c>
      <c r="X170" t="s">
        <v>59</v>
      </c>
      <c r="Y170" t="s">
        <v>1581</v>
      </c>
    </row>
    <row r="171" spans="1:25" ht="16" x14ac:dyDescent="0.2">
      <c r="A171" t="s">
        <v>1568</v>
      </c>
      <c r="B171" t="s">
        <v>269</v>
      </c>
      <c r="C171" t="s">
        <v>1568</v>
      </c>
      <c r="D171" t="s">
        <v>1568</v>
      </c>
      <c r="E171" t="s">
        <v>55</v>
      </c>
      <c r="F171" t="s">
        <v>1615</v>
      </c>
      <c r="G171" t="s">
        <v>231</v>
      </c>
      <c r="H171" t="s">
        <v>1568</v>
      </c>
      <c r="I171" t="s">
        <v>232</v>
      </c>
      <c r="J171" t="s">
        <v>1568</v>
      </c>
      <c r="K171" t="s">
        <v>1568</v>
      </c>
      <c r="L171" t="s">
        <v>1568</v>
      </c>
      <c r="M171" t="s">
        <v>1568</v>
      </c>
      <c r="N171" t="s">
        <v>1568</v>
      </c>
      <c r="O171" t="s">
        <v>1568</v>
      </c>
      <c r="P171" t="s">
        <v>1568</v>
      </c>
      <c r="Q171" t="s">
        <v>1568</v>
      </c>
      <c r="R171" t="s">
        <v>1568</v>
      </c>
      <c r="S171" t="s">
        <v>1568</v>
      </c>
      <c r="T171" t="s">
        <v>1568</v>
      </c>
      <c r="U171" t="s">
        <v>1568</v>
      </c>
      <c r="V171" t="s">
        <v>1596</v>
      </c>
      <c r="W171" t="s">
        <v>233</v>
      </c>
      <c r="X171" t="s">
        <v>59</v>
      </c>
      <c r="Y171" t="s">
        <v>1581</v>
      </c>
    </row>
    <row r="172" spans="1:25" ht="16" x14ac:dyDescent="0.2">
      <c r="A172" t="s">
        <v>1568</v>
      </c>
      <c r="B172" t="s">
        <v>270</v>
      </c>
      <c r="C172" t="s">
        <v>1568</v>
      </c>
      <c r="D172" t="s">
        <v>1568</v>
      </c>
      <c r="E172" t="s">
        <v>36</v>
      </c>
      <c r="F172" t="s">
        <v>1611</v>
      </c>
      <c r="G172" t="s">
        <v>189</v>
      </c>
      <c r="H172" t="s">
        <v>1568</v>
      </c>
      <c r="I172" t="s">
        <v>190</v>
      </c>
      <c r="J172" t="s">
        <v>1568</v>
      </c>
      <c r="K172" t="s">
        <v>1568</v>
      </c>
      <c r="L172" t="s">
        <v>1568</v>
      </c>
      <c r="M172" t="s">
        <v>1568</v>
      </c>
      <c r="N172" t="s">
        <v>1568</v>
      </c>
      <c r="O172" t="s">
        <v>1568</v>
      </c>
      <c r="P172" t="s">
        <v>1568</v>
      </c>
      <c r="Q172" t="s">
        <v>1568</v>
      </c>
      <c r="R172" t="s">
        <v>1568</v>
      </c>
      <c r="S172" t="s">
        <v>1568</v>
      </c>
      <c r="T172" t="s">
        <v>1568</v>
      </c>
      <c r="U172" t="s">
        <v>1568</v>
      </c>
      <c r="V172" t="s">
        <v>1592</v>
      </c>
      <c r="W172" t="s">
        <v>191</v>
      </c>
      <c r="X172" t="s">
        <v>61</v>
      </c>
      <c r="Y172" t="s">
        <v>1587</v>
      </c>
    </row>
    <row r="173" spans="1:25" ht="16" x14ac:dyDescent="0.2">
      <c r="A173" t="s">
        <v>1568</v>
      </c>
      <c r="B173" t="s">
        <v>270</v>
      </c>
      <c r="C173" t="s">
        <v>1568</v>
      </c>
      <c r="D173" t="s">
        <v>1568</v>
      </c>
      <c r="E173" t="s">
        <v>43</v>
      </c>
      <c r="F173" t="s">
        <v>1611</v>
      </c>
      <c r="G173" t="s">
        <v>192</v>
      </c>
      <c r="H173" t="s">
        <v>1568</v>
      </c>
      <c r="I173" t="s">
        <v>193</v>
      </c>
      <c r="J173" t="s">
        <v>1568</v>
      </c>
      <c r="K173" t="s">
        <v>1568</v>
      </c>
      <c r="L173" t="s">
        <v>1568</v>
      </c>
      <c r="M173" t="s">
        <v>1568</v>
      </c>
      <c r="N173" t="s">
        <v>1568</v>
      </c>
      <c r="O173" t="s">
        <v>1568</v>
      </c>
      <c r="P173" t="s">
        <v>1568</v>
      </c>
      <c r="Q173" t="s">
        <v>1568</v>
      </c>
      <c r="R173" t="s">
        <v>1568</v>
      </c>
      <c r="S173" t="s">
        <v>1568</v>
      </c>
      <c r="T173" t="s">
        <v>1568</v>
      </c>
      <c r="U173" t="s">
        <v>1568</v>
      </c>
      <c r="V173" t="s">
        <v>1607</v>
      </c>
      <c r="W173" t="s">
        <v>194</v>
      </c>
      <c r="X173" t="s">
        <v>61</v>
      </c>
      <c r="Y173" t="s">
        <v>1587</v>
      </c>
    </row>
    <row r="174" spans="1:25" ht="16" x14ac:dyDescent="0.2">
      <c r="A174" t="s">
        <v>1568</v>
      </c>
      <c r="B174" t="s">
        <v>270</v>
      </c>
      <c r="C174" t="s">
        <v>1568</v>
      </c>
      <c r="D174" t="s">
        <v>1568</v>
      </c>
      <c r="E174" t="s">
        <v>47</v>
      </c>
      <c r="F174" t="s">
        <v>1611</v>
      </c>
      <c r="G174" t="s">
        <v>195</v>
      </c>
      <c r="H174" t="s">
        <v>1568</v>
      </c>
      <c r="I174" t="s">
        <v>196</v>
      </c>
      <c r="J174" t="s">
        <v>1568</v>
      </c>
      <c r="K174" t="s">
        <v>1568</v>
      </c>
      <c r="L174" t="s">
        <v>1568</v>
      </c>
      <c r="M174" t="s">
        <v>1568</v>
      </c>
      <c r="N174" t="s">
        <v>1568</v>
      </c>
      <c r="O174" t="s">
        <v>1568</v>
      </c>
      <c r="P174" t="s">
        <v>1568</v>
      </c>
      <c r="Q174" t="s">
        <v>1568</v>
      </c>
      <c r="R174" t="s">
        <v>1568</v>
      </c>
      <c r="S174" t="s">
        <v>1568</v>
      </c>
      <c r="T174" t="s">
        <v>1568</v>
      </c>
      <c r="U174" t="s">
        <v>1568</v>
      </c>
      <c r="V174" t="s">
        <v>1607</v>
      </c>
      <c r="W174" t="s">
        <v>197</v>
      </c>
      <c r="X174" t="s">
        <v>61</v>
      </c>
      <c r="Y174" t="s">
        <v>1587</v>
      </c>
    </row>
    <row r="175" spans="1:25" ht="16" x14ac:dyDescent="0.2">
      <c r="A175" t="s">
        <v>1568</v>
      </c>
      <c r="B175" t="s">
        <v>270</v>
      </c>
      <c r="C175" t="s">
        <v>1568</v>
      </c>
      <c r="D175" t="s">
        <v>1568</v>
      </c>
      <c r="E175" t="s">
        <v>51</v>
      </c>
      <c r="F175" t="s">
        <v>1611</v>
      </c>
      <c r="G175" t="s">
        <v>198</v>
      </c>
      <c r="H175" t="s">
        <v>1568</v>
      </c>
      <c r="I175" t="s">
        <v>199</v>
      </c>
      <c r="J175" t="s">
        <v>1568</v>
      </c>
      <c r="K175" t="s">
        <v>1568</v>
      </c>
      <c r="L175" t="s">
        <v>1568</v>
      </c>
      <c r="M175" t="s">
        <v>1568</v>
      </c>
      <c r="N175" t="s">
        <v>1568</v>
      </c>
      <c r="O175" t="s">
        <v>1568</v>
      </c>
      <c r="P175" t="s">
        <v>1568</v>
      </c>
      <c r="Q175" t="s">
        <v>1568</v>
      </c>
      <c r="R175" t="s">
        <v>1568</v>
      </c>
      <c r="S175" t="s">
        <v>1568</v>
      </c>
      <c r="T175" t="s">
        <v>1568</v>
      </c>
      <c r="U175" t="s">
        <v>1568</v>
      </c>
      <c r="V175" t="s">
        <v>1592</v>
      </c>
      <c r="W175" t="s">
        <v>200</v>
      </c>
      <c r="X175" t="s">
        <v>61</v>
      </c>
      <c r="Y175" t="s">
        <v>1587</v>
      </c>
    </row>
    <row r="176" spans="1:25" ht="16" x14ac:dyDescent="0.2">
      <c r="A176" t="s">
        <v>1568</v>
      </c>
      <c r="B176" t="s">
        <v>270</v>
      </c>
      <c r="C176" t="s">
        <v>1568</v>
      </c>
      <c r="D176" t="s">
        <v>1568</v>
      </c>
      <c r="E176" t="s">
        <v>55</v>
      </c>
      <c r="F176" t="s">
        <v>1611</v>
      </c>
      <c r="G176" t="s">
        <v>201</v>
      </c>
      <c r="H176" t="s">
        <v>1568</v>
      </c>
      <c r="I176" t="s">
        <v>202</v>
      </c>
      <c r="J176" t="s">
        <v>1568</v>
      </c>
      <c r="K176" t="s">
        <v>1568</v>
      </c>
      <c r="L176" t="s">
        <v>1568</v>
      </c>
      <c r="M176" t="s">
        <v>1568</v>
      </c>
      <c r="N176" t="s">
        <v>1568</v>
      </c>
      <c r="O176" t="s">
        <v>1568</v>
      </c>
      <c r="P176" t="s">
        <v>1568</v>
      </c>
      <c r="Q176" t="s">
        <v>1568</v>
      </c>
      <c r="R176" t="s">
        <v>1568</v>
      </c>
      <c r="S176" t="s">
        <v>1568</v>
      </c>
      <c r="T176" t="s">
        <v>1568</v>
      </c>
      <c r="U176" t="s">
        <v>1568</v>
      </c>
      <c r="V176" t="s">
        <v>1608</v>
      </c>
      <c r="W176" t="s">
        <v>203</v>
      </c>
      <c r="X176" t="s">
        <v>61</v>
      </c>
      <c r="Y176" t="s">
        <v>1587</v>
      </c>
    </row>
    <row r="177" spans="1:25" ht="16" x14ac:dyDescent="0.2">
      <c r="A177" t="s">
        <v>1568</v>
      </c>
      <c r="B177" t="s">
        <v>271</v>
      </c>
      <c r="C177" t="s">
        <v>1568</v>
      </c>
      <c r="D177" t="s">
        <v>1568</v>
      </c>
      <c r="E177" t="s">
        <v>36</v>
      </c>
      <c r="F177" t="s">
        <v>1616</v>
      </c>
      <c r="G177" t="s">
        <v>236</v>
      </c>
      <c r="H177" t="s">
        <v>1568</v>
      </c>
      <c r="I177" t="s">
        <v>237</v>
      </c>
      <c r="J177" t="s">
        <v>1568</v>
      </c>
      <c r="K177" t="s">
        <v>1568</v>
      </c>
      <c r="L177" t="s">
        <v>1568</v>
      </c>
      <c r="M177" t="s">
        <v>1568</v>
      </c>
      <c r="N177" t="s">
        <v>1568</v>
      </c>
      <c r="O177" t="s">
        <v>1568</v>
      </c>
      <c r="P177" t="s">
        <v>1568</v>
      </c>
      <c r="Q177" t="s">
        <v>1568</v>
      </c>
      <c r="R177" t="s">
        <v>1568</v>
      </c>
      <c r="S177" t="s">
        <v>1568</v>
      </c>
      <c r="T177" t="s">
        <v>1568</v>
      </c>
      <c r="U177" t="s">
        <v>1568</v>
      </c>
      <c r="V177" t="s">
        <v>1592</v>
      </c>
      <c r="W177" t="s">
        <v>238</v>
      </c>
      <c r="X177" t="s">
        <v>59</v>
      </c>
      <c r="Y177" t="s">
        <v>1581</v>
      </c>
    </row>
    <row r="178" spans="1:25" ht="16" x14ac:dyDescent="0.2">
      <c r="A178" t="s">
        <v>1568</v>
      </c>
      <c r="B178" t="s">
        <v>271</v>
      </c>
      <c r="C178" t="s">
        <v>1568</v>
      </c>
      <c r="D178" t="s">
        <v>1568</v>
      </c>
      <c r="E178" t="s">
        <v>43</v>
      </c>
      <c r="F178" t="s">
        <v>1616</v>
      </c>
      <c r="G178" t="s">
        <v>239</v>
      </c>
      <c r="H178" t="s">
        <v>1568</v>
      </c>
      <c r="I178" t="s">
        <v>240</v>
      </c>
      <c r="J178" t="s">
        <v>1568</v>
      </c>
      <c r="K178" t="s">
        <v>1568</v>
      </c>
      <c r="L178" t="s">
        <v>1568</v>
      </c>
      <c r="M178" t="s">
        <v>1568</v>
      </c>
      <c r="N178" t="s">
        <v>1568</v>
      </c>
      <c r="O178" t="s">
        <v>1568</v>
      </c>
      <c r="P178" t="s">
        <v>1568</v>
      </c>
      <c r="Q178" t="s">
        <v>1568</v>
      </c>
      <c r="R178" t="s">
        <v>1568</v>
      </c>
      <c r="S178" t="s">
        <v>1568</v>
      </c>
      <c r="T178" t="s">
        <v>1568</v>
      </c>
      <c r="U178" t="s">
        <v>1568</v>
      </c>
      <c r="V178" t="s">
        <v>1595</v>
      </c>
      <c r="W178" t="s">
        <v>241</v>
      </c>
      <c r="X178" t="s">
        <v>59</v>
      </c>
      <c r="Y178" t="s">
        <v>1581</v>
      </c>
    </row>
    <row r="179" spans="1:25" ht="16" x14ac:dyDescent="0.2">
      <c r="A179" t="s">
        <v>1568</v>
      </c>
      <c r="B179" t="s">
        <v>271</v>
      </c>
      <c r="C179" t="s">
        <v>1568</v>
      </c>
      <c r="D179" t="s">
        <v>1568</v>
      </c>
      <c r="E179" t="s">
        <v>47</v>
      </c>
      <c r="F179" t="s">
        <v>1616</v>
      </c>
      <c r="G179" t="s">
        <v>242</v>
      </c>
      <c r="H179" t="s">
        <v>1568</v>
      </c>
      <c r="I179" t="s">
        <v>243</v>
      </c>
      <c r="J179" t="s">
        <v>1568</v>
      </c>
      <c r="K179" t="s">
        <v>1568</v>
      </c>
      <c r="L179" t="s">
        <v>1568</v>
      </c>
      <c r="M179" t="s">
        <v>1568</v>
      </c>
      <c r="N179" t="s">
        <v>1568</v>
      </c>
      <c r="O179" t="s">
        <v>1568</v>
      </c>
      <c r="P179" t="s">
        <v>1568</v>
      </c>
      <c r="Q179" t="s">
        <v>1568</v>
      </c>
      <c r="R179" t="s">
        <v>1568</v>
      </c>
      <c r="S179" t="s">
        <v>1568</v>
      </c>
      <c r="T179" t="s">
        <v>1568</v>
      </c>
      <c r="U179" t="s">
        <v>1568</v>
      </c>
      <c r="V179" t="s">
        <v>1595</v>
      </c>
      <c r="W179" t="s">
        <v>244</v>
      </c>
      <c r="X179" t="s">
        <v>59</v>
      </c>
      <c r="Y179" t="s">
        <v>1581</v>
      </c>
    </row>
    <row r="180" spans="1:25" ht="16" x14ac:dyDescent="0.2">
      <c r="A180" t="s">
        <v>1568</v>
      </c>
      <c r="B180" t="s">
        <v>271</v>
      </c>
      <c r="C180" t="s">
        <v>1568</v>
      </c>
      <c r="D180" t="s">
        <v>1568</v>
      </c>
      <c r="E180" t="s">
        <v>51</v>
      </c>
      <c r="F180" t="s">
        <v>1616</v>
      </c>
      <c r="G180" t="s">
        <v>245</v>
      </c>
      <c r="H180" t="s">
        <v>1568</v>
      </c>
      <c r="I180" t="s">
        <v>246</v>
      </c>
      <c r="J180" t="s">
        <v>1568</v>
      </c>
      <c r="K180" t="s">
        <v>1568</v>
      </c>
      <c r="L180" t="s">
        <v>1568</v>
      </c>
      <c r="M180" t="s">
        <v>1568</v>
      </c>
      <c r="N180" t="s">
        <v>1568</v>
      </c>
      <c r="O180" t="s">
        <v>1568</v>
      </c>
      <c r="P180" t="s">
        <v>1568</v>
      </c>
      <c r="Q180" t="s">
        <v>1568</v>
      </c>
      <c r="R180" t="s">
        <v>1568</v>
      </c>
      <c r="S180" t="s">
        <v>1568</v>
      </c>
      <c r="T180" t="s">
        <v>1568</v>
      </c>
      <c r="U180" t="s">
        <v>1568</v>
      </c>
      <c r="V180" t="s">
        <v>1592</v>
      </c>
      <c r="W180" t="s">
        <v>247</v>
      </c>
      <c r="X180" t="s">
        <v>59</v>
      </c>
      <c r="Y180" t="s">
        <v>1581</v>
      </c>
    </row>
    <row r="181" spans="1:25" ht="16" x14ac:dyDescent="0.2">
      <c r="A181" t="s">
        <v>1568</v>
      </c>
      <c r="B181" t="s">
        <v>271</v>
      </c>
      <c r="C181" t="s">
        <v>1568</v>
      </c>
      <c r="D181" t="s">
        <v>1568</v>
      </c>
      <c r="E181" t="s">
        <v>55</v>
      </c>
      <c r="F181" t="s">
        <v>1616</v>
      </c>
      <c r="G181" t="s">
        <v>248</v>
      </c>
      <c r="H181" t="s">
        <v>1568</v>
      </c>
      <c r="I181" t="s">
        <v>249</v>
      </c>
      <c r="J181" t="s">
        <v>1568</v>
      </c>
      <c r="K181" t="s">
        <v>1568</v>
      </c>
      <c r="L181" t="s">
        <v>1568</v>
      </c>
      <c r="M181" t="s">
        <v>1568</v>
      </c>
      <c r="N181" t="s">
        <v>1568</v>
      </c>
      <c r="O181" t="s">
        <v>1568</v>
      </c>
      <c r="P181" t="s">
        <v>1568</v>
      </c>
      <c r="Q181" t="s">
        <v>1568</v>
      </c>
      <c r="R181" t="s">
        <v>1568</v>
      </c>
      <c r="S181" t="s">
        <v>1568</v>
      </c>
      <c r="T181" t="s">
        <v>1568</v>
      </c>
      <c r="U181" t="s">
        <v>1568</v>
      </c>
      <c r="V181" t="s">
        <v>1596</v>
      </c>
      <c r="W181" t="s">
        <v>250</v>
      </c>
      <c r="X181" t="s">
        <v>59</v>
      </c>
      <c r="Y181" t="s">
        <v>1581</v>
      </c>
    </row>
    <row r="182" spans="1:25" ht="16" x14ac:dyDescent="0.2">
      <c r="A182" t="s">
        <v>1568</v>
      </c>
      <c r="B182" t="s">
        <v>272</v>
      </c>
      <c r="C182" t="s">
        <v>1568</v>
      </c>
      <c r="D182" t="s">
        <v>1568</v>
      </c>
      <c r="E182" t="s">
        <v>36</v>
      </c>
      <c r="F182" t="s">
        <v>1612</v>
      </c>
      <c r="G182" t="s">
        <v>206</v>
      </c>
      <c r="H182" t="s">
        <v>1568</v>
      </c>
      <c r="I182" t="s">
        <v>207</v>
      </c>
      <c r="J182" t="s">
        <v>1568</v>
      </c>
      <c r="K182" t="s">
        <v>1568</v>
      </c>
      <c r="L182" t="s">
        <v>1568</v>
      </c>
      <c r="M182" t="s">
        <v>1568</v>
      </c>
      <c r="N182" t="s">
        <v>1568</v>
      </c>
      <c r="O182" t="s">
        <v>1568</v>
      </c>
      <c r="P182" t="s">
        <v>1568</v>
      </c>
      <c r="Q182" t="s">
        <v>1568</v>
      </c>
      <c r="R182" t="s">
        <v>1568</v>
      </c>
      <c r="S182" t="s">
        <v>1568</v>
      </c>
      <c r="T182" t="s">
        <v>1568</v>
      </c>
      <c r="U182" t="s">
        <v>1568</v>
      </c>
      <c r="V182" t="s">
        <v>1592</v>
      </c>
      <c r="W182" t="s">
        <v>191</v>
      </c>
      <c r="X182" t="s">
        <v>61</v>
      </c>
      <c r="Y182" t="s">
        <v>1587</v>
      </c>
    </row>
    <row r="183" spans="1:25" ht="16" x14ac:dyDescent="0.2">
      <c r="A183" t="s">
        <v>1568</v>
      </c>
      <c r="B183" t="s">
        <v>272</v>
      </c>
      <c r="C183" t="s">
        <v>1568</v>
      </c>
      <c r="D183" t="s">
        <v>1568</v>
      </c>
      <c r="E183" t="s">
        <v>43</v>
      </c>
      <c r="F183" t="s">
        <v>1612</v>
      </c>
      <c r="G183" t="s">
        <v>208</v>
      </c>
      <c r="H183" t="s">
        <v>1568</v>
      </c>
      <c r="I183" t="s">
        <v>209</v>
      </c>
      <c r="J183" t="s">
        <v>1568</v>
      </c>
      <c r="K183" t="s">
        <v>1568</v>
      </c>
      <c r="L183" t="s">
        <v>1568</v>
      </c>
      <c r="M183" t="s">
        <v>1568</v>
      </c>
      <c r="N183" t="s">
        <v>1568</v>
      </c>
      <c r="O183" t="s">
        <v>1568</v>
      </c>
      <c r="P183" t="s">
        <v>1568</v>
      </c>
      <c r="Q183" t="s">
        <v>1568</v>
      </c>
      <c r="R183" t="s">
        <v>1568</v>
      </c>
      <c r="S183" t="s">
        <v>1568</v>
      </c>
      <c r="T183" t="s">
        <v>1568</v>
      </c>
      <c r="U183" t="s">
        <v>1568</v>
      </c>
      <c r="V183" t="s">
        <v>1619</v>
      </c>
      <c r="W183" t="s">
        <v>194</v>
      </c>
      <c r="X183" t="s">
        <v>61</v>
      </c>
      <c r="Y183" t="s">
        <v>1587</v>
      </c>
    </row>
    <row r="184" spans="1:25" ht="16" x14ac:dyDescent="0.2">
      <c r="A184" t="s">
        <v>1568</v>
      </c>
      <c r="B184" t="s">
        <v>272</v>
      </c>
      <c r="C184" t="s">
        <v>1568</v>
      </c>
      <c r="D184" t="s">
        <v>1568</v>
      </c>
      <c r="E184" t="s">
        <v>47</v>
      </c>
      <c r="F184" t="s">
        <v>1612</v>
      </c>
      <c r="G184" t="s">
        <v>210</v>
      </c>
      <c r="H184" t="s">
        <v>1568</v>
      </c>
      <c r="I184" t="s">
        <v>211</v>
      </c>
      <c r="J184" t="s">
        <v>1568</v>
      </c>
      <c r="K184" t="s">
        <v>1568</v>
      </c>
      <c r="L184" t="s">
        <v>1568</v>
      </c>
      <c r="M184" t="s">
        <v>1568</v>
      </c>
      <c r="N184" t="s">
        <v>1568</v>
      </c>
      <c r="O184" t="s">
        <v>1568</v>
      </c>
      <c r="P184" t="s">
        <v>1568</v>
      </c>
      <c r="Q184" t="s">
        <v>1568</v>
      </c>
      <c r="R184" t="s">
        <v>1568</v>
      </c>
      <c r="S184" t="s">
        <v>1568</v>
      </c>
      <c r="T184" t="s">
        <v>1568</v>
      </c>
      <c r="U184" t="s">
        <v>1568</v>
      </c>
      <c r="V184" t="s">
        <v>1619</v>
      </c>
      <c r="W184" t="s">
        <v>197</v>
      </c>
      <c r="X184" t="s">
        <v>61</v>
      </c>
      <c r="Y184" t="s">
        <v>1587</v>
      </c>
    </row>
    <row r="185" spans="1:25" ht="16" x14ac:dyDescent="0.2">
      <c r="A185" t="s">
        <v>1568</v>
      </c>
      <c r="B185" t="s">
        <v>272</v>
      </c>
      <c r="C185" t="s">
        <v>1568</v>
      </c>
      <c r="D185" t="s">
        <v>1568</v>
      </c>
      <c r="E185" t="s">
        <v>51</v>
      </c>
      <c r="F185" t="s">
        <v>1612</v>
      </c>
      <c r="G185" t="s">
        <v>212</v>
      </c>
      <c r="H185" t="s">
        <v>1568</v>
      </c>
      <c r="I185" t="s">
        <v>213</v>
      </c>
      <c r="J185" t="s">
        <v>1568</v>
      </c>
      <c r="K185" t="s">
        <v>1568</v>
      </c>
      <c r="L185" t="s">
        <v>1568</v>
      </c>
      <c r="M185" t="s">
        <v>1568</v>
      </c>
      <c r="N185" t="s">
        <v>1568</v>
      </c>
      <c r="O185" t="s">
        <v>1568</v>
      </c>
      <c r="P185" t="s">
        <v>1568</v>
      </c>
      <c r="Q185" t="s">
        <v>1568</v>
      </c>
      <c r="R185" t="s">
        <v>1568</v>
      </c>
      <c r="S185" t="s">
        <v>1568</v>
      </c>
      <c r="T185" t="s">
        <v>1568</v>
      </c>
      <c r="U185" t="s">
        <v>1568</v>
      </c>
      <c r="V185" t="s">
        <v>1592</v>
      </c>
      <c r="W185" t="s">
        <v>200</v>
      </c>
      <c r="X185" t="s">
        <v>61</v>
      </c>
      <c r="Y185" t="s">
        <v>1587</v>
      </c>
    </row>
    <row r="186" spans="1:25" ht="16" x14ac:dyDescent="0.2">
      <c r="A186" t="s">
        <v>1568</v>
      </c>
      <c r="B186" t="s">
        <v>272</v>
      </c>
      <c r="C186" t="s">
        <v>1568</v>
      </c>
      <c r="D186" t="s">
        <v>1568</v>
      </c>
      <c r="E186" t="s">
        <v>55</v>
      </c>
      <c r="F186" t="s">
        <v>1612</v>
      </c>
      <c r="G186" t="s">
        <v>214</v>
      </c>
      <c r="H186" t="s">
        <v>1568</v>
      </c>
      <c r="I186" t="s">
        <v>215</v>
      </c>
      <c r="J186" t="s">
        <v>1568</v>
      </c>
      <c r="K186" t="s">
        <v>1568</v>
      </c>
      <c r="L186" t="s">
        <v>1568</v>
      </c>
      <c r="M186" t="s">
        <v>1568</v>
      </c>
      <c r="N186" t="s">
        <v>1568</v>
      </c>
      <c r="O186" t="s">
        <v>1568</v>
      </c>
      <c r="P186" t="s">
        <v>1568</v>
      </c>
      <c r="Q186" t="s">
        <v>1568</v>
      </c>
      <c r="R186" t="s">
        <v>1568</v>
      </c>
      <c r="S186" t="s">
        <v>1568</v>
      </c>
      <c r="T186" t="s">
        <v>1568</v>
      </c>
      <c r="U186" t="s">
        <v>1568</v>
      </c>
      <c r="V186" t="s">
        <v>1620</v>
      </c>
      <c r="W186" t="s">
        <v>203</v>
      </c>
      <c r="X186" t="s">
        <v>61</v>
      </c>
      <c r="Y186" t="s">
        <v>1587</v>
      </c>
    </row>
    <row r="187" spans="1:25" ht="16" x14ac:dyDescent="0.2">
      <c r="A187" t="s">
        <v>1568</v>
      </c>
      <c r="B187" t="s">
        <v>273</v>
      </c>
      <c r="C187" t="s">
        <v>1568</v>
      </c>
      <c r="D187" t="s">
        <v>1568</v>
      </c>
      <c r="E187" t="s">
        <v>36</v>
      </c>
      <c r="F187" t="s">
        <v>1616</v>
      </c>
      <c r="G187" t="s">
        <v>253</v>
      </c>
      <c r="H187" t="s">
        <v>1568</v>
      </c>
      <c r="I187" t="s">
        <v>254</v>
      </c>
      <c r="J187" t="s">
        <v>1568</v>
      </c>
      <c r="K187" t="s">
        <v>1568</v>
      </c>
      <c r="L187" t="s">
        <v>1568</v>
      </c>
      <c r="M187" t="s">
        <v>1568</v>
      </c>
      <c r="N187" t="s">
        <v>1568</v>
      </c>
      <c r="O187" t="s">
        <v>1568</v>
      </c>
      <c r="P187" t="s">
        <v>1568</v>
      </c>
      <c r="Q187" t="s">
        <v>1568</v>
      </c>
      <c r="R187" t="s">
        <v>1568</v>
      </c>
      <c r="S187" t="s">
        <v>1568</v>
      </c>
      <c r="T187" t="s">
        <v>1568</v>
      </c>
      <c r="U187" t="s">
        <v>1568</v>
      </c>
      <c r="V187" t="s">
        <v>1592</v>
      </c>
      <c r="W187" t="s">
        <v>255</v>
      </c>
      <c r="X187" t="s">
        <v>59</v>
      </c>
      <c r="Y187" t="s">
        <v>1581</v>
      </c>
    </row>
    <row r="188" spans="1:25" ht="16" x14ac:dyDescent="0.2">
      <c r="A188" t="s">
        <v>1568</v>
      </c>
      <c r="B188" t="s">
        <v>273</v>
      </c>
      <c r="C188" t="s">
        <v>1568</v>
      </c>
      <c r="D188" t="s">
        <v>1568</v>
      </c>
      <c r="E188" t="s">
        <v>43</v>
      </c>
      <c r="F188" t="s">
        <v>1616</v>
      </c>
      <c r="G188" t="s">
        <v>256</v>
      </c>
      <c r="H188" t="s">
        <v>1568</v>
      </c>
      <c r="I188" t="s">
        <v>257</v>
      </c>
      <c r="J188" t="s">
        <v>1568</v>
      </c>
      <c r="K188" t="s">
        <v>1568</v>
      </c>
      <c r="L188" t="s">
        <v>1568</v>
      </c>
      <c r="M188" t="s">
        <v>1568</v>
      </c>
      <c r="N188" t="s">
        <v>1568</v>
      </c>
      <c r="O188" t="s">
        <v>1568</v>
      </c>
      <c r="P188" t="s">
        <v>1568</v>
      </c>
      <c r="Q188" t="s">
        <v>1568</v>
      </c>
      <c r="R188" t="s">
        <v>1568</v>
      </c>
      <c r="S188" t="s">
        <v>1568</v>
      </c>
      <c r="T188" t="s">
        <v>1568</v>
      </c>
      <c r="U188" t="s">
        <v>1568</v>
      </c>
      <c r="V188" t="s">
        <v>1595</v>
      </c>
      <c r="W188" t="s">
        <v>258</v>
      </c>
      <c r="X188" t="s">
        <v>59</v>
      </c>
      <c r="Y188" t="s">
        <v>1581</v>
      </c>
    </row>
    <row r="189" spans="1:25" ht="16" x14ac:dyDescent="0.2">
      <c r="A189" t="s">
        <v>1568</v>
      </c>
      <c r="B189" t="s">
        <v>273</v>
      </c>
      <c r="C189" t="s">
        <v>1568</v>
      </c>
      <c r="D189" t="s">
        <v>1568</v>
      </c>
      <c r="E189" t="s">
        <v>47</v>
      </c>
      <c r="F189" t="s">
        <v>1616</v>
      </c>
      <c r="G189" t="s">
        <v>259</v>
      </c>
      <c r="H189" t="s">
        <v>1568</v>
      </c>
      <c r="I189" t="s">
        <v>260</v>
      </c>
      <c r="J189" t="s">
        <v>1568</v>
      </c>
      <c r="K189" t="s">
        <v>1568</v>
      </c>
      <c r="L189" t="s">
        <v>1568</v>
      </c>
      <c r="M189" t="s">
        <v>1568</v>
      </c>
      <c r="N189" t="s">
        <v>1568</v>
      </c>
      <c r="O189" t="s">
        <v>1568</v>
      </c>
      <c r="P189" t="s">
        <v>1568</v>
      </c>
      <c r="Q189" t="s">
        <v>1568</v>
      </c>
      <c r="R189" t="s">
        <v>1568</v>
      </c>
      <c r="S189" t="s">
        <v>1568</v>
      </c>
      <c r="T189" t="s">
        <v>1568</v>
      </c>
      <c r="U189" t="s">
        <v>1568</v>
      </c>
      <c r="V189" t="s">
        <v>1595</v>
      </c>
      <c r="W189" t="s">
        <v>261</v>
      </c>
      <c r="X189" t="s">
        <v>59</v>
      </c>
      <c r="Y189" t="s">
        <v>1581</v>
      </c>
    </row>
    <row r="190" spans="1:25" ht="16" x14ac:dyDescent="0.2">
      <c r="A190" t="s">
        <v>1568</v>
      </c>
      <c r="B190" t="s">
        <v>273</v>
      </c>
      <c r="C190" t="s">
        <v>1568</v>
      </c>
      <c r="D190" t="s">
        <v>1568</v>
      </c>
      <c r="E190" t="s">
        <v>51</v>
      </c>
      <c r="F190" t="s">
        <v>1616</v>
      </c>
      <c r="G190" t="s">
        <v>262</v>
      </c>
      <c r="H190" t="s">
        <v>1568</v>
      </c>
      <c r="I190" t="s">
        <v>263</v>
      </c>
      <c r="J190" t="s">
        <v>1568</v>
      </c>
      <c r="K190" t="s">
        <v>1568</v>
      </c>
      <c r="L190" t="s">
        <v>1568</v>
      </c>
      <c r="M190" t="s">
        <v>1568</v>
      </c>
      <c r="N190" t="s">
        <v>1568</v>
      </c>
      <c r="O190" t="s">
        <v>1568</v>
      </c>
      <c r="P190" t="s">
        <v>1568</v>
      </c>
      <c r="Q190" t="s">
        <v>1568</v>
      </c>
      <c r="R190" t="s">
        <v>1568</v>
      </c>
      <c r="S190" t="s">
        <v>1568</v>
      </c>
      <c r="T190" t="s">
        <v>1568</v>
      </c>
      <c r="U190" t="s">
        <v>1568</v>
      </c>
      <c r="V190" t="s">
        <v>1592</v>
      </c>
      <c r="W190" t="s">
        <v>264</v>
      </c>
      <c r="X190" t="s">
        <v>59</v>
      </c>
      <c r="Y190" t="s">
        <v>1581</v>
      </c>
    </row>
    <row r="191" spans="1:25" ht="16" x14ac:dyDescent="0.2">
      <c r="A191" t="s">
        <v>1568</v>
      </c>
      <c r="B191" t="s">
        <v>273</v>
      </c>
      <c r="C191" t="s">
        <v>1568</v>
      </c>
      <c r="D191" t="s">
        <v>1568</v>
      </c>
      <c r="E191" t="s">
        <v>55</v>
      </c>
      <c r="F191" t="s">
        <v>1616</v>
      </c>
      <c r="G191" t="s">
        <v>265</v>
      </c>
      <c r="H191" t="s">
        <v>1568</v>
      </c>
      <c r="I191" t="s">
        <v>266</v>
      </c>
      <c r="J191" t="s">
        <v>1568</v>
      </c>
      <c r="K191" t="s">
        <v>1568</v>
      </c>
      <c r="L191" t="s">
        <v>1568</v>
      </c>
      <c r="M191" t="s">
        <v>1568</v>
      </c>
      <c r="N191" t="s">
        <v>1568</v>
      </c>
      <c r="O191" t="s">
        <v>1568</v>
      </c>
      <c r="P191" t="s">
        <v>1568</v>
      </c>
      <c r="Q191" t="s">
        <v>1568</v>
      </c>
      <c r="R191" t="s">
        <v>1568</v>
      </c>
      <c r="S191" t="s">
        <v>1568</v>
      </c>
      <c r="T191" t="s">
        <v>1568</v>
      </c>
      <c r="U191" t="s">
        <v>1568</v>
      </c>
      <c r="V191" t="s">
        <v>1596</v>
      </c>
      <c r="W191" t="s">
        <v>267</v>
      </c>
      <c r="X191" t="s">
        <v>59</v>
      </c>
      <c r="Y191" t="s">
        <v>1581</v>
      </c>
    </row>
    <row r="192" spans="1:25" ht="16" x14ac:dyDescent="0.2">
      <c r="A192" t="s">
        <v>1568</v>
      </c>
      <c r="B192" t="s">
        <v>274</v>
      </c>
      <c r="C192" t="s">
        <v>1568</v>
      </c>
      <c r="D192" t="s">
        <v>1568</v>
      </c>
      <c r="E192" t="s">
        <v>36</v>
      </c>
      <c r="F192" t="s">
        <v>1615</v>
      </c>
      <c r="G192" t="s">
        <v>219</v>
      </c>
      <c r="H192" t="s">
        <v>1568</v>
      </c>
      <c r="I192" t="s">
        <v>220</v>
      </c>
      <c r="J192" t="s">
        <v>1568</v>
      </c>
      <c r="K192" t="s">
        <v>1568</v>
      </c>
      <c r="L192" t="s">
        <v>1568</v>
      </c>
      <c r="M192" t="s">
        <v>1568</v>
      </c>
      <c r="N192" t="s">
        <v>1568</v>
      </c>
      <c r="O192" t="s">
        <v>1568</v>
      </c>
      <c r="P192" t="s">
        <v>1568</v>
      </c>
      <c r="Q192" t="s">
        <v>1568</v>
      </c>
      <c r="R192" t="s">
        <v>1568</v>
      </c>
      <c r="S192" t="s">
        <v>1568</v>
      </c>
      <c r="T192" t="s">
        <v>1568</v>
      </c>
      <c r="U192" t="s">
        <v>1568</v>
      </c>
      <c r="V192" t="s">
        <v>1592</v>
      </c>
      <c r="W192" t="s">
        <v>221</v>
      </c>
      <c r="X192" t="s">
        <v>61</v>
      </c>
      <c r="Y192" t="s">
        <v>1587</v>
      </c>
    </row>
    <row r="193" spans="1:25" ht="16" x14ac:dyDescent="0.2">
      <c r="A193" t="s">
        <v>1568</v>
      </c>
      <c r="B193" t="s">
        <v>274</v>
      </c>
      <c r="C193" t="s">
        <v>1568</v>
      </c>
      <c r="D193" t="s">
        <v>1568</v>
      </c>
      <c r="E193" t="s">
        <v>43</v>
      </c>
      <c r="F193" t="s">
        <v>1615</v>
      </c>
      <c r="G193" t="s">
        <v>222</v>
      </c>
      <c r="H193" t="s">
        <v>1568</v>
      </c>
      <c r="I193" t="s">
        <v>223</v>
      </c>
      <c r="J193" t="s">
        <v>1568</v>
      </c>
      <c r="K193" t="s">
        <v>1568</v>
      </c>
      <c r="L193" t="s">
        <v>1568</v>
      </c>
      <c r="M193" t="s">
        <v>1568</v>
      </c>
      <c r="N193" t="s">
        <v>1568</v>
      </c>
      <c r="O193" t="s">
        <v>1568</v>
      </c>
      <c r="P193" t="s">
        <v>1568</v>
      </c>
      <c r="Q193" t="s">
        <v>1568</v>
      </c>
      <c r="R193" t="s">
        <v>1568</v>
      </c>
      <c r="S193" t="s">
        <v>1568</v>
      </c>
      <c r="T193" t="s">
        <v>1568</v>
      </c>
      <c r="U193" t="s">
        <v>1568</v>
      </c>
      <c r="V193" t="s">
        <v>1597</v>
      </c>
      <c r="W193" t="s">
        <v>224</v>
      </c>
      <c r="X193" t="s">
        <v>61</v>
      </c>
      <c r="Y193" t="s">
        <v>1587</v>
      </c>
    </row>
    <row r="194" spans="1:25" ht="16" x14ac:dyDescent="0.2">
      <c r="A194" t="s">
        <v>1568</v>
      </c>
      <c r="B194" t="s">
        <v>274</v>
      </c>
      <c r="C194" t="s">
        <v>1568</v>
      </c>
      <c r="D194" t="s">
        <v>1568</v>
      </c>
      <c r="E194" t="s">
        <v>47</v>
      </c>
      <c r="F194" t="s">
        <v>1615</v>
      </c>
      <c r="G194" t="s">
        <v>225</v>
      </c>
      <c r="H194" t="s">
        <v>1568</v>
      </c>
      <c r="I194" t="s">
        <v>226</v>
      </c>
      <c r="J194" t="s">
        <v>1568</v>
      </c>
      <c r="K194" t="s">
        <v>1568</v>
      </c>
      <c r="L194" t="s">
        <v>1568</v>
      </c>
      <c r="M194" t="s">
        <v>1568</v>
      </c>
      <c r="N194" t="s">
        <v>1568</v>
      </c>
      <c r="O194" t="s">
        <v>1568</v>
      </c>
      <c r="P194" t="s">
        <v>1568</v>
      </c>
      <c r="Q194" t="s">
        <v>1568</v>
      </c>
      <c r="R194" t="s">
        <v>1568</v>
      </c>
      <c r="S194" t="s">
        <v>1568</v>
      </c>
      <c r="T194" t="s">
        <v>1568</v>
      </c>
      <c r="U194" t="s">
        <v>1568</v>
      </c>
      <c r="V194" t="s">
        <v>1597</v>
      </c>
      <c r="W194" t="s">
        <v>227</v>
      </c>
      <c r="X194" t="s">
        <v>61</v>
      </c>
      <c r="Y194" t="s">
        <v>1587</v>
      </c>
    </row>
    <row r="195" spans="1:25" ht="16" x14ac:dyDescent="0.2">
      <c r="A195" t="s">
        <v>1568</v>
      </c>
      <c r="B195" t="s">
        <v>274</v>
      </c>
      <c r="C195" t="s">
        <v>1568</v>
      </c>
      <c r="D195" t="s">
        <v>1568</v>
      </c>
      <c r="E195" t="s">
        <v>51</v>
      </c>
      <c r="F195" t="s">
        <v>1615</v>
      </c>
      <c r="G195" t="s">
        <v>228</v>
      </c>
      <c r="H195" t="s">
        <v>1568</v>
      </c>
      <c r="I195" t="s">
        <v>229</v>
      </c>
      <c r="J195" t="s">
        <v>1568</v>
      </c>
      <c r="K195" t="s">
        <v>1568</v>
      </c>
      <c r="L195" t="s">
        <v>1568</v>
      </c>
      <c r="M195" t="s">
        <v>1568</v>
      </c>
      <c r="N195" t="s">
        <v>1568</v>
      </c>
      <c r="O195" t="s">
        <v>1568</v>
      </c>
      <c r="P195" t="s">
        <v>1568</v>
      </c>
      <c r="Q195" t="s">
        <v>1568</v>
      </c>
      <c r="R195" t="s">
        <v>1568</v>
      </c>
      <c r="S195" t="s">
        <v>1568</v>
      </c>
      <c r="T195" t="s">
        <v>1568</v>
      </c>
      <c r="U195" t="s">
        <v>1568</v>
      </c>
      <c r="V195" t="s">
        <v>1592</v>
      </c>
      <c r="W195" t="s">
        <v>230</v>
      </c>
      <c r="X195" t="s">
        <v>61</v>
      </c>
      <c r="Y195" t="s">
        <v>1587</v>
      </c>
    </row>
    <row r="196" spans="1:25" ht="16" x14ac:dyDescent="0.2">
      <c r="A196" t="s">
        <v>1568</v>
      </c>
      <c r="B196" t="s">
        <v>274</v>
      </c>
      <c r="C196" t="s">
        <v>1568</v>
      </c>
      <c r="D196" t="s">
        <v>1568</v>
      </c>
      <c r="E196" t="s">
        <v>55</v>
      </c>
      <c r="F196" t="s">
        <v>1615</v>
      </c>
      <c r="G196" t="s">
        <v>231</v>
      </c>
      <c r="H196" t="s">
        <v>1568</v>
      </c>
      <c r="I196" t="s">
        <v>232</v>
      </c>
      <c r="J196" t="s">
        <v>1568</v>
      </c>
      <c r="K196" t="s">
        <v>1568</v>
      </c>
      <c r="L196" t="s">
        <v>1568</v>
      </c>
      <c r="M196" t="s">
        <v>1568</v>
      </c>
      <c r="N196" t="s">
        <v>1568</v>
      </c>
      <c r="O196" t="s">
        <v>1568</v>
      </c>
      <c r="P196" t="s">
        <v>1568</v>
      </c>
      <c r="Q196" t="s">
        <v>1568</v>
      </c>
      <c r="R196" t="s">
        <v>1568</v>
      </c>
      <c r="S196" t="s">
        <v>1568</v>
      </c>
      <c r="T196" t="s">
        <v>1568</v>
      </c>
      <c r="U196" t="s">
        <v>1568</v>
      </c>
      <c r="V196" t="s">
        <v>1598</v>
      </c>
      <c r="W196" t="s">
        <v>233</v>
      </c>
      <c r="X196" t="s">
        <v>61</v>
      </c>
      <c r="Y196" t="s">
        <v>1587</v>
      </c>
    </row>
    <row r="197" spans="1:25" ht="16" x14ac:dyDescent="0.2">
      <c r="A197" t="s">
        <v>1568</v>
      </c>
      <c r="B197" t="s">
        <v>275</v>
      </c>
      <c r="C197" t="s">
        <v>1568</v>
      </c>
      <c r="D197" t="s">
        <v>1568</v>
      </c>
      <c r="E197" t="s">
        <v>36</v>
      </c>
      <c r="F197" t="s">
        <v>1616</v>
      </c>
      <c r="G197" t="s">
        <v>236</v>
      </c>
      <c r="H197" t="s">
        <v>1568</v>
      </c>
      <c r="I197" t="s">
        <v>237</v>
      </c>
      <c r="J197" t="s">
        <v>1568</v>
      </c>
      <c r="K197" t="s">
        <v>1568</v>
      </c>
      <c r="L197" t="s">
        <v>1568</v>
      </c>
      <c r="M197" t="s">
        <v>1568</v>
      </c>
      <c r="N197" t="s">
        <v>1568</v>
      </c>
      <c r="O197" t="s">
        <v>1568</v>
      </c>
      <c r="P197" t="s">
        <v>1568</v>
      </c>
      <c r="Q197" t="s">
        <v>1568</v>
      </c>
      <c r="R197" t="s">
        <v>1568</v>
      </c>
      <c r="S197" t="s">
        <v>1568</v>
      </c>
      <c r="T197" t="s">
        <v>1568</v>
      </c>
      <c r="U197" t="s">
        <v>1568</v>
      </c>
      <c r="V197" t="s">
        <v>1592</v>
      </c>
      <c r="W197" t="s">
        <v>238</v>
      </c>
      <c r="X197" t="s">
        <v>61</v>
      </c>
      <c r="Y197" t="s">
        <v>1587</v>
      </c>
    </row>
    <row r="198" spans="1:25" ht="16" x14ac:dyDescent="0.2">
      <c r="A198" t="s">
        <v>1568</v>
      </c>
      <c r="B198" t="s">
        <v>275</v>
      </c>
      <c r="C198" t="s">
        <v>1568</v>
      </c>
      <c r="D198" t="s">
        <v>1568</v>
      </c>
      <c r="E198" t="s">
        <v>43</v>
      </c>
      <c r="F198" t="s">
        <v>1616</v>
      </c>
      <c r="G198" t="s">
        <v>239</v>
      </c>
      <c r="H198" t="s">
        <v>1568</v>
      </c>
      <c r="I198" t="s">
        <v>240</v>
      </c>
      <c r="J198" t="s">
        <v>1568</v>
      </c>
      <c r="K198" t="s">
        <v>1568</v>
      </c>
      <c r="L198" t="s">
        <v>1568</v>
      </c>
      <c r="M198" t="s">
        <v>1568</v>
      </c>
      <c r="N198" t="s">
        <v>1568</v>
      </c>
      <c r="O198" t="s">
        <v>1568</v>
      </c>
      <c r="P198" t="s">
        <v>1568</v>
      </c>
      <c r="Q198" t="s">
        <v>1568</v>
      </c>
      <c r="R198" t="s">
        <v>1568</v>
      </c>
      <c r="S198" t="s">
        <v>1568</v>
      </c>
      <c r="T198" t="s">
        <v>1568</v>
      </c>
      <c r="U198" t="s">
        <v>1568</v>
      </c>
      <c r="V198" t="s">
        <v>1597</v>
      </c>
      <c r="W198" t="s">
        <v>241</v>
      </c>
      <c r="X198" t="s">
        <v>61</v>
      </c>
      <c r="Y198" t="s">
        <v>1587</v>
      </c>
    </row>
    <row r="199" spans="1:25" ht="16" x14ac:dyDescent="0.2">
      <c r="A199" t="s">
        <v>1568</v>
      </c>
      <c r="B199" t="s">
        <v>275</v>
      </c>
      <c r="C199" t="s">
        <v>1568</v>
      </c>
      <c r="D199" t="s">
        <v>1568</v>
      </c>
      <c r="E199" t="s">
        <v>47</v>
      </c>
      <c r="F199" t="s">
        <v>1616</v>
      </c>
      <c r="G199" t="s">
        <v>242</v>
      </c>
      <c r="H199" t="s">
        <v>1568</v>
      </c>
      <c r="I199" t="s">
        <v>243</v>
      </c>
      <c r="J199" t="s">
        <v>1568</v>
      </c>
      <c r="K199" t="s">
        <v>1568</v>
      </c>
      <c r="L199" t="s">
        <v>1568</v>
      </c>
      <c r="M199" t="s">
        <v>1568</v>
      </c>
      <c r="N199" t="s">
        <v>1568</v>
      </c>
      <c r="O199" t="s">
        <v>1568</v>
      </c>
      <c r="P199" t="s">
        <v>1568</v>
      </c>
      <c r="Q199" t="s">
        <v>1568</v>
      </c>
      <c r="R199" t="s">
        <v>1568</v>
      </c>
      <c r="S199" t="s">
        <v>1568</v>
      </c>
      <c r="T199" t="s">
        <v>1568</v>
      </c>
      <c r="U199" t="s">
        <v>1568</v>
      </c>
      <c r="V199" t="s">
        <v>1597</v>
      </c>
      <c r="W199" t="s">
        <v>244</v>
      </c>
      <c r="X199" t="s">
        <v>61</v>
      </c>
      <c r="Y199" t="s">
        <v>1587</v>
      </c>
    </row>
    <row r="200" spans="1:25" ht="16" x14ac:dyDescent="0.2">
      <c r="A200" t="s">
        <v>1568</v>
      </c>
      <c r="B200" t="s">
        <v>275</v>
      </c>
      <c r="C200" t="s">
        <v>1568</v>
      </c>
      <c r="D200" t="s">
        <v>1568</v>
      </c>
      <c r="E200" t="s">
        <v>51</v>
      </c>
      <c r="F200" t="s">
        <v>1616</v>
      </c>
      <c r="G200" t="s">
        <v>245</v>
      </c>
      <c r="H200" t="s">
        <v>1568</v>
      </c>
      <c r="I200" t="s">
        <v>246</v>
      </c>
      <c r="J200" t="s">
        <v>1568</v>
      </c>
      <c r="K200" t="s">
        <v>1568</v>
      </c>
      <c r="L200" t="s">
        <v>1568</v>
      </c>
      <c r="M200" t="s">
        <v>1568</v>
      </c>
      <c r="N200" t="s">
        <v>1568</v>
      </c>
      <c r="O200" t="s">
        <v>1568</v>
      </c>
      <c r="P200" t="s">
        <v>1568</v>
      </c>
      <c r="Q200" t="s">
        <v>1568</v>
      </c>
      <c r="R200" t="s">
        <v>1568</v>
      </c>
      <c r="S200" t="s">
        <v>1568</v>
      </c>
      <c r="T200" t="s">
        <v>1568</v>
      </c>
      <c r="U200" t="s">
        <v>1568</v>
      </c>
      <c r="V200" t="s">
        <v>1592</v>
      </c>
      <c r="W200" t="s">
        <v>247</v>
      </c>
      <c r="X200" t="s">
        <v>61</v>
      </c>
      <c r="Y200" t="s">
        <v>1587</v>
      </c>
    </row>
    <row r="201" spans="1:25" ht="16" x14ac:dyDescent="0.2">
      <c r="A201" t="s">
        <v>1568</v>
      </c>
      <c r="B201" t="s">
        <v>275</v>
      </c>
      <c r="C201" t="s">
        <v>1568</v>
      </c>
      <c r="D201" t="s">
        <v>1568</v>
      </c>
      <c r="E201" t="s">
        <v>55</v>
      </c>
      <c r="F201" t="s">
        <v>1616</v>
      </c>
      <c r="G201" t="s">
        <v>248</v>
      </c>
      <c r="H201" t="s">
        <v>1568</v>
      </c>
      <c r="I201" t="s">
        <v>249</v>
      </c>
      <c r="J201" t="s">
        <v>1568</v>
      </c>
      <c r="K201" t="s">
        <v>1568</v>
      </c>
      <c r="L201" t="s">
        <v>1568</v>
      </c>
      <c r="M201" t="s">
        <v>1568</v>
      </c>
      <c r="N201" t="s">
        <v>1568</v>
      </c>
      <c r="O201" t="s">
        <v>1568</v>
      </c>
      <c r="P201" t="s">
        <v>1568</v>
      </c>
      <c r="Q201" t="s">
        <v>1568</v>
      </c>
      <c r="R201" t="s">
        <v>1568</v>
      </c>
      <c r="S201" t="s">
        <v>1568</v>
      </c>
      <c r="T201" t="s">
        <v>1568</v>
      </c>
      <c r="U201" t="s">
        <v>1568</v>
      </c>
      <c r="V201" t="s">
        <v>1598</v>
      </c>
      <c r="W201" t="s">
        <v>250</v>
      </c>
      <c r="X201" t="s">
        <v>61</v>
      </c>
      <c r="Y201" t="s">
        <v>1587</v>
      </c>
    </row>
    <row r="202" spans="1:25" ht="16" x14ac:dyDescent="0.2">
      <c r="A202" t="s">
        <v>1568</v>
      </c>
      <c r="B202" t="s">
        <v>276</v>
      </c>
      <c r="C202" t="s">
        <v>1568</v>
      </c>
      <c r="D202" t="s">
        <v>1568</v>
      </c>
      <c r="E202" t="s">
        <v>36</v>
      </c>
      <c r="F202" t="s">
        <v>1616</v>
      </c>
      <c r="G202" t="s">
        <v>253</v>
      </c>
      <c r="H202" t="s">
        <v>1568</v>
      </c>
      <c r="I202" t="s">
        <v>254</v>
      </c>
      <c r="J202" t="s">
        <v>1568</v>
      </c>
      <c r="K202" t="s">
        <v>1568</v>
      </c>
      <c r="L202" t="s">
        <v>1568</v>
      </c>
      <c r="M202" t="s">
        <v>1568</v>
      </c>
      <c r="N202" t="s">
        <v>1568</v>
      </c>
      <c r="O202" t="s">
        <v>1568</v>
      </c>
      <c r="P202" t="s">
        <v>1568</v>
      </c>
      <c r="Q202" t="s">
        <v>1568</v>
      </c>
      <c r="R202" t="s">
        <v>1568</v>
      </c>
      <c r="S202" t="s">
        <v>1568</v>
      </c>
      <c r="T202" t="s">
        <v>1568</v>
      </c>
      <c r="U202" t="s">
        <v>1568</v>
      </c>
      <c r="V202" t="s">
        <v>1592</v>
      </c>
      <c r="W202" t="s">
        <v>255</v>
      </c>
      <c r="X202" t="s">
        <v>61</v>
      </c>
      <c r="Y202" t="s">
        <v>1587</v>
      </c>
    </row>
    <row r="203" spans="1:25" ht="16" x14ac:dyDescent="0.2">
      <c r="A203" t="s">
        <v>1568</v>
      </c>
      <c r="B203" t="s">
        <v>276</v>
      </c>
      <c r="C203" t="s">
        <v>1568</v>
      </c>
      <c r="D203" t="s">
        <v>1568</v>
      </c>
      <c r="E203" t="s">
        <v>43</v>
      </c>
      <c r="F203" t="s">
        <v>1616</v>
      </c>
      <c r="G203" t="s">
        <v>256</v>
      </c>
      <c r="H203" t="s">
        <v>1568</v>
      </c>
      <c r="I203" t="s">
        <v>257</v>
      </c>
      <c r="J203" t="s">
        <v>1568</v>
      </c>
      <c r="K203" t="s">
        <v>1568</v>
      </c>
      <c r="L203" t="s">
        <v>1568</v>
      </c>
      <c r="M203" t="s">
        <v>1568</v>
      </c>
      <c r="N203" t="s">
        <v>1568</v>
      </c>
      <c r="O203" t="s">
        <v>1568</v>
      </c>
      <c r="P203" t="s">
        <v>1568</v>
      </c>
      <c r="Q203" t="s">
        <v>1568</v>
      </c>
      <c r="R203" t="s">
        <v>1568</v>
      </c>
      <c r="S203" t="s">
        <v>1568</v>
      </c>
      <c r="T203" t="s">
        <v>1568</v>
      </c>
      <c r="U203" t="s">
        <v>1568</v>
      </c>
      <c r="V203" t="s">
        <v>1597</v>
      </c>
      <c r="W203" t="s">
        <v>258</v>
      </c>
      <c r="X203" t="s">
        <v>61</v>
      </c>
      <c r="Y203" t="s">
        <v>1587</v>
      </c>
    </row>
    <row r="204" spans="1:25" ht="16" x14ac:dyDescent="0.2">
      <c r="A204" t="s">
        <v>1568</v>
      </c>
      <c r="B204" t="s">
        <v>276</v>
      </c>
      <c r="C204" t="s">
        <v>1568</v>
      </c>
      <c r="D204" t="s">
        <v>1568</v>
      </c>
      <c r="E204" t="s">
        <v>47</v>
      </c>
      <c r="F204" t="s">
        <v>1616</v>
      </c>
      <c r="G204" t="s">
        <v>259</v>
      </c>
      <c r="H204" t="s">
        <v>1568</v>
      </c>
      <c r="I204" t="s">
        <v>260</v>
      </c>
      <c r="J204" t="s">
        <v>1568</v>
      </c>
      <c r="K204" t="s">
        <v>1568</v>
      </c>
      <c r="L204" t="s">
        <v>1568</v>
      </c>
      <c r="M204" t="s">
        <v>1568</v>
      </c>
      <c r="N204" t="s">
        <v>1568</v>
      </c>
      <c r="O204" t="s">
        <v>1568</v>
      </c>
      <c r="P204" t="s">
        <v>1568</v>
      </c>
      <c r="Q204" t="s">
        <v>1568</v>
      </c>
      <c r="R204" t="s">
        <v>1568</v>
      </c>
      <c r="S204" t="s">
        <v>1568</v>
      </c>
      <c r="T204" t="s">
        <v>1568</v>
      </c>
      <c r="U204" t="s">
        <v>1568</v>
      </c>
      <c r="V204" t="s">
        <v>1597</v>
      </c>
      <c r="W204" t="s">
        <v>261</v>
      </c>
      <c r="X204" t="s">
        <v>61</v>
      </c>
      <c r="Y204" t="s">
        <v>1587</v>
      </c>
    </row>
    <row r="205" spans="1:25" ht="16" x14ac:dyDescent="0.2">
      <c r="A205" t="s">
        <v>1568</v>
      </c>
      <c r="B205" t="s">
        <v>276</v>
      </c>
      <c r="C205" t="s">
        <v>1568</v>
      </c>
      <c r="D205" t="s">
        <v>1568</v>
      </c>
      <c r="E205" t="s">
        <v>51</v>
      </c>
      <c r="F205" t="s">
        <v>1616</v>
      </c>
      <c r="G205" t="s">
        <v>262</v>
      </c>
      <c r="H205" t="s">
        <v>1568</v>
      </c>
      <c r="I205" t="s">
        <v>263</v>
      </c>
      <c r="J205" t="s">
        <v>1568</v>
      </c>
      <c r="K205" t="s">
        <v>1568</v>
      </c>
      <c r="L205" t="s">
        <v>1568</v>
      </c>
      <c r="M205" t="s">
        <v>1568</v>
      </c>
      <c r="N205" t="s">
        <v>1568</v>
      </c>
      <c r="O205" t="s">
        <v>1568</v>
      </c>
      <c r="P205" t="s">
        <v>1568</v>
      </c>
      <c r="Q205" t="s">
        <v>1568</v>
      </c>
      <c r="R205" t="s">
        <v>1568</v>
      </c>
      <c r="S205" t="s">
        <v>1568</v>
      </c>
      <c r="T205" t="s">
        <v>1568</v>
      </c>
      <c r="U205" t="s">
        <v>1568</v>
      </c>
      <c r="V205" t="s">
        <v>1592</v>
      </c>
      <c r="W205" t="s">
        <v>264</v>
      </c>
      <c r="X205" t="s">
        <v>61</v>
      </c>
      <c r="Y205" t="s">
        <v>1587</v>
      </c>
    </row>
    <row r="206" spans="1:25" ht="16" x14ac:dyDescent="0.2">
      <c r="A206" t="s">
        <v>1568</v>
      </c>
      <c r="B206" t="s">
        <v>276</v>
      </c>
      <c r="C206" t="s">
        <v>1568</v>
      </c>
      <c r="D206" t="s">
        <v>1568</v>
      </c>
      <c r="E206" t="s">
        <v>55</v>
      </c>
      <c r="F206" t="s">
        <v>1616</v>
      </c>
      <c r="G206" t="s">
        <v>265</v>
      </c>
      <c r="H206" t="s">
        <v>1568</v>
      </c>
      <c r="I206" t="s">
        <v>266</v>
      </c>
      <c r="J206" t="s">
        <v>1568</v>
      </c>
      <c r="K206" t="s">
        <v>1568</v>
      </c>
      <c r="L206" t="s">
        <v>1568</v>
      </c>
      <c r="M206" t="s">
        <v>1568</v>
      </c>
      <c r="N206" t="s">
        <v>1568</v>
      </c>
      <c r="O206" t="s">
        <v>1568</v>
      </c>
      <c r="P206" t="s">
        <v>1568</v>
      </c>
      <c r="Q206" t="s">
        <v>1568</v>
      </c>
      <c r="R206" t="s">
        <v>1568</v>
      </c>
      <c r="S206" t="s">
        <v>1568</v>
      </c>
      <c r="T206" t="s">
        <v>1568</v>
      </c>
      <c r="U206" t="s">
        <v>1568</v>
      </c>
      <c r="V206" t="s">
        <v>1598</v>
      </c>
      <c r="W206" t="s">
        <v>267</v>
      </c>
      <c r="X206" t="s">
        <v>61</v>
      </c>
      <c r="Y206" t="s">
        <v>1587</v>
      </c>
    </row>
    <row r="207" spans="1:25" ht="16" x14ac:dyDescent="0.2">
      <c r="A207" t="s">
        <v>1568</v>
      </c>
      <c r="B207" t="s">
        <v>277</v>
      </c>
      <c r="C207" t="s">
        <v>1568</v>
      </c>
      <c r="D207" t="s">
        <v>1568</v>
      </c>
      <c r="E207" t="s">
        <v>36</v>
      </c>
      <c r="F207" t="s">
        <v>1621</v>
      </c>
      <c r="G207" t="s">
        <v>278</v>
      </c>
      <c r="H207" t="s">
        <v>1568</v>
      </c>
      <c r="I207" t="s">
        <v>279</v>
      </c>
      <c r="J207" t="s">
        <v>1568</v>
      </c>
      <c r="K207" t="s">
        <v>1568</v>
      </c>
      <c r="L207" t="s">
        <v>1568</v>
      </c>
      <c r="M207" t="s">
        <v>1568</v>
      </c>
      <c r="N207" t="s">
        <v>1568</v>
      </c>
      <c r="O207" t="s">
        <v>1568</v>
      </c>
      <c r="P207" t="s">
        <v>1568</v>
      </c>
      <c r="Q207" t="s">
        <v>1568</v>
      </c>
      <c r="R207" t="s">
        <v>1568</v>
      </c>
      <c r="S207" t="s">
        <v>1568</v>
      </c>
      <c r="T207" t="s">
        <v>1568</v>
      </c>
      <c r="U207" t="s">
        <v>1568</v>
      </c>
      <c r="V207" t="s">
        <v>1592</v>
      </c>
      <c r="W207" t="s">
        <v>280</v>
      </c>
      <c r="X207" t="s">
        <v>30</v>
      </c>
      <c r="Y207" t="s">
        <v>1572</v>
      </c>
    </row>
    <row r="208" spans="1:25" ht="16" x14ac:dyDescent="0.2">
      <c r="A208" t="s">
        <v>1568</v>
      </c>
      <c r="B208" t="s">
        <v>277</v>
      </c>
      <c r="C208" t="s">
        <v>1568</v>
      </c>
      <c r="D208" t="s">
        <v>1568</v>
      </c>
      <c r="E208" t="s">
        <v>43</v>
      </c>
      <c r="F208" t="s">
        <v>1621</v>
      </c>
      <c r="G208" t="s">
        <v>281</v>
      </c>
      <c r="H208" t="s">
        <v>1568</v>
      </c>
      <c r="I208" t="s">
        <v>282</v>
      </c>
      <c r="J208" t="s">
        <v>1568</v>
      </c>
      <c r="K208" t="s">
        <v>1568</v>
      </c>
      <c r="L208" t="s">
        <v>1568</v>
      </c>
      <c r="M208" t="s">
        <v>1568</v>
      </c>
      <c r="N208" t="s">
        <v>1568</v>
      </c>
      <c r="O208" t="s">
        <v>1568</v>
      </c>
      <c r="P208" t="s">
        <v>1568</v>
      </c>
      <c r="Q208" t="s">
        <v>1568</v>
      </c>
      <c r="R208" t="s">
        <v>1568</v>
      </c>
      <c r="S208" t="s">
        <v>1568</v>
      </c>
      <c r="T208" t="s">
        <v>1568</v>
      </c>
      <c r="U208" t="s">
        <v>1568</v>
      </c>
      <c r="V208" t="s">
        <v>1590</v>
      </c>
      <c r="W208" t="s">
        <v>283</v>
      </c>
      <c r="X208" t="s">
        <v>30</v>
      </c>
      <c r="Y208" t="s">
        <v>1572</v>
      </c>
    </row>
    <row r="209" spans="1:25" ht="16" x14ac:dyDescent="0.2">
      <c r="A209" t="s">
        <v>1568</v>
      </c>
      <c r="B209" t="s">
        <v>277</v>
      </c>
      <c r="C209" t="s">
        <v>1568</v>
      </c>
      <c r="D209" t="s">
        <v>1568</v>
      </c>
      <c r="E209" t="s">
        <v>47</v>
      </c>
      <c r="F209" t="s">
        <v>1621</v>
      </c>
      <c r="G209" t="s">
        <v>284</v>
      </c>
      <c r="H209" t="s">
        <v>1568</v>
      </c>
      <c r="I209" t="s">
        <v>285</v>
      </c>
      <c r="J209" t="s">
        <v>1568</v>
      </c>
      <c r="K209" t="s">
        <v>1568</v>
      </c>
      <c r="L209" t="s">
        <v>1568</v>
      </c>
      <c r="M209" t="s">
        <v>1568</v>
      </c>
      <c r="N209" t="s">
        <v>1568</v>
      </c>
      <c r="O209" t="s">
        <v>1568</v>
      </c>
      <c r="P209" t="s">
        <v>1568</v>
      </c>
      <c r="Q209" t="s">
        <v>1568</v>
      </c>
      <c r="R209" t="s">
        <v>1568</v>
      </c>
      <c r="S209" t="s">
        <v>1568</v>
      </c>
      <c r="T209" t="s">
        <v>1568</v>
      </c>
      <c r="U209" t="s">
        <v>1568</v>
      </c>
      <c r="V209" t="s">
        <v>1590</v>
      </c>
      <c r="W209" t="s">
        <v>286</v>
      </c>
      <c r="X209" t="s">
        <v>30</v>
      </c>
      <c r="Y209" t="s">
        <v>1572</v>
      </c>
    </row>
    <row r="210" spans="1:25" ht="16" x14ac:dyDescent="0.2">
      <c r="A210" t="s">
        <v>1568</v>
      </c>
      <c r="B210" t="s">
        <v>277</v>
      </c>
      <c r="C210" t="s">
        <v>1568</v>
      </c>
      <c r="D210" t="s">
        <v>1568</v>
      </c>
      <c r="E210" t="s">
        <v>51</v>
      </c>
      <c r="F210" t="s">
        <v>1621</v>
      </c>
      <c r="G210" t="s">
        <v>287</v>
      </c>
      <c r="H210" t="s">
        <v>1568</v>
      </c>
      <c r="I210" t="s">
        <v>288</v>
      </c>
      <c r="J210" t="s">
        <v>1568</v>
      </c>
      <c r="K210" t="s">
        <v>1568</v>
      </c>
      <c r="L210" t="s">
        <v>1568</v>
      </c>
      <c r="M210" t="s">
        <v>1568</v>
      </c>
      <c r="N210" t="s">
        <v>1568</v>
      </c>
      <c r="O210" t="s">
        <v>1568</v>
      </c>
      <c r="P210" t="s">
        <v>1568</v>
      </c>
      <c r="Q210" t="s">
        <v>1568</v>
      </c>
      <c r="R210" t="s">
        <v>1568</v>
      </c>
      <c r="S210" t="s">
        <v>1568</v>
      </c>
      <c r="T210" t="s">
        <v>1568</v>
      </c>
      <c r="U210" t="s">
        <v>1568</v>
      </c>
      <c r="V210" t="s">
        <v>1592</v>
      </c>
      <c r="W210" t="s">
        <v>289</v>
      </c>
      <c r="X210" t="s">
        <v>30</v>
      </c>
      <c r="Y210" t="s">
        <v>1572</v>
      </c>
    </row>
    <row r="211" spans="1:25" ht="16" x14ac:dyDescent="0.2">
      <c r="A211" t="s">
        <v>1568</v>
      </c>
      <c r="B211" t="s">
        <v>277</v>
      </c>
      <c r="C211" t="s">
        <v>1568</v>
      </c>
      <c r="D211" t="s">
        <v>1568</v>
      </c>
      <c r="E211" t="s">
        <v>55</v>
      </c>
      <c r="F211" t="s">
        <v>1621</v>
      </c>
      <c r="G211" t="s">
        <v>290</v>
      </c>
      <c r="H211" t="s">
        <v>1568</v>
      </c>
      <c r="I211" t="s">
        <v>291</v>
      </c>
      <c r="J211" t="s">
        <v>1568</v>
      </c>
      <c r="K211" t="s">
        <v>1568</v>
      </c>
      <c r="L211" t="s">
        <v>1568</v>
      </c>
      <c r="M211" t="s">
        <v>1568</v>
      </c>
      <c r="N211" t="s">
        <v>1568</v>
      </c>
      <c r="O211" t="s">
        <v>1568</v>
      </c>
      <c r="P211" t="s">
        <v>1568</v>
      </c>
      <c r="Q211" t="s">
        <v>1568</v>
      </c>
      <c r="R211" t="s">
        <v>1568</v>
      </c>
      <c r="S211" t="s">
        <v>1568</v>
      </c>
      <c r="T211" t="s">
        <v>1568</v>
      </c>
      <c r="U211" t="s">
        <v>1568</v>
      </c>
      <c r="V211" t="s">
        <v>1601</v>
      </c>
      <c r="W211" t="s">
        <v>292</v>
      </c>
      <c r="X211" t="s">
        <v>30</v>
      </c>
      <c r="Y211" t="s">
        <v>1572</v>
      </c>
    </row>
    <row r="212" spans="1:25" ht="16" x14ac:dyDescent="0.2">
      <c r="A212" t="s">
        <v>1568</v>
      </c>
      <c r="B212" t="s">
        <v>293</v>
      </c>
      <c r="C212" t="s">
        <v>1568</v>
      </c>
      <c r="D212" t="s">
        <v>1568</v>
      </c>
      <c r="E212" t="s">
        <v>36</v>
      </c>
      <c r="F212" t="s">
        <v>1622</v>
      </c>
      <c r="G212" t="s">
        <v>294</v>
      </c>
      <c r="H212" t="s">
        <v>1568</v>
      </c>
      <c r="I212" t="s">
        <v>295</v>
      </c>
      <c r="J212" t="s">
        <v>1568</v>
      </c>
      <c r="K212" t="s">
        <v>1568</v>
      </c>
      <c r="L212" t="s">
        <v>1568</v>
      </c>
      <c r="M212" t="s">
        <v>1568</v>
      </c>
      <c r="N212" t="s">
        <v>1568</v>
      </c>
      <c r="O212" t="s">
        <v>1568</v>
      </c>
      <c r="P212" t="s">
        <v>1568</v>
      </c>
      <c r="Q212" t="s">
        <v>1568</v>
      </c>
      <c r="R212" t="s">
        <v>1568</v>
      </c>
      <c r="S212" t="s">
        <v>1568</v>
      </c>
      <c r="T212" t="s">
        <v>1568</v>
      </c>
      <c r="U212" t="s">
        <v>1568</v>
      </c>
      <c r="V212" t="s">
        <v>1592</v>
      </c>
      <c r="W212" t="s">
        <v>296</v>
      </c>
      <c r="X212" t="s">
        <v>30</v>
      </c>
      <c r="Y212" t="s">
        <v>1572</v>
      </c>
    </row>
    <row r="213" spans="1:25" ht="16" x14ac:dyDescent="0.2">
      <c r="A213" t="s">
        <v>1568</v>
      </c>
      <c r="B213" t="s">
        <v>293</v>
      </c>
      <c r="C213" t="s">
        <v>1568</v>
      </c>
      <c r="D213" t="s">
        <v>1568</v>
      </c>
      <c r="E213" t="s">
        <v>43</v>
      </c>
      <c r="F213" t="s">
        <v>1622</v>
      </c>
      <c r="G213" t="s">
        <v>297</v>
      </c>
      <c r="H213" t="s">
        <v>1568</v>
      </c>
      <c r="I213" t="s">
        <v>298</v>
      </c>
      <c r="J213" t="s">
        <v>1568</v>
      </c>
      <c r="K213" t="s">
        <v>1568</v>
      </c>
      <c r="L213" t="s">
        <v>1568</v>
      </c>
      <c r="M213" t="s">
        <v>1568</v>
      </c>
      <c r="N213" t="s">
        <v>1568</v>
      </c>
      <c r="O213" t="s">
        <v>1568</v>
      </c>
      <c r="P213" t="s">
        <v>1568</v>
      </c>
      <c r="Q213" t="s">
        <v>1568</v>
      </c>
      <c r="R213" t="s">
        <v>1568</v>
      </c>
      <c r="S213" t="s">
        <v>1568</v>
      </c>
      <c r="T213" t="s">
        <v>1568</v>
      </c>
      <c r="U213" t="s">
        <v>1568</v>
      </c>
      <c r="V213" t="s">
        <v>1593</v>
      </c>
      <c r="W213" t="s">
        <v>299</v>
      </c>
      <c r="X213" t="s">
        <v>30</v>
      </c>
      <c r="Y213" t="s">
        <v>1572</v>
      </c>
    </row>
    <row r="214" spans="1:25" ht="16" x14ac:dyDescent="0.2">
      <c r="A214" t="s">
        <v>1568</v>
      </c>
      <c r="B214" t="s">
        <v>293</v>
      </c>
      <c r="C214" t="s">
        <v>1568</v>
      </c>
      <c r="D214" t="s">
        <v>1568</v>
      </c>
      <c r="E214" t="s">
        <v>47</v>
      </c>
      <c r="F214" t="s">
        <v>1622</v>
      </c>
      <c r="G214" t="s">
        <v>300</v>
      </c>
      <c r="H214" t="s">
        <v>1568</v>
      </c>
      <c r="I214" t="s">
        <v>301</v>
      </c>
      <c r="J214" t="s">
        <v>1568</v>
      </c>
      <c r="K214" t="s">
        <v>1568</v>
      </c>
      <c r="L214" t="s">
        <v>1568</v>
      </c>
      <c r="M214" t="s">
        <v>1568</v>
      </c>
      <c r="N214" t="s">
        <v>1568</v>
      </c>
      <c r="O214" t="s">
        <v>1568</v>
      </c>
      <c r="P214" t="s">
        <v>1568</v>
      </c>
      <c r="Q214" t="s">
        <v>1568</v>
      </c>
      <c r="R214" t="s">
        <v>1568</v>
      </c>
      <c r="S214" t="s">
        <v>1568</v>
      </c>
      <c r="T214" t="s">
        <v>1568</v>
      </c>
      <c r="U214" t="s">
        <v>1568</v>
      </c>
      <c r="V214" t="s">
        <v>1593</v>
      </c>
      <c r="W214" t="s">
        <v>302</v>
      </c>
      <c r="X214" t="s">
        <v>30</v>
      </c>
      <c r="Y214" t="s">
        <v>1572</v>
      </c>
    </row>
    <row r="215" spans="1:25" ht="16" x14ac:dyDescent="0.2">
      <c r="A215" t="s">
        <v>1568</v>
      </c>
      <c r="B215" t="s">
        <v>293</v>
      </c>
      <c r="C215" t="s">
        <v>1568</v>
      </c>
      <c r="D215" t="s">
        <v>1568</v>
      </c>
      <c r="E215" t="s">
        <v>51</v>
      </c>
      <c r="F215" t="s">
        <v>1622</v>
      </c>
      <c r="G215" t="s">
        <v>303</v>
      </c>
      <c r="H215" t="s">
        <v>1568</v>
      </c>
      <c r="I215" t="s">
        <v>304</v>
      </c>
      <c r="J215" t="s">
        <v>1568</v>
      </c>
      <c r="K215" t="s">
        <v>1568</v>
      </c>
      <c r="L215" t="s">
        <v>1568</v>
      </c>
      <c r="M215" t="s">
        <v>1568</v>
      </c>
      <c r="N215" t="s">
        <v>1568</v>
      </c>
      <c r="O215" t="s">
        <v>1568</v>
      </c>
      <c r="P215" t="s">
        <v>1568</v>
      </c>
      <c r="Q215" t="s">
        <v>1568</v>
      </c>
      <c r="R215" t="s">
        <v>1568</v>
      </c>
      <c r="S215" t="s">
        <v>1568</v>
      </c>
      <c r="T215" t="s">
        <v>1568</v>
      </c>
      <c r="U215" t="s">
        <v>1568</v>
      </c>
      <c r="V215" t="s">
        <v>1592</v>
      </c>
      <c r="W215" t="s">
        <v>305</v>
      </c>
      <c r="X215" t="s">
        <v>30</v>
      </c>
      <c r="Y215" t="s">
        <v>1572</v>
      </c>
    </row>
    <row r="216" spans="1:25" ht="16" x14ac:dyDescent="0.2">
      <c r="A216" t="s">
        <v>1568</v>
      </c>
      <c r="B216" t="s">
        <v>293</v>
      </c>
      <c r="C216" t="s">
        <v>1568</v>
      </c>
      <c r="D216" t="s">
        <v>1568</v>
      </c>
      <c r="E216" t="s">
        <v>55</v>
      </c>
      <c r="F216" t="s">
        <v>1622</v>
      </c>
      <c r="G216" t="s">
        <v>306</v>
      </c>
      <c r="H216" t="s">
        <v>1568</v>
      </c>
      <c r="I216" t="s">
        <v>307</v>
      </c>
      <c r="J216" t="s">
        <v>1568</v>
      </c>
      <c r="K216" t="s">
        <v>1568</v>
      </c>
      <c r="L216" t="s">
        <v>1568</v>
      </c>
      <c r="M216" t="s">
        <v>1568</v>
      </c>
      <c r="N216" t="s">
        <v>1568</v>
      </c>
      <c r="O216" t="s">
        <v>1568</v>
      </c>
      <c r="P216" t="s">
        <v>1568</v>
      </c>
      <c r="Q216" t="s">
        <v>1568</v>
      </c>
      <c r="R216" t="s">
        <v>1568</v>
      </c>
      <c r="S216" t="s">
        <v>1568</v>
      </c>
      <c r="T216" t="s">
        <v>1568</v>
      </c>
      <c r="U216" t="s">
        <v>1568</v>
      </c>
      <c r="V216" t="s">
        <v>1594</v>
      </c>
      <c r="W216" t="s">
        <v>308</v>
      </c>
      <c r="X216" t="s">
        <v>30</v>
      </c>
      <c r="Y216" t="s">
        <v>1572</v>
      </c>
    </row>
    <row r="217" spans="1:25" ht="16" x14ac:dyDescent="0.2">
      <c r="A217" t="s">
        <v>1568</v>
      </c>
      <c r="B217" t="s">
        <v>309</v>
      </c>
      <c r="C217" t="s">
        <v>1568</v>
      </c>
      <c r="D217" t="s">
        <v>1568</v>
      </c>
      <c r="E217" t="s">
        <v>36</v>
      </c>
      <c r="F217" t="s">
        <v>1623</v>
      </c>
      <c r="G217" t="s">
        <v>310</v>
      </c>
      <c r="H217" t="s">
        <v>1568</v>
      </c>
      <c r="I217" t="s">
        <v>311</v>
      </c>
      <c r="J217" t="s">
        <v>1568</v>
      </c>
      <c r="K217" t="s">
        <v>1568</v>
      </c>
      <c r="L217" t="s">
        <v>1568</v>
      </c>
      <c r="M217" t="s">
        <v>1568</v>
      </c>
      <c r="N217" t="s">
        <v>1568</v>
      </c>
      <c r="O217" t="s">
        <v>1568</v>
      </c>
      <c r="P217" t="s">
        <v>1568</v>
      </c>
      <c r="Q217" t="s">
        <v>1568</v>
      </c>
      <c r="R217" t="s">
        <v>1568</v>
      </c>
      <c r="S217" t="s">
        <v>1568</v>
      </c>
      <c r="T217" t="s">
        <v>1568</v>
      </c>
      <c r="U217" t="s">
        <v>1568</v>
      </c>
      <c r="V217" t="s">
        <v>1592</v>
      </c>
      <c r="W217" t="s">
        <v>312</v>
      </c>
      <c r="X217" t="s">
        <v>30</v>
      </c>
      <c r="Y217" t="s">
        <v>1572</v>
      </c>
    </row>
    <row r="218" spans="1:25" ht="16" x14ac:dyDescent="0.2">
      <c r="A218" t="s">
        <v>1568</v>
      </c>
      <c r="B218" t="s">
        <v>309</v>
      </c>
      <c r="C218" t="s">
        <v>1568</v>
      </c>
      <c r="D218" t="s">
        <v>1568</v>
      </c>
      <c r="E218" t="s">
        <v>43</v>
      </c>
      <c r="F218" t="s">
        <v>1623</v>
      </c>
      <c r="G218" t="s">
        <v>313</v>
      </c>
      <c r="H218" t="s">
        <v>1568</v>
      </c>
      <c r="I218" t="s">
        <v>314</v>
      </c>
      <c r="J218" t="s">
        <v>1568</v>
      </c>
      <c r="K218" t="s">
        <v>1568</v>
      </c>
      <c r="L218" t="s">
        <v>1568</v>
      </c>
      <c r="M218" t="s">
        <v>1568</v>
      </c>
      <c r="N218" t="s">
        <v>1568</v>
      </c>
      <c r="O218" t="s">
        <v>1568</v>
      </c>
      <c r="P218" t="s">
        <v>1568</v>
      </c>
      <c r="Q218" t="s">
        <v>1568</v>
      </c>
      <c r="R218" t="s">
        <v>1568</v>
      </c>
      <c r="S218" t="s">
        <v>1568</v>
      </c>
      <c r="T218" t="s">
        <v>1568</v>
      </c>
      <c r="U218" t="s">
        <v>1568</v>
      </c>
      <c r="V218" t="s">
        <v>1593</v>
      </c>
      <c r="W218" t="s">
        <v>315</v>
      </c>
      <c r="X218" t="s">
        <v>30</v>
      </c>
      <c r="Y218" t="s">
        <v>1572</v>
      </c>
    </row>
    <row r="219" spans="1:25" ht="16" x14ac:dyDescent="0.2">
      <c r="A219" t="s">
        <v>1568</v>
      </c>
      <c r="B219" t="s">
        <v>309</v>
      </c>
      <c r="C219" t="s">
        <v>1568</v>
      </c>
      <c r="D219" t="s">
        <v>1568</v>
      </c>
      <c r="E219" t="s">
        <v>47</v>
      </c>
      <c r="F219" t="s">
        <v>1623</v>
      </c>
      <c r="G219" t="s">
        <v>316</v>
      </c>
      <c r="H219" t="s">
        <v>1568</v>
      </c>
      <c r="I219" t="s">
        <v>317</v>
      </c>
      <c r="J219" t="s">
        <v>1568</v>
      </c>
      <c r="K219" t="s">
        <v>1568</v>
      </c>
      <c r="L219" t="s">
        <v>1568</v>
      </c>
      <c r="M219" t="s">
        <v>1568</v>
      </c>
      <c r="N219" t="s">
        <v>1568</v>
      </c>
      <c r="O219" t="s">
        <v>1568</v>
      </c>
      <c r="P219" t="s">
        <v>1568</v>
      </c>
      <c r="Q219" t="s">
        <v>1568</v>
      </c>
      <c r="R219" t="s">
        <v>1568</v>
      </c>
      <c r="S219" t="s">
        <v>1568</v>
      </c>
      <c r="T219" t="s">
        <v>1568</v>
      </c>
      <c r="U219" t="s">
        <v>1568</v>
      </c>
      <c r="V219" t="s">
        <v>1593</v>
      </c>
      <c r="W219" t="s">
        <v>318</v>
      </c>
      <c r="X219" t="s">
        <v>30</v>
      </c>
      <c r="Y219" t="s">
        <v>1572</v>
      </c>
    </row>
    <row r="220" spans="1:25" ht="16" x14ac:dyDescent="0.2">
      <c r="A220" t="s">
        <v>1568</v>
      </c>
      <c r="B220" t="s">
        <v>309</v>
      </c>
      <c r="C220" t="s">
        <v>1568</v>
      </c>
      <c r="D220" t="s">
        <v>1568</v>
      </c>
      <c r="E220" t="s">
        <v>51</v>
      </c>
      <c r="F220" t="s">
        <v>1623</v>
      </c>
      <c r="G220" t="s">
        <v>319</v>
      </c>
      <c r="H220" t="s">
        <v>1568</v>
      </c>
      <c r="I220" t="s">
        <v>320</v>
      </c>
      <c r="J220" t="s">
        <v>1568</v>
      </c>
      <c r="K220" t="s">
        <v>1568</v>
      </c>
      <c r="L220" t="s">
        <v>1568</v>
      </c>
      <c r="M220" t="s">
        <v>1568</v>
      </c>
      <c r="N220" t="s">
        <v>1568</v>
      </c>
      <c r="O220" t="s">
        <v>1568</v>
      </c>
      <c r="P220" t="s">
        <v>1568</v>
      </c>
      <c r="Q220" t="s">
        <v>1568</v>
      </c>
      <c r="R220" t="s">
        <v>1568</v>
      </c>
      <c r="S220" t="s">
        <v>1568</v>
      </c>
      <c r="T220" t="s">
        <v>1568</v>
      </c>
      <c r="U220" t="s">
        <v>1568</v>
      </c>
      <c r="V220" t="s">
        <v>1592</v>
      </c>
      <c r="W220" t="s">
        <v>321</v>
      </c>
      <c r="X220" t="s">
        <v>30</v>
      </c>
      <c r="Y220" t="s">
        <v>1572</v>
      </c>
    </row>
    <row r="221" spans="1:25" ht="16" x14ac:dyDescent="0.2">
      <c r="A221" t="s">
        <v>1568</v>
      </c>
      <c r="B221" t="s">
        <v>309</v>
      </c>
      <c r="C221" t="s">
        <v>1568</v>
      </c>
      <c r="D221" t="s">
        <v>1568</v>
      </c>
      <c r="E221" t="s">
        <v>55</v>
      </c>
      <c r="F221" t="s">
        <v>1623</v>
      </c>
      <c r="G221" t="s">
        <v>322</v>
      </c>
      <c r="H221" t="s">
        <v>1568</v>
      </c>
      <c r="I221" t="s">
        <v>323</v>
      </c>
      <c r="J221" t="s">
        <v>1568</v>
      </c>
      <c r="K221" t="s">
        <v>1568</v>
      </c>
      <c r="L221" t="s">
        <v>1568</v>
      </c>
      <c r="M221" t="s">
        <v>1568</v>
      </c>
      <c r="N221" t="s">
        <v>1568</v>
      </c>
      <c r="O221" t="s">
        <v>1568</v>
      </c>
      <c r="P221" t="s">
        <v>1568</v>
      </c>
      <c r="Q221" t="s">
        <v>1568</v>
      </c>
      <c r="R221" t="s">
        <v>1568</v>
      </c>
      <c r="S221" t="s">
        <v>1568</v>
      </c>
      <c r="T221" t="s">
        <v>1568</v>
      </c>
      <c r="U221" t="s">
        <v>1568</v>
      </c>
      <c r="V221" t="s">
        <v>1594</v>
      </c>
      <c r="W221" t="s">
        <v>324</v>
      </c>
      <c r="X221" t="s">
        <v>30</v>
      </c>
      <c r="Y221" t="s">
        <v>1572</v>
      </c>
    </row>
    <row r="222" spans="1:25" ht="16" x14ac:dyDescent="0.2">
      <c r="A222" t="s">
        <v>1568</v>
      </c>
      <c r="B222" t="s">
        <v>325</v>
      </c>
      <c r="C222" t="s">
        <v>1568</v>
      </c>
      <c r="D222" t="s">
        <v>1568</v>
      </c>
      <c r="E222" t="s">
        <v>36</v>
      </c>
      <c r="F222" t="s">
        <v>1621</v>
      </c>
      <c r="G222" t="s">
        <v>278</v>
      </c>
      <c r="H222" t="s">
        <v>1568</v>
      </c>
      <c r="I222" t="s">
        <v>279</v>
      </c>
      <c r="J222" t="s">
        <v>1568</v>
      </c>
      <c r="K222" t="s">
        <v>1568</v>
      </c>
      <c r="L222" t="s">
        <v>1568</v>
      </c>
      <c r="M222" t="s">
        <v>1568</v>
      </c>
      <c r="N222" t="s">
        <v>1568</v>
      </c>
      <c r="O222" t="s">
        <v>1568</v>
      </c>
      <c r="P222" t="s">
        <v>1568</v>
      </c>
      <c r="Q222" t="s">
        <v>1568</v>
      </c>
      <c r="R222" t="s">
        <v>1568</v>
      </c>
      <c r="S222" t="s">
        <v>1568</v>
      </c>
      <c r="T222" t="s">
        <v>1568</v>
      </c>
      <c r="U222" t="s">
        <v>1568</v>
      </c>
      <c r="V222" t="s">
        <v>1592</v>
      </c>
      <c r="W222" t="s">
        <v>280</v>
      </c>
      <c r="X222" t="s">
        <v>59</v>
      </c>
      <c r="Y222" t="s">
        <v>1581</v>
      </c>
    </row>
    <row r="223" spans="1:25" ht="16" x14ac:dyDescent="0.2">
      <c r="A223" t="s">
        <v>1568</v>
      </c>
      <c r="B223" t="s">
        <v>325</v>
      </c>
      <c r="C223" t="s">
        <v>1568</v>
      </c>
      <c r="D223" t="s">
        <v>1568</v>
      </c>
      <c r="E223" t="s">
        <v>43</v>
      </c>
      <c r="F223" t="s">
        <v>1621</v>
      </c>
      <c r="G223" t="s">
        <v>281</v>
      </c>
      <c r="H223" t="s">
        <v>1568</v>
      </c>
      <c r="I223" t="s">
        <v>282</v>
      </c>
      <c r="J223" t="s">
        <v>1568</v>
      </c>
      <c r="K223" t="s">
        <v>1568</v>
      </c>
      <c r="L223" t="s">
        <v>1568</v>
      </c>
      <c r="M223" t="s">
        <v>1568</v>
      </c>
      <c r="N223" t="s">
        <v>1568</v>
      </c>
      <c r="O223" t="s">
        <v>1568</v>
      </c>
      <c r="P223" t="s">
        <v>1568</v>
      </c>
      <c r="Q223" t="s">
        <v>1568</v>
      </c>
      <c r="R223" t="s">
        <v>1568</v>
      </c>
      <c r="S223" t="s">
        <v>1568</v>
      </c>
      <c r="T223" t="s">
        <v>1568</v>
      </c>
      <c r="U223" t="s">
        <v>1568</v>
      </c>
      <c r="V223" t="s">
        <v>1604</v>
      </c>
      <c r="W223" t="s">
        <v>283</v>
      </c>
      <c r="X223" t="s">
        <v>59</v>
      </c>
      <c r="Y223" t="s">
        <v>1581</v>
      </c>
    </row>
    <row r="224" spans="1:25" ht="16" x14ac:dyDescent="0.2">
      <c r="A224" t="s">
        <v>1568</v>
      </c>
      <c r="B224" t="s">
        <v>325</v>
      </c>
      <c r="C224" t="s">
        <v>1568</v>
      </c>
      <c r="D224" t="s">
        <v>1568</v>
      </c>
      <c r="E224" t="s">
        <v>47</v>
      </c>
      <c r="F224" t="s">
        <v>1621</v>
      </c>
      <c r="G224" t="s">
        <v>284</v>
      </c>
      <c r="H224" t="s">
        <v>1568</v>
      </c>
      <c r="I224" t="s">
        <v>285</v>
      </c>
      <c r="J224" t="s">
        <v>1568</v>
      </c>
      <c r="K224" t="s">
        <v>1568</v>
      </c>
      <c r="L224" t="s">
        <v>1568</v>
      </c>
      <c r="M224" t="s">
        <v>1568</v>
      </c>
      <c r="N224" t="s">
        <v>1568</v>
      </c>
      <c r="O224" t="s">
        <v>1568</v>
      </c>
      <c r="P224" t="s">
        <v>1568</v>
      </c>
      <c r="Q224" t="s">
        <v>1568</v>
      </c>
      <c r="R224" t="s">
        <v>1568</v>
      </c>
      <c r="S224" t="s">
        <v>1568</v>
      </c>
      <c r="T224" t="s">
        <v>1568</v>
      </c>
      <c r="U224" t="s">
        <v>1568</v>
      </c>
      <c r="V224" t="s">
        <v>1604</v>
      </c>
      <c r="W224" t="s">
        <v>286</v>
      </c>
      <c r="X224" t="s">
        <v>59</v>
      </c>
      <c r="Y224" t="s">
        <v>1581</v>
      </c>
    </row>
    <row r="225" spans="1:25" ht="16" x14ac:dyDescent="0.2">
      <c r="A225" t="s">
        <v>1568</v>
      </c>
      <c r="B225" t="s">
        <v>325</v>
      </c>
      <c r="C225" t="s">
        <v>1568</v>
      </c>
      <c r="D225" t="s">
        <v>1568</v>
      </c>
      <c r="E225" t="s">
        <v>51</v>
      </c>
      <c r="F225" t="s">
        <v>1621</v>
      </c>
      <c r="G225" t="s">
        <v>287</v>
      </c>
      <c r="H225" t="s">
        <v>1568</v>
      </c>
      <c r="I225" t="s">
        <v>288</v>
      </c>
      <c r="J225" t="s">
        <v>1568</v>
      </c>
      <c r="K225" t="s">
        <v>1568</v>
      </c>
      <c r="L225" t="s">
        <v>1568</v>
      </c>
      <c r="M225" t="s">
        <v>1568</v>
      </c>
      <c r="N225" t="s">
        <v>1568</v>
      </c>
      <c r="O225" t="s">
        <v>1568</v>
      </c>
      <c r="P225" t="s">
        <v>1568</v>
      </c>
      <c r="Q225" t="s">
        <v>1568</v>
      </c>
      <c r="R225" t="s">
        <v>1568</v>
      </c>
      <c r="S225" t="s">
        <v>1568</v>
      </c>
      <c r="T225" t="s">
        <v>1568</v>
      </c>
      <c r="U225" t="s">
        <v>1568</v>
      </c>
      <c r="V225" t="s">
        <v>1592</v>
      </c>
      <c r="W225" t="s">
        <v>289</v>
      </c>
      <c r="X225" t="s">
        <v>59</v>
      </c>
      <c r="Y225" t="s">
        <v>1581</v>
      </c>
    </row>
    <row r="226" spans="1:25" ht="16" x14ac:dyDescent="0.2">
      <c r="A226" t="s">
        <v>1568</v>
      </c>
      <c r="B226" t="s">
        <v>325</v>
      </c>
      <c r="C226" t="s">
        <v>1568</v>
      </c>
      <c r="D226" t="s">
        <v>1568</v>
      </c>
      <c r="E226" t="s">
        <v>55</v>
      </c>
      <c r="F226" t="s">
        <v>1621</v>
      </c>
      <c r="G226" t="s">
        <v>290</v>
      </c>
      <c r="H226" t="s">
        <v>1568</v>
      </c>
      <c r="I226" t="s">
        <v>291</v>
      </c>
      <c r="J226" t="s">
        <v>1568</v>
      </c>
      <c r="K226" t="s">
        <v>1568</v>
      </c>
      <c r="L226" t="s">
        <v>1568</v>
      </c>
      <c r="M226" t="s">
        <v>1568</v>
      </c>
      <c r="N226" t="s">
        <v>1568</v>
      </c>
      <c r="O226" t="s">
        <v>1568</v>
      </c>
      <c r="P226" t="s">
        <v>1568</v>
      </c>
      <c r="Q226" t="s">
        <v>1568</v>
      </c>
      <c r="R226" t="s">
        <v>1568</v>
      </c>
      <c r="S226" t="s">
        <v>1568</v>
      </c>
      <c r="T226" t="s">
        <v>1568</v>
      </c>
      <c r="U226" t="s">
        <v>1568</v>
      </c>
      <c r="V226" t="s">
        <v>1605</v>
      </c>
      <c r="W226" t="s">
        <v>292</v>
      </c>
      <c r="X226" t="s">
        <v>59</v>
      </c>
      <c r="Y226" t="s">
        <v>1581</v>
      </c>
    </row>
    <row r="227" spans="1:25" ht="16" x14ac:dyDescent="0.2">
      <c r="A227" t="s">
        <v>1568</v>
      </c>
      <c r="B227" t="s">
        <v>326</v>
      </c>
      <c r="C227" t="s">
        <v>1568</v>
      </c>
      <c r="D227" t="s">
        <v>1568</v>
      </c>
      <c r="E227" t="s">
        <v>36</v>
      </c>
      <c r="F227" t="s">
        <v>1624</v>
      </c>
      <c r="G227" t="s">
        <v>328</v>
      </c>
      <c r="H227" t="s">
        <v>1568</v>
      </c>
      <c r="I227" t="s">
        <v>329</v>
      </c>
      <c r="J227" t="s">
        <v>1568</v>
      </c>
      <c r="K227" t="s">
        <v>1568</v>
      </c>
      <c r="L227" t="s">
        <v>1568</v>
      </c>
      <c r="M227" t="s">
        <v>1568</v>
      </c>
      <c r="N227" t="s">
        <v>1568</v>
      </c>
      <c r="O227" t="s">
        <v>1568</v>
      </c>
      <c r="P227" t="s">
        <v>1568</v>
      </c>
      <c r="Q227" t="s">
        <v>1568</v>
      </c>
      <c r="R227" t="s">
        <v>1568</v>
      </c>
      <c r="S227" t="s">
        <v>1568</v>
      </c>
      <c r="T227" t="s">
        <v>1568</v>
      </c>
      <c r="U227" t="s">
        <v>1568</v>
      </c>
      <c r="V227" t="s">
        <v>1592</v>
      </c>
      <c r="W227" t="s">
        <v>330</v>
      </c>
      <c r="X227" t="s">
        <v>30</v>
      </c>
      <c r="Y227" t="s">
        <v>1572</v>
      </c>
    </row>
    <row r="228" spans="1:25" ht="16" x14ac:dyDescent="0.2">
      <c r="A228" t="s">
        <v>1568</v>
      </c>
      <c r="B228" t="s">
        <v>326</v>
      </c>
      <c r="C228" t="s">
        <v>1568</v>
      </c>
      <c r="D228" t="s">
        <v>1568</v>
      </c>
      <c r="E228" t="s">
        <v>43</v>
      </c>
      <c r="F228" t="s">
        <v>1624</v>
      </c>
      <c r="G228" t="s">
        <v>331</v>
      </c>
      <c r="H228" t="s">
        <v>1568</v>
      </c>
      <c r="I228" t="s">
        <v>332</v>
      </c>
      <c r="J228" t="s">
        <v>1568</v>
      </c>
      <c r="K228" t="s">
        <v>1568</v>
      </c>
      <c r="L228" t="s">
        <v>1568</v>
      </c>
      <c r="M228" t="s">
        <v>1568</v>
      </c>
      <c r="N228" t="s">
        <v>1568</v>
      </c>
      <c r="O228" t="s">
        <v>1568</v>
      </c>
      <c r="P228" t="s">
        <v>1568</v>
      </c>
      <c r="Q228" t="s">
        <v>1568</v>
      </c>
      <c r="R228" t="s">
        <v>1568</v>
      </c>
      <c r="S228" t="s">
        <v>1568</v>
      </c>
      <c r="T228" t="s">
        <v>1568</v>
      </c>
      <c r="U228" t="s">
        <v>1568</v>
      </c>
      <c r="V228" t="s">
        <v>1613</v>
      </c>
      <c r="W228" t="s">
        <v>333</v>
      </c>
      <c r="X228" t="s">
        <v>30</v>
      </c>
      <c r="Y228" t="s">
        <v>1572</v>
      </c>
    </row>
    <row r="229" spans="1:25" ht="16" x14ac:dyDescent="0.2">
      <c r="A229" t="s">
        <v>1568</v>
      </c>
      <c r="B229" t="s">
        <v>326</v>
      </c>
      <c r="C229" t="s">
        <v>1568</v>
      </c>
      <c r="D229" t="s">
        <v>1568</v>
      </c>
      <c r="E229" t="s">
        <v>47</v>
      </c>
      <c r="F229" t="s">
        <v>1624</v>
      </c>
      <c r="G229" t="s">
        <v>334</v>
      </c>
      <c r="H229" t="s">
        <v>1568</v>
      </c>
      <c r="I229" t="s">
        <v>335</v>
      </c>
      <c r="J229" t="s">
        <v>1568</v>
      </c>
      <c r="K229" t="s">
        <v>1568</v>
      </c>
      <c r="L229" t="s">
        <v>1568</v>
      </c>
      <c r="M229" t="s">
        <v>1568</v>
      </c>
      <c r="N229" t="s">
        <v>1568</v>
      </c>
      <c r="O229" t="s">
        <v>1568</v>
      </c>
      <c r="P229" t="s">
        <v>1568</v>
      </c>
      <c r="Q229" t="s">
        <v>1568</v>
      </c>
      <c r="R229" t="s">
        <v>1568</v>
      </c>
      <c r="S229" t="s">
        <v>1568</v>
      </c>
      <c r="T229" t="s">
        <v>1568</v>
      </c>
      <c r="U229" t="s">
        <v>1568</v>
      </c>
      <c r="V229" t="s">
        <v>1613</v>
      </c>
      <c r="W229" t="s">
        <v>336</v>
      </c>
      <c r="X229" t="s">
        <v>30</v>
      </c>
      <c r="Y229" t="s">
        <v>1572</v>
      </c>
    </row>
    <row r="230" spans="1:25" ht="16" x14ac:dyDescent="0.2">
      <c r="A230" t="s">
        <v>1568</v>
      </c>
      <c r="B230" t="s">
        <v>326</v>
      </c>
      <c r="C230" t="s">
        <v>1568</v>
      </c>
      <c r="D230" t="s">
        <v>1568</v>
      </c>
      <c r="E230" t="s">
        <v>51</v>
      </c>
      <c r="F230" t="s">
        <v>1624</v>
      </c>
      <c r="G230" t="s">
        <v>337</v>
      </c>
      <c r="H230" t="s">
        <v>1568</v>
      </c>
      <c r="I230" t="s">
        <v>338</v>
      </c>
      <c r="J230" t="s">
        <v>1568</v>
      </c>
      <c r="K230" t="s">
        <v>1568</v>
      </c>
      <c r="L230" t="s">
        <v>1568</v>
      </c>
      <c r="M230" t="s">
        <v>1568</v>
      </c>
      <c r="N230" t="s">
        <v>1568</v>
      </c>
      <c r="O230" t="s">
        <v>1568</v>
      </c>
      <c r="P230" t="s">
        <v>1568</v>
      </c>
      <c r="Q230" t="s">
        <v>1568</v>
      </c>
      <c r="R230" t="s">
        <v>1568</v>
      </c>
      <c r="S230" t="s">
        <v>1568</v>
      </c>
      <c r="T230" t="s">
        <v>1568</v>
      </c>
      <c r="U230" t="s">
        <v>1568</v>
      </c>
      <c r="V230" t="s">
        <v>1592</v>
      </c>
      <c r="W230" t="s">
        <v>339</v>
      </c>
      <c r="X230" t="s">
        <v>30</v>
      </c>
      <c r="Y230" t="s">
        <v>1572</v>
      </c>
    </row>
    <row r="231" spans="1:25" ht="16" x14ac:dyDescent="0.2">
      <c r="A231" t="s">
        <v>1568</v>
      </c>
      <c r="B231" t="s">
        <v>326</v>
      </c>
      <c r="C231" t="s">
        <v>1568</v>
      </c>
      <c r="D231" t="s">
        <v>1568</v>
      </c>
      <c r="E231" t="s">
        <v>55</v>
      </c>
      <c r="F231" t="s">
        <v>1624</v>
      </c>
      <c r="G231" t="s">
        <v>340</v>
      </c>
      <c r="H231" t="s">
        <v>1568</v>
      </c>
      <c r="I231" t="s">
        <v>341</v>
      </c>
      <c r="J231" t="s">
        <v>1568</v>
      </c>
      <c r="K231" t="s">
        <v>1568</v>
      </c>
      <c r="L231" t="s">
        <v>1568</v>
      </c>
      <c r="M231" t="s">
        <v>1568</v>
      </c>
      <c r="N231" t="s">
        <v>1568</v>
      </c>
      <c r="O231" t="s">
        <v>1568</v>
      </c>
      <c r="P231" t="s">
        <v>1568</v>
      </c>
      <c r="Q231" t="s">
        <v>1568</v>
      </c>
      <c r="R231" t="s">
        <v>1568</v>
      </c>
      <c r="S231" t="s">
        <v>1568</v>
      </c>
      <c r="T231" t="s">
        <v>1568</v>
      </c>
      <c r="U231" t="s">
        <v>1568</v>
      </c>
      <c r="V231" t="s">
        <v>1614</v>
      </c>
      <c r="W231" t="s">
        <v>342</v>
      </c>
      <c r="X231" t="s">
        <v>30</v>
      </c>
      <c r="Y231" t="s">
        <v>1572</v>
      </c>
    </row>
    <row r="232" spans="1:25" ht="16" x14ac:dyDescent="0.2">
      <c r="A232" t="s">
        <v>1568</v>
      </c>
      <c r="B232" t="s">
        <v>343</v>
      </c>
      <c r="C232" t="s">
        <v>1568</v>
      </c>
      <c r="D232" t="s">
        <v>1568</v>
      </c>
      <c r="E232" t="s">
        <v>36</v>
      </c>
      <c r="F232" t="s">
        <v>1624</v>
      </c>
      <c r="G232" t="s">
        <v>344</v>
      </c>
      <c r="H232" t="s">
        <v>1568</v>
      </c>
      <c r="I232" t="s">
        <v>345</v>
      </c>
      <c r="J232" t="s">
        <v>1568</v>
      </c>
      <c r="K232" t="s">
        <v>1568</v>
      </c>
      <c r="L232" t="s">
        <v>1568</v>
      </c>
      <c r="M232" t="s">
        <v>1568</v>
      </c>
      <c r="N232" t="s">
        <v>1568</v>
      </c>
      <c r="O232" t="s">
        <v>1568</v>
      </c>
      <c r="P232" t="s">
        <v>1568</v>
      </c>
      <c r="Q232" t="s">
        <v>1568</v>
      </c>
      <c r="R232" t="s">
        <v>1568</v>
      </c>
      <c r="S232" t="s">
        <v>1568</v>
      </c>
      <c r="T232" t="s">
        <v>1568</v>
      </c>
      <c r="U232" t="s">
        <v>1568</v>
      </c>
      <c r="V232" t="s">
        <v>1592</v>
      </c>
      <c r="W232" t="s">
        <v>346</v>
      </c>
      <c r="X232" t="s">
        <v>30</v>
      </c>
      <c r="Y232" t="s">
        <v>1572</v>
      </c>
    </row>
    <row r="233" spans="1:25" ht="16" x14ac:dyDescent="0.2">
      <c r="A233" t="s">
        <v>1568</v>
      </c>
      <c r="B233" t="s">
        <v>343</v>
      </c>
      <c r="C233" t="s">
        <v>1568</v>
      </c>
      <c r="D233" t="s">
        <v>1568</v>
      </c>
      <c r="E233" t="s">
        <v>43</v>
      </c>
      <c r="F233" t="s">
        <v>1624</v>
      </c>
      <c r="G233" t="s">
        <v>347</v>
      </c>
      <c r="H233" t="s">
        <v>1568</v>
      </c>
      <c r="I233" t="s">
        <v>348</v>
      </c>
      <c r="J233" t="s">
        <v>1568</v>
      </c>
      <c r="K233" t="s">
        <v>1568</v>
      </c>
      <c r="L233" t="s">
        <v>1568</v>
      </c>
      <c r="M233" t="s">
        <v>1568</v>
      </c>
      <c r="N233" t="s">
        <v>1568</v>
      </c>
      <c r="O233" t="s">
        <v>1568</v>
      </c>
      <c r="P233" t="s">
        <v>1568</v>
      </c>
      <c r="Q233" t="s">
        <v>1568</v>
      </c>
      <c r="R233" t="s">
        <v>1568</v>
      </c>
      <c r="S233" t="s">
        <v>1568</v>
      </c>
      <c r="T233" t="s">
        <v>1568</v>
      </c>
      <c r="U233" t="s">
        <v>1568</v>
      </c>
      <c r="V233" t="s">
        <v>1613</v>
      </c>
      <c r="W233" t="s">
        <v>349</v>
      </c>
      <c r="X233" t="s">
        <v>30</v>
      </c>
      <c r="Y233" t="s">
        <v>1572</v>
      </c>
    </row>
    <row r="234" spans="1:25" ht="16" x14ac:dyDescent="0.2">
      <c r="A234" t="s">
        <v>1568</v>
      </c>
      <c r="B234" t="s">
        <v>343</v>
      </c>
      <c r="C234" t="s">
        <v>1568</v>
      </c>
      <c r="D234" t="s">
        <v>1568</v>
      </c>
      <c r="E234" t="s">
        <v>47</v>
      </c>
      <c r="F234" t="s">
        <v>1624</v>
      </c>
      <c r="G234" t="s">
        <v>350</v>
      </c>
      <c r="H234" t="s">
        <v>1568</v>
      </c>
      <c r="I234" t="s">
        <v>351</v>
      </c>
      <c r="J234" t="s">
        <v>1568</v>
      </c>
      <c r="K234" t="s">
        <v>1568</v>
      </c>
      <c r="L234" t="s">
        <v>1568</v>
      </c>
      <c r="M234" t="s">
        <v>1568</v>
      </c>
      <c r="N234" t="s">
        <v>1568</v>
      </c>
      <c r="O234" t="s">
        <v>1568</v>
      </c>
      <c r="P234" t="s">
        <v>1568</v>
      </c>
      <c r="Q234" t="s">
        <v>1568</v>
      </c>
      <c r="R234" t="s">
        <v>1568</v>
      </c>
      <c r="S234" t="s">
        <v>1568</v>
      </c>
      <c r="T234" t="s">
        <v>1568</v>
      </c>
      <c r="U234" t="s">
        <v>1568</v>
      </c>
      <c r="V234" t="s">
        <v>1613</v>
      </c>
      <c r="W234" t="s">
        <v>352</v>
      </c>
      <c r="X234" t="s">
        <v>30</v>
      </c>
      <c r="Y234" t="s">
        <v>1572</v>
      </c>
    </row>
    <row r="235" spans="1:25" ht="16" x14ac:dyDescent="0.2">
      <c r="A235" t="s">
        <v>1568</v>
      </c>
      <c r="B235" t="s">
        <v>343</v>
      </c>
      <c r="C235" t="s">
        <v>1568</v>
      </c>
      <c r="D235" t="s">
        <v>1568</v>
      </c>
      <c r="E235" t="s">
        <v>51</v>
      </c>
      <c r="F235" t="s">
        <v>1624</v>
      </c>
      <c r="G235" t="s">
        <v>353</v>
      </c>
      <c r="H235" t="s">
        <v>1568</v>
      </c>
      <c r="I235" t="s">
        <v>354</v>
      </c>
      <c r="J235" t="s">
        <v>1568</v>
      </c>
      <c r="K235" t="s">
        <v>1568</v>
      </c>
      <c r="L235" t="s">
        <v>1568</v>
      </c>
      <c r="M235" t="s">
        <v>1568</v>
      </c>
      <c r="N235" t="s">
        <v>1568</v>
      </c>
      <c r="O235" t="s">
        <v>1568</v>
      </c>
      <c r="P235" t="s">
        <v>1568</v>
      </c>
      <c r="Q235" t="s">
        <v>1568</v>
      </c>
      <c r="R235" t="s">
        <v>1568</v>
      </c>
      <c r="S235" t="s">
        <v>1568</v>
      </c>
      <c r="T235" t="s">
        <v>1568</v>
      </c>
      <c r="U235" t="s">
        <v>1568</v>
      </c>
      <c r="V235" t="s">
        <v>1592</v>
      </c>
      <c r="W235" t="s">
        <v>355</v>
      </c>
      <c r="X235" t="s">
        <v>30</v>
      </c>
      <c r="Y235" t="s">
        <v>1572</v>
      </c>
    </row>
    <row r="236" spans="1:25" ht="16" x14ac:dyDescent="0.2">
      <c r="A236" t="s">
        <v>1568</v>
      </c>
      <c r="B236" t="s">
        <v>343</v>
      </c>
      <c r="C236" t="s">
        <v>1568</v>
      </c>
      <c r="D236" t="s">
        <v>1568</v>
      </c>
      <c r="E236" t="s">
        <v>55</v>
      </c>
      <c r="F236" t="s">
        <v>1624</v>
      </c>
      <c r="G236" t="s">
        <v>356</v>
      </c>
      <c r="H236" t="s">
        <v>1568</v>
      </c>
      <c r="I236" t="s">
        <v>357</v>
      </c>
      <c r="J236" t="s">
        <v>1568</v>
      </c>
      <c r="K236" t="s">
        <v>1568</v>
      </c>
      <c r="L236" t="s">
        <v>1568</v>
      </c>
      <c r="M236" t="s">
        <v>1568</v>
      </c>
      <c r="N236" t="s">
        <v>1568</v>
      </c>
      <c r="O236" t="s">
        <v>1568</v>
      </c>
      <c r="P236" t="s">
        <v>1568</v>
      </c>
      <c r="Q236" t="s">
        <v>1568</v>
      </c>
      <c r="R236" t="s">
        <v>1568</v>
      </c>
      <c r="S236" t="s">
        <v>1568</v>
      </c>
      <c r="T236" t="s">
        <v>1568</v>
      </c>
      <c r="U236" t="s">
        <v>1568</v>
      </c>
      <c r="V236" t="s">
        <v>1614</v>
      </c>
      <c r="W236" t="s">
        <v>358</v>
      </c>
      <c r="X236" t="s">
        <v>30</v>
      </c>
      <c r="Y236" t="s">
        <v>1572</v>
      </c>
    </row>
    <row r="237" spans="1:25" ht="16" x14ac:dyDescent="0.2">
      <c r="A237" t="s">
        <v>1568</v>
      </c>
      <c r="B237" t="s">
        <v>359</v>
      </c>
      <c r="C237" t="s">
        <v>1568</v>
      </c>
      <c r="D237" t="s">
        <v>1568</v>
      </c>
      <c r="E237" t="s">
        <v>36</v>
      </c>
      <c r="F237" t="s">
        <v>1622</v>
      </c>
      <c r="G237" t="s">
        <v>294</v>
      </c>
      <c r="H237" t="s">
        <v>1568</v>
      </c>
      <c r="I237" t="s">
        <v>295</v>
      </c>
      <c r="J237" t="s">
        <v>1568</v>
      </c>
      <c r="K237" t="s">
        <v>1568</v>
      </c>
      <c r="L237" t="s">
        <v>1568</v>
      </c>
      <c r="M237" t="s">
        <v>1568</v>
      </c>
      <c r="N237" t="s">
        <v>1568</v>
      </c>
      <c r="O237" t="s">
        <v>1568</v>
      </c>
      <c r="P237" t="s">
        <v>1568</v>
      </c>
      <c r="Q237" t="s">
        <v>1568</v>
      </c>
      <c r="R237" t="s">
        <v>1568</v>
      </c>
      <c r="S237" t="s">
        <v>1568</v>
      </c>
      <c r="T237" t="s">
        <v>1568</v>
      </c>
      <c r="U237" t="s">
        <v>1568</v>
      </c>
      <c r="V237" t="s">
        <v>1592</v>
      </c>
      <c r="W237" t="s">
        <v>296</v>
      </c>
      <c r="X237" t="s">
        <v>59</v>
      </c>
      <c r="Y237" t="s">
        <v>1581</v>
      </c>
    </row>
    <row r="238" spans="1:25" ht="16" x14ac:dyDescent="0.2">
      <c r="A238" t="s">
        <v>1568</v>
      </c>
      <c r="B238" t="s">
        <v>359</v>
      </c>
      <c r="C238" t="s">
        <v>1568</v>
      </c>
      <c r="D238" t="s">
        <v>1568</v>
      </c>
      <c r="E238" t="s">
        <v>43</v>
      </c>
      <c r="F238" t="s">
        <v>1622</v>
      </c>
      <c r="G238" t="s">
        <v>297</v>
      </c>
      <c r="H238" t="s">
        <v>1568</v>
      </c>
      <c r="I238" t="s">
        <v>298</v>
      </c>
      <c r="J238" t="s">
        <v>1568</v>
      </c>
      <c r="K238" t="s">
        <v>1568</v>
      </c>
      <c r="L238" t="s">
        <v>1568</v>
      </c>
      <c r="M238" t="s">
        <v>1568</v>
      </c>
      <c r="N238" t="s">
        <v>1568</v>
      </c>
      <c r="O238" t="s">
        <v>1568</v>
      </c>
      <c r="P238" t="s">
        <v>1568</v>
      </c>
      <c r="Q238" t="s">
        <v>1568</v>
      </c>
      <c r="R238" t="s">
        <v>1568</v>
      </c>
      <c r="S238" t="s">
        <v>1568</v>
      </c>
      <c r="T238" t="s">
        <v>1568</v>
      </c>
      <c r="U238" t="s">
        <v>1568</v>
      </c>
      <c r="V238" t="s">
        <v>1595</v>
      </c>
      <c r="W238" t="s">
        <v>299</v>
      </c>
      <c r="X238" t="s">
        <v>59</v>
      </c>
      <c r="Y238" t="s">
        <v>1581</v>
      </c>
    </row>
    <row r="239" spans="1:25" ht="16" x14ac:dyDescent="0.2">
      <c r="A239" t="s">
        <v>1568</v>
      </c>
      <c r="B239" t="s">
        <v>359</v>
      </c>
      <c r="C239" t="s">
        <v>1568</v>
      </c>
      <c r="D239" t="s">
        <v>1568</v>
      </c>
      <c r="E239" t="s">
        <v>47</v>
      </c>
      <c r="F239" t="s">
        <v>1622</v>
      </c>
      <c r="G239" t="s">
        <v>300</v>
      </c>
      <c r="H239" t="s">
        <v>1568</v>
      </c>
      <c r="I239" t="s">
        <v>301</v>
      </c>
      <c r="J239" t="s">
        <v>1568</v>
      </c>
      <c r="K239" t="s">
        <v>1568</v>
      </c>
      <c r="L239" t="s">
        <v>1568</v>
      </c>
      <c r="M239" t="s">
        <v>1568</v>
      </c>
      <c r="N239" t="s">
        <v>1568</v>
      </c>
      <c r="O239" t="s">
        <v>1568</v>
      </c>
      <c r="P239" t="s">
        <v>1568</v>
      </c>
      <c r="Q239" t="s">
        <v>1568</v>
      </c>
      <c r="R239" t="s">
        <v>1568</v>
      </c>
      <c r="S239" t="s">
        <v>1568</v>
      </c>
      <c r="T239" t="s">
        <v>1568</v>
      </c>
      <c r="U239" t="s">
        <v>1568</v>
      </c>
      <c r="V239" t="s">
        <v>1595</v>
      </c>
      <c r="W239" t="s">
        <v>302</v>
      </c>
      <c r="X239" t="s">
        <v>59</v>
      </c>
      <c r="Y239" t="s">
        <v>1581</v>
      </c>
    </row>
    <row r="240" spans="1:25" ht="16" x14ac:dyDescent="0.2">
      <c r="A240" t="s">
        <v>1568</v>
      </c>
      <c r="B240" t="s">
        <v>359</v>
      </c>
      <c r="C240" t="s">
        <v>1568</v>
      </c>
      <c r="D240" t="s">
        <v>1568</v>
      </c>
      <c r="E240" t="s">
        <v>51</v>
      </c>
      <c r="F240" t="s">
        <v>1622</v>
      </c>
      <c r="G240" t="s">
        <v>303</v>
      </c>
      <c r="H240" t="s">
        <v>1568</v>
      </c>
      <c r="I240" t="s">
        <v>304</v>
      </c>
      <c r="J240" t="s">
        <v>1568</v>
      </c>
      <c r="K240" t="s">
        <v>1568</v>
      </c>
      <c r="L240" t="s">
        <v>1568</v>
      </c>
      <c r="M240" t="s">
        <v>1568</v>
      </c>
      <c r="N240" t="s">
        <v>1568</v>
      </c>
      <c r="O240" t="s">
        <v>1568</v>
      </c>
      <c r="P240" t="s">
        <v>1568</v>
      </c>
      <c r="Q240" t="s">
        <v>1568</v>
      </c>
      <c r="R240" t="s">
        <v>1568</v>
      </c>
      <c r="S240" t="s">
        <v>1568</v>
      </c>
      <c r="T240" t="s">
        <v>1568</v>
      </c>
      <c r="U240" t="s">
        <v>1568</v>
      </c>
      <c r="V240" t="s">
        <v>1592</v>
      </c>
      <c r="W240" t="s">
        <v>305</v>
      </c>
      <c r="X240" t="s">
        <v>59</v>
      </c>
      <c r="Y240" t="s">
        <v>1581</v>
      </c>
    </row>
    <row r="241" spans="1:25" ht="16" x14ac:dyDescent="0.2">
      <c r="A241" t="s">
        <v>1568</v>
      </c>
      <c r="B241" t="s">
        <v>359</v>
      </c>
      <c r="C241" t="s">
        <v>1568</v>
      </c>
      <c r="D241" t="s">
        <v>1568</v>
      </c>
      <c r="E241" t="s">
        <v>55</v>
      </c>
      <c r="F241" t="s">
        <v>1622</v>
      </c>
      <c r="G241" t="s">
        <v>306</v>
      </c>
      <c r="H241" t="s">
        <v>1568</v>
      </c>
      <c r="I241" t="s">
        <v>307</v>
      </c>
      <c r="J241" t="s">
        <v>1568</v>
      </c>
      <c r="K241" t="s">
        <v>1568</v>
      </c>
      <c r="L241" t="s">
        <v>1568</v>
      </c>
      <c r="M241" t="s">
        <v>1568</v>
      </c>
      <c r="N241" t="s">
        <v>1568</v>
      </c>
      <c r="O241" t="s">
        <v>1568</v>
      </c>
      <c r="P241" t="s">
        <v>1568</v>
      </c>
      <c r="Q241" t="s">
        <v>1568</v>
      </c>
      <c r="R241" t="s">
        <v>1568</v>
      </c>
      <c r="S241" t="s">
        <v>1568</v>
      </c>
      <c r="T241" t="s">
        <v>1568</v>
      </c>
      <c r="U241" t="s">
        <v>1568</v>
      </c>
      <c r="V241" t="s">
        <v>1596</v>
      </c>
      <c r="W241" t="s">
        <v>308</v>
      </c>
      <c r="X241" t="s">
        <v>59</v>
      </c>
      <c r="Y241" t="s">
        <v>1581</v>
      </c>
    </row>
    <row r="242" spans="1:25" ht="16" x14ac:dyDescent="0.2">
      <c r="A242" t="s">
        <v>1568</v>
      </c>
      <c r="B242" t="s">
        <v>360</v>
      </c>
      <c r="C242" t="s">
        <v>1568</v>
      </c>
      <c r="D242" t="s">
        <v>1568</v>
      </c>
      <c r="E242" t="s">
        <v>36</v>
      </c>
      <c r="F242" t="s">
        <v>1623</v>
      </c>
      <c r="G242" t="s">
        <v>310</v>
      </c>
      <c r="H242" t="s">
        <v>1568</v>
      </c>
      <c r="I242" t="s">
        <v>311</v>
      </c>
      <c r="J242" t="s">
        <v>1568</v>
      </c>
      <c r="K242" t="s">
        <v>1568</v>
      </c>
      <c r="L242" t="s">
        <v>1568</v>
      </c>
      <c r="M242" t="s">
        <v>1568</v>
      </c>
      <c r="N242" t="s">
        <v>1568</v>
      </c>
      <c r="O242" t="s">
        <v>1568</v>
      </c>
      <c r="P242" t="s">
        <v>1568</v>
      </c>
      <c r="Q242" t="s">
        <v>1568</v>
      </c>
      <c r="R242" t="s">
        <v>1568</v>
      </c>
      <c r="S242" t="s">
        <v>1568</v>
      </c>
      <c r="T242" t="s">
        <v>1568</v>
      </c>
      <c r="U242" t="s">
        <v>1568</v>
      </c>
      <c r="V242" t="s">
        <v>1592</v>
      </c>
      <c r="W242" t="s">
        <v>312</v>
      </c>
      <c r="X242" t="s">
        <v>59</v>
      </c>
      <c r="Y242" t="s">
        <v>1581</v>
      </c>
    </row>
    <row r="243" spans="1:25" ht="16" x14ac:dyDescent="0.2">
      <c r="A243" t="s">
        <v>1568</v>
      </c>
      <c r="B243" t="s">
        <v>360</v>
      </c>
      <c r="C243" t="s">
        <v>1568</v>
      </c>
      <c r="D243" t="s">
        <v>1568</v>
      </c>
      <c r="E243" t="s">
        <v>43</v>
      </c>
      <c r="F243" t="s">
        <v>1623</v>
      </c>
      <c r="G243" t="s">
        <v>313</v>
      </c>
      <c r="H243" t="s">
        <v>1568</v>
      </c>
      <c r="I243" t="s">
        <v>314</v>
      </c>
      <c r="J243" t="s">
        <v>1568</v>
      </c>
      <c r="K243" t="s">
        <v>1568</v>
      </c>
      <c r="L243" t="s">
        <v>1568</v>
      </c>
      <c r="M243" t="s">
        <v>1568</v>
      </c>
      <c r="N243" t="s">
        <v>1568</v>
      </c>
      <c r="O243" t="s">
        <v>1568</v>
      </c>
      <c r="P243" t="s">
        <v>1568</v>
      </c>
      <c r="Q243" t="s">
        <v>1568</v>
      </c>
      <c r="R243" t="s">
        <v>1568</v>
      </c>
      <c r="S243" t="s">
        <v>1568</v>
      </c>
      <c r="T243" t="s">
        <v>1568</v>
      </c>
      <c r="U243" t="s">
        <v>1568</v>
      </c>
      <c r="V243" t="s">
        <v>1595</v>
      </c>
      <c r="W243" t="s">
        <v>315</v>
      </c>
      <c r="X243" t="s">
        <v>59</v>
      </c>
      <c r="Y243" t="s">
        <v>1581</v>
      </c>
    </row>
    <row r="244" spans="1:25" ht="16" x14ac:dyDescent="0.2">
      <c r="A244" t="s">
        <v>1568</v>
      </c>
      <c r="B244" t="s">
        <v>360</v>
      </c>
      <c r="C244" t="s">
        <v>1568</v>
      </c>
      <c r="D244" t="s">
        <v>1568</v>
      </c>
      <c r="E244" t="s">
        <v>47</v>
      </c>
      <c r="F244" t="s">
        <v>1623</v>
      </c>
      <c r="G244" t="s">
        <v>316</v>
      </c>
      <c r="H244" t="s">
        <v>1568</v>
      </c>
      <c r="I244" t="s">
        <v>317</v>
      </c>
      <c r="J244" t="s">
        <v>1568</v>
      </c>
      <c r="K244" t="s">
        <v>1568</v>
      </c>
      <c r="L244" t="s">
        <v>1568</v>
      </c>
      <c r="M244" t="s">
        <v>1568</v>
      </c>
      <c r="N244" t="s">
        <v>1568</v>
      </c>
      <c r="O244" t="s">
        <v>1568</v>
      </c>
      <c r="P244" t="s">
        <v>1568</v>
      </c>
      <c r="Q244" t="s">
        <v>1568</v>
      </c>
      <c r="R244" t="s">
        <v>1568</v>
      </c>
      <c r="S244" t="s">
        <v>1568</v>
      </c>
      <c r="T244" t="s">
        <v>1568</v>
      </c>
      <c r="U244" t="s">
        <v>1568</v>
      </c>
      <c r="V244" t="s">
        <v>1595</v>
      </c>
      <c r="W244" t="s">
        <v>318</v>
      </c>
      <c r="X244" t="s">
        <v>59</v>
      </c>
      <c r="Y244" t="s">
        <v>1581</v>
      </c>
    </row>
    <row r="245" spans="1:25" ht="16" x14ac:dyDescent="0.2">
      <c r="A245" t="s">
        <v>1568</v>
      </c>
      <c r="B245" t="s">
        <v>360</v>
      </c>
      <c r="C245" t="s">
        <v>1568</v>
      </c>
      <c r="D245" t="s">
        <v>1568</v>
      </c>
      <c r="E245" t="s">
        <v>51</v>
      </c>
      <c r="F245" t="s">
        <v>1623</v>
      </c>
      <c r="G245" t="s">
        <v>319</v>
      </c>
      <c r="H245" t="s">
        <v>1568</v>
      </c>
      <c r="I245" t="s">
        <v>320</v>
      </c>
      <c r="J245" t="s">
        <v>1568</v>
      </c>
      <c r="K245" t="s">
        <v>1568</v>
      </c>
      <c r="L245" t="s">
        <v>1568</v>
      </c>
      <c r="M245" t="s">
        <v>1568</v>
      </c>
      <c r="N245" t="s">
        <v>1568</v>
      </c>
      <c r="O245" t="s">
        <v>1568</v>
      </c>
      <c r="P245" t="s">
        <v>1568</v>
      </c>
      <c r="Q245" t="s">
        <v>1568</v>
      </c>
      <c r="R245" t="s">
        <v>1568</v>
      </c>
      <c r="S245" t="s">
        <v>1568</v>
      </c>
      <c r="T245" t="s">
        <v>1568</v>
      </c>
      <c r="U245" t="s">
        <v>1568</v>
      </c>
      <c r="V245" t="s">
        <v>1592</v>
      </c>
      <c r="W245" t="s">
        <v>321</v>
      </c>
      <c r="X245" t="s">
        <v>59</v>
      </c>
      <c r="Y245" t="s">
        <v>1581</v>
      </c>
    </row>
    <row r="246" spans="1:25" ht="16" x14ac:dyDescent="0.2">
      <c r="A246" t="s">
        <v>1568</v>
      </c>
      <c r="B246" t="s">
        <v>360</v>
      </c>
      <c r="C246" t="s">
        <v>1568</v>
      </c>
      <c r="D246" t="s">
        <v>1568</v>
      </c>
      <c r="E246" t="s">
        <v>55</v>
      </c>
      <c r="F246" t="s">
        <v>1623</v>
      </c>
      <c r="G246" t="s">
        <v>322</v>
      </c>
      <c r="H246" t="s">
        <v>1568</v>
      </c>
      <c r="I246" t="s">
        <v>323</v>
      </c>
      <c r="J246" t="s">
        <v>1568</v>
      </c>
      <c r="K246" t="s">
        <v>1568</v>
      </c>
      <c r="L246" t="s">
        <v>1568</v>
      </c>
      <c r="M246" t="s">
        <v>1568</v>
      </c>
      <c r="N246" t="s">
        <v>1568</v>
      </c>
      <c r="O246" t="s">
        <v>1568</v>
      </c>
      <c r="P246" t="s">
        <v>1568</v>
      </c>
      <c r="Q246" t="s">
        <v>1568</v>
      </c>
      <c r="R246" t="s">
        <v>1568</v>
      </c>
      <c r="S246" t="s">
        <v>1568</v>
      </c>
      <c r="T246" t="s">
        <v>1568</v>
      </c>
      <c r="U246" t="s">
        <v>1568</v>
      </c>
      <c r="V246" t="s">
        <v>1596</v>
      </c>
      <c r="W246" t="s">
        <v>324</v>
      </c>
      <c r="X246" t="s">
        <v>59</v>
      </c>
      <c r="Y246" t="s">
        <v>1581</v>
      </c>
    </row>
    <row r="247" spans="1:25" ht="16" x14ac:dyDescent="0.2">
      <c r="A247" t="s">
        <v>1568</v>
      </c>
      <c r="B247" t="s">
        <v>361</v>
      </c>
      <c r="C247" t="s">
        <v>1568</v>
      </c>
      <c r="D247" t="s">
        <v>1568</v>
      </c>
      <c r="E247" t="s">
        <v>36</v>
      </c>
      <c r="F247" t="s">
        <v>1621</v>
      </c>
      <c r="G247" t="s">
        <v>278</v>
      </c>
      <c r="H247" t="s">
        <v>1568</v>
      </c>
      <c r="I247" t="s">
        <v>279</v>
      </c>
      <c r="J247" t="s">
        <v>1568</v>
      </c>
      <c r="K247" t="s">
        <v>1568</v>
      </c>
      <c r="L247" t="s">
        <v>1568</v>
      </c>
      <c r="M247" t="s">
        <v>1568</v>
      </c>
      <c r="N247" t="s">
        <v>1568</v>
      </c>
      <c r="O247" t="s">
        <v>1568</v>
      </c>
      <c r="P247" t="s">
        <v>1568</v>
      </c>
      <c r="Q247" t="s">
        <v>1568</v>
      </c>
      <c r="R247" t="s">
        <v>1568</v>
      </c>
      <c r="S247" t="s">
        <v>1568</v>
      </c>
      <c r="T247" t="s">
        <v>1568</v>
      </c>
      <c r="U247" t="s">
        <v>1568</v>
      </c>
      <c r="V247" t="s">
        <v>1592</v>
      </c>
      <c r="W247" t="s">
        <v>280</v>
      </c>
      <c r="X247" t="s">
        <v>61</v>
      </c>
      <c r="Y247" t="s">
        <v>1587</v>
      </c>
    </row>
    <row r="248" spans="1:25" ht="16" x14ac:dyDescent="0.2">
      <c r="A248" t="s">
        <v>1568</v>
      </c>
      <c r="B248" t="s">
        <v>361</v>
      </c>
      <c r="C248" t="s">
        <v>1568</v>
      </c>
      <c r="D248" t="s">
        <v>1568</v>
      </c>
      <c r="E248" t="s">
        <v>43</v>
      </c>
      <c r="F248" t="s">
        <v>1621</v>
      </c>
      <c r="G248" t="s">
        <v>281</v>
      </c>
      <c r="H248" t="s">
        <v>1568</v>
      </c>
      <c r="I248" t="s">
        <v>282</v>
      </c>
      <c r="J248" t="s">
        <v>1568</v>
      </c>
      <c r="K248" t="s">
        <v>1568</v>
      </c>
      <c r="L248" t="s">
        <v>1568</v>
      </c>
      <c r="M248" t="s">
        <v>1568</v>
      </c>
      <c r="N248" t="s">
        <v>1568</v>
      </c>
      <c r="O248" t="s">
        <v>1568</v>
      </c>
      <c r="P248" t="s">
        <v>1568</v>
      </c>
      <c r="Q248" t="s">
        <v>1568</v>
      </c>
      <c r="R248" t="s">
        <v>1568</v>
      </c>
      <c r="S248" t="s">
        <v>1568</v>
      </c>
      <c r="T248" t="s">
        <v>1568</v>
      </c>
      <c r="U248" t="s">
        <v>1568</v>
      </c>
      <c r="V248" t="s">
        <v>1607</v>
      </c>
      <c r="W248" t="s">
        <v>283</v>
      </c>
      <c r="X248" t="s">
        <v>61</v>
      </c>
      <c r="Y248" t="s">
        <v>1587</v>
      </c>
    </row>
    <row r="249" spans="1:25" ht="16" x14ac:dyDescent="0.2">
      <c r="A249" t="s">
        <v>1568</v>
      </c>
      <c r="B249" t="s">
        <v>361</v>
      </c>
      <c r="C249" t="s">
        <v>1568</v>
      </c>
      <c r="D249" t="s">
        <v>1568</v>
      </c>
      <c r="E249" t="s">
        <v>47</v>
      </c>
      <c r="F249" t="s">
        <v>1621</v>
      </c>
      <c r="G249" t="s">
        <v>284</v>
      </c>
      <c r="H249" t="s">
        <v>1568</v>
      </c>
      <c r="I249" t="s">
        <v>285</v>
      </c>
      <c r="J249" t="s">
        <v>1568</v>
      </c>
      <c r="K249" t="s">
        <v>1568</v>
      </c>
      <c r="L249" t="s">
        <v>1568</v>
      </c>
      <c r="M249" t="s">
        <v>1568</v>
      </c>
      <c r="N249" t="s">
        <v>1568</v>
      </c>
      <c r="O249" t="s">
        <v>1568</v>
      </c>
      <c r="P249" t="s">
        <v>1568</v>
      </c>
      <c r="Q249" t="s">
        <v>1568</v>
      </c>
      <c r="R249" t="s">
        <v>1568</v>
      </c>
      <c r="S249" t="s">
        <v>1568</v>
      </c>
      <c r="T249" t="s">
        <v>1568</v>
      </c>
      <c r="U249" t="s">
        <v>1568</v>
      </c>
      <c r="V249" t="s">
        <v>1607</v>
      </c>
      <c r="W249" t="s">
        <v>286</v>
      </c>
      <c r="X249" t="s">
        <v>61</v>
      </c>
      <c r="Y249" t="s">
        <v>1587</v>
      </c>
    </row>
    <row r="250" spans="1:25" ht="16" x14ac:dyDescent="0.2">
      <c r="A250" t="s">
        <v>1568</v>
      </c>
      <c r="B250" t="s">
        <v>361</v>
      </c>
      <c r="C250" t="s">
        <v>1568</v>
      </c>
      <c r="D250" t="s">
        <v>1568</v>
      </c>
      <c r="E250" t="s">
        <v>51</v>
      </c>
      <c r="F250" t="s">
        <v>1621</v>
      </c>
      <c r="G250" t="s">
        <v>287</v>
      </c>
      <c r="H250" t="s">
        <v>1568</v>
      </c>
      <c r="I250" t="s">
        <v>288</v>
      </c>
      <c r="J250" t="s">
        <v>1568</v>
      </c>
      <c r="K250" t="s">
        <v>1568</v>
      </c>
      <c r="L250" t="s">
        <v>1568</v>
      </c>
      <c r="M250" t="s">
        <v>1568</v>
      </c>
      <c r="N250" t="s">
        <v>1568</v>
      </c>
      <c r="O250" t="s">
        <v>1568</v>
      </c>
      <c r="P250" t="s">
        <v>1568</v>
      </c>
      <c r="Q250" t="s">
        <v>1568</v>
      </c>
      <c r="R250" t="s">
        <v>1568</v>
      </c>
      <c r="S250" t="s">
        <v>1568</v>
      </c>
      <c r="T250" t="s">
        <v>1568</v>
      </c>
      <c r="U250" t="s">
        <v>1568</v>
      </c>
      <c r="V250" t="s">
        <v>1592</v>
      </c>
      <c r="W250" t="s">
        <v>289</v>
      </c>
      <c r="X250" t="s">
        <v>61</v>
      </c>
      <c r="Y250" t="s">
        <v>1587</v>
      </c>
    </row>
    <row r="251" spans="1:25" ht="16" x14ac:dyDescent="0.2">
      <c r="A251" t="s">
        <v>1568</v>
      </c>
      <c r="B251" t="s">
        <v>361</v>
      </c>
      <c r="C251" t="s">
        <v>1568</v>
      </c>
      <c r="D251" t="s">
        <v>1568</v>
      </c>
      <c r="E251" t="s">
        <v>55</v>
      </c>
      <c r="F251" t="s">
        <v>1621</v>
      </c>
      <c r="G251" t="s">
        <v>290</v>
      </c>
      <c r="H251" t="s">
        <v>1568</v>
      </c>
      <c r="I251" t="s">
        <v>291</v>
      </c>
      <c r="J251" t="s">
        <v>1568</v>
      </c>
      <c r="K251" t="s">
        <v>1568</v>
      </c>
      <c r="L251" t="s">
        <v>1568</v>
      </c>
      <c r="M251" t="s">
        <v>1568</v>
      </c>
      <c r="N251" t="s">
        <v>1568</v>
      </c>
      <c r="O251" t="s">
        <v>1568</v>
      </c>
      <c r="P251" t="s">
        <v>1568</v>
      </c>
      <c r="Q251" t="s">
        <v>1568</v>
      </c>
      <c r="R251" t="s">
        <v>1568</v>
      </c>
      <c r="S251" t="s">
        <v>1568</v>
      </c>
      <c r="T251" t="s">
        <v>1568</v>
      </c>
      <c r="U251" t="s">
        <v>1568</v>
      </c>
      <c r="V251" t="s">
        <v>1608</v>
      </c>
      <c r="W251" t="s">
        <v>292</v>
      </c>
      <c r="X251" t="s">
        <v>61</v>
      </c>
      <c r="Y251" t="s">
        <v>1587</v>
      </c>
    </row>
    <row r="252" spans="1:25" ht="16" x14ac:dyDescent="0.2">
      <c r="A252" t="s">
        <v>1568</v>
      </c>
      <c r="B252" t="s">
        <v>362</v>
      </c>
      <c r="C252" t="s">
        <v>1568</v>
      </c>
      <c r="D252" t="s">
        <v>1568</v>
      </c>
      <c r="E252" t="s">
        <v>36</v>
      </c>
      <c r="F252" t="s">
        <v>1624</v>
      </c>
      <c r="G252" t="s">
        <v>328</v>
      </c>
      <c r="H252" t="s">
        <v>1568</v>
      </c>
      <c r="I252" t="s">
        <v>329</v>
      </c>
      <c r="J252" t="s">
        <v>1568</v>
      </c>
      <c r="K252" t="s">
        <v>1568</v>
      </c>
      <c r="L252" t="s">
        <v>1568</v>
      </c>
      <c r="M252" t="s">
        <v>1568</v>
      </c>
      <c r="N252" t="s">
        <v>1568</v>
      </c>
      <c r="O252" t="s">
        <v>1568</v>
      </c>
      <c r="P252" t="s">
        <v>1568</v>
      </c>
      <c r="Q252" t="s">
        <v>1568</v>
      </c>
      <c r="R252" t="s">
        <v>1568</v>
      </c>
      <c r="S252" t="s">
        <v>1568</v>
      </c>
      <c r="T252" t="s">
        <v>1568</v>
      </c>
      <c r="U252" t="s">
        <v>1568</v>
      </c>
      <c r="V252" t="s">
        <v>1592</v>
      </c>
      <c r="W252" t="s">
        <v>330</v>
      </c>
      <c r="X252" t="s">
        <v>59</v>
      </c>
      <c r="Y252" t="s">
        <v>1581</v>
      </c>
    </row>
    <row r="253" spans="1:25" ht="16" x14ac:dyDescent="0.2">
      <c r="A253" t="s">
        <v>1568</v>
      </c>
      <c r="B253" t="s">
        <v>362</v>
      </c>
      <c r="C253" t="s">
        <v>1568</v>
      </c>
      <c r="D253" t="s">
        <v>1568</v>
      </c>
      <c r="E253" t="s">
        <v>43</v>
      </c>
      <c r="F253" t="s">
        <v>1624</v>
      </c>
      <c r="G253" t="s">
        <v>331</v>
      </c>
      <c r="H253" t="s">
        <v>1568</v>
      </c>
      <c r="I253" t="s">
        <v>332</v>
      </c>
      <c r="J253" t="s">
        <v>1568</v>
      </c>
      <c r="K253" t="s">
        <v>1568</v>
      </c>
      <c r="L253" t="s">
        <v>1568</v>
      </c>
      <c r="M253" t="s">
        <v>1568</v>
      </c>
      <c r="N253" t="s">
        <v>1568</v>
      </c>
      <c r="O253" t="s">
        <v>1568</v>
      </c>
      <c r="P253" t="s">
        <v>1568</v>
      </c>
      <c r="Q253" t="s">
        <v>1568</v>
      </c>
      <c r="R253" t="s">
        <v>1568</v>
      </c>
      <c r="S253" t="s">
        <v>1568</v>
      </c>
      <c r="T253" t="s">
        <v>1568</v>
      </c>
      <c r="U253" t="s">
        <v>1568</v>
      </c>
      <c r="V253" t="s">
        <v>1617</v>
      </c>
      <c r="W253" t="s">
        <v>333</v>
      </c>
      <c r="X253" t="s">
        <v>59</v>
      </c>
      <c r="Y253" t="s">
        <v>1581</v>
      </c>
    </row>
    <row r="254" spans="1:25" ht="16" x14ac:dyDescent="0.2">
      <c r="A254" t="s">
        <v>1568</v>
      </c>
      <c r="B254" t="s">
        <v>362</v>
      </c>
      <c r="C254" t="s">
        <v>1568</v>
      </c>
      <c r="D254" t="s">
        <v>1568</v>
      </c>
      <c r="E254" t="s">
        <v>47</v>
      </c>
      <c r="F254" t="s">
        <v>1624</v>
      </c>
      <c r="G254" t="s">
        <v>334</v>
      </c>
      <c r="H254" t="s">
        <v>1568</v>
      </c>
      <c r="I254" t="s">
        <v>335</v>
      </c>
      <c r="J254" t="s">
        <v>1568</v>
      </c>
      <c r="K254" t="s">
        <v>1568</v>
      </c>
      <c r="L254" t="s">
        <v>1568</v>
      </c>
      <c r="M254" t="s">
        <v>1568</v>
      </c>
      <c r="N254" t="s">
        <v>1568</v>
      </c>
      <c r="O254" t="s">
        <v>1568</v>
      </c>
      <c r="P254" t="s">
        <v>1568</v>
      </c>
      <c r="Q254" t="s">
        <v>1568</v>
      </c>
      <c r="R254" t="s">
        <v>1568</v>
      </c>
      <c r="S254" t="s">
        <v>1568</v>
      </c>
      <c r="T254" t="s">
        <v>1568</v>
      </c>
      <c r="U254" t="s">
        <v>1568</v>
      </c>
      <c r="V254" t="s">
        <v>1617</v>
      </c>
      <c r="W254" t="s">
        <v>336</v>
      </c>
      <c r="X254" t="s">
        <v>59</v>
      </c>
      <c r="Y254" t="s">
        <v>1581</v>
      </c>
    </row>
    <row r="255" spans="1:25" ht="16" x14ac:dyDescent="0.2">
      <c r="A255" t="s">
        <v>1568</v>
      </c>
      <c r="B255" t="s">
        <v>362</v>
      </c>
      <c r="C255" t="s">
        <v>1568</v>
      </c>
      <c r="D255" t="s">
        <v>1568</v>
      </c>
      <c r="E255" t="s">
        <v>51</v>
      </c>
      <c r="F255" t="s">
        <v>1624</v>
      </c>
      <c r="G255" t="s">
        <v>337</v>
      </c>
      <c r="H255" t="s">
        <v>1568</v>
      </c>
      <c r="I255" t="s">
        <v>338</v>
      </c>
      <c r="J255" t="s">
        <v>1568</v>
      </c>
      <c r="K255" t="s">
        <v>1568</v>
      </c>
      <c r="L255" t="s">
        <v>1568</v>
      </c>
      <c r="M255" t="s">
        <v>1568</v>
      </c>
      <c r="N255" t="s">
        <v>1568</v>
      </c>
      <c r="O255" t="s">
        <v>1568</v>
      </c>
      <c r="P255" t="s">
        <v>1568</v>
      </c>
      <c r="Q255" t="s">
        <v>1568</v>
      </c>
      <c r="R255" t="s">
        <v>1568</v>
      </c>
      <c r="S255" t="s">
        <v>1568</v>
      </c>
      <c r="T255" t="s">
        <v>1568</v>
      </c>
      <c r="U255" t="s">
        <v>1568</v>
      </c>
      <c r="V255" t="s">
        <v>1592</v>
      </c>
      <c r="W255" t="s">
        <v>339</v>
      </c>
      <c r="X255" t="s">
        <v>59</v>
      </c>
      <c r="Y255" t="s">
        <v>1581</v>
      </c>
    </row>
    <row r="256" spans="1:25" ht="16" x14ac:dyDescent="0.2">
      <c r="A256" t="s">
        <v>1568</v>
      </c>
      <c r="B256" t="s">
        <v>362</v>
      </c>
      <c r="C256" t="s">
        <v>1568</v>
      </c>
      <c r="D256" t="s">
        <v>1568</v>
      </c>
      <c r="E256" t="s">
        <v>55</v>
      </c>
      <c r="F256" t="s">
        <v>1624</v>
      </c>
      <c r="G256" t="s">
        <v>340</v>
      </c>
      <c r="H256" t="s">
        <v>1568</v>
      </c>
      <c r="I256" t="s">
        <v>341</v>
      </c>
      <c r="J256" t="s">
        <v>1568</v>
      </c>
      <c r="K256" t="s">
        <v>1568</v>
      </c>
      <c r="L256" t="s">
        <v>1568</v>
      </c>
      <c r="M256" t="s">
        <v>1568</v>
      </c>
      <c r="N256" t="s">
        <v>1568</v>
      </c>
      <c r="O256" t="s">
        <v>1568</v>
      </c>
      <c r="P256" t="s">
        <v>1568</v>
      </c>
      <c r="Q256" t="s">
        <v>1568</v>
      </c>
      <c r="R256" t="s">
        <v>1568</v>
      </c>
      <c r="S256" t="s">
        <v>1568</v>
      </c>
      <c r="T256" t="s">
        <v>1568</v>
      </c>
      <c r="U256" t="s">
        <v>1568</v>
      </c>
      <c r="V256" t="s">
        <v>1618</v>
      </c>
      <c r="W256" t="s">
        <v>342</v>
      </c>
      <c r="X256" t="s">
        <v>59</v>
      </c>
      <c r="Y256" t="s">
        <v>1581</v>
      </c>
    </row>
    <row r="257" spans="1:25" ht="16" x14ac:dyDescent="0.2">
      <c r="A257" t="s">
        <v>1568</v>
      </c>
      <c r="B257" t="s">
        <v>363</v>
      </c>
      <c r="C257" t="s">
        <v>1568</v>
      </c>
      <c r="D257" t="s">
        <v>1568</v>
      </c>
      <c r="E257" t="s">
        <v>36</v>
      </c>
      <c r="F257" t="s">
        <v>1624</v>
      </c>
      <c r="G257" t="s">
        <v>344</v>
      </c>
      <c r="H257" t="s">
        <v>1568</v>
      </c>
      <c r="I257" t="s">
        <v>345</v>
      </c>
      <c r="J257" t="s">
        <v>1568</v>
      </c>
      <c r="K257" t="s">
        <v>1568</v>
      </c>
      <c r="L257" t="s">
        <v>1568</v>
      </c>
      <c r="M257" t="s">
        <v>1568</v>
      </c>
      <c r="N257" t="s">
        <v>1568</v>
      </c>
      <c r="O257" t="s">
        <v>1568</v>
      </c>
      <c r="P257" t="s">
        <v>1568</v>
      </c>
      <c r="Q257" t="s">
        <v>1568</v>
      </c>
      <c r="R257" t="s">
        <v>1568</v>
      </c>
      <c r="S257" t="s">
        <v>1568</v>
      </c>
      <c r="T257" t="s">
        <v>1568</v>
      </c>
      <c r="U257" t="s">
        <v>1568</v>
      </c>
      <c r="V257" t="s">
        <v>1592</v>
      </c>
      <c r="W257" t="s">
        <v>346</v>
      </c>
      <c r="X257" t="s">
        <v>59</v>
      </c>
      <c r="Y257" t="s">
        <v>1581</v>
      </c>
    </row>
    <row r="258" spans="1:25" ht="16" x14ac:dyDescent="0.2">
      <c r="A258" t="s">
        <v>1568</v>
      </c>
      <c r="B258" t="s">
        <v>363</v>
      </c>
      <c r="C258" t="s">
        <v>1568</v>
      </c>
      <c r="D258" t="s">
        <v>1568</v>
      </c>
      <c r="E258" t="s">
        <v>43</v>
      </c>
      <c r="F258" t="s">
        <v>1624</v>
      </c>
      <c r="G258" t="s">
        <v>347</v>
      </c>
      <c r="H258" t="s">
        <v>1568</v>
      </c>
      <c r="I258" t="s">
        <v>348</v>
      </c>
      <c r="J258" t="s">
        <v>1568</v>
      </c>
      <c r="K258" t="s">
        <v>1568</v>
      </c>
      <c r="L258" t="s">
        <v>1568</v>
      </c>
      <c r="M258" t="s">
        <v>1568</v>
      </c>
      <c r="N258" t="s">
        <v>1568</v>
      </c>
      <c r="O258" t="s">
        <v>1568</v>
      </c>
      <c r="P258" t="s">
        <v>1568</v>
      </c>
      <c r="Q258" t="s">
        <v>1568</v>
      </c>
      <c r="R258" t="s">
        <v>1568</v>
      </c>
      <c r="S258" t="s">
        <v>1568</v>
      </c>
      <c r="T258" t="s">
        <v>1568</v>
      </c>
      <c r="U258" t="s">
        <v>1568</v>
      </c>
      <c r="V258" t="s">
        <v>1617</v>
      </c>
      <c r="W258" t="s">
        <v>349</v>
      </c>
      <c r="X258" t="s">
        <v>59</v>
      </c>
      <c r="Y258" t="s">
        <v>1581</v>
      </c>
    </row>
    <row r="259" spans="1:25" ht="16" x14ac:dyDescent="0.2">
      <c r="A259" t="s">
        <v>1568</v>
      </c>
      <c r="B259" t="s">
        <v>363</v>
      </c>
      <c r="C259" t="s">
        <v>1568</v>
      </c>
      <c r="D259" t="s">
        <v>1568</v>
      </c>
      <c r="E259" t="s">
        <v>47</v>
      </c>
      <c r="F259" t="s">
        <v>1624</v>
      </c>
      <c r="G259" t="s">
        <v>350</v>
      </c>
      <c r="H259" t="s">
        <v>1568</v>
      </c>
      <c r="I259" t="s">
        <v>351</v>
      </c>
      <c r="J259" t="s">
        <v>1568</v>
      </c>
      <c r="K259" t="s">
        <v>1568</v>
      </c>
      <c r="L259" t="s">
        <v>1568</v>
      </c>
      <c r="M259" t="s">
        <v>1568</v>
      </c>
      <c r="N259" t="s">
        <v>1568</v>
      </c>
      <c r="O259" t="s">
        <v>1568</v>
      </c>
      <c r="P259" t="s">
        <v>1568</v>
      </c>
      <c r="Q259" t="s">
        <v>1568</v>
      </c>
      <c r="R259" t="s">
        <v>1568</v>
      </c>
      <c r="S259" t="s">
        <v>1568</v>
      </c>
      <c r="T259" t="s">
        <v>1568</v>
      </c>
      <c r="U259" t="s">
        <v>1568</v>
      </c>
      <c r="V259" t="s">
        <v>1617</v>
      </c>
      <c r="W259" t="s">
        <v>352</v>
      </c>
      <c r="X259" t="s">
        <v>59</v>
      </c>
      <c r="Y259" t="s">
        <v>1581</v>
      </c>
    </row>
    <row r="260" spans="1:25" ht="16" x14ac:dyDescent="0.2">
      <c r="A260" t="s">
        <v>1568</v>
      </c>
      <c r="B260" t="s">
        <v>363</v>
      </c>
      <c r="C260" t="s">
        <v>1568</v>
      </c>
      <c r="D260" t="s">
        <v>1568</v>
      </c>
      <c r="E260" t="s">
        <v>51</v>
      </c>
      <c r="F260" t="s">
        <v>1624</v>
      </c>
      <c r="G260" t="s">
        <v>353</v>
      </c>
      <c r="H260" t="s">
        <v>1568</v>
      </c>
      <c r="I260" t="s">
        <v>354</v>
      </c>
      <c r="J260" t="s">
        <v>1568</v>
      </c>
      <c r="K260" t="s">
        <v>1568</v>
      </c>
      <c r="L260" t="s">
        <v>1568</v>
      </c>
      <c r="M260" t="s">
        <v>1568</v>
      </c>
      <c r="N260" t="s">
        <v>1568</v>
      </c>
      <c r="O260" t="s">
        <v>1568</v>
      </c>
      <c r="P260" t="s">
        <v>1568</v>
      </c>
      <c r="Q260" t="s">
        <v>1568</v>
      </c>
      <c r="R260" t="s">
        <v>1568</v>
      </c>
      <c r="S260" t="s">
        <v>1568</v>
      </c>
      <c r="T260" t="s">
        <v>1568</v>
      </c>
      <c r="U260" t="s">
        <v>1568</v>
      </c>
      <c r="V260" t="s">
        <v>1592</v>
      </c>
      <c r="W260" t="s">
        <v>355</v>
      </c>
      <c r="X260" t="s">
        <v>59</v>
      </c>
      <c r="Y260" t="s">
        <v>1581</v>
      </c>
    </row>
    <row r="261" spans="1:25" ht="16" x14ac:dyDescent="0.2">
      <c r="A261" t="s">
        <v>1568</v>
      </c>
      <c r="B261" t="s">
        <v>363</v>
      </c>
      <c r="C261" t="s">
        <v>1568</v>
      </c>
      <c r="D261" t="s">
        <v>1568</v>
      </c>
      <c r="E261" t="s">
        <v>55</v>
      </c>
      <c r="F261" t="s">
        <v>1624</v>
      </c>
      <c r="G261" t="s">
        <v>356</v>
      </c>
      <c r="H261" t="s">
        <v>1568</v>
      </c>
      <c r="I261" t="s">
        <v>357</v>
      </c>
      <c r="J261" t="s">
        <v>1568</v>
      </c>
      <c r="K261" t="s">
        <v>1568</v>
      </c>
      <c r="L261" t="s">
        <v>1568</v>
      </c>
      <c r="M261" t="s">
        <v>1568</v>
      </c>
      <c r="N261" t="s">
        <v>1568</v>
      </c>
      <c r="O261" t="s">
        <v>1568</v>
      </c>
      <c r="P261" t="s">
        <v>1568</v>
      </c>
      <c r="Q261" t="s">
        <v>1568</v>
      </c>
      <c r="R261" t="s">
        <v>1568</v>
      </c>
      <c r="S261" t="s">
        <v>1568</v>
      </c>
      <c r="T261" t="s">
        <v>1568</v>
      </c>
      <c r="U261" t="s">
        <v>1568</v>
      </c>
      <c r="V261" t="s">
        <v>1618</v>
      </c>
      <c r="W261" t="s">
        <v>358</v>
      </c>
      <c r="X261" t="s">
        <v>59</v>
      </c>
      <c r="Y261" t="s">
        <v>1581</v>
      </c>
    </row>
    <row r="262" spans="1:25" ht="16" x14ac:dyDescent="0.2">
      <c r="A262" t="s">
        <v>1568</v>
      </c>
      <c r="B262" t="s">
        <v>364</v>
      </c>
      <c r="C262" t="s">
        <v>1568</v>
      </c>
      <c r="D262" t="s">
        <v>1568</v>
      </c>
      <c r="E262" t="s">
        <v>36</v>
      </c>
      <c r="F262" t="s">
        <v>1622</v>
      </c>
      <c r="G262" t="s">
        <v>294</v>
      </c>
      <c r="H262" t="s">
        <v>1568</v>
      </c>
      <c r="I262" t="s">
        <v>295</v>
      </c>
      <c r="J262" t="s">
        <v>1568</v>
      </c>
      <c r="K262" t="s">
        <v>1568</v>
      </c>
      <c r="L262" t="s">
        <v>1568</v>
      </c>
      <c r="M262" t="s">
        <v>1568</v>
      </c>
      <c r="N262" t="s">
        <v>1568</v>
      </c>
      <c r="O262" t="s">
        <v>1568</v>
      </c>
      <c r="P262" t="s">
        <v>1568</v>
      </c>
      <c r="Q262" t="s">
        <v>1568</v>
      </c>
      <c r="R262" t="s">
        <v>1568</v>
      </c>
      <c r="S262" t="s">
        <v>1568</v>
      </c>
      <c r="T262" t="s">
        <v>1568</v>
      </c>
      <c r="U262" t="s">
        <v>1568</v>
      </c>
      <c r="V262" t="s">
        <v>1592</v>
      </c>
      <c r="W262" t="s">
        <v>296</v>
      </c>
      <c r="X262" t="s">
        <v>61</v>
      </c>
      <c r="Y262" t="s">
        <v>1587</v>
      </c>
    </row>
    <row r="263" spans="1:25" ht="16" x14ac:dyDescent="0.2">
      <c r="A263" t="s">
        <v>1568</v>
      </c>
      <c r="B263" t="s">
        <v>364</v>
      </c>
      <c r="C263" t="s">
        <v>1568</v>
      </c>
      <c r="D263" t="s">
        <v>1568</v>
      </c>
      <c r="E263" t="s">
        <v>43</v>
      </c>
      <c r="F263" t="s">
        <v>1622</v>
      </c>
      <c r="G263" t="s">
        <v>297</v>
      </c>
      <c r="H263" t="s">
        <v>1568</v>
      </c>
      <c r="I263" t="s">
        <v>298</v>
      </c>
      <c r="J263" t="s">
        <v>1568</v>
      </c>
      <c r="K263" t="s">
        <v>1568</v>
      </c>
      <c r="L263" t="s">
        <v>1568</v>
      </c>
      <c r="M263" t="s">
        <v>1568</v>
      </c>
      <c r="N263" t="s">
        <v>1568</v>
      </c>
      <c r="O263" t="s">
        <v>1568</v>
      </c>
      <c r="P263" t="s">
        <v>1568</v>
      </c>
      <c r="Q263" t="s">
        <v>1568</v>
      </c>
      <c r="R263" t="s">
        <v>1568</v>
      </c>
      <c r="S263" t="s">
        <v>1568</v>
      </c>
      <c r="T263" t="s">
        <v>1568</v>
      </c>
      <c r="U263" t="s">
        <v>1568</v>
      </c>
      <c r="V263" t="s">
        <v>1597</v>
      </c>
      <c r="W263" t="s">
        <v>299</v>
      </c>
      <c r="X263" t="s">
        <v>61</v>
      </c>
      <c r="Y263" t="s">
        <v>1587</v>
      </c>
    </row>
    <row r="264" spans="1:25" ht="16" x14ac:dyDescent="0.2">
      <c r="A264" t="s">
        <v>1568</v>
      </c>
      <c r="B264" t="s">
        <v>364</v>
      </c>
      <c r="C264" t="s">
        <v>1568</v>
      </c>
      <c r="D264" t="s">
        <v>1568</v>
      </c>
      <c r="E264" t="s">
        <v>47</v>
      </c>
      <c r="F264" t="s">
        <v>1622</v>
      </c>
      <c r="G264" t="s">
        <v>300</v>
      </c>
      <c r="H264" t="s">
        <v>1568</v>
      </c>
      <c r="I264" t="s">
        <v>301</v>
      </c>
      <c r="J264" t="s">
        <v>1568</v>
      </c>
      <c r="K264" t="s">
        <v>1568</v>
      </c>
      <c r="L264" t="s">
        <v>1568</v>
      </c>
      <c r="M264" t="s">
        <v>1568</v>
      </c>
      <c r="N264" t="s">
        <v>1568</v>
      </c>
      <c r="O264" t="s">
        <v>1568</v>
      </c>
      <c r="P264" t="s">
        <v>1568</v>
      </c>
      <c r="Q264" t="s">
        <v>1568</v>
      </c>
      <c r="R264" t="s">
        <v>1568</v>
      </c>
      <c r="S264" t="s">
        <v>1568</v>
      </c>
      <c r="T264" t="s">
        <v>1568</v>
      </c>
      <c r="U264" t="s">
        <v>1568</v>
      </c>
      <c r="V264" t="s">
        <v>1597</v>
      </c>
      <c r="W264" t="s">
        <v>302</v>
      </c>
      <c r="X264" t="s">
        <v>61</v>
      </c>
      <c r="Y264" t="s">
        <v>1587</v>
      </c>
    </row>
    <row r="265" spans="1:25" ht="16" x14ac:dyDescent="0.2">
      <c r="A265" t="s">
        <v>1568</v>
      </c>
      <c r="B265" t="s">
        <v>364</v>
      </c>
      <c r="C265" t="s">
        <v>1568</v>
      </c>
      <c r="D265" t="s">
        <v>1568</v>
      </c>
      <c r="E265" t="s">
        <v>51</v>
      </c>
      <c r="F265" t="s">
        <v>1622</v>
      </c>
      <c r="G265" t="s">
        <v>303</v>
      </c>
      <c r="H265" t="s">
        <v>1568</v>
      </c>
      <c r="I265" t="s">
        <v>304</v>
      </c>
      <c r="J265" t="s">
        <v>1568</v>
      </c>
      <c r="K265" t="s">
        <v>1568</v>
      </c>
      <c r="L265" t="s">
        <v>1568</v>
      </c>
      <c r="M265" t="s">
        <v>1568</v>
      </c>
      <c r="N265" t="s">
        <v>1568</v>
      </c>
      <c r="O265" t="s">
        <v>1568</v>
      </c>
      <c r="P265" t="s">
        <v>1568</v>
      </c>
      <c r="Q265" t="s">
        <v>1568</v>
      </c>
      <c r="R265" t="s">
        <v>1568</v>
      </c>
      <c r="S265" t="s">
        <v>1568</v>
      </c>
      <c r="T265" t="s">
        <v>1568</v>
      </c>
      <c r="U265" t="s">
        <v>1568</v>
      </c>
      <c r="V265" t="s">
        <v>1592</v>
      </c>
      <c r="W265" t="s">
        <v>305</v>
      </c>
      <c r="X265" t="s">
        <v>61</v>
      </c>
      <c r="Y265" t="s">
        <v>1587</v>
      </c>
    </row>
    <row r="266" spans="1:25" ht="16" x14ac:dyDescent="0.2">
      <c r="A266" t="s">
        <v>1568</v>
      </c>
      <c r="B266" t="s">
        <v>364</v>
      </c>
      <c r="C266" t="s">
        <v>1568</v>
      </c>
      <c r="D266" t="s">
        <v>1568</v>
      </c>
      <c r="E266" t="s">
        <v>55</v>
      </c>
      <c r="F266" t="s">
        <v>1622</v>
      </c>
      <c r="G266" t="s">
        <v>306</v>
      </c>
      <c r="H266" t="s">
        <v>1568</v>
      </c>
      <c r="I266" t="s">
        <v>307</v>
      </c>
      <c r="J266" t="s">
        <v>1568</v>
      </c>
      <c r="K266" t="s">
        <v>1568</v>
      </c>
      <c r="L266" t="s">
        <v>1568</v>
      </c>
      <c r="M266" t="s">
        <v>1568</v>
      </c>
      <c r="N266" t="s">
        <v>1568</v>
      </c>
      <c r="O266" t="s">
        <v>1568</v>
      </c>
      <c r="P266" t="s">
        <v>1568</v>
      </c>
      <c r="Q266" t="s">
        <v>1568</v>
      </c>
      <c r="R266" t="s">
        <v>1568</v>
      </c>
      <c r="S266" t="s">
        <v>1568</v>
      </c>
      <c r="T266" t="s">
        <v>1568</v>
      </c>
      <c r="U266" t="s">
        <v>1568</v>
      </c>
      <c r="V266" t="s">
        <v>1598</v>
      </c>
      <c r="W266" t="s">
        <v>308</v>
      </c>
      <c r="X266" t="s">
        <v>61</v>
      </c>
      <c r="Y266" t="s">
        <v>1587</v>
      </c>
    </row>
    <row r="267" spans="1:25" ht="16" x14ac:dyDescent="0.2">
      <c r="A267" t="s">
        <v>1568</v>
      </c>
      <c r="B267" t="s">
        <v>365</v>
      </c>
      <c r="C267" t="s">
        <v>1568</v>
      </c>
      <c r="D267" t="s">
        <v>1568</v>
      </c>
      <c r="E267" t="s">
        <v>36</v>
      </c>
      <c r="F267" t="s">
        <v>1623</v>
      </c>
      <c r="G267" t="s">
        <v>310</v>
      </c>
      <c r="H267" t="s">
        <v>1568</v>
      </c>
      <c r="I267" t="s">
        <v>311</v>
      </c>
      <c r="J267" t="s">
        <v>1568</v>
      </c>
      <c r="K267" t="s">
        <v>1568</v>
      </c>
      <c r="L267" t="s">
        <v>1568</v>
      </c>
      <c r="M267" t="s">
        <v>1568</v>
      </c>
      <c r="N267" t="s">
        <v>1568</v>
      </c>
      <c r="O267" t="s">
        <v>1568</v>
      </c>
      <c r="P267" t="s">
        <v>1568</v>
      </c>
      <c r="Q267" t="s">
        <v>1568</v>
      </c>
      <c r="R267" t="s">
        <v>1568</v>
      </c>
      <c r="S267" t="s">
        <v>1568</v>
      </c>
      <c r="T267" t="s">
        <v>1568</v>
      </c>
      <c r="U267" t="s">
        <v>1568</v>
      </c>
      <c r="V267" t="s">
        <v>1592</v>
      </c>
      <c r="W267" t="s">
        <v>312</v>
      </c>
      <c r="X267" t="s">
        <v>61</v>
      </c>
      <c r="Y267" t="s">
        <v>1587</v>
      </c>
    </row>
    <row r="268" spans="1:25" ht="16" x14ac:dyDescent="0.2">
      <c r="A268" t="s">
        <v>1568</v>
      </c>
      <c r="B268" t="s">
        <v>365</v>
      </c>
      <c r="C268" t="s">
        <v>1568</v>
      </c>
      <c r="D268" t="s">
        <v>1568</v>
      </c>
      <c r="E268" t="s">
        <v>43</v>
      </c>
      <c r="F268" t="s">
        <v>1623</v>
      </c>
      <c r="G268" t="s">
        <v>313</v>
      </c>
      <c r="H268" t="s">
        <v>1568</v>
      </c>
      <c r="I268" t="s">
        <v>314</v>
      </c>
      <c r="J268" t="s">
        <v>1568</v>
      </c>
      <c r="K268" t="s">
        <v>1568</v>
      </c>
      <c r="L268" t="s">
        <v>1568</v>
      </c>
      <c r="M268" t="s">
        <v>1568</v>
      </c>
      <c r="N268" t="s">
        <v>1568</v>
      </c>
      <c r="O268" t="s">
        <v>1568</v>
      </c>
      <c r="P268" t="s">
        <v>1568</v>
      </c>
      <c r="Q268" t="s">
        <v>1568</v>
      </c>
      <c r="R268" t="s">
        <v>1568</v>
      </c>
      <c r="S268" t="s">
        <v>1568</v>
      </c>
      <c r="T268" t="s">
        <v>1568</v>
      </c>
      <c r="U268" t="s">
        <v>1568</v>
      </c>
      <c r="V268" t="s">
        <v>1597</v>
      </c>
      <c r="W268" t="s">
        <v>315</v>
      </c>
      <c r="X268" t="s">
        <v>61</v>
      </c>
      <c r="Y268" t="s">
        <v>1587</v>
      </c>
    </row>
    <row r="269" spans="1:25" ht="16" x14ac:dyDescent="0.2">
      <c r="A269" t="s">
        <v>1568</v>
      </c>
      <c r="B269" t="s">
        <v>365</v>
      </c>
      <c r="C269" t="s">
        <v>1568</v>
      </c>
      <c r="D269" t="s">
        <v>1568</v>
      </c>
      <c r="E269" t="s">
        <v>47</v>
      </c>
      <c r="F269" t="s">
        <v>1623</v>
      </c>
      <c r="G269" t="s">
        <v>316</v>
      </c>
      <c r="H269" t="s">
        <v>1568</v>
      </c>
      <c r="I269" t="s">
        <v>317</v>
      </c>
      <c r="J269" t="s">
        <v>1568</v>
      </c>
      <c r="K269" t="s">
        <v>1568</v>
      </c>
      <c r="L269" t="s">
        <v>1568</v>
      </c>
      <c r="M269" t="s">
        <v>1568</v>
      </c>
      <c r="N269" t="s">
        <v>1568</v>
      </c>
      <c r="O269" t="s">
        <v>1568</v>
      </c>
      <c r="P269" t="s">
        <v>1568</v>
      </c>
      <c r="Q269" t="s">
        <v>1568</v>
      </c>
      <c r="R269" t="s">
        <v>1568</v>
      </c>
      <c r="S269" t="s">
        <v>1568</v>
      </c>
      <c r="T269" t="s">
        <v>1568</v>
      </c>
      <c r="U269" t="s">
        <v>1568</v>
      </c>
      <c r="V269" t="s">
        <v>1597</v>
      </c>
      <c r="W269" t="s">
        <v>318</v>
      </c>
      <c r="X269" t="s">
        <v>61</v>
      </c>
      <c r="Y269" t="s">
        <v>1587</v>
      </c>
    </row>
    <row r="270" spans="1:25" ht="16" x14ac:dyDescent="0.2">
      <c r="A270" t="s">
        <v>1568</v>
      </c>
      <c r="B270" t="s">
        <v>365</v>
      </c>
      <c r="C270" t="s">
        <v>1568</v>
      </c>
      <c r="D270" t="s">
        <v>1568</v>
      </c>
      <c r="E270" t="s">
        <v>51</v>
      </c>
      <c r="F270" t="s">
        <v>1623</v>
      </c>
      <c r="G270" t="s">
        <v>319</v>
      </c>
      <c r="H270" t="s">
        <v>1568</v>
      </c>
      <c r="I270" t="s">
        <v>320</v>
      </c>
      <c r="J270" t="s">
        <v>1568</v>
      </c>
      <c r="K270" t="s">
        <v>1568</v>
      </c>
      <c r="L270" t="s">
        <v>1568</v>
      </c>
      <c r="M270" t="s">
        <v>1568</v>
      </c>
      <c r="N270" t="s">
        <v>1568</v>
      </c>
      <c r="O270" t="s">
        <v>1568</v>
      </c>
      <c r="P270" t="s">
        <v>1568</v>
      </c>
      <c r="Q270" t="s">
        <v>1568</v>
      </c>
      <c r="R270" t="s">
        <v>1568</v>
      </c>
      <c r="S270" t="s">
        <v>1568</v>
      </c>
      <c r="T270" t="s">
        <v>1568</v>
      </c>
      <c r="U270" t="s">
        <v>1568</v>
      </c>
      <c r="V270" t="s">
        <v>1592</v>
      </c>
      <c r="W270" t="s">
        <v>321</v>
      </c>
      <c r="X270" t="s">
        <v>61</v>
      </c>
      <c r="Y270" t="s">
        <v>1587</v>
      </c>
    </row>
    <row r="271" spans="1:25" ht="16" x14ac:dyDescent="0.2">
      <c r="A271" t="s">
        <v>1568</v>
      </c>
      <c r="B271" t="s">
        <v>365</v>
      </c>
      <c r="C271" t="s">
        <v>1568</v>
      </c>
      <c r="D271" t="s">
        <v>1568</v>
      </c>
      <c r="E271" t="s">
        <v>55</v>
      </c>
      <c r="F271" t="s">
        <v>1623</v>
      </c>
      <c r="G271" t="s">
        <v>322</v>
      </c>
      <c r="H271" t="s">
        <v>1568</v>
      </c>
      <c r="I271" t="s">
        <v>323</v>
      </c>
      <c r="J271" t="s">
        <v>1568</v>
      </c>
      <c r="K271" t="s">
        <v>1568</v>
      </c>
      <c r="L271" t="s">
        <v>1568</v>
      </c>
      <c r="M271" t="s">
        <v>1568</v>
      </c>
      <c r="N271" t="s">
        <v>1568</v>
      </c>
      <c r="O271" t="s">
        <v>1568</v>
      </c>
      <c r="P271" t="s">
        <v>1568</v>
      </c>
      <c r="Q271" t="s">
        <v>1568</v>
      </c>
      <c r="R271" t="s">
        <v>1568</v>
      </c>
      <c r="S271" t="s">
        <v>1568</v>
      </c>
      <c r="T271" t="s">
        <v>1568</v>
      </c>
      <c r="U271" t="s">
        <v>1568</v>
      </c>
      <c r="V271" t="s">
        <v>1598</v>
      </c>
      <c r="W271" t="s">
        <v>324</v>
      </c>
      <c r="X271" t="s">
        <v>61</v>
      </c>
      <c r="Y271" t="s">
        <v>1587</v>
      </c>
    </row>
    <row r="272" spans="1:25" ht="16" x14ac:dyDescent="0.2">
      <c r="A272" t="s">
        <v>1568</v>
      </c>
      <c r="B272" t="s">
        <v>366</v>
      </c>
      <c r="C272" t="s">
        <v>1568</v>
      </c>
      <c r="D272" t="s">
        <v>1568</v>
      </c>
      <c r="E272" t="s">
        <v>36</v>
      </c>
      <c r="F272" t="s">
        <v>1624</v>
      </c>
      <c r="G272" t="s">
        <v>328</v>
      </c>
      <c r="H272" t="s">
        <v>1568</v>
      </c>
      <c r="I272" t="s">
        <v>329</v>
      </c>
      <c r="J272" t="s">
        <v>1568</v>
      </c>
      <c r="K272" t="s">
        <v>1568</v>
      </c>
      <c r="L272" t="s">
        <v>1568</v>
      </c>
      <c r="M272" t="s">
        <v>1568</v>
      </c>
      <c r="N272" t="s">
        <v>1568</v>
      </c>
      <c r="O272" t="s">
        <v>1568</v>
      </c>
      <c r="P272" t="s">
        <v>1568</v>
      </c>
      <c r="Q272" t="s">
        <v>1568</v>
      </c>
      <c r="R272" t="s">
        <v>1568</v>
      </c>
      <c r="S272" t="s">
        <v>1568</v>
      </c>
      <c r="T272" t="s">
        <v>1568</v>
      </c>
      <c r="U272" t="s">
        <v>1568</v>
      </c>
      <c r="V272" t="s">
        <v>1592</v>
      </c>
      <c r="W272" t="s">
        <v>330</v>
      </c>
      <c r="X272" t="s">
        <v>61</v>
      </c>
      <c r="Y272" t="s">
        <v>1587</v>
      </c>
    </row>
    <row r="273" spans="1:25" ht="16" x14ac:dyDescent="0.2">
      <c r="A273" t="s">
        <v>1568</v>
      </c>
      <c r="B273" t="s">
        <v>366</v>
      </c>
      <c r="C273" t="s">
        <v>1568</v>
      </c>
      <c r="D273" t="s">
        <v>1568</v>
      </c>
      <c r="E273" t="s">
        <v>43</v>
      </c>
      <c r="F273" t="s">
        <v>1624</v>
      </c>
      <c r="G273" t="s">
        <v>331</v>
      </c>
      <c r="H273" t="s">
        <v>1568</v>
      </c>
      <c r="I273" t="s">
        <v>332</v>
      </c>
      <c r="J273" t="s">
        <v>1568</v>
      </c>
      <c r="K273" t="s">
        <v>1568</v>
      </c>
      <c r="L273" t="s">
        <v>1568</v>
      </c>
      <c r="M273" t="s">
        <v>1568</v>
      </c>
      <c r="N273" t="s">
        <v>1568</v>
      </c>
      <c r="O273" t="s">
        <v>1568</v>
      </c>
      <c r="P273" t="s">
        <v>1568</v>
      </c>
      <c r="Q273" t="s">
        <v>1568</v>
      </c>
      <c r="R273" t="s">
        <v>1568</v>
      </c>
      <c r="S273" t="s">
        <v>1568</v>
      </c>
      <c r="T273" t="s">
        <v>1568</v>
      </c>
      <c r="U273" t="s">
        <v>1568</v>
      </c>
      <c r="V273" t="s">
        <v>1619</v>
      </c>
      <c r="W273" t="s">
        <v>333</v>
      </c>
      <c r="X273" t="s">
        <v>61</v>
      </c>
      <c r="Y273" t="s">
        <v>1587</v>
      </c>
    </row>
    <row r="274" spans="1:25" ht="16" x14ac:dyDescent="0.2">
      <c r="A274" t="s">
        <v>1568</v>
      </c>
      <c r="B274" t="s">
        <v>366</v>
      </c>
      <c r="C274" t="s">
        <v>1568</v>
      </c>
      <c r="D274" t="s">
        <v>1568</v>
      </c>
      <c r="E274" t="s">
        <v>47</v>
      </c>
      <c r="F274" t="s">
        <v>1624</v>
      </c>
      <c r="G274" t="s">
        <v>334</v>
      </c>
      <c r="H274" t="s">
        <v>1568</v>
      </c>
      <c r="I274" t="s">
        <v>335</v>
      </c>
      <c r="J274" t="s">
        <v>1568</v>
      </c>
      <c r="K274" t="s">
        <v>1568</v>
      </c>
      <c r="L274" t="s">
        <v>1568</v>
      </c>
      <c r="M274" t="s">
        <v>1568</v>
      </c>
      <c r="N274" t="s">
        <v>1568</v>
      </c>
      <c r="O274" t="s">
        <v>1568</v>
      </c>
      <c r="P274" t="s">
        <v>1568</v>
      </c>
      <c r="Q274" t="s">
        <v>1568</v>
      </c>
      <c r="R274" t="s">
        <v>1568</v>
      </c>
      <c r="S274" t="s">
        <v>1568</v>
      </c>
      <c r="T274" t="s">
        <v>1568</v>
      </c>
      <c r="U274" t="s">
        <v>1568</v>
      </c>
      <c r="V274" t="s">
        <v>1619</v>
      </c>
      <c r="W274" t="s">
        <v>336</v>
      </c>
      <c r="X274" t="s">
        <v>61</v>
      </c>
      <c r="Y274" t="s">
        <v>1587</v>
      </c>
    </row>
    <row r="275" spans="1:25" ht="16" x14ac:dyDescent="0.2">
      <c r="A275" t="s">
        <v>1568</v>
      </c>
      <c r="B275" t="s">
        <v>366</v>
      </c>
      <c r="C275" t="s">
        <v>1568</v>
      </c>
      <c r="D275" t="s">
        <v>1568</v>
      </c>
      <c r="E275" t="s">
        <v>51</v>
      </c>
      <c r="F275" t="s">
        <v>1624</v>
      </c>
      <c r="G275" t="s">
        <v>337</v>
      </c>
      <c r="H275" t="s">
        <v>1568</v>
      </c>
      <c r="I275" t="s">
        <v>338</v>
      </c>
      <c r="J275" t="s">
        <v>1568</v>
      </c>
      <c r="K275" t="s">
        <v>1568</v>
      </c>
      <c r="L275" t="s">
        <v>1568</v>
      </c>
      <c r="M275" t="s">
        <v>1568</v>
      </c>
      <c r="N275" t="s">
        <v>1568</v>
      </c>
      <c r="O275" t="s">
        <v>1568</v>
      </c>
      <c r="P275" t="s">
        <v>1568</v>
      </c>
      <c r="Q275" t="s">
        <v>1568</v>
      </c>
      <c r="R275" t="s">
        <v>1568</v>
      </c>
      <c r="S275" t="s">
        <v>1568</v>
      </c>
      <c r="T275" t="s">
        <v>1568</v>
      </c>
      <c r="U275" t="s">
        <v>1568</v>
      </c>
      <c r="V275" t="s">
        <v>1592</v>
      </c>
      <c r="W275" t="s">
        <v>339</v>
      </c>
      <c r="X275" t="s">
        <v>61</v>
      </c>
      <c r="Y275" t="s">
        <v>1587</v>
      </c>
    </row>
    <row r="276" spans="1:25" ht="16" x14ac:dyDescent="0.2">
      <c r="A276" t="s">
        <v>1568</v>
      </c>
      <c r="B276" t="s">
        <v>366</v>
      </c>
      <c r="C276" t="s">
        <v>1568</v>
      </c>
      <c r="D276" t="s">
        <v>1568</v>
      </c>
      <c r="E276" t="s">
        <v>55</v>
      </c>
      <c r="F276" t="s">
        <v>1624</v>
      </c>
      <c r="G276" t="s">
        <v>340</v>
      </c>
      <c r="H276" t="s">
        <v>1568</v>
      </c>
      <c r="I276" t="s">
        <v>341</v>
      </c>
      <c r="J276" t="s">
        <v>1568</v>
      </c>
      <c r="K276" t="s">
        <v>1568</v>
      </c>
      <c r="L276" t="s">
        <v>1568</v>
      </c>
      <c r="M276" t="s">
        <v>1568</v>
      </c>
      <c r="N276" t="s">
        <v>1568</v>
      </c>
      <c r="O276" t="s">
        <v>1568</v>
      </c>
      <c r="P276" t="s">
        <v>1568</v>
      </c>
      <c r="Q276" t="s">
        <v>1568</v>
      </c>
      <c r="R276" t="s">
        <v>1568</v>
      </c>
      <c r="S276" t="s">
        <v>1568</v>
      </c>
      <c r="T276" t="s">
        <v>1568</v>
      </c>
      <c r="U276" t="s">
        <v>1568</v>
      </c>
      <c r="V276" t="s">
        <v>1620</v>
      </c>
      <c r="W276" t="s">
        <v>342</v>
      </c>
      <c r="X276" t="s">
        <v>61</v>
      </c>
      <c r="Y276" t="s">
        <v>1587</v>
      </c>
    </row>
    <row r="277" spans="1:25" ht="16" x14ac:dyDescent="0.2">
      <c r="A277" t="s">
        <v>1568</v>
      </c>
      <c r="B277" t="s">
        <v>367</v>
      </c>
      <c r="C277" t="s">
        <v>1568</v>
      </c>
      <c r="D277" t="s">
        <v>1568</v>
      </c>
      <c r="E277" t="s">
        <v>36</v>
      </c>
      <c r="F277" t="s">
        <v>1624</v>
      </c>
      <c r="G277" t="s">
        <v>344</v>
      </c>
      <c r="H277" t="s">
        <v>1568</v>
      </c>
      <c r="I277" t="s">
        <v>345</v>
      </c>
      <c r="J277" t="s">
        <v>1568</v>
      </c>
      <c r="K277" t="s">
        <v>1568</v>
      </c>
      <c r="L277" t="s">
        <v>1568</v>
      </c>
      <c r="M277" t="s">
        <v>1568</v>
      </c>
      <c r="N277" t="s">
        <v>1568</v>
      </c>
      <c r="O277" t="s">
        <v>1568</v>
      </c>
      <c r="P277" t="s">
        <v>1568</v>
      </c>
      <c r="Q277" t="s">
        <v>1568</v>
      </c>
      <c r="R277" t="s">
        <v>1568</v>
      </c>
      <c r="S277" t="s">
        <v>1568</v>
      </c>
      <c r="T277" t="s">
        <v>1568</v>
      </c>
      <c r="U277" t="s">
        <v>1568</v>
      </c>
      <c r="V277" t="s">
        <v>1592</v>
      </c>
      <c r="W277" t="s">
        <v>346</v>
      </c>
      <c r="X277" t="s">
        <v>61</v>
      </c>
      <c r="Y277" t="s">
        <v>1587</v>
      </c>
    </row>
    <row r="278" spans="1:25" ht="16" x14ac:dyDescent="0.2">
      <c r="A278" t="s">
        <v>1568</v>
      </c>
      <c r="B278" t="s">
        <v>367</v>
      </c>
      <c r="C278" t="s">
        <v>1568</v>
      </c>
      <c r="D278" t="s">
        <v>1568</v>
      </c>
      <c r="E278" t="s">
        <v>43</v>
      </c>
      <c r="F278" t="s">
        <v>1624</v>
      </c>
      <c r="G278" t="s">
        <v>347</v>
      </c>
      <c r="H278" t="s">
        <v>1568</v>
      </c>
      <c r="I278" t="s">
        <v>348</v>
      </c>
      <c r="J278" t="s">
        <v>1568</v>
      </c>
      <c r="K278" t="s">
        <v>1568</v>
      </c>
      <c r="L278" t="s">
        <v>1568</v>
      </c>
      <c r="M278" t="s">
        <v>1568</v>
      </c>
      <c r="N278" t="s">
        <v>1568</v>
      </c>
      <c r="O278" t="s">
        <v>1568</v>
      </c>
      <c r="P278" t="s">
        <v>1568</v>
      </c>
      <c r="Q278" t="s">
        <v>1568</v>
      </c>
      <c r="R278" t="s">
        <v>1568</v>
      </c>
      <c r="S278" t="s">
        <v>1568</v>
      </c>
      <c r="T278" t="s">
        <v>1568</v>
      </c>
      <c r="U278" t="s">
        <v>1568</v>
      </c>
      <c r="V278" t="s">
        <v>1619</v>
      </c>
      <c r="W278" t="s">
        <v>349</v>
      </c>
      <c r="X278" t="s">
        <v>61</v>
      </c>
      <c r="Y278" t="s">
        <v>1587</v>
      </c>
    </row>
    <row r="279" spans="1:25" ht="16" x14ac:dyDescent="0.2">
      <c r="A279" t="s">
        <v>1568</v>
      </c>
      <c r="B279" t="s">
        <v>367</v>
      </c>
      <c r="C279" t="s">
        <v>1568</v>
      </c>
      <c r="D279" t="s">
        <v>1568</v>
      </c>
      <c r="E279" t="s">
        <v>47</v>
      </c>
      <c r="F279" t="s">
        <v>1624</v>
      </c>
      <c r="G279" t="s">
        <v>350</v>
      </c>
      <c r="H279" t="s">
        <v>1568</v>
      </c>
      <c r="I279" t="s">
        <v>351</v>
      </c>
      <c r="J279" t="s">
        <v>1568</v>
      </c>
      <c r="K279" t="s">
        <v>1568</v>
      </c>
      <c r="L279" t="s">
        <v>1568</v>
      </c>
      <c r="M279" t="s">
        <v>1568</v>
      </c>
      <c r="N279" t="s">
        <v>1568</v>
      </c>
      <c r="O279" t="s">
        <v>1568</v>
      </c>
      <c r="P279" t="s">
        <v>1568</v>
      </c>
      <c r="Q279" t="s">
        <v>1568</v>
      </c>
      <c r="R279" t="s">
        <v>1568</v>
      </c>
      <c r="S279" t="s">
        <v>1568</v>
      </c>
      <c r="T279" t="s">
        <v>1568</v>
      </c>
      <c r="U279" t="s">
        <v>1568</v>
      </c>
      <c r="V279" t="s">
        <v>1619</v>
      </c>
      <c r="W279" t="s">
        <v>352</v>
      </c>
      <c r="X279" t="s">
        <v>61</v>
      </c>
      <c r="Y279" t="s">
        <v>1587</v>
      </c>
    </row>
    <row r="280" spans="1:25" ht="16" x14ac:dyDescent="0.2">
      <c r="A280" t="s">
        <v>1568</v>
      </c>
      <c r="B280" t="s">
        <v>367</v>
      </c>
      <c r="C280" t="s">
        <v>1568</v>
      </c>
      <c r="D280" t="s">
        <v>1568</v>
      </c>
      <c r="E280" t="s">
        <v>51</v>
      </c>
      <c r="F280" t="s">
        <v>1624</v>
      </c>
      <c r="G280" t="s">
        <v>353</v>
      </c>
      <c r="H280" t="s">
        <v>1568</v>
      </c>
      <c r="I280" t="s">
        <v>354</v>
      </c>
      <c r="J280" t="s">
        <v>1568</v>
      </c>
      <c r="K280" t="s">
        <v>1568</v>
      </c>
      <c r="L280" t="s">
        <v>1568</v>
      </c>
      <c r="M280" t="s">
        <v>1568</v>
      </c>
      <c r="N280" t="s">
        <v>1568</v>
      </c>
      <c r="O280" t="s">
        <v>1568</v>
      </c>
      <c r="P280" t="s">
        <v>1568</v>
      </c>
      <c r="Q280" t="s">
        <v>1568</v>
      </c>
      <c r="R280" t="s">
        <v>1568</v>
      </c>
      <c r="S280" t="s">
        <v>1568</v>
      </c>
      <c r="T280" t="s">
        <v>1568</v>
      </c>
      <c r="U280" t="s">
        <v>1568</v>
      </c>
      <c r="V280" t="s">
        <v>1592</v>
      </c>
      <c r="W280" t="s">
        <v>355</v>
      </c>
      <c r="X280" t="s">
        <v>61</v>
      </c>
      <c r="Y280" t="s">
        <v>1587</v>
      </c>
    </row>
    <row r="281" spans="1:25" ht="16" x14ac:dyDescent="0.2">
      <c r="A281" t="s">
        <v>1568</v>
      </c>
      <c r="B281" t="s">
        <v>367</v>
      </c>
      <c r="C281" t="s">
        <v>1568</v>
      </c>
      <c r="D281" t="s">
        <v>1568</v>
      </c>
      <c r="E281" t="s">
        <v>55</v>
      </c>
      <c r="F281" t="s">
        <v>1624</v>
      </c>
      <c r="G281" t="s">
        <v>356</v>
      </c>
      <c r="H281" t="s">
        <v>1568</v>
      </c>
      <c r="I281" t="s">
        <v>357</v>
      </c>
      <c r="J281" t="s">
        <v>1568</v>
      </c>
      <c r="K281" t="s">
        <v>1568</v>
      </c>
      <c r="L281" t="s">
        <v>1568</v>
      </c>
      <c r="M281" t="s">
        <v>1568</v>
      </c>
      <c r="N281" t="s">
        <v>1568</v>
      </c>
      <c r="O281" t="s">
        <v>1568</v>
      </c>
      <c r="P281" t="s">
        <v>1568</v>
      </c>
      <c r="Q281" t="s">
        <v>1568</v>
      </c>
      <c r="R281" t="s">
        <v>1568</v>
      </c>
      <c r="S281" t="s">
        <v>1568</v>
      </c>
      <c r="T281" t="s">
        <v>1568</v>
      </c>
      <c r="U281" t="s">
        <v>1568</v>
      </c>
      <c r="V281" t="s">
        <v>1620</v>
      </c>
      <c r="W281" t="s">
        <v>358</v>
      </c>
      <c r="X281" t="s">
        <v>61</v>
      </c>
      <c r="Y281" t="s">
        <v>1587</v>
      </c>
    </row>
    <row r="282" spans="1:25" ht="16" x14ac:dyDescent="0.2">
      <c r="A282" t="s">
        <v>1568</v>
      </c>
      <c r="B282" t="s">
        <v>368</v>
      </c>
      <c r="C282" t="s">
        <v>1568</v>
      </c>
      <c r="D282" t="s">
        <v>1568</v>
      </c>
      <c r="E282" t="s">
        <v>36</v>
      </c>
      <c r="F282" t="s">
        <v>1625</v>
      </c>
      <c r="G282" t="s">
        <v>369</v>
      </c>
      <c r="H282" t="s">
        <v>1568</v>
      </c>
      <c r="I282" t="s">
        <v>370</v>
      </c>
      <c r="J282" t="s">
        <v>1568</v>
      </c>
      <c r="K282" t="s">
        <v>1568</v>
      </c>
      <c r="L282" t="s">
        <v>1568</v>
      </c>
      <c r="M282" t="s">
        <v>1568</v>
      </c>
      <c r="N282" t="s">
        <v>1568</v>
      </c>
      <c r="O282" t="s">
        <v>1568</v>
      </c>
      <c r="P282" t="s">
        <v>1568</v>
      </c>
      <c r="Q282" t="s">
        <v>1568</v>
      </c>
      <c r="R282" t="s">
        <v>1568</v>
      </c>
      <c r="S282" t="s">
        <v>1568</v>
      </c>
      <c r="T282" t="s">
        <v>1568</v>
      </c>
      <c r="U282" t="s">
        <v>1568</v>
      </c>
      <c r="V282" t="s">
        <v>1592</v>
      </c>
      <c r="W282" t="s">
        <v>371</v>
      </c>
      <c r="X282" t="s">
        <v>30</v>
      </c>
      <c r="Y282" t="s">
        <v>1572</v>
      </c>
    </row>
    <row r="283" spans="1:25" ht="16" x14ac:dyDescent="0.2">
      <c r="A283" t="s">
        <v>1568</v>
      </c>
      <c r="B283" t="s">
        <v>368</v>
      </c>
      <c r="C283" t="s">
        <v>1568</v>
      </c>
      <c r="D283" t="s">
        <v>1568</v>
      </c>
      <c r="E283" t="s">
        <v>43</v>
      </c>
      <c r="F283" t="s">
        <v>1625</v>
      </c>
      <c r="G283" t="s">
        <v>372</v>
      </c>
      <c r="H283" t="s">
        <v>1568</v>
      </c>
      <c r="I283" t="s">
        <v>373</v>
      </c>
      <c r="J283" t="s">
        <v>1568</v>
      </c>
      <c r="K283" t="s">
        <v>1568</v>
      </c>
      <c r="L283" t="s">
        <v>1568</v>
      </c>
      <c r="M283" t="s">
        <v>1568</v>
      </c>
      <c r="N283" t="s">
        <v>1568</v>
      </c>
      <c r="O283" t="s">
        <v>1568</v>
      </c>
      <c r="P283" t="s">
        <v>1568</v>
      </c>
      <c r="Q283" t="s">
        <v>1568</v>
      </c>
      <c r="R283" t="s">
        <v>1568</v>
      </c>
      <c r="S283" t="s">
        <v>1568</v>
      </c>
      <c r="T283" t="s">
        <v>1568</v>
      </c>
      <c r="U283" t="s">
        <v>1568</v>
      </c>
      <c r="V283" t="s">
        <v>1608</v>
      </c>
      <c r="W283" t="s">
        <v>374</v>
      </c>
      <c r="X283" t="s">
        <v>30</v>
      </c>
      <c r="Y283" t="s">
        <v>1572</v>
      </c>
    </row>
    <row r="284" spans="1:25" ht="16" x14ac:dyDescent="0.2">
      <c r="A284" t="s">
        <v>1568</v>
      </c>
      <c r="B284" t="s">
        <v>368</v>
      </c>
      <c r="C284" t="s">
        <v>1568</v>
      </c>
      <c r="D284" t="s">
        <v>1568</v>
      </c>
      <c r="E284" t="s">
        <v>47</v>
      </c>
      <c r="F284" t="s">
        <v>1625</v>
      </c>
      <c r="G284" t="s">
        <v>375</v>
      </c>
      <c r="H284" t="s">
        <v>1568</v>
      </c>
      <c r="I284" t="s">
        <v>376</v>
      </c>
      <c r="J284" t="s">
        <v>1568</v>
      </c>
      <c r="K284" t="s">
        <v>1568</v>
      </c>
      <c r="L284" t="s">
        <v>1568</v>
      </c>
      <c r="M284" t="s">
        <v>1568</v>
      </c>
      <c r="N284" t="s">
        <v>1568</v>
      </c>
      <c r="O284" t="s">
        <v>1568</v>
      </c>
      <c r="P284" t="s">
        <v>1568</v>
      </c>
      <c r="Q284" t="s">
        <v>1568</v>
      </c>
      <c r="R284" t="s">
        <v>1568</v>
      </c>
      <c r="S284" t="s">
        <v>1568</v>
      </c>
      <c r="T284" t="s">
        <v>1568</v>
      </c>
      <c r="U284" t="s">
        <v>1568</v>
      </c>
      <c r="V284" t="s">
        <v>1620</v>
      </c>
      <c r="W284" t="s">
        <v>377</v>
      </c>
      <c r="X284" t="s">
        <v>30</v>
      </c>
      <c r="Y284" t="s">
        <v>1572</v>
      </c>
    </row>
    <row r="285" spans="1:25" ht="16" x14ac:dyDescent="0.2">
      <c r="A285" t="s">
        <v>1568</v>
      </c>
      <c r="B285" t="s">
        <v>368</v>
      </c>
      <c r="C285" t="s">
        <v>1568</v>
      </c>
      <c r="D285" t="s">
        <v>1568</v>
      </c>
      <c r="E285" t="s">
        <v>51</v>
      </c>
      <c r="F285" t="s">
        <v>1625</v>
      </c>
      <c r="G285" t="s">
        <v>378</v>
      </c>
      <c r="H285" t="s">
        <v>1568</v>
      </c>
      <c r="I285" t="s">
        <v>379</v>
      </c>
      <c r="J285" t="s">
        <v>1568</v>
      </c>
      <c r="K285" t="s">
        <v>1568</v>
      </c>
      <c r="L285" t="s">
        <v>1568</v>
      </c>
      <c r="M285" t="s">
        <v>1568</v>
      </c>
      <c r="N285" t="s">
        <v>1568</v>
      </c>
      <c r="O285" t="s">
        <v>1568</v>
      </c>
      <c r="P285" t="s">
        <v>1568</v>
      </c>
      <c r="Q285" t="s">
        <v>1568</v>
      </c>
      <c r="R285" t="s">
        <v>1568</v>
      </c>
      <c r="S285" t="s">
        <v>1568</v>
      </c>
      <c r="T285" t="s">
        <v>1568</v>
      </c>
      <c r="U285" t="s">
        <v>1568</v>
      </c>
      <c r="V285" t="s">
        <v>1626</v>
      </c>
      <c r="W285" t="s">
        <v>380</v>
      </c>
      <c r="X285" t="s">
        <v>30</v>
      </c>
      <c r="Y285" t="s">
        <v>1572</v>
      </c>
    </row>
    <row r="286" spans="1:25" ht="16" x14ac:dyDescent="0.2">
      <c r="A286" t="s">
        <v>1568</v>
      </c>
      <c r="B286" t="s">
        <v>368</v>
      </c>
      <c r="C286" t="s">
        <v>1568</v>
      </c>
      <c r="D286" t="s">
        <v>1568</v>
      </c>
      <c r="E286" t="s">
        <v>55</v>
      </c>
      <c r="F286" t="s">
        <v>1625</v>
      </c>
      <c r="G286" t="s">
        <v>381</v>
      </c>
      <c r="H286" t="s">
        <v>1568</v>
      </c>
      <c r="I286" t="s">
        <v>382</v>
      </c>
      <c r="J286" t="s">
        <v>1568</v>
      </c>
      <c r="K286" t="s">
        <v>1568</v>
      </c>
      <c r="L286" t="s">
        <v>1568</v>
      </c>
      <c r="M286" t="s">
        <v>1568</v>
      </c>
      <c r="N286" t="s">
        <v>1568</v>
      </c>
      <c r="O286" t="s">
        <v>1568</v>
      </c>
      <c r="P286" t="s">
        <v>1568</v>
      </c>
      <c r="Q286" t="s">
        <v>1568</v>
      </c>
      <c r="R286" t="s">
        <v>1568</v>
      </c>
      <c r="S286" t="s">
        <v>1568</v>
      </c>
      <c r="T286" t="s">
        <v>1568</v>
      </c>
      <c r="U286" t="s">
        <v>1568</v>
      </c>
      <c r="V286" t="s">
        <v>1608</v>
      </c>
      <c r="W286" t="s">
        <v>383</v>
      </c>
      <c r="X286" t="s">
        <v>30</v>
      </c>
      <c r="Y286" t="s">
        <v>1572</v>
      </c>
    </row>
    <row r="287" spans="1:25" ht="16" x14ac:dyDescent="0.2">
      <c r="A287" t="s">
        <v>1568</v>
      </c>
      <c r="B287" t="s">
        <v>384</v>
      </c>
      <c r="C287" t="s">
        <v>1568</v>
      </c>
      <c r="D287" t="s">
        <v>1568</v>
      </c>
      <c r="E287" t="s">
        <v>36</v>
      </c>
      <c r="F287" t="s">
        <v>1627</v>
      </c>
      <c r="G287" t="s">
        <v>385</v>
      </c>
      <c r="H287" t="s">
        <v>1568</v>
      </c>
      <c r="I287" t="s">
        <v>386</v>
      </c>
      <c r="J287" t="s">
        <v>1568</v>
      </c>
      <c r="K287" t="s">
        <v>1568</v>
      </c>
      <c r="L287" t="s">
        <v>1568</v>
      </c>
      <c r="M287" t="s">
        <v>1568</v>
      </c>
      <c r="N287" t="s">
        <v>1568</v>
      </c>
      <c r="O287" t="s">
        <v>1568</v>
      </c>
      <c r="P287" t="s">
        <v>1568</v>
      </c>
      <c r="Q287" t="s">
        <v>1568</v>
      </c>
      <c r="R287" t="s">
        <v>1568</v>
      </c>
      <c r="S287" t="s">
        <v>1568</v>
      </c>
      <c r="T287" t="s">
        <v>1568</v>
      </c>
      <c r="U287" t="s">
        <v>1568</v>
      </c>
      <c r="V287" t="s">
        <v>1592</v>
      </c>
      <c r="W287" t="s">
        <v>387</v>
      </c>
      <c r="X287" t="s">
        <v>30</v>
      </c>
      <c r="Y287" t="s">
        <v>1572</v>
      </c>
    </row>
    <row r="288" spans="1:25" ht="16" x14ac:dyDescent="0.2">
      <c r="A288" t="s">
        <v>1568</v>
      </c>
      <c r="B288" t="s">
        <v>384</v>
      </c>
      <c r="C288" t="s">
        <v>1568</v>
      </c>
      <c r="D288" t="s">
        <v>1568</v>
      </c>
      <c r="E288" t="s">
        <v>43</v>
      </c>
      <c r="F288" t="s">
        <v>1627</v>
      </c>
      <c r="G288" t="s">
        <v>388</v>
      </c>
      <c r="H288" t="s">
        <v>1568</v>
      </c>
      <c r="I288" t="s">
        <v>389</v>
      </c>
      <c r="J288" t="s">
        <v>1568</v>
      </c>
      <c r="K288" t="s">
        <v>1568</v>
      </c>
      <c r="L288" t="s">
        <v>1568</v>
      </c>
      <c r="M288" t="s">
        <v>1568</v>
      </c>
      <c r="N288" t="s">
        <v>1568</v>
      </c>
      <c r="O288" t="s">
        <v>1568</v>
      </c>
      <c r="P288" t="s">
        <v>1568</v>
      </c>
      <c r="Q288" t="s">
        <v>1568</v>
      </c>
      <c r="R288" t="s">
        <v>1568</v>
      </c>
      <c r="S288" t="s">
        <v>1568</v>
      </c>
      <c r="T288" t="s">
        <v>1568</v>
      </c>
      <c r="U288" t="s">
        <v>1568</v>
      </c>
      <c r="V288" t="s">
        <v>1608</v>
      </c>
      <c r="W288" t="s">
        <v>390</v>
      </c>
      <c r="X288" t="s">
        <v>30</v>
      </c>
      <c r="Y288" t="s">
        <v>1572</v>
      </c>
    </row>
    <row r="289" spans="1:25" ht="16" x14ac:dyDescent="0.2">
      <c r="A289" t="s">
        <v>1568</v>
      </c>
      <c r="B289" t="s">
        <v>384</v>
      </c>
      <c r="C289" t="s">
        <v>1568</v>
      </c>
      <c r="D289" t="s">
        <v>1568</v>
      </c>
      <c r="E289" t="s">
        <v>47</v>
      </c>
      <c r="F289" t="s">
        <v>1627</v>
      </c>
      <c r="G289" t="s">
        <v>391</v>
      </c>
      <c r="H289" t="s">
        <v>1568</v>
      </c>
      <c r="I289" t="s">
        <v>392</v>
      </c>
      <c r="J289" t="s">
        <v>1568</v>
      </c>
      <c r="K289" t="s">
        <v>1568</v>
      </c>
      <c r="L289" t="s">
        <v>1568</v>
      </c>
      <c r="M289" t="s">
        <v>1568</v>
      </c>
      <c r="N289" t="s">
        <v>1568</v>
      </c>
      <c r="O289" t="s">
        <v>1568</v>
      </c>
      <c r="P289" t="s">
        <v>1568</v>
      </c>
      <c r="Q289" t="s">
        <v>1568</v>
      </c>
      <c r="R289" t="s">
        <v>1568</v>
      </c>
      <c r="S289" t="s">
        <v>1568</v>
      </c>
      <c r="T289" t="s">
        <v>1568</v>
      </c>
      <c r="U289" t="s">
        <v>1568</v>
      </c>
      <c r="V289" t="s">
        <v>1620</v>
      </c>
      <c r="W289" t="s">
        <v>393</v>
      </c>
      <c r="X289" t="s">
        <v>30</v>
      </c>
      <c r="Y289" t="s">
        <v>1572</v>
      </c>
    </row>
    <row r="290" spans="1:25" ht="16" x14ac:dyDescent="0.2">
      <c r="A290" t="s">
        <v>1568</v>
      </c>
      <c r="B290" t="s">
        <v>384</v>
      </c>
      <c r="C290" t="s">
        <v>1568</v>
      </c>
      <c r="D290" t="s">
        <v>1568</v>
      </c>
      <c r="E290" t="s">
        <v>51</v>
      </c>
      <c r="F290" t="s">
        <v>1627</v>
      </c>
      <c r="G290" t="s">
        <v>394</v>
      </c>
      <c r="H290" t="s">
        <v>1568</v>
      </c>
      <c r="I290" t="s">
        <v>395</v>
      </c>
      <c r="J290" t="s">
        <v>1568</v>
      </c>
      <c r="K290" t="s">
        <v>1568</v>
      </c>
      <c r="L290" t="s">
        <v>1568</v>
      </c>
      <c r="M290" t="s">
        <v>1568</v>
      </c>
      <c r="N290" t="s">
        <v>1568</v>
      </c>
      <c r="O290" t="s">
        <v>1568</v>
      </c>
      <c r="P290" t="s">
        <v>1568</v>
      </c>
      <c r="Q290" t="s">
        <v>1568</v>
      </c>
      <c r="R290" t="s">
        <v>1568</v>
      </c>
      <c r="S290" t="s">
        <v>1568</v>
      </c>
      <c r="T290" t="s">
        <v>1568</v>
      </c>
      <c r="U290" t="s">
        <v>1568</v>
      </c>
      <c r="V290" t="s">
        <v>1626</v>
      </c>
      <c r="W290" t="s">
        <v>396</v>
      </c>
      <c r="X290" t="s">
        <v>30</v>
      </c>
      <c r="Y290" t="s">
        <v>1572</v>
      </c>
    </row>
    <row r="291" spans="1:25" ht="16" x14ac:dyDescent="0.2">
      <c r="A291" t="s">
        <v>1568</v>
      </c>
      <c r="B291" t="s">
        <v>384</v>
      </c>
      <c r="C291" t="s">
        <v>1568</v>
      </c>
      <c r="D291" t="s">
        <v>1568</v>
      </c>
      <c r="E291" t="s">
        <v>55</v>
      </c>
      <c r="F291" t="s">
        <v>1627</v>
      </c>
      <c r="G291" t="s">
        <v>397</v>
      </c>
      <c r="H291" t="s">
        <v>1568</v>
      </c>
      <c r="I291" t="s">
        <v>398</v>
      </c>
      <c r="J291" t="s">
        <v>1568</v>
      </c>
      <c r="K291" t="s">
        <v>1568</v>
      </c>
      <c r="L291" t="s">
        <v>1568</v>
      </c>
      <c r="M291" t="s">
        <v>1568</v>
      </c>
      <c r="N291" t="s">
        <v>1568</v>
      </c>
      <c r="O291" t="s">
        <v>1568</v>
      </c>
      <c r="P291" t="s">
        <v>1568</v>
      </c>
      <c r="Q291" t="s">
        <v>1568</v>
      </c>
      <c r="R291" t="s">
        <v>1568</v>
      </c>
      <c r="S291" t="s">
        <v>1568</v>
      </c>
      <c r="T291" t="s">
        <v>1568</v>
      </c>
      <c r="U291" t="s">
        <v>1568</v>
      </c>
      <c r="V291" t="s">
        <v>1608</v>
      </c>
      <c r="W291" t="s">
        <v>399</v>
      </c>
      <c r="X291" t="s">
        <v>30</v>
      </c>
      <c r="Y291" t="s">
        <v>1572</v>
      </c>
    </row>
    <row r="292" spans="1:25" ht="16" x14ac:dyDescent="0.2">
      <c r="A292" t="s">
        <v>1568</v>
      </c>
      <c r="B292" t="s">
        <v>400</v>
      </c>
      <c r="C292" t="s">
        <v>1568</v>
      </c>
      <c r="D292" t="s">
        <v>1568</v>
      </c>
      <c r="E292" t="s">
        <v>36</v>
      </c>
      <c r="F292" t="s">
        <v>1628</v>
      </c>
      <c r="G292" t="s">
        <v>401</v>
      </c>
      <c r="H292" t="s">
        <v>1568</v>
      </c>
      <c r="I292" t="s">
        <v>402</v>
      </c>
      <c r="J292" t="s">
        <v>1568</v>
      </c>
      <c r="K292" t="s">
        <v>1568</v>
      </c>
      <c r="L292" t="s">
        <v>1568</v>
      </c>
      <c r="M292" t="s">
        <v>1568</v>
      </c>
      <c r="N292" t="s">
        <v>1568</v>
      </c>
      <c r="O292" t="s">
        <v>1568</v>
      </c>
      <c r="P292" t="s">
        <v>1568</v>
      </c>
      <c r="Q292" t="s">
        <v>1568</v>
      </c>
      <c r="R292" t="s">
        <v>1568</v>
      </c>
      <c r="S292" t="s">
        <v>1568</v>
      </c>
      <c r="T292" t="s">
        <v>1568</v>
      </c>
      <c r="U292" t="s">
        <v>1568</v>
      </c>
      <c r="V292" t="s">
        <v>1592</v>
      </c>
      <c r="W292" t="s">
        <v>403</v>
      </c>
      <c r="X292" t="s">
        <v>30</v>
      </c>
      <c r="Y292" t="s">
        <v>1572</v>
      </c>
    </row>
    <row r="293" spans="1:25" ht="16" x14ac:dyDescent="0.2">
      <c r="A293" t="s">
        <v>1568</v>
      </c>
      <c r="B293" t="s">
        <v>400</v>
      </c>
      <c r="C293" t="s">
        <v>1568</v>
      </c>
      <c r="D293" t="s">
        <v>1568</v>
      </c>
      <c r="E293" t="s">
        <v>43</v>
      </c>
      <c r="F293" t="s">
        <v>1628</v>
      </c>
      <c r="G293" t="s">
        <v>404</v>
      </c>
      <c r="H293" t="s">
        <v>1568</v>
      </c>
      <c r="I293" t="s">
        <v>405</v>
      </c>
      <c r="J293" t="s">
        <v>1568</v>
      </c>
      <c r="K293" t="s">
        <v>1568</v>
      </c>
      <c r="L293" t="s">
        <v>1568</v>
      </c>
      <c r="M293" t="s">
        <v>1568</v>
      </c>
      <c r="N293" t="s">
        <v>1568</v>
      </c>
      <c r="O293" t="s">
        <v>1568</v>
      </c>
      <c r="P293" t="s">
        <v>1568</v>
      </c>
      <c r="Q293" t="s">
        <v>1568</v>
      </c>
      <c r="R293" t="s">
        <v>1568</v>
      </c>
      <c r="S293" t="s">
        <v>1568</v>
      </c>
      <c r="T293" t="s">
        <v>1568</v>
      </c>
      <c r="U293" t="s">
        <v>1568</v>
      </c>
      <c r="V293" t="s">
        <v>1592</v>
      </c>
      <c r="W293" t="s">
        <v>406</v>
      </c>
      <c r="X293" t="s">
        <v>30</v>
      </c>
      <c r="Y293" t="s">
        <v>1572</v>
      </c>
    </row>
    <row r="294" spans="1:25" ht="16" x14ac:dyDescent="0.2">
      <c r="A294" t="s">
        <v>1568</v>
      </c>
      <c r="B294" t="s">
        <v>400</v>
      </c>
      <c r="C294" t="s">
        <v>1568</v>
      </c>
      <c r="D294" t="s">
        <v>1568</v>
      </c>
      <c r="E294" t="s">
        <v>47</v>
      </c>
      <c r="F294" t="s">
        <v>1628</v>
      </c>
      <c r="G294" t="s">
        <v>407</v>
      </c>
      <c r="H294" t="s">
        <v>1568</v>
      </c>
      <c r="I294" t="s">
        <v>408</v>
      </c>
      <c r="J294" t="s">
        <v>1568</v>
      </c>
      <c r="K294" t="s">
        <v>1568</v>
      </c>
      <c r="L294" t="s">
        <v>1568</v>
      </c>
      <c r="M294" t="s">
        <v>1568</v>
      </c>
      <c r="N294" t="s">
        <v>1568</v>
      </c>
      <c r="O294" t="s">
        <v>1568</v>
      </c>
      <c r="P294" t="s">
        <v>1568</v>
      </c>
      <c r="Q294" t="s">
        <v>1568</v>
      </c>
      <c r="R294" t="s">
        <v>1568</v>
      </c>
      <c r="S294" t="s">
        <v>1568</v>
      </c>
      <c r="T294" t="s">
        <v>1568</v>
      </c>
      <c r="U294" t="s">
        <v>1568</v>
      </c>
      <c r="V294" t="s">
        <v>1629</v>
      </c>
      <c r="W294" t="s">
        <v>409</v>
      </c>
      <c r="X294" t="s">
        <v>30</v>
      </c>
      <c r="Y294" t="s">
        <v>1572</v>
      </c>
    </row>
    <row r="295" spans="1:25" ht="16" x14ac:dyDescent="0.2">
      <c r="A295" t="s">
        <v>1568</v>
      </c>
      <c r="B295" t="s">
        <v>400</v>
      </c>
      <c r="C295" t="s">
        <v>1568</v>
      </c>
      <c r="D295" t="s">
        <v>1568</v>
      </c>
      <c r="E295" t="s">
        <v>51</v>
      </c>
      <c r="F295" t="s">
        <v>1628</v>
      </c>
      <c r="G295" t="s">
        <v>410</v>
      </c>
      <c r="H295" t="s">
        <v>1568</v>
      </c>
      <c r="I295" t="s">
        <v>411</v>
      </c>
      <c r="J295" t="s">
        <v>1568</v>
      </c>
      <c r="K295" t="s">
        <v>1568</v>
      </c>
      <c r="L295" t="s">
        <v>1568</v>
      </c>
      <c r="M295" t="s">
        <v>1568</v>
      </c>
      <c r="N295" t="s">
        <v>1568</v>
      </c>
      <c r="O295" t="s">
        <v>1568</v>
      </c>
      <c r="P295" t="s">
        <v>1568</v>
      </c>
      <c r="Q295" t="s">
        <v>1568</v>
      </c>
      <c r="R295" t="s">
        <v>1568</v>
      </c>
      <c r="S295" t="s">
        <v>1568</v>
      </c>
      <c r="T295" t="s">
        <v>1568</v>
      </c>
      <c r="U295" t="s">
        <v>1568</v>
      </c>
      <c r="V295" t="s">
        <v>1592</v>
      </c>
      <c r="W295" t="s">
        <v>412</v>
      </c>
      <c r="X295" t="s">
        <v>30</v>
      </c>
      <c r="Y295" t="s">
        <v>1572</v>
      </c>
    </row>
    <row r="296" spans="1:25" ht="16" x14ac:dyDescent="0.2">
      <c r="A296" t="s">
        <v>1568</v>
      </c>
      <c r="B296" t="s">
        <v>400</v>
      </c>
      <c r="C296" t="s">
        <v>1568</v>
      </c>
      <c r="D296" t="s">
        <v>1568</v>
      </c>
      <c r="E296" t="s">
        <v>55</v>
      </c>
      <c r="F296" t="s">
        <v>1628</v>
      </c>
      <c r="G296" t="s">
        <v>413</v>
      </c>
      <c r="H296" t="s">
        <v>1568</v>
      </c>
      <c r="I296" t="s">
        <v>414</v>
      </c>
      <c r="J296" t="s">
        <v>1568</v>
      </c>
      <c r="K296" t="s">
        <v>1568</v>
      </c>
      <c r="L296" t="s">
        <v>1568</v>
      </c>
      <c r="M296" t="s">
        <v>1568</v>
      </c>
      <c r="N296" t="s">
        <v>1568</v>
      </c>
      <c r="O296" t="s">
        <v>1568</v>
      </c>
      <c r="P296" t="s">
        <v>1568</v>
      </c>
      <c r="Q296" t="s">
        <v>1568</v>
      </c>
      <c r="R296" t="s">
        <v>1568</v>
      </c>
      <c r="S296" t="s">
        <v>1568</v>
      </c>
      <c r="T296" t="s">
        <v>1568</v>
      </c>
      <c r="U296" t="s">
        <v>1568</v>
      </c>
      <c r="V296" t="s">
        <v>1592</v>
      </c>
      <c r="W296" t="s">
        <v>415</v>
      </c>
      <c r="X296" t="s">
        <v>30</v>
      </c>
      <c r="Y296" t="s">
        <v>1572</v>
      </c>
    </row>
    <row r="297" spans="1:25" ht="16" x14ac:dyDescent="0.2">
      <c r="A297" t="s">
        <v>1568</v>
      </c>
      <c r="B297" t="s">
        <v>416</v>
      </c>
      <c r="C297" t="s">
        <v>1568</v>
      </c>
      <c r="D297" t="s">
        <v>1568</v>
      </c>
      <c r="E297" t="s">
        <v>36</v>
      </c>
      <c r="F297" t="s">
        <v>1625</v>
      </c>
      <c r="G297" t="s">
        <v>369</v>
      </c>
      <c r="H297" t="s">
        <v>1568</v>
      </c>
      <c r="I297" t="s">
        <v>370</v>
      </c>
      <c r="J297" t="s">
        <v>1568</v>
      </c>
      <c r="K297" t="s">
        <v>1568</v>
      </c>
      <c r="L297" t="s">
        <v>1568</v>
      </c>
      <c r="M297" t="s">
        <v>1568</v>
      </c>
      <c r="N297" t="s">
        <v>1568</v>
      </c>
      <c r="O297" t="s">
        <v>1568</v>
      </c>
      <c r="P297" t="s">
        <v>1568</v>
      </c>
      <c r="Q297" t="s">
        <v>1568</v>
      </c>
      <c r="R297" t="s">
        <v>1568</v>
      </c>
      <c r="S297" t="s">
        <v>1568</v>
      </c>
      <c r="T297" t="s">
        <v>1568</v>
      </c>
      <c r="U297" t="s">
        <v>1568</v>
      </c>
      <c r="V297" t="s">
        <v>1592</v>
      </c>
      <c r="W297" t="s">
        <v>371</v>
      </c>
      <c r="X297" t="s">
        <v>59</v>
      </c>
      <c r="Y297" t="s">
        <v>1581</v>
      </c>
    </row>
    <row r="298" spans="1:25" ht="16" x14ac:dyDescent="0.2">
      <c r="A298" t="s">
        <v>1568</v>
      </c>
      <c r="B298" t="s">
        <v>416</v>
      </c>
      <c r="C298" t="s">
        <v>1568</v>
      </c>
      <c r="D298" t="s">
        <v>1568</v>
      </c>
      <c r="E298" t="s">
        <v>43</v>
      </c>
      <c r="F298" t="s">
        <v>1625</v>
      </c>
      <c r="G298" t="s">
        <v>372</v>
      </c>
      <c r="H298" t="s">
        <v>1568</v>
      </c>
      <c r="I298" t="s">
        <v>373</v>
      </c>
      <c r="J298" t="s">
        <v>1568</v>
      </c>
      <c r="K298" t="s">
        <v>1568</v>
      </c>
      <c r="L298" t="s">
        <v>1568</v>
      </c>
      <c r="M298" t="s">
        <v>1568</v>
      </c>
      <c r="N298" t="s">
        <v>1568</v>
      </c>
      <c r="O298" t="s">
        <v>1568</v>
      </c>
      <c r="P298" t="s">
        <v>1568</v>
      </c>
      <c r="Q298" t="s">
        <v>1568</v>
      </c>
      <c r="R298" t="s">
        <v>1568</v>
      </c>
      <c r="S298" t="s">
        <v>1568</v>
      </c>
      <c r="T298" t="s">
        <v>1568</v>
      </c>
      <c r="U298" t="s">
        <v>1568</v>
      </c>
      <c r="V298" t="s">
        <v>1630</v>
      </c>
      <c r="W298" t="s">
        <v>374</v>
      </c>
      <c r="X298" t="s">
        <v>59</v>
      </c>
      <c r="Y298" t="s">
        <v>1581</v>
      </c>
    </row>
    <row r="299" spans="1:25" ht="16" x14ac:dyDescent="0.2">
      <c r="A299" t="s">
        <v>1568</v>
      </c>
      <c r="B299" t="s">
        <v>416</v>
      </c>
      <c r="C299" t="s">
        <v>1568</v>
      </c>
      <c r="D299" t="s">
        <v>1568</v>
      </c>
      <c r="E299" t="s">
        <v>47</v>
      </c>
      <c r="F299" t="s">
        <v>1625</v>
      </c>
      <c r="G299" t="s">
        <v>375</v>
      </c>
      <c r="H299" t="s">
        <v>1568</v>
      </c>
      <c r="I299" t="s">
        <v>376</v>
      </c>
      <c r="J299" t="s">
        <v>1568</v>
      </c>
      <c r="K299" t="s">
        <v>1568</v>
      </c>
      <c r="L299" t="s">
        <v>1568</v>
      </c>
      <c r="M299" t="s">
        <v>1568</v>
      </c>
      <c r="N299" t="s">
        <v>1568</v>
      </c>
      <c r="O299" t="s">
        <v>1568</v>
      </c>
      <c r="P299" t="s">
        <v>1568</v>
      </c>
      <c r="Q299" t="s">
        <v>1568</v>
      </c>
      <c r="R299" t="s">
        <v>1568</v>
      </c>
      <c r="S299" t="s">
        <v>1568</v>
      </c>
      <c r="T299" t="s">
        <v>1568</v>
      </c>
      <c r="U299" t="s">
        <v>1568</v>
      </c>
      <c r="V299" t="s">
        <v>1631</v>
      </c>
      <c r="W299" t="s">
        <v>377</v>
      </c>
      <c r="X299" t="s">
        <v>59</v>
      </c>
      <c r="Y299" t="s">
        <v>1581</v>
      </c>
    </row>
    <row r="300" spans="1:25" ht="16" x14ac:dyDescent="0.2">
      <c r="A300" t="s">
        <v>1568</v>
      </c>
      <c r="B300" t="s">
        <v>416</v>
      </c>
      <c r="C300" t="s">
        <v>1568</v>
      </c>
      <c r="D300" t="s">
        <v>1568</v>
      </c>
      <c r="E300" t="s">
        <v>51</v>
      </c>
      <c r="F300" t="s">
        <v>1625</v>
      </c>
      <c r="G300" t="s">
        <v>378</v>
      </c>
      <c r="H300" t="s">
        <v>1568</v>
      </c>
      <c r="I300" t="s">
        <v>379</v>
      </c>
      <c r="J300" t="s">
        <v>1568</v>
      </c>
      <c r="K300" t="s">
        <v>1568</v>
      </c>
      <c r="L300" t="s">
        <v>1568</v>
      </c>
      <c r="M300" t="s">
        <v>1568</v>
      </c>
      <c r="N300" t="s">
        <v>1568</v>
      </c>
      <c r="O300" t="s">
        <v>1568</v>
      </c>
      <c r="P300" t="s">
        <v>1568</v>
      </c>
      <c r="Q300" t="s">
        <v>1568</v>
      </c>
      <c r="R300" t="s">
        <v>1568</v>
      </c>
      <c r="S300" t="s">
        <v>1568</v>
      </c>
      <c r="T300" t="s">
        <v>1568</v>
      </c>
      <c r="U300" t="s">
        <v>1568</v>
      </c>
      <c r="V300" t="s">
        <v>1592</v>
      </c>
      <c r="W300" t="s">
        <v>380</v>
      </c>
      <c r="X300" t="s">
        <v>59</v>
      </c>
      <c r="Y300" t="s">
        <v>1581</v>
      </c>
    </row>
    <row r="301" spans="1:25" ht="16" x14ac:dyDescent="0.2">
      <c r="A301" t="s">
        <v>1568</v>
      </c>
      <c r="B301" t="s">
        <v>416</v>
      </c>
      <c r="C301" t="s">
        <v>1568</v>
      </c>
      <c r="D301" t="s">
        <v>1568</v>
      </c>
      <c r="E301" t="s">
        <v>55</v>
      </c>
      <c r="F301" t="s">
        <v>1625</v>
      </c>
      <c r="G301" t="s">
        <v>381</v>
      </c>
      <c r="H301" t="s">
        <v>1568</v>
      </c>
      <c r="I301" t="s">
        <v>382</v>
      </c>
      <c r="J301" t="s">
        <v>1568</v>
      </c>
      <c r="K301" t="s">
        <v>1568</v>
      </c>
      <c r="L301" t="s">
        <v>1568</v>
      </c>
      <c r="M301" t="s">
        <v>1568</v>
      </c>
      <c r="N301" t="s">
        <v>1568</v>
      </c>
      <c r="O301" t="s">
        <v>1568</v>
      </c>
      <c r="P301" t="s">
        <v>1568</v>
      </c>
      <c r="Q301" t="s">
        <v>1568</v>
      </c>
      <c r="R301" t="s">
        <v>1568</v>
      </c>
      <c r="S301" t="s">
        <v>1568</v>
      </c>
      <c r="T301" t="s">
        <v>1568</v>
      </c>
      <c r="U301" t="s">
        <v>1568</v>
      </c>
      <c r="V301" t="s">
        <v>1630</v>
      </c>
      <c r="W301" t="s">
        <v>383</v>
      </c>
      <c r="X301" t="s">
        <v>59</v>
      </c>
      <c r="Y301" t="s">
        <v>1581</v>
      </c>
    </row>
    <row r="302" spans="1:25" ht="16" x14ac:dyDescent="0.2">
      <c r="A302" t="s">
        <v>1568</v>
      </c>
      <c r="B302" t="s">
        <v>417</v>
      </c>
      <c r="C302" t="s">
        <v>1568</v>
      </c>
      <c r="D302" t="s">
        <v>1568</v>
      </c>
      <c r="E302" t="s">
        <v>36</v>
      </c>
      <c r="F302" t="s">
        <v>1627</v>
      </c>
      <c r="G302" t="s">
        <v>385</v>
      </c>
      <c r="H302" t="s">
        <v>1568</v>
      </c>
      <c r="I302" t="s">
        <v>386</v>
      </c>
      <c r="J302" t="s">
        <v>1568</v>
      </c>
      <c r="K302" t="s">
        <v>1568</v>
      </c>
      <c r="L302" t="s">
        <v>1568</v>
      </c>
      <c r="M302" t="s">
        <v>1568</v>
      </c>
      <c r="N302" t="s">
        <v>1568</v>
      </c>
      <c r="O302" t="s">
        <v>1568</v>
      </c>
      <c r="P302" t="s">
        <v>1568</v>
      </c>
      <c r="Q302" t="s">
        <v>1568</v>
      </c>
      <c r="R302" t="s">
        <v>1568</v>
      </c>
      <c r="S302" t="s">
        <v>1568</v>
      </c>
      <c r="T302" t="s">
        <v>1568</v>
      </c>
      <c r="U302" t="s">
        <v>1568</v>
      </c>
      <c r="V302" t="s">
        <v>1592</v>
      </c>
      <c r="W302" t="s">
        <v>387</v>
      </c>
      <c r="X302" t="s">
        <v>59</v>
      </c>
      <c r="Y302" t="s">
        <v>1581</v>
      </c>
    </row>
    <row r="303" spans="1:25" ht="16" x14ac:dyDescent="0.2">
      <c r="A303" t="s">
        <v>1568</v>
      </c>
      <c r="B303" t="s">
        <v>417</v>
      </c>
      <c r="C303" t="s">
        <v>1568</v>
      </c>
      <c r="D303" t="s">
        <v>1568</v>
      </c>
      <c r="E303" t="s">
        <v>43</v>
      </c>
      <c r="F303" t="s">
        <v>1627</v>
      </c>
      <c r="G303" t="s">
        <v>388</v>
      </c>
      <c r="H303" t="s">
        <v>1568</v>
      </c>
      <c r="I303" t="s">
        <v>389</v>
      </c>
      <c r="J303" t="s">
        <v>1568</v>
      </c>
      <c r="K303" t="s">
        <v>1568</v>
      </c>
      <c r="L303" t="s">
        <v>1568</v>
      </c>
      <c r="M303" t="s">
        <v>1568</v>
      </c>
      <c r="N303" t="s">
        <v>1568</v>
      </c>
      <c r="O303" t="s">
        <v>1568</v>
      </c>
      <c r="P303" t="s">
        <v>1568</v>
      </c>
      <c r="Q303" t="s">
        <v>1568</v>
      </c>
      <c r="R303" t="s">
        <v>1568</v>
      </c>
      <c r="S303" t="s">
        <v>1568</v>
      </c>
      <c r="T303" t="s">
        <v>1568</v>
      </c>
      <c r="U303" t="s">
        <v>1568</v>
      </c>
      <c r="V303" t="s">
        <v>1630</v>
      </c>
      <c r="W303" t="s">
        <v>390</v>
      </c>
      <c r="X303" t="s">
        <v>59</v>
      </c>
      <c r="Y303" t="s">
        <v>1581</v>
      </c>
    </row>
    <row r="304" spans="1:25" ht="16" x14ac:dyDescent="0.2">
      <c r="A304" t="s">
        <v>1568</v>
      </c>
      <c r="B304" t="s">
        <v>417</v>
      </c>
      <c r="C304" t="s">
        <v>1568</v>
      </c>
      <c r="D304" t="s">
        <v>1568</v>
      </c>
      <c r="E304" t="s">
        <v>47</v>
      </c>
      <c r="F304" t="s">
        <v>1627</v>
      </c>
      <c r="G304" t="s">
        <v>391</v>
      </c>
      <c r="H304" t="s">
        <v>1568</v>
      </c>
      <c r="I304" t="s">
        <v>392</v>
      </c>
      <c r="J304" t="s">
        <v>1568</v>
      </c>
      <c r="K304" t="s">
        <v>1568</v>
      </c>
      <c r="L304" t="s">
        <v>1568</v>
      </c>
      <c r="M304" t="s">
        <v>1568</v>
      </c>
      <c r="N304" t="s">
        <v>1568</v>
      </c>
      <c r="O304" t="s">
        <v>1568</v>
      </c>
      <c r="P304" t="s">
        <v>1568</v>
      </c>
      <c r="Q304" t="s">
        <v>1568</v>
      </c>
      <c r="R304" t="s">
        <v>1568</v>
      </c>
      <c r="S304" t="s">
        <v>1568</v>
      </c>
      <c r="T304" t="s">
        <v>1568</v>
      </c>
      <c r="U304" t="s">
        <v>1568</v>
      </c>
      <c r="V304" t="s">
        <v>1631</v>
      </c>
      <c r="W304" t="s">
        <v>393</v>
      </c>
      <c r="X304" t="s">
        <v>59</v>
      </c>
      <c r="Y304" t="s">
        <v>1581</v>
      </c>
    </row>
    <row r="305" spans="1:25" ht="16" x14ac:dyDescent="0.2">
      <c r="A305" t="s">
        <v>1568</v>
      </c>
      <c r="B305" t="s">
        <v>417</v>
      </c>
      <c r="C305" t="s">
        <v>1568</v>
      </c>
      <c r="D305" t="s">
        <v>1568</v>
      </c>
      <c r="E305" t="s">
        <v>51</v>
      </c>
      <c r="F305" t="s">
        <v>1627</v>
      </c>
      <c r="G305" t="s">
        <v>394</v>
      </c>
      <c r="H305" t="s">
        <v>1568</v>
      </c>
      <c r="I305" t="s">
        <v>395</v>
      </c>
      <c r="J305" t="s">
        <v>1568</v>
      </c>
      <c r="K305" t="s">
        <v>1568</v>
      </c>
      <c r="L305" t="s">
        <v>1568</v>
      </c>
      <c r="M305" t="s">
        <v>1568</v>
      </c>
      <c r="N305" t="s">
        <v>1568</v>
      </c>
      <c r="O305" t="s">
        <v>1568</v>
      </c>
      <c r="P305" t="s">
        <v>1568</v>
      </c>
      <c r="Q305" t="s">
        <v>1568</v>
      </c>
      <c r="R305" t="s">
        <v>1568</v>
      </c>
      <c r="S305" t="s">
        <v>1568</v>
      </c>
      <c r="T305" t="s">
        <v>1568</v>
      </c>
      <c r="U305" t="s">
        <v>1568</v>
      </c>
      <c r="V305" t="s">
        <v>1592</v>
      </c>
      <c r="W305" t="s">
        <v>396</v>
      </c>
      <c r="X305" t="s">
        <v>59</v>
      </c>
      <c r="Y305" t="s">
        <v>1581</v>
      </c>
    </row>
    <row r="306" spans="1:25" ht="16" x14ac:dyDescent="0.2">
      <c r="A306" t="s">
        <v>1568</v>
      </c>
      <c r="B306" t="s">
        <v>417</v>
      </c>
      <c r="C306" t="s">
        <v>1568</v>
      </c>
      <c r="D306" t="s">
        <v>1568</v>
      </c>
      <c r="E306" t="s">
        <v>55</v>
      </c>
      <c r="F306" t="s">
        <v>1627</v>
      </c>
      <c r="G306" t="s">
        <v>397</v>
      </c>
      <c r="H306" t="s">
        <v>1568</v>
      </c>
      <c r="I306" t="s">
        <v>398</v>
      </c>
      <c r="J306" t="s">
        <v>1568</v>
      </c>
      <c r="K306" t="s">
        <v>1568</v>
      </c>
      <c r="L306" t="s">
        <v>1568</v>
      </c>
      <c r="M306" t="s">
        <v>1568</v>
      </c>
      <c r="N306" t="s">
        <v>1568</v>
      </c>
      <c r="O306" t="s">
        <v>1568</v>
      </c>
      <c r="P306" t="s">
        <v>1568</v>
      </c>
      <c r="Q306" t="s">
        <v>1568</v>
      </c>
      <c r="R306" t="s">
        <v>1568</v>
      </c>
      <c r="S306" t="s">
        <v>1568</v>
      </c>
      <c r="T306" t="s">
        <v>1568</v>
      </c>
      <c r="U306" t="s">
        <v>1568</v>
      </c>
      <c r="V306" t="s">
        <v>1630</v>
      </c>
      <c r="W306" t="s">
        <v>399</v>
      </c>
      <c r="X306" t="s">
        <v>59</v>
      </c>
      <c r="Y306" t="s">
        <v>1581</v>
      </c>
    </row>
    <row r="307" spans="1:25" ht="16" x14ac:dyDescent="0.2">
      <c r="A307" t="s">
        <v>1568</v>
      </c>
      <c r="B307" t="s">
        <v>418</v>
      </c>
      <c r="C307" t="s">
        <v>1568</v>
      </c>
      <c r="D307" t="s">
        <v>1568</v>
      </c>
      <c r="E307" t="s">
        <v>36</v>
      </c>
      <c r="F307" t="s">
        <v>1628</v>
      </c>
      <c r="G307" t="s">
        <v>401</v>
      </c>
      <c r="H307" t="s">
        <v>1568</v>
      </c>
      <c r="I307" t="s">
        <v>402</v>
      </c>
      <c r="J307" t="s">
        <v>1568</v>
      </c>
      <c r="K307" t="s">
        <v>1568</v>
      </c>
      <c r="L307" t="s">
        <v>1568</v>
      </c>
      <c r="M307" t="s">
        <v>1568</v>
      </c>
      <c r="N307" t="s">
        <v>1568</v>
      </c>
      <c r="O307" t="s">
        <v>1568</v>
      </c>
      <c r="P307" t="s">
        <v>1568</v>
      </c>
      <c r="Q307" t="s">
        <v>1568</v>
      </c>
      <c r="R307" t="s">
        <v>1568</v>
      </c>
      <c r="S307" t="s">
        <v>1568</v>
      </c>
      <c r="T307" t="s">
        <v>1568</v>
      </c>
      <c r="U307" t="s">
        <v>1568</v>
      </c>
      <c r="V307" t="s">
        <v>1592</v>
      </c>
      <c r="W307" t="s">
        <v>403</v>
      </c>
      <c r="X307" t="s">
        <v>59</v>
      </c>
      <c r="Y307" t="s">
        <v>1581</v>
      </c>
    </row>
    <row r="308" spans="1:25" ht="16" x14ac:dyDescent="0.2">
      <c r="A308" t="s">
        <v>1568</v>
      </c>
      <c r="B308" t="s">
        <v>418</v>
      </c>
      <c r="C308" t="s">
        <v>1568</v>
      </c>
      <c r="D308" t="s">
        <v>1568</v>
      </c>
      <c r="E308" t="s">
        <v>43</v>
      </c>
      <c r="F308" t="s">
        <v>1628</v>
      </c>
      <c r="G308" t="s">
        <v>404</v>
      </c>
      <c r="H308" t="s">
        <v>1568</v>
      </c>
      <c r="I308" t="s">
        <v>405</v>
      </c>
      <c r="J308" t="s">
        <v>1568</v>
      </c>
      <c r="K308" t="s">
        <v>1568</v>
      </c>
      <c r="L308" t="s">
        <v>1568</v>
      </c>
      <c r="M308" t="s">
        <v>1568</v>
      </c>
      <c r="N308" t="s">
        <v>1568</v>
      </c>
      <c r="O308" t="s">
        <v>1568</v>
      </c>
      <c r="P308" t="s">
        <v>1568</v>
      </c>
      <c r="Q308" t="s">
        <v>1568</v>
      </c>
      <c r="R308" t="s">
        <v>1568</v>
      </c>
      <c r="S308" t="s">
        <v>1568</v>
      </c>
      <c r="T308" t="s">
        <v>1568</v>
      </c>
      <c r="U308" t="s">
        <v>1568</v>
      </c>
      <c r="V308" t="s">
        <v>1592</v>
      </c>
      <c r="W308" t="s">
        <v>406</v>
      </c>
      <c r="X308" t="s">
        <v>59</v>
      </c>
      <c r="Y308" t="s">
        <v>1581</v>
      </c>
    </row>
    <row r="309" spans="1:25" ht="16" x14ac:dyDescent="0.2">
      <c r="A309" t="s">
        <v>1568</v>
      </c>
      <c r="B309" t="s">
        <v>418</v>
      </c>
      <c r="C309" t="s">
        <v>1568</v>
      </c>
      <c r="D309" t="s">
        <v>1568</v>
      </c>
      <c r="E309" t="s">
        <v>47</v>
      </c>
      <c r="F309" t="s">
        <v>1628</v>
      </c>
      <c r="G309" t="s">
        <v>407</v>
      </c>
      <c r="H309" t="s">
        <v>1568</v>
      </c>
      <c r="I309" t="s">
        <v>408</v>
      </c>
      <c r="J309" t="s">
        <v>1568</v>
      </c>
      <c r="K309" t="s">
        <v>1568</v>
      </c>
      <c r="L309" t="s">
        <v>1568</v>
      </c>
      <c r="M309" t="s">
        <v>1568</v>
      </c>
      <c r="N309" t="s">
        <v>1568</v>
      </c>
      <c r="O309" t="s">
        <v>1568</v>
      </c>
      <c r="P309" t="s">
        <v>1568</v>
      </c>
      <c r="Q309" t="s">
        <v>1568</v>
      </c>
      <c r="R309" t="s">
        <v>1568</v>
      </c>
      <c r="S309" t="s">
        <v>1568</v>
      </c>
      <c r="T309" t="s">
        <v>1568</v>
      </c>
      <c r="U309" t="s">
        <v>1568</v>
      </c>
      <c r="V309" t="s">
        <v>1592</v>
      </c>
      <c r="W309" t="s">
        <v>409</v>
      </c>
      <c r="X309" t="s">
        <v>59</v>
      </c>
      <c r="Y309" t="s">
        <v>1581</v>
      </c>
    </row>
    <row r="310" spans="1:25" ht="16" x14ac:dyDescent="0.2">
      <c r="A310" t="s">
        <v>1568</v>
      </c>
      <c r="B310" t="s">
        <v>418</v>
      </c>
      <c r="C310" t="s">
        <v>1568</v>
      </c>
      <c r="D310" t="s">
        <v>1568</v>
      </c>
      <c r="E310" t="s">
        <v>51</v>
      </c>
      <c r="F310" t="s">
        <v>1628</v>
      </c>
      <c r="G310" t="s">
        <v>410</v>
      </c>
      <c r="H310" t="s">
        <v>1568</v>
      </c>
      <c r="I310" t="s">
        <v>411</v>
      </c>
      <c r="J310" t="s">
        <v>1568</v>
      </c>
      <c r="K310" t="s">
        <v>1568</v>
      </c>
      <c r="L310" t="s">
        <v>1568</v>
      </c>
      <c r="M310" t="s">
        <v>1568</v>
      </c>
      <c r="N310" t="s">
        <v>1568</v>
      </c>
      <c r="O310" t="s">
        <v>1568</v>
      </c>
      <c r="P310" t="s">
        <v>1568</v>
      </c>
      <c r="Q310" t="s">
        <v>1568</v>
      </c>
      <c r="R310" t="s">
        <v>1568</v>
      </c>
      <c r="S310" t="s">
        <v>1568</v>
      </c>
      <c r="T310" t="s">
        <v>1568</v>
      </c>
      <c r="U310" t="s">
        <v>1568</v>
      </c>
      <c r="V310" t="s">
        <v>1592</v>
      </c>
      <c r="W310" t="s">
        <v>412</v>
      </c>
      <c r="X310" t="s">
        <v>59</v>
      </c>
      <c r="Y310" t="s">
        <v>1581</v>
      </c>
    </row>
    <row r="311" spans="1:25" ht="16" x14ac:dyDescent="0.2">
      <c r="A311" t="s">
        <v>1568</v>
      </c>
      <c r="B311" t="s">
        <v>418</v>
      </c>
      <c r="C311" t="s">
        <v>1568</v>
      </c>
      <c r="D311" t="s">
        <v>1568</v>
      </c>
      <c r="E311" t="s">
        <v>55</v>
      </c>
      <c r="F311" t="s">
        <v>1628</v>
      </c>
      <c r="G311" t="s">
        <v>413</v>
      </c>
      <c r="H311" t="s">
        <v>1568</v>
      </c>
      <c r="I311" t="s">
        <v>414</v>
      </c>
      <c r="J311" t="s">
        <v>1568</v>
      </c>
      <c r="K311" t="s">
        <v>1568</v>
      </c>
      <c r="L311" t="s">
        <v>1568</v>
      </c>
      <c r="M311" t="s">
        <v>1568</v>
      </c>
      <c r="N311" t="s">
        <v>1568</v>
      </c>
      <c r="O311" t="s">
        <v>1568</v>
      </c>
      <c r="P311" t="s">
        <v>1568</v>
      </c>
      <c r="Q311" t="s">
        <v>1568</v>
      </c>
      <c r="R311" t="s">
        <v>1568</v>
      </c>
      <c r="S311" t="s">
        <v>1568</v>
      </c>
      <c r="T311" t="s">
        <v>1568</v>
      </c>
      <c r="U311" t="s">
        <v>1568</v>
      </c>
      <c r="V311" t="s">
        <v>1592</v>
      </c>
      <c r="W311" t="s">
        <v>415</v>
      </c>
      <c r="X311" t="s">
        <v>59</v>
      </c>
      <c r="Y311" t="s">
        <v>1581</v>
      </c>
    </row>
    <row r="312" spans="1:25" ht="16" x14ac:dyDescent="0.2">
      <c r="A312" t="s">
        <v>1568</v>
      </c>
      <c r="B312" t="s">
        <v>419</v>
      </c>
      <c r="C312" t="s">
        <v>1568</v>
      </c>
      <c r="D312" t="s">
        <v>1568</v>
      </c>
      <c r="E312" t="s">
        <v>36</v>
      </c>
      <c r="F312" t="s">
        <v>1625</v>
      </c>
      <c r="G312" t="s">
        <v>369</v>
      </c>
      <c r="H312" t="s">
        <v>1568</v>
      </c>
      <c r="I312" t="s">
        <v>370</v>
      </c>
      <c r="J312" t="s">
        <v>1568</v>
      </c>
      <c r="K312" t="s">
        <v>1568</v>
      </c>
      <c r="L312" t="s">
        <v>1568</v>
      </c>
      <c r="M312" t="s">
        <v>1568</v>
      </c>
      <c r="N312" t="s">
        <v>1568</v>
      </c>
      <c r="O312" t="s">
        <v>1568</v>
      </c>
      <c r="P312" t="s">
        <v>1568</v>
      </c>
      <c r="Q312" t="s">
        <v>1568</v>
      </c>
      <c r="R312" t="s">
        <v>1568</v>
      </c>
      <c r="S312" t="s">
        <v>1568</v>
      </c>
      <c r="T312" t="s">
        <v>1568</v>
      </c>
      <c r="U312" t="s">
        <v>1568</v>
      </c>
      <c r="V312" t="s">
        <v>1592</v>
      </c>
      <c r="W312" t="s">
        <v>371</v>
      </c>
      <c r="X312" t="s">
        <v>61</v>
      </c>
      <c r="Y312" t="s">
        <v>1587</v>
      </c>
    </row>
    <row r="313" spans="1:25" ht="16" x14ac:dyDescent="0.2">
      <c r="A313" t="s">
        <v>1568</v>
      </c>
      <c r="B313" t="s">
        <v>419</v>
      </c>
      <c r="C313" t="s">
        <v>1568</v>
      </c>
      <c r="D313" t="s">
        <v>1568</v>
      </c>
      <c r="E313" t="s">
        <v>43</v>
      </c>
      <c r="F313" t="s">
        <v>1625</v>
      </c>
      <c r="G313" t="s">
        <v>372</v>
      </c>
      <c r="H313" t="s">
        <v>1568</v>
      </c>
      <c r="I313" t="s">
        <v>373</v>
      </c>
      <c r="J313" t="s">
        <v>1568</v>
      </c>
      <c r="K313" t="s">
        <v>1568</v>
      </c>
      <c r="L313" t="s">
        <v>1568</v>
      </c>
      <c r="M313" t="s">
        <v>1568</v>
      </c>
      <c r="N313" t="s">
        <v>1568</v>
      </c>
      <c r="O313" t="s">
        <v>1568</v>
      </c>
      <c r="P313" t="s">
        <v>1568</v>
      </c>
      <c r="Q313" t="s">
        <v>1568</v>
      </c>
      <c r="R313" t="s">
        <v>1568</v>
      </c>
      <c r="S313" t="s">
        <v>1568</v>
      </c>
      <c r="T313" t="s">
        <v>1568</v>
      </c>
      <c r="U313" t="s">
        <v>1568</v>
      </c>
      <c r="V313" t="s">
        <v>1618</v>
      </c>
      <c r="W313" t="s">
        <v>374</v>
      </c>
      <c r="X313" t="s">
        <v>61</v>
      </c>
      <c r="Y313" t="s">
        <v>1587</v>
      </c>
    </row>
    <row r="314" spans="1:25" ht="16" x14ac:dyDescent="0.2">
      <c r="A314" t="s">
        <v>1568</v>
      </c>
      <c r="B314" t="s">
        <v>419</v>
      </c>
      <c r="C314" t="s">
        <v>1568</v>
      </c>
      <c r="D314" t="s">
        <v>1568</v>
      </c>
      <c r="E314" t="s">
        <v>47</v>
      </c>
      <c r="F314" t="s">
        <v>1625</v>
      </c>
      <c r="G314" t="s">
        <v>375</v>
      </c>
      <c r="H314" t="s">
        <v>1568</v>
      </c>
      <c r="I314" t="s">
        <v>376</v>
      </c>
      <c r="J314" t="s">
        <v>1568</v>
      </c>
      <c r="K314" t="s">
        <v>1568</v>
      </c>
      <c r="L314" t="s">
        <v>1568</v>
      </c>
      <c r="M314" t="s">
        <v>1568</v>
      </c>
      <c r="N314" t="s">
        <v>1568</v>
      </c>
      <c r="O314" t="s">
        <v>1568</v>
      </c>
      <c r="P314" t="s">
        <v>1568</v>
      </c>
      <c r="Q314" t="s">
        <v>1568</v>
      </c>
      <c r="R314" t="s">
        <v>1568</v>
      </c>
      <c r="S314" t="s">
        <v>1568</v>
      </c>
      <c r="T314" t="s">
        <v>1568</v>
      </c>
      <c r="U314" t="s">
        <v>1568</v>
      </c>
      <c r="V314" t="s">
        <v>1632</v>
      </c>
      <c r="W314" t="s">
        <v>377</v>
      </c>
      <c r="X314" t="s">
        <v>61</v>
      </c>
      <c r="Y314" t="s">
        <v>1587</v>
      </c>
    </row>
    <row r="315" spans="1:25" ht="16" x14ac:dyDescent="0.2">
      <c r="A315" t="s">
        <v>1568</v>
      </c>
      <c r="B315" t="s">
        <v>419</v>
      </c>
      <c r="C315" t="s">
        <v>1568</v>
      </c>
      <c r="D315" t="s">
        <v>1568</v>
      </c>
      <c r="E315" t="s">
        <v>51</v>
      </c>
      <c r="F315" t="s">
        <v>1625</v>
      </c>
      <c r="G315" t="s">
        <v>378</v>
      </c>
      <c r="H315" t="s">
        <v>1568</v>
      </c>
      <c r="I315" t="s">
        <v>379</v>
      </c>
      <c r="J315" t="s">
        <v>1568</v>
      </c>
      <c r="K315" t="s">
        <v>1568</v>
      </c>
      <c r="L315" t="s">
        <v>1568</v>
      </c>
      <c r="M315" t="s">
        <v>1568</v>
      </c>
      <c r="N315" t="s">
        <v>1568</v>
      </c>
      <c r="O315" t="s">
        <v>1568</v>
      </c>
      <c r="P315" t="s">
        <v>1568</v>
      </c>
      <c r="Q315" t="s">
        <v>1568</v>
      </c>
      <c r="R315" t="s">
        <v>1568</v>
      </c>
      <c r="S315" t="s">
        <v>1568</v>
      </c>
      <c r="T315" t="s">
        <v>1568</v>
      </c>
      <c r="U315" t="s">
        <v>1568</v>
      </c>
      <c r="V315" t="s">
        <v>1633</v>
      </c>
      <c r="W315" t="s">
        <v>380</v>
      </c>
      <c r="X315" t="s">
        <v>61</v>
      </c>
      <c r="Y315" t="s">
        <v>1587</v>
      </c>
    </row>
    <row r="316" spans="1:25" ht="16" x14ac:dyDescent="0.2">
      <c r="A316" t="s">
        <v>1568</v>
      </c>
      <c r="B316" t="s">
        <v>419</v>
      </c>
      <c r="C316" t="s">
        <v>1568</v>
      </c>
      <c r="D316" t="s">
        <v>1568</v>
      </c>
      <c r="E316" t="s">
        <v>55</v>
      </c>
      <c r="F316" t="s">
        <v>1625</v>
      </c>
      <c r="G316" t="s">
        <v>381</v>
      </c>
      <c r="H316" t="s">
        <v>1568</v>
      </c>
      <c r="I316" t="s">
        <v>382</v>
      </c>
      <c r="J316" t="s">
        <v>1568</v>
      </c>
      <c r="K316" t="s">
        <v>1568</v>
      </c>
      <c r="L316" t="s">
        <v>1568</v>
      </c>
      <c r="M316" t="s">
        <v>1568</v>
      </c>
      <c r="N316" t="s">
        <v>1568</v>
      </c>
      <c r="O316" t="s">
        <v>1568</v>
      </c>
      <c r="P316" t="s">
        <v>1568</v>
      </c>
      <c r="Q316" t="s">
        <v>1568</v>
      </c>
      <c r="R316" t="s">
        <v>1568</v>
      </c>
      <c r="S316" t="s">
        <v>1568</v>
      </c>
      <c r="T316" t="s">
        <v>1568</v>
      </c>
      <c r="U316" t="s">
        <v>1568</v>
      </c>
      <c r="V316" t="s">
        <v>1618</v>
      </c>
      <c r="W316" t="s">
        <v>383</v>
      </c>
      <c r="X316" t="s">
        <v>61</v>
      </c>
      <c r="Y316" t="s">
        <v>1587</v>
      </c>
    </row>
    <row r="317" spans="1:25" ht="16" x14ac:dyDescent="0.2">
      <c r="A317" t="s">
        <v>1568</v>
      </c>
      <c r="B317" t="s">
        <v>420</v>
      </c>
      <c r="C317" t="s">
        <v>1568</v>
      </c>
      <c r="D317" t="s">
        <v>1568</v>
      </c>
      <c r="E317" t="s">
        <v>36</v>
      </c>
      <c r="F317" t="s">
        <v>1627</v>
      </c>
      <c r="G317" t="s">
        <v>385</v>
      </c>
      <c r="H317" t="s">
        <v>1568</v>
      </c>
      <c r="I317" t="s">
        <v>386</v>
      </c>
      <c r="J317" t="s">
        <v>1568</v>
      </c>
      <c r="K317" t="s">
        <v>1568</v>
      </c>
      <c r="L317" t="s">
        <v>1568</v>
      </c>
      <c r="M317" t="s">
        <v>1568</v>
      </c>
      <c r="N317" t="s">
        <v>1568</v>
      </c>
      <c r="O317" t="s">
        <v>1568</v>
      </c>
      <c r="P317" t="s">
        <v>1568</v>
      </c>
      <c r="Q317" t="s">
        <v>1568</v>
      </c>
      <c r="R317" t="s">
        <v>1568</v>
      </c>
      <c r="S317" t="s">
        <v>1568</v>
      </c>
      <c r="T317" t="s">
        <v>1568</v>
      </c>
      <c r="U317" t="s">
        <v>1568</v>
      </c>
      <c r="V317" t="s">
        <v>1592</v>
      </c>
      <c r="W317" t="s">
        <v>387</v>
      </c>
      <c r="X317" t="s">
        <v>61</v>
      </c>
      <c r="Y317" t="s">
        <v>1587</v>
      </c>
    </row>
    <row r="318" spans="1:25" ht="16" x14ac:dyDescent="0.2">
      <c r="A318" t="s">
        <v>1568</v>
      </c>
      <c r="B318" t="s">
        <v>420</v>
      </c>
      <c r="C318" t="s">
        <v>1568</v>
      </c>
      <c r="D318" t="s">
        <v>1568</v>
      </c>
      <c r="E318" t="s">
        <v>43</v>
      </c>
      <c r="F318" t="s">
        <v>1627</v>
      </c>
      <c r="G318" t="s">
        <v>388</v>
      </c>
      <c r="H318" t="s">
        <v>1568</v>
      </c>
      <c r="I318" t="s">
        <v>389</v>
      </c>
      <c r="J318" t="s">
        <v>1568</v>
      </c>
      <c r="K318" t="s">
        <v>1568</v>
      </c>
      <c r="L318" t="s">
        <v>1568</v>
      </c>
      <c r="M318" t="s">
        <v>1568</v>
      </c>
      <c r="N318" t="s">
        <v>1568</v>
      </c>
      <c r="O318" t="s">
        <v>1568</v>
      </c>
      <c r="P318" t="s">
        <v>1568</v>
      </c>
      <c r="Q318" t="s">
        <v>1568</v>
      </c>
      <c r="R318" t="s">
        <v>1568</v>
      </c>
      <c r="S318" t="s">
        <v>1568</v>
      </c>
      <c r="T318" t="s">
        <v>1568</v>
      </c>
      <c r="U318" t="s">
        <v>1568</v>
      </c>
      <c r="V318" t="s">
        <v>1618</v>
      </c>
      <c r="W318" t="s">
        <v>390</v>
      </c>
      <c r="X318" t="s">
        <v>61</v>
      </c>
      <c r="Y318" t="s">
        <v>1587</v>
      </c>
    </row>
    <row r="319" spans="1:25" ht="16" x14ac:dyDescent="0.2">
      <c r="A319" t="s">
        <v>1568</v>
      </c>
      <c r="B319" t="s">
        <v>420</v>
      </c>
      <c r="C319" t="s">
        <v>1568</v>
      </c>
      <c r="D319" t="s">
        <v>1568</v>
      </c>
      <c r="E319" t="s">
        <v>47</v>
      </c>
      <c r="F319" t="s">
        <v>1627</v>
      </c>
      <c r="G319" t="s">
        <v>391</v>
      </c>
      <c r="H319" t="s">
        <v>1568</v>
      </c>
      <c r="I319" t="s">
        <v>392</v>
      </c>
      <c r="J319" t="s">
        <v>1568</v>
      </c>
      <c r="K319" t="s">
        <v>1568</v>
      </c>
      <c r="L319" t="s">
        <v>1568</v>
      </c>
      <c r="M319" t="s">
        <v>1568</v>
      </c>
      <c r="N319" t="s">
        <v>1568</v>
      </c>
      <c r="O319" t="s">
        <v>1568</v>
      </c>
      <c r="P319" t="s">
        <v>1568</v>
      </c>
      <c r="Q319" t="s">
        <v>1568</v>
      </c>
      <c r="R319" t="s">
        <v>1568</v>
      </c>
      <c r="S319" t="s">
        <v>1568</v>
      </c>
      <c r="T319" t="s">
        <v>1568</v>
      </c>
      <c r="U319" t="s">
        <v>1568</v>
      </c>
      <c r="V319" t="s">
        <v>1632</v>
      </c>
      <c r="W319" t="s">
        <v>393</v>
      </c>
      <c r="X319" t="s">
        <v>61</v>
      </c>
      <c r="Y319" t="s">
        <v>1587</v>
      </c>
    </row>
    <row r="320" spans="1:25" ht="16" x14ac:dyDescent="0.2">
      <c r="A320" t="s">
        <v>1568</v>
      </c>
      <c r="B320" t="s">
        <v>420</v>
      </c>
      <c r="C320" t="s">
        <v>1568</v>
      </c>
      <c r="D320" t="s">
        <v>1568</v>
      </c>
      <c r="E320" t="s">
        <v>51</v>
      </c>
      <c r="F320" t="s">
        <v>1627</v>
      </c>
      <c r="G320" t="s">
        <v>394</v>
      </c>
      <c r="H320" t="s">
        <v>1568</v>
      </c>
      <c r="I320" t="s">
        <v>395</v>
      </c>
      <c r="J320" t="s">
        <v>1568</v>
      </c>
      <c r="K320" t="s">
        <v>1568</v>
      </c>
      <c r="L320" t="s">
        <v>1568</v>
      </c>
      <c r="M320" t="s">
        <v>1568</v>
      </c>
      <c r="N320" t="s">
        <v>1568</v>
      </c>
      <c r="O320" t="s">
        <v>1568</v>
      </c>
      <c r="P320" t="s">
        <v>1568</v>
      </c>
      <c r="Q320" t="s">
        <v>1568</v>
      </c>
      <c r="R320" t="s">
        <v>1568</v>
      </c>
      <c r="S320" t="s">
        <v>1568</v>
      </c>
      <c r="T320" t="s">
        <v>1568</v>
      </c>
      <c r="U320" t="s">
        <v>1568</v>
      </c>
      <c r="V320" t="s">
        <v>1633</v>
      </c>
      <c r="W320" t="s">
        <v>396</v>
      </c>
      <c r="X320" t="s">
        <v>61</v>
      </c>
      <c r="Y320" t="s">
        <v>1587</v>
      </c>
    </row>
    <row r="321" spans="1:25" ht="16" x14ac:dyDescent="0.2">
      <c r="A321" t="s">
        <v>1568</v>
      </c>
      <c r="B321" t="s">
        <v>420</v>
      </c>
      <c r="C321" t="s">
        <v>1568</v>
      </c>
      <c r="D321" t="s">
        <v>1568</v>
      </c>
      <c r="E321" t="s">
        <v>55</v>
      </c>
      <c r="F321" t="s">
        <v>1627</v>
      </c>
      <c r="G321" t="s">
        <v>397</v>
      </c>
      <c r="H321" t="s">
        <v>1568</v>
      </c>
      <c r="I321" t="s">
        <v>398</v>
      </c>
      <c r="J321" t="s">
        <v>1568</v>
      </c>
      <c r="K321" t="s">
        <v>1568</v>
      </c>
      <c r="L321" t="s">
        <v>1568</v>
      </c>
      <c r="M321" t="s">
        <v>1568</v>
      </c>
      <c r="N321" t="s">
        <v>1568</v>
      </c>
      <c r="O321" t="s">
        <v>1568</v>
      </c>
      <c r="P321" t="s">
        <v>1568</v>
      </c>
      <c r="Q321" t="s">
        <v>1568</v>
      </c>
      <c r="R321" t="s">
        <v>1568</v>
      </c>
      <c r="S321" t="s">
        <v>1568</v>
      </c>
      <c r="T321" t="s">
        <v>1568</v>
      </c>
      <c r="U321" t="s">
        <v>1568</v>
      </c>
      <c r="V321" t="s">
        <v>1618</v>
      </c>
      <c r="W321" t="s">
        <v>399</v>
      </c>
      <c r="X321" t="s">
        <v>61</v>
      </c>
      <c r="Y321" t="s">
        <v>1587</v>
      </c>
    </row>
    <row r="322" spans="1:25" ht="16" x14ac:dyDescent="0.2">
      <c r="A322" t="s">
        <v>1568</v>
      </c>
      <c r="B322" t="s">
        <v>421</v>
      </c>
      <c r="C322" t="s">
        <v>1568</v>
      </c>
      <c r="D322" t="s">
        <v>1568</v>
      </c>
      <c r="E322" t="s">
        <v>36</v>
      </c>
      <c r="F322" t="s">
        <v>1628</v>
      </c>
      <c r="G322" t="s">
        <v>401</v>
      </c>
      <c r="H322" t="s">
        <v>1568</v>
      </c>
      <c r="I322" t="s">
        <v>402</v>
      </c>
      <c r="J322" t="s">
        <v>1568</v>
      </c>
      <c r="K322" t="s">
        <v>1568</v>
      </c>
      <c r="L322" t="s">
        <v>1568</v>
      </c>
      <c r="M322" t="s">
        <v>1568</v>
      </c>
      <c r="N322" t="s">
        <v>1568</v>
      </c>
      <c r="O322" t="s">
        <v>1568</v>
      </c>
      <c r="P322" t="s">
        <v>1568</v>
      </c>
      <c r="Q322" t="s">
        <v>1568</v>
      </c>
      <c r="R322" t="s">
        <v>1568</v>
      </c>
      <c r="S322" t="s">
        <v>1568</v>
      </c>
      <c r="T322" t="s">
        <v>1568</v>
      </c>
      <c r="U322" t="s">
        <v>1568</v>
      </c>
      <c r="V322" t="s">
        <v>1592</v>
      </c>
      <c r="W322" t="s">
        <v>403</v>
      </c>
      <c r="X322" t="s">
        <v>61</v>
      </c>
      <c r="Y322" t="s">
        <v>1587</v>
      </c>
    </row>
    <row r="323" spans="1:25" ht="16" x14ac:dyDescent="0.2">
      <c r="A323" t="s">
        <v>1568</v>
      </c>
      <c r="B323" t="s">
        <v>421</v>
      </c>
      <c r="C323" t="s">
        <v>1568</v>
      </c>
      <c r="D323" t="s">
        <v>1568</v>
      </c>
      <c r="E323" t="s">
        <v>43</v>
      </c>
      <c r="F323" t="s">
        <v>1628</v>
      </c>
      <c r="G323" t="s">
        <v>404</v>
      </c>
      <c r="H323" t="s">
        <v>1568</v>
      </c>
      <c r="I323" t="s">
        <v>405</v>
      </c>
      <c r="J323" t="s">
        <v>1568</v>
      </c>
      <c r="K323" t="s">
        <v>1568</v>
      </c>
      <c r="L323" t="s">
        <v>1568</v>
      </c>
      <c r="M323" t="s">
        <v>1568</v>
      </c>
      <c r="N323" t="s">
        <v>1568</v>
      </c>
      <c r="O323" t="s">
        <v>1568</v>
      </c>
      <c r="P323" t="s">
        <v>1568</v>
      </c>
      <c r="Q323" t="s">
        <v>1568</v>
      </c>
      <c r="R323" t="s">
        <v>1568</v>
      </c>
      <c r="S323" t="s">
        <v>1568</v>
      </c>
      <c r="T323" t="s">
        <v>1568</v>
      </c>
      <c r="U323" t="s">
        <v>1568</v>
      </c>
      <c r="V323" t="s">
        <v>1592</v>
      </c>
      <c r="W323" t="s">
        <v>406</v>
      </c>
      <c r="X323" t="s">
        <v>61</v>
      </c>
      <c r="Y323" t="s">
        <v>1587</v>
      </c>
    </row>
    <row r="324" spans="1:25" ht="16" x14ac:dyDescent="0.2">
      <c r="A324" t="s">
        <v>1568</v>
      </c>
      <c r="B324" t="s">
        <v>421</v>
      </c>
      <c r="C324" t="s">
        <v>1568</v>
      </c>
      <c r="D324" t="s">
        <v>1568</v>
      </c>
      <c r="E324" t="s">
        <v>47</v>
      </c>
      <c r="F324" t="s">
        <v>1628</v>
      </c>
      <c r="G324" t="s">
        <v>407</v>
      </c>
      <c r="H324" t="s">
        <v>1568</v>
      </c>
      <c r="I324" t="s">
        <v>408</v>
      </c>
      <c r="J324" t="s">
        <v>1568</v>
      </c>
      <c r="K324" t="s">
        <v>1568</v>
      </c>
      <c r="L324" t="s">
        <v>1568</v>
      </c>
      <c r="M324" t="s">
        <v>1568</v>
      </c>
      <c r="N324" t="s">
        <v>1568</v>
      </c>
      <c r="O324" t="s">
        <v>1568</v>
      </c>
      <c r="P324" t="s">
        <v>1568</v>
      </c>
      <c r="Q324" t="s">
        <v>1568</v>
      </c>
      <c r="R324" t="s">
        <v>1568</v>
      </c>
      <c r="S324" t="s">
        <v>1568</v>
      </c>
      <c r="T324" t="s">
        <v>1568</v>
      </c>
      <c r="U324" t="s">
        <v>1568</v>
      </c>
      <c r="V324" t="s">
        <v>1592</v>
      </c>
      <c r="W324" t="s">
        <v>409</v>
      </c>
      <c r="X324" t="s">
        <v>61</v>
      </c>
      <c r="Y324" t="s">
        <v>1587</v>
      </c>
    </row>
    <row r="325" spans="1:25" ht="16" x14ac:dyDescent="0.2">
      <c r="A325" t="s">
        <v>1568</v>
      </c>
      <c r="B325" t="s">
        <v>421</v>
      </c>
      <c r="C325" t="s">
        <v>1568</v>
      </c>
      <c r="D325" t="s">
        <v>1568</v>
      </c>
      <c r="E325" t="s">
        <v>51</v>
      </c>
      <c r="F325" t="s">
        <v>1628</v>
      </c>
      <c r="G325" t="s">
        <v>410</v>
      </c>
      <c r="H325" t="s">
        <v>1568</v>
      </c>
      <c r="I325" t="s">
        <v>411</v>
      </c>
      <c r="J325" t="s">
        <v>1568</v>
      </c>
      <c r="K325" t="s">
        <v>1568</v>
      </c>
      <c r="L325" t="s">
        <v>1568</v>
      </c>
      <c r="M325" t="s">
        <v>1568</v>
      </c>
      <c r="N325" t="s">
        <v>1568</v>
      </c>
      <c r="O325" t="s">
        <v>1568</v>
      </c>
      <c r="P325" t="s">
        <v>1568</v>
      </c>
      <c r="Q325" t="s">
        <v>1568</v>
      </c>
      <c r="R325" t="s">
        <v>1568</v>
      </c>
      <c r="S325" t="s">
        <v>1568</v>
      </c>
      <c r="T325" t="s">
        <v>1568</v>
      </c>
      <c r="U325" t="s">
        <v>1568</v>
      </c>
      <c r="V325" t="s">
        <v>1592</v>
      </c>
      <c r="W325" t="s">
        <v>412</v>
      </c>
      <c r="X325" t="s">
        <v>61</v>
      </c>
      <c r="Y325" t="s">
        <v>1587</v>
      </c>
    </row>
    <row r="326" spans="1:25" ht="16" x14ac:dyDescent="0.2">
      <c r="A326" t="s">
        <v>1568</v>
      </c>
      <c r="B326" t="s">
        <v>421</v>
      </c>
      <c r="C326" t="s">
        <v>1568</v>
      </c>
      <c r="D326" t="s">
        <v>1568</v>
      </c>
      <c r="E326" t="s">
        <v>55</v>
      </c>
      <c r="F326" t="s">
        <v>1628</v>
      </c>
      <c r="G326" t="s">
        <v>413</v>
      </c>
      <c r="H326" t="s">
        <v>1568</v>
      </c>
      <c r="I326" t="s">
        <v>414</v>
      </c>
      <c r="J326" t="s">
        <v>1568</v>
      </c>
      <c r="K326" t="s">
        <v>1568</v>
      </c>
      <c r="L326" t="s">
        <v>1568</v>
      </c>
      <c r="M326" t="s">
        <v>1568</v>
      </c>
      <c r="N326" t="s">
        <v>1568</v>
      </c>
      <c r="O326" t="s">
        <v>1568</v>
      </c>
      <c r="P326" t="s">
        <v>1568</v>
      </c>
      <c r="Q326" t="s">
        <v>1568</v>
      </c>
      <c r="R326" t="s">
        <v>1568</v>
      </c>
      <c r="S326" t="s">
        <v>1568</v>
      </c>
      <c r="T326" t="s">
        <v>1568</v>
      </c>
      <c r="U326" t="s">
        <v>1568</v>
      </c>
      <c r="V326" t="s">
        <v>1592</v>
      </c>
      <c r="W326" t="s">
        <v>415</v>
      </c>
      <c r="X326" t="s">
        <v>61</v>
      </c>
      <c r="Y326" t="s">
        <v>1587</v>
      </c>
    </row>
    <row r="327" spans="1:25" ht="16" x14ac:dyDescent="0.2">
      <c r="A327" t="s">
        <v>1568</v>
      </c>
      <c r="B327" t="s">
        <v>422</v>
      </c>
      <c r="C327" t="s">
        <v>1568</v>
      </c>
      <c r="D327" t="s">
        <v>1568</v>
      </c>
      <c r="E327" t="s">
        <v>36</v>
      </c>
      <c r="F327" t="s">
        <v>1625</v>
      </c>
      <c r="G327" t="s">
        <v>425</v>
      </c>
      <c r="H327" t="s">
        <v>1568</v>
      </c>
      <c r="I327" t="s">
        <v>426</v>
      </c>
      <c r="J327" t="s">
        <v>1568</v>
      </c>
      <c r="K327" t="s">
        <v>1568</v>
      </c>
      <c r="L327" t="s">
        <v>1568</v>
      </c>
      <c r="M327" t="s">
        <v>1568</v>
      </c>
      <c r="N327" t="s">
        <v>1568</v>
      </c>
      <c r="O327" t="s">
        <v>1568</v>
      </c>
      <c r="P327" t="s">
        <v>1568</v>
      </c>
      <c r="Q327" t="s">
        <v>1568</v>
      </c>
      <c r="R327" t="s">
        <v>1568</v>
      </c>
      <c r="S327" t="s">
        <v>1568</v>
      </c>
      <c r="T327" t="s">
        <v>1568</v>
      </c>
      <c r="U327" t="s">
        <v>1568</v>
      </c>
      <c r="V327" t="s">
        <v>1634</v>
      </c>
      <c r="W327" t="s">
        <v>427</v>
      </c>
      <c r="X327" t="s">
        <v>30</v>
      </c>
      <c r="Y327" t="s">
        <v>1572</v>
      </c>
    </row>
    <row r="328" spans="1:25" ht="16" x14ac:dyDescent="0.2">
      <c r="A328" t="s">
        <v>1568</v>
      </c>
      <c r="B328" t="s">
        <v>428</v>
      </c>
      <c r="C328" t="s">
        <v>1568</v>
      </c>
      <c r="D328" t="s">
        <v>1568</v>
      </c>
      <c r="E328" t="s">
        <v>36</v>
      </c>
      <c r="F328" t="s">
        <v>1628</v>
      </c>
      <c r="G328" t="s">
        <v>430</v>
      </c>
      <c r="H328" t="s">
        <v>1568</v>
      </c>
      <c r="I328" t="s">
        <v>431</v>
      </c>
      <c r="J328" t="s">
        <v>1568</v>
      </c>
      <c r="K328" t="s">
        <v>1568</v>
      </c>
      <c r="L328" t="s">
        <v>1568</v>
      </c>
      <c r="M328" t="s">
        <v>1568</v>
      </c>
      <c r="N328" t="s">
        <v>1568</v>
      </c>
      <c r="O328" t="s">
        <v>1568</v>
      </c>
      <c r="P328" t="s">
        <v>1568</v>
      </c>
      <c r="Q328" t="s">
        <v>1568</v>
      </c>
      <c r="R328" t="s">
        <v>1568</v>
      </c>
      <c r="S328" t="s">
        <v>1568</v>
      </c>
      <c r="T328" t="s">
        <v>1568</v>
      </c>
      <c r="U328" t="s">
        <v>1568</v>
      </c>
      <c r="V328" t="s">
        <v>1635</v>
      </c>
      <c r="W328" t="s">
        <v>432</v>
      </c>
      <c r="X328" t="s">
        <v>30</v>
      </c>
      <c r="Y328" t="s">
        <v>1572</v>
      </c>
    </row>
    <row r="329" spans="1:25" ht="16" x14ac:dyDescent="0.2">
      <c r="A329" t="s">
        <v>1568</v>
      </c>
      <c r="B329" t="s">
        <v>433</v>
      </c>
      <c r="C329" t="s">
        <v>1568</v>
      </c>
      <c r="D329" t="s">
        <v>1568</v>
      </c>
      <c r="E329" t="s">
        <v>36</v>
      </c>
      <c r="F329" t="s">
        <v>1612</v>
      </c>
      <c r="G329" t="s">
        <v>434</v>
      </c>
      <c r="H329" t="s">
        <v>1568</v>
      </c>
      <c r="I329" t="s">
        <v>435</v>
      </c>
      <c r="J329" t="s">
        <v>1568</v>
      </c>
      <c r="K329" t="s">
        <v>1568</v>
      </c>
      <c r="L329" t="s">
        <v>1568</v>
      </c>
      <c r="M329" t="s">
        <v>1568</v>
      </c>
      <c r="N329" t="s">
        <v>1568</v>
      </c>
      <c r="O329" t="s">
        <v>1568</v>
      </c>
      <c r="P329" t="s">
        <v>1568</v>
      </c>
      <c r="Q329" t="s">
        <v>1568</v>
      </c>
      <c r="R329" t="s">
        <v>1568</v>
      </c>
      <c r="S329" t="s">
        <v>1568</v>
      </c>
      <c r="T329" t="s">
        <v>1568</v>
      </c>
      <c r="U329" t="s">
        <v>1568</v>
      </c>
      <c r="V329" t="s">
        <v>1636</v>
      </c>
      <c r="W329" t="s">
        <v>436</v>
      </c>
      <c r="X329" t="s">
        <v>30</v>
      </c>
      <c r="Y329" t="s">
        <v>1572</v>
      </c>
    </row>
    <row r="330" spans="1:25" ht="16" x14ac:dyDescent="0.2">
      <c r="A330" t="s">
        <v>1568</v>
      </c>
      <c r="B330" t="s">
        <v>437</v>
      </c>
      <c r="C330" t="s">
        <v>1568</v>
      </c>
      <c r="D330" t="s">
        <v>1568</v>
      </c>
      <c r="E330" t="s">
        <v>36</v>
      </c>
      <c r="F330" t="s">
        <v>1627</v>
      </c>
      <c r="G330" t="s">
        <v>439</v>
      </c>
      <c r="H330" t="s">
        <v>1568</v>
      </c>
      <c r="I330" t="s">
        <v>440</v>
      </c>
      <c r="J330" t="s">
        <v>1568</v>
      </c>
      <c r="K330" t="s">
        <v>1568</v>
      </c>
      <c r="L330" t="s">
        <v>1568</v>
      </c>
      <c r="M330" t="s">
        <v>1568</v>
      </c>
      <c r="N330" t="s">
        <v>1568</v>
      </c>
      <c r="O330" t="s">
        <v>1568</v>
      </c>
      <c r="P330" t="s">
        <v>1568</v>
      </c>
      <c r="Q330" t="s">
        <v>1568</v>
      </c>
      <c r="R330" t="s">
        <v>1568</v>
      </c>
      <c r="S330" t="s">
        <v>1568</v>
      </c>
      <c r="T330" t="s">
        <v>1568</v>
      </c>
      <c r="U330" t="s">
        <v>1568</v>
      </c>
      <c r="V330" t="s">
        <v>1634</v>
      </c>
      <c r="W330" t="s">
        <v>441</v>
      </c>
      <c r="X330" t="s">
        <v>30</v>
      </c>
      <c r="Y330" t="s">
        <v>1572</v>
      </c>
    </row>
    <row r="331" spans="1:25" ht="16" x14ac:dyDescent="0.2">
      <c r="A331" t="s">
        <v>1568</v>
      </c>
      <c r="B331" t="s">
        <v>442</v>
      </c>
      <c r="C331" t="s">
        <v>1568</v>
      </c>
      <c r="D331" t="s">
        <v>1568</v>
      </c>
      <c r="E331" t="s">
        <v>36</v>
      </c>
      <c r="F331" t="s">
        <v>1624</v>
      </c>
      <c r="G331" t="s">
        <v>443</v>
      </c>
      <c r="H331" t="s">
        <v>1568</v>
      </c>
      <c r="I331" t="s">
        <v>444</v>
      </c>
      <c r="J331" t="s">
        <v>1568</v>
      </c>
      <c r="K331" t="s">
        <v>1568</v>
      </c>
      <c r="L331" t="s">
        <v>1568</v>
      </c>
      <c r="M331" t="s">
        <v>1568</v>
      </c>
      <c r="N331" t="s">
        <v>1568</v>
      </c>
      <c r="O331" t="s">
        <v>1568</v>
      </c>
      <c r="P331" t="s">
        <v>1568</v>
      </c>
      <c r="Q331" t="s">
        <v>1568</v>
      </c>
      <c r="R331" t="s">
        <v>1568</v>
      </c>
      <c r="S331" t="s">
        <v>1568</v>
      </c>
      <c r="T331" t="s">
        <v>1568</v>
      </c>
      <c r="U331" t="s">
        <v>1568</v>
      </c>
      <c r="V331" t="s">
        <v>1636</v>
      </c>
      <c r="W331" t="s">
        <v>445</v>
      </c>
      <c r="X331" t="s">
        <v>30</v>
      </c>
      <c r="Y331" t="s">
        <v>1572</v>
      </c>
    </row>
    <row r="332" spans="1:25" ht="16" x14ac:dyDescent="0.2">
      <c r="A332" t="s">
        <v>1568</v>
      </c>
      <c r="B332" t="s">
        <v>446</v>
      </c>
      <c r="C332" t="s">
        <v>1568</v>
      </c>
      <c r="D332" t="s">
        <v>1568</v>
      </c>
      <c r="E332" t="s">
        <v>36</v>
      </c>
      <c r="F332" t="s">
        <v>1611</v>
      </c>
      <c r="G332" t="s">
        <v>447</v>
      </c>
      <c r="H332" t="s">
        <v>1568</v>
      </c>
      <c r="I332" t="s">
        <v>448</v>
      </c>
      <c r="J332" t="s">
        <v>1568</v>
      </c>
      <c r="K332" t="s">
        <v>1568</v>
      </c>
      <c r="L332" t="s">
        <v>1568</v>
      </c>
      <c r="M332" t="s">
        <v>1568</v>
      </c>
      <c r="N332" t="s">
        <v>1568</v>
      </c>
      <c r="O332" t="s">
        <v>1568</v>
      </c>
      <c r="P332" t="s">
        <v>1568</v>
      </c>
      <c r="Q332" t="s">
        <v>1568</v>
      </c>
      <c r="R332" t="s">
        <v>1568</v>
      </c>
      <c r="S332" t="s">
        <v>1568</v>
      </c>
      <c r="T332" t="s">
        <v>1568</v>
      </c>
      <c r="U332" t="s">
        <v>1568</v>
      </c>
      <c r="V332" t="s">
        <v>1637</v>
      </c>
      <c r="W332" t="s">
        <v>449</v>
      </c>
      <c r="X332" t="s">
        <v>30</v>
      </c>
      <c r="Y332" t="s">
        <v>1572</v>
      </c>
    </row>
    <row r="333" spans="1:25" ht="16" x14ac:dyDescent="0.2">
      <c r="A333" t="s">
        <v>1568</v>
      </c>
      <c r="B333" t="s">
        <v>450</v>
      </c>
      <c r="C333" t="s">
        <v>1568</v>
      </c>
      <c r="D333" t="s">
        <v>1568</v>
      </c>
      <c r="E333" t="s">
        <v>36</v>
      </c>
      <c r="F333" t="s">
        <v>1600</v>
      </c>
      <c r="G333" t="s">
        <v>451</v>
      </c>
      <c r="H333" t="s">
        <v>1568</v>
      </c>
      <c r="I333" t="s">
        <v>452</v>
      </c>
      <c r="J333" t="s">
        <v>1568</v>
      </c>
      <c r="K333" t="s">
        <v>1568</v>
      </c>
      <c r="L333" t="s">
        <v>1568</v>
      </c>
      <c r="M333" t="s">
        <v>1568</v>
      </c>
      <c r="N333" t="s">
        <v>1568</v>
      </c>
      <c r="O333" t="s">
        <v>1568</v>
      </c>
      <c r="P333" t="s">
        <v>1568</v>
      </c>
      <c r="Q333" t="s">
        <v>1568</v>
      </c>
      <c r="R333" t="s">
        <v>1568</v>
      </c>
      <c r="S333" t="s">
        <v>1568</v>
      </c>
      <c r="T333" t="s">
        <v>1568</v>
      </c>
      <c r="U333" t="s">
        <v>1568</v>
      </c>
      <c r="V333" t="s">
        <v>1637</v>
      </c>
      <c r="W333" t="s">
        <v>453</v>
      </c>
      <c r="X333" t="s">
        <v>30</v>
      </c>
      <c r="Y333" t="s">
        <v>1572</v>
      </c>
    </row>
    <row r="334" spans="1:25" ht="16" x14ac:dyDescent="0.2">
      <c r="A334" t="s">
        <v>1568</v>
      </c>
      <c r="B334" t="s">
        <v>454</v>
      </c>
      <c r="C334" t="s">
        <v>1568</v>
      </c>
      <c r="D334" t="s">
        <v>1568</v>
      </c>
      <c r="E334" t="s">
        <v>36</v>
      </c>
      <c r="F334" t="s">
        <v>1621</v>
      </c>
      <c r="G334" t="s">
        <v>456</v>
      </c>
      <c r="H334" t="s">
        <v>1568</v>
      </c>
      <c r="I334" t="s">
        <v>457</v>
      </c>
      <c r="J334" t="s">
        <v>1568</v>
      </c>
      <c r="K334" t="s">
        <v>1568</v>
      </c>
      <c r="L334" t="s">
        <v>1568</v>
      </c>
      <c r="M334" t="s">
        <v>1568</v>
      </c>
      <c r="N334" t="s">
        <v>1568</v>
      </c>
      <c r="O334" t="s">
        <v>1568</v>
      </c>
      <c r="P334" t="s">
        <v>1568</v>
      </c>
      <c r="Q334" t="s">
        <v>1568</v>
      </c>
      <c r="R334" t="s">
        <v>1568</v>
      </c>
      <c r="S334" t="s">
        <v>1568</v>
      </c>
      <c r="T334" t="s">
        <v>1568</v>
      </c>
      <c r="U334" t="s">
        <v>1568</v>
      </c>
      <c r="V334" t="s">
        <v>1638</v>
      </c>
      <c r="W334" t="s">
        <v>458</v>
      </c>
      <c r="X334" t="s">
        <v>59</v>
      </c>
      <c r="Y334" t="s">
        <v>1581</v>
      </c>
    </row>
    <row r="335" spans="1:25" ht="16" x14ac:dyDescent="0.2">
      <c r="A335" t="s">
        <v>1568</v>
      </c>
      <c r="B335" t="s">
        <v>459</v>
      </c>
      <c r="C335" t="s">
        <v>1568</v>
      </c>
      <c r="D335" t="s">
        <v>1568</v>
      </c>
      <c r="E335" t="s">
        <v>36</v>
      </c>
      <c r="F335" t="s">
        <v>1606</v>
      </c>
      <c r="G335" t="s">
        <v>460</v>
      </c>
      <c r="H335" t="s">
        <v>1568</v>
      </c>
      <c r="I335" t="s">
        <v>461</v>
      </c>
      <c r="J335" t="s">
        <v>1568</v>
      </c>
      <c r="K335" t="s">
        <v>1568</v>
      </c>
      <c r="L335" t="s">
        <v>1568</v>
      </c>
      <c r="M335" t="s">
        <v>1568</v>
      </c>
      <c r="N335" t="s">
        <v>1568</v>
      </c>
      <c r="O335" t="s">
        <v>1568</v>
      </c>
      <c r="P335" t="s">
        <v>1568</v>
      </c>
      <c r="Q335" t="s">
        <v>1568</v>
      </c>
      <c r="R335" t="s">
        <v>1568</v>
      </c>
      <c r="S335" t="s">
        <v>1568</v>
      </c>
      <c r="T335" t="s">
        <v>1568</v>
      </c>
      <c r="U335" t="s">
        <v>1568</v>
      </c>
      <c r="V335" t="s">
        <v>1638</v>
      </c>
      <c r="W335" t="s">
        <v>462</v>
      </c>
      <c r="X335" t="s">
        <v>59</v>
      </c>
      <c r="Y335" t="s">
        <v>1581</v>
      </c>
    </row>
    <row r="336" spans="1:25" ht="16" x14ac:dyDescent="0.2">
      <c r="A336" t="s">
        <v>1568</v>
      </c>
      <c r="B336" t="s">
        <v>463</v>
      </c>
      <c r="C336" t="s">
        <v>1568</v>
      </c>
      <c r="D336" t="s">
        <v>1568</v>
      </c>
      <c r="E336" t="s">
        <v>36</v>
      </c>
      <c r="F336" t="s">
        <v>1612</v>
      </c>
      <c r="G336" t="s">
        <v>434</v>
      </c>
      <c r="H336" t="s">
        <v>1568</v>
      </c>
      <c r="I336" t="s">
        <v>435</v>
      </c>
      <c r="J336" t="s">
        <v>1568</v>
      </c>
      <c r="K336" t="s">
        <v>1568</v>
      </c>
      <c r="L336" t="s">
        <v>1568</v>
      </c>
      <c r="M336" t="s">
        <v>1568</v>
      </c>
      <c r="N336" t="s">
        <v>1568</v>
      </c>
      <c r="O336" t="s">
        <v>1568</v>
      </c>
      <c r="P336" t="s">
        <v>1568</v>
      </c>
      <c r="Q336" t="s">
        <v>1568</v>
      </c>
      <c r="R336" t="s">
        <v>1568</v>
      </c>
      <c r="S336" t="s">
        <v>1568</v>
      </c>
      <c r="T336" t="s">
        <v>1568</v>
      </c>
      <c r="U336" t="s">
        <v>1568</v>
      </c>
      <c r="V336" t="s">
        <v>1639</v>
      </c>
      <c r="W336" t="s">
        <v>436</v>
      </c>
      <c r="X336" t="s">
        <v>59</v>
      </c>
      <c r="Y336" t="s">
        <v>1581</v>
      </c>
    </row>
    <row r="337" spans="1:25" ht="16" x14ac:dyDescent="0.2">
      <c r="A337" t="s">
        <v>1568</v>
      </c>
      <c r="B337" t="s">
        <v>464</v>
      </c>
      <c r="C337" t="s">
        <v>1568</v>
      </c>
      <c r="D337" t="s">
        <v>1568</v>
      </c>
      <c r="E337" t="s">
        <v>36</v>
      </c>
      <c r="F337" t="s">
        <v>1624</v>
      </c>
      <c r="G337" t="s">
        <v>465</v>
      </c>
      <c r="H337" t="s">
        <v>1568</v>
      </c>
      <c r="I337" t="s">
        <v>466</v>
      </c>
      <c r="J337" t="s">
        <v>1568</v>
      </c>
      <c r="K337" t="s">
        <v>1568</v>
      </c>
      <c r="L337" t="s">
        <v>1568</v>
      </c>
      <c r="M337" t="s">
        <v>1568</v>
      </c>
      <c r="N337" t="s">
        <v>1568</v>
      </c>
      <c r="O337" t="s">
        <v>1568</v>
      </c>
      <c r="P337" t="s">
        <v>1568</v>
      </c>
      <c r="Q337" t="s">
        <v>1568</v>
      </c>
      <c r="R337" t="s">
        <v>1568</v>
      </c>
      <c r="S337" t="s">
        <v>1568</v>
      </c>
      <c r="T337" t="s">
        <v>1568</v>
      </c>
      <c r="U337" t="s">
        <v>1568</v>
      </c>
      <c r="V337" t="s">
        <v>1639</v>
      </c>
      <c r="W337" t="s">
        <v>467</v>
      </c>
      <c r="X337" t="s">
        <v>59</v>
      </c>
      <c r="Y337" t="s">
        <v>1581</v>
      </c>
    </row>
    <row r="338" spans="1:25" ht="16" x14ac:dyDescent="0.2">
      <c r="A338" t="s">
        <v>1568</v>
      </c>
      <c r="B338" t="s">
        <v>468</v>
      </c>
      <c r="C338" t="s">
        <v>1568</v>
      </c>
      <c r="D338" t="s">
        <v>1568</v>
      </c>
      <c r="E338" t="s">
        <v>36</v>
      </c>
      <c r="F338" t="s">
        <v>1600</v>
      </c>
      <c r="G338" t="s">
        <v>451</v>
      </c>
      <c r="H338" t="s">
        <v>1568</v>
      </c>
      <c r="I338" t="s">
        <v>452</v>
      </c>
      <c r="J338" t="s">
        <v>1568</v>
      </c>
      <c r="K338" t="s">
        <v>1568</v>
      </c>
      <c r="L338" t="s">
        <v>1568</v>
      </c>
      <c r="M338" t="s">
        <v>1568</v>
      </c>
      <c r="N338" t="s">
        <v>1568</v>
      </c>
      <c r="O338" t="s">
        <v>1568</v>
      </c>
      <c r="P338" t="s">
        <v>1568</v>
      </c>
      <c r="Q338" t="s">
        <v>1568</v>
      </c>
      <c r="R338" t="s">
        <v>1568</v>
      </c>
      <c r="S338" t="s">
        <v>1568</v>
      </c>
      <c r="T338" t="s">
        <v>1568</v>
      </c>
      <c r="U338" t="s">
        <v>1568</v>
      </c>
      <c r="V338" t="s">
        <v>1638</v>
      </c>
      <c r="W338" t="s">
        <v>453</v>
      </c>
      <c r="X338" t="s">
        <v>59</v>
      </c>
      <c r="Y338" t="s">
        <v>1581</v>
      </c>
    </row>
    <row r="339" spans="1:25" ht="16" x14ac:dyDescent="0.2">
      <c r="A339" t="s">
        <v>1568</v>
      </c>
      <c r="B339" t="s">
        <v>469</v>
      </c>
      <c r="C339" t="s">
        <v>1568</v>
      </c>
      <c r="D339" t="s">
        <v>1568</v>
      </c>
      <c r="E339" t="s">
        <v>36</v>
      </c>
      <c r="F339" t="s">
        <v>1606</v>
      </c>
      <c r="G339" t="s">
        <v>460</v>
      </c>
      <c r="H339" t="s">
        <v>1568</v>
      </c>
      <c r="I339" t="s">
        <v>461</v>
      </c>
      <c r="J339" t="s">
        <v>1568</v>
      </c>
      <c r="K339" t="s">
        <v>1568</v>
      </c>
      <c r="L339" t="s">
        <v>1568</v>
      </c>
      <c r="M339" t="s">
        <v>1568</v>
      </c>
      <c r="N339" t="s">
        <v>1568</v>
      </c>
      <c r="O339" t="s">
        <v>1568</v>
      </c>
      <c r="P339" t="s">
        <v>1568</v>
      </c>
      <c r="Q339" t="s">
        <v>1568</v>
      </c>
      <c r="R339" t="s">
        <v>1568</v>
      </c>
      <c r="S339" t="s">
        <v>1568</v>
      </c>
      <c r="T339" t="s">
        <v>1568</v>
      </c>
      <c r="U339" t="s">
        <v>1568</v>
      </c>
      <c r="V339" t="s">
        <v>1640</v>
      </c>
      <c r="W339" t="s">
        <v>462</v>
      </c>
      <c r="X339" t="s">
        <v>61</v>
      </c>
      <c r="Y339" t="s">
        <v>1587</v>
      </c>
    </row>
    <row r="340" spans="1:25" ht="16" x14ac:dyDescent="0.2">
      <c r="A340" t="s">
        <v>1568</v>
      </c>
      <c r="B340" t="s">
        <v>470</v>
      </c>
      <c r="C340" t="s">
        <v>1568</v>
      </c>
      <c r="D340" t="s">
        <v>1568</v>
      </c>
      <c r="E340" t="s">
        <v>36</v>
      </c>
      <c r="F340" t="s">
        <v>1627</v>
      </c>
      <c r="G340" t="s">
        <v>439</v>
      </c>
      <c r="H340" t="s">
        <v>1568</v>
      </c>
      <c r="I340" t="s">
        <v>440</v>
      </c>
      <c r="J340" t="s">
        <v>1568</v>
      </c>
      <c r="K340" t="s">
        <v>1568</v>
      </c>
      <c r="L340" t="s">
        <v>1568</v>
      </c>
      <c r="M340" t="s">
        <v>1568</v>
      </c>
      <c r="N340" t="s">
        <v>1568</v>
      </c>
      <c r="O340" t="s">
        <v>1568</v>
      </c>
      <c r="P340" t="s">
        <v>1568</v>
      </c>
      <c r="Q340" t="s">
        <v>1568</v>
      </c>
      <c r="R340" t="s">
        <v>1568</v>
      </c>
      <c r="S340" t="s">
        <v>1568</v>
      </c>
      <c r="T340" t="s">
        <v>1568</v>
      </c>
      <c r="U340" t="s">
        <v>1568</v>
      </c>
      <c r="V340" t="s">
        <v>1641</v>
      </c>
      <c r="W340" t="s">
        <v>441</v>
      </c>
      <c r="X340" t="s">
        <v>61</v>
      </c>
      <c r="Y340" t="s">
        <v>1587</v>
      </c>
    </row>
    <row r="341" spans="1:25" ht="16" x14ac:dyDescent="0.2">
      <c r="A341" t="s">
        <v>1568</v>
      </c>
      <c r="B341" t="s">
        <v>471</v>
      </c>
      <c r="C341" t="s">
        <v>1568</v>
      </c>
      <c r="D341" t="s">
        <v>1568</v>
      </c>
      <c r="E341" t="s">
        <v>36</v>
      </c>
      <c r="F341" t="s">
        <v>1600</v>
      </c>
      <c r="G341" t="s">
        <v>451</v>
      </c>
      <c r="H341" t="s">
        <v>1568</v>
      </c>
      <c r="I341" t="s">
        <v>452</v>
      </c>
      <c r="J341" t="s">
        <v>1568</v>
      </c>
      <c r="K341" t="s">
        <v>1568</v>
      </c>
      <c r="L341" t="s">
        <v>1568</v>
      </c>
      <c r="M341" t="s">
        <v>1568</v>
      </c>
      <c r="N341" t="s">
        <v>1568</v>
      </c>
      <c r="O341" t="s">
        <v>1568</v>
      </c>
      <c r="P341" t="s">
        <v>1568</v>
      </c>
      <c r="Q341" t="s">
        <v>1568</v>
      </c>
      <c r="R341" t="s">
        <v>1568</v>
      </c>
      <c r="S341" t="s">
        <v>1568</v>
      </c>
      <c r="T341" t="s">
        <v>1568</v>
      </c>
      <c r="U341" t="s">
        <v>1568</v>
      </c>
      <c r="V341" t="s">
        <v>1640</v>
      </c>
      <c r="W341" t="s">
        <v>453</v>
      </c>
      <c r="X341" t="s">
        <v>61</v>
      </c>
      <c r="Y341" t="s">
        <v>1587</v>
      </c>
    </row>
    <row r="342" spans="1:25" ht="16" x14ac:dyDescent="0.2">
      <c r="A342" t="s">
        <v>1568</v>
      </c>
      <c r="B342" t="s">
        <v>472</v>
      </c>
      <c r="C342" t="s">
        <v>1568</v>
      </c>
      <c r="D342" t="s">
        <v>1568</v>
      </c>
      <c r="E342" t="s">
        <v>36</v>
      </c>
      <c r="F342" t="s">
        <v>1621</v>
      </c>
      <c r="G342" t="s">
        <v>456</v>
      </c>
      <c r="H342" t="s">
        <v>1568</v>
      </c>
      <c r="I342" t="s">
        <v>457</v>
      </c>
      <c r="J342" t="s">
        <v>1568</v>
      </c>
      <c r="K342" t="s">
        <v>1568</v>
      </c>
      <c r="L342" t="s">
        <v>1568</v>
      </c>
      <c r="M342" t="s">
        <v>1568</v>
      </c>
      <c r="N342" t="s">
        <v>1568</v>
      </c>
      <c r="O342" t="s">
        <v>1568</v>
      </c>
      <c r="P342" t="s">
        <v>1568</v>
      </c>
      <c r="Q342" t="s">
        <v>1568</v>
      </c>
      <c r="R342" t="s">
        <v>1568</v>
      </c>
      <c r="S342" t="s">
        <v>1568</v>
      </c>
      <c r="T342" t="s">
        <v>1568</v>
      </c>
      <c r="U342" t="s">
        <v>1568</v>
      </c>
      <c r="V342" t="s">
        <v>1637</v>
      </c>
      <c r="W342" t="s">
        <v>458</v>
      </c>
      <c r="X342" t="s">
        <v>30</v>
      </c>
      <c r="Y342" t="s">
        <v>1572</v>
      </c>
    </row>
    <row r="343" spans="1:25" ht="16" x14ac:dyDescent="0.2">
      <c r="A343" t="s">
        <v>1568</v>
      </c>
      <c r="B343" t="s">
        <v>473</v>
      </c>
      <c r="C343" t="s">
        <v>1568</v>
      </c>
      <c r="D343" t="s">
        <v>1568</v>
      </c>
      <c r="E343" t="s">
        <v>36</v>
      </c>
      <c r="F343" t="s">
        <v>1624</v>
      </c>
      <c r="G343" t="s">
        <v>465</v>
      </c>
      <c r="H343" t="s">
        <v>1568</v>
      </c>
      <c r="I343" t="s">
        <v>466</v>
      </c>
      <c r="J343" t="s">
        <v>1568</v>
      </c>
      <c r="K343" t="s">
        <v>1568</v>
      </c>
      <c r="L343" t="s">
        <v>1568</v>
      </c>
      <c r="M343" t="s">
        <v>1568</v>
      </c>
      <c r="N343" t="s">
        <v>1568</v>
      </c>
      <c r="O343" t="s">
        <v>1568</v>
      </c>
      <c r="P343" t="s">
        <v>1568</v>
      </c>
      <c r="Q343" t="s">
        <v>1568</v>
      </c>
      <c r="R343" t="s">
        <v>1568</v>
      </c>
      <c r="S343" t="s">
        <v>1568</v>
      </c>
      <c r="T343" t="s">
        <v>1568</v>
      </c>
      <c r="U343" t="s">
        <v>1568</v>
      </c>
      <c r="V343" t="s">
        <v>1636</v>
      </c>
      <c r="W343" t="s">
        <v>467</v>
      </c>
      <c r="X343" t="s">
        <v>30</v>
      </c>
      <c r="Y343" t="s">
        <v>1572</v>
      </c>
    </row>
    <row r="344" spans="1:25" ht="16" x14ac:dyDescent="0.2">
      <c r="A344" t="s">
        <v>1568</v>
      </c>
      <c r="B344" t="s">
        <v>474</v>
      </c>
      <c r="C344" t="s">
        <v>1568</v>
      </c>
      <c r="D344" t="s">
        <v>1568</v>
      </c>
      <c r="E344" t="s">
        <v>36</v>
      </c>
      <c r="F344" t="s">
        <v>1606</v>
      </c>
      <c r="G344" t="s">
        <v>460</v>
      </c>
      <c r="H344" t="s">
        <v>1568</v>
      </c>
      <c r="I344" t="s">
        <v>461</v>
      </c>
      <c r="J344" t="s">
        <v>1568</v>
      </c>
      <c r="K344" t="s">
        <v>1568</v>
      </c>
      <c r="L344" t="s">
        <v>1568</v>
      </c>
      <c r="M344" t="s">
        <v>1568</v>
      </c>
      <c r="N344" t="s">
        <v>1568</v>
      </c>
      <c r="O344" t="s">
        <v>1568</v>
      </c>
      <c r="P344" t="s">
        <v>1568</v>
      </c>
      <c r="Q344" t="s">
        <v>1568</v>
      </c>
      <c r="R344" t="s">
        <v>1568</v>
      </c>
      <c r="S344" t="s">
        <v>1568</v>
      </c>
      <c r="T344" t="s">
        <v>1568</v>
      </c>
      <c r="U344" t="s">
        <v>1568</v>
      </c>
      <c r="V344" t="s">
        <v>1637</v>
      </c>
      <c r="W344" t="s">
        <v>462</v>
      </c>
      <c r="X344" t="s">
        <v>30</v>
      </c>
      <c r="Y344" t="s">
        <v>1572</v>
      </c>
    </row>
    <row r="345" spans="1:25" ht="16" x14ac:dyDescent="0.2">
      <c r="A345" t="s">
        <v>1568</v>
      </c>
      <c r="B345" t="s">
        <v>475</v>
      </c>
      <c r="C345" t="s">
        <v>1568</v>
      </c>
      <c r="D345" t="s">
        <v>1568</v>
      </c>
      <c r="E345" t="s">
        <v>36</v>
      </c>
      <c r="F345" t="s">
        <v>1624</v>
      </c>
      <c r="G345" t="s">
        <v>443</v>
      </c>
      <c r="H345" t="s">
        <v>1568</v>
      </c>
      <c r="I345" t="s">
        <v>444</v>
      </c>
      <c r="J345" t="s">
        <v>1568</v>
      </c>
      <c r="K345" t="s">
        <v>1568</v>
      </c>
      <c r="L345" t="s">
        <v>1568</v>
      </c>
      <c r="M345" t="s">
        <v>1568</v>
      </c>
      <c r="N345" t="s">
        <v>1568</v>
      </c>
      <c r="O345" t="s">
        <v>1568</v>
      </c>
      <c r="P345" t="s">
        <v>1568</v>
      </c>
      <c r="Q345" t="s">
        <v>1568</v>
      </c>
      <c r="R345" t="s">
        <v>1568</v>
      </c>
      <c r="S345" t="s">
        <v>1568</v>
      </c>
      <c r="T345" t="s">
        <v>1568</v>
      </c>
      <c r="U345" t="s">
        <v>1568</v>
      </c>
      <c r="V345" t="s">
        <v>1639</v>
      </c>
      <c r="W345" t="s">
        <v>445</v>
      </c>
      <c r="X345" t="s">
        <v>59</v>
      </c>
      <c r="Y345" t="s">
        <v>1581</v>
      </c>
    </row>
    <row r="346" spans="1:25" ht="16" x14ac:dyDescent="0.2">
      <c r="A346" t="s">
        <v>1568</v>
      </c>
      <c r="B346" t="s">
        <v>476</v>
      </c>
      <c r="C346" t="s">
        <v>1568</v>
      </c>
      <c r="D346" t="s">
        <v>1568</v>
      </c>
      <c r="E346" t="s">
        <v>36</v>
      </c>
      <c r="F346" t="s">
        <v>1625</v>
      </c>
      <c r="G346" t="s">
        <v>425</v>
      </c>
      <c r="H346" t="s">
        <v>1568</v>
      </c>
      <c r="I346" t="s">
        <v>426</v>
      </c>
      <c r="J346" t="s">
        <v>1568</v>
      </c>
      <c r="K346" t="s">
        <v>1568</v>
      </c>
      <c r="L346" t="s">
        <v>1568</v>
      </c>
      <c r="M346" t="s">
        <v>1568</v>
      </c>
      <c r="N346" t="s">
        <v>1568</v>
      </c>
      <c r="O346" t="s">
        <v>1568</v>
      </c>
      <c r="P346" t="s">
        <v>1568</v>
      </c>
      <c r="Q346" t="s">
        <v>1568</v>
      </c>
      <c r="R346" t="s">
        <v>1568</v>
      </c>
      <c r="S346" t="s">
        <v>1568</v>
      </c>
      <c r="T346" t="s">
        <v>1568</v>
      </c>
      <c r="U346" t="s">
        <v>1568</v>
      </c>
      <c r="V346" t="s">
        <v>1632</v>
      </c>
      <c r="W346" t="s">
        <v>427</v>
      </c>
      <c r="X346" t="s">
        <v>59</v>
      </c>
      <c r="Y346" t="s">
        <v>1581</v>
      </c>
    </row>
    <row r="347" spans="1:25" ht="16" x14ac:dyDescent="0.2">
      <c r="A347" t="s">
        <v>1568</v>
      </c>
      <c r="B347" t="s">
        <v>477</v>
      </c>
      <c r="C347" t="s">
        <v>1568</v>
      </c>
      <c r="D347" t="s">
        <v>1568</v>
      </c>
      <c r="E347" t="s">
        <v>36</v>
      </c>
      <c r="F347" t="s">
        <v>1628</v>
      </c>
      <c r="G347" t="s">
        <v>430</v>
      </c>
      <c r="H347" t="s">
        <v>1568</v>
      </c>
      <c r="I347" t="s">
        <v>431</v>
      </c>
      <c r="J347" t="s">
        <v>1568</v>
      </c>
      <c r="K347" t="s">
        <v>1568</v>
      </c>
      <c r="L347" t="s">
        <v>1568</v>
      </c>
      <c r="M347" t="s">
        <v>1568</v>
      </c>
      <c r="N347" t="s">
        <v>1568</v>
      </c>
      <c r="O347" t="s">
        <v>1568</v>
      </c>
      <c r="P347" t="s">
        <v>1568</v>
      </c>
      <c r="Q347" t="s">
        <v>1568</v>
      </c>
      <c r="R347" t="s">
        <v>1568</v>
      </c>
      <c r="S347" t="s">
        <v>1568</v>
      </c>
      <c r="T347" t="s">
        <v>1568</v>
      </c>
      <c r="U347" t="s">
        <v>1568</v>
      </c>
      <c r="V347" t="s">
        <v>1642</v>
      </c>
      <c r="W347" t="s">
        <v>432</v>
      </c>
      <c r="X347" t="s">
        <v>59</v>
      </c>
      <c r="Y347" t="s">
        <v>1581</v>
      </c>
    </row>
    <row r="348" spans="1:25" ht="16" x14ac:dyDescent="0.2">
      <c r="A348" t="s">
        <v>1568</v>
      </c>
      <c r="B348" t="s">
        <v>478</v>
      </c>
      <c r="C348" t="s">
        <v>1568</v>
      </c>
      <c r="D348" t="s">
        <v>1568</v>
      </c>
      <c r="E348" t="s">
        <v>36</v>
      </c>
      <c r="F348" t="s">
        <v>1611</v>
      </c>
      <c r="G348" t="s">
        <v>447</v>
      </c>
      <c r="H348" t="s">
        <v>1568</v>
      </c>
      <c r="I348" t="s">
        <v>448</v>
      </c>
      <c r="J348" t="s">
        <v>1568</v>
      </c>
      <c r="K348" t="s">
        <v>1568</v>
      </c>
      <c r="L348" t="s">
        <v>1568</v>
      </c>
      <c r="M348" t="s">
        <v>1568</v>
      </c>
      <c r="N348" t="s">
        <v>1568</v>
      </c>
      <c r="O348" t="s">
        <v>1568</v>
      </c>
      <c r="P348" t="s">
        <v>1568</v>
      </c>
      <c r="Q348" t="s">
        <v>1568</v>
      </c>
      <c r="R348" t="s">
        <v>1568</v>
      </c>
      <c r="S348" t="s">
        <v>1568</v>
      </c>
      <c r="T348" t="s">
        <v>1568</v>
      </c>
      <c r="U348" t="s">
        <v>1568</v>
      </c>
      <c r="V348" t="s">
        <v>1638</v>
      </c>
      <c r="W348" t="s">
        <v>449</v>
      </c>
      <c r="X348" t="s">
        <v>59</v>
      </c>
      <c r="Y348" t="s">
        <v>1581</v>
      </c>
    </row>
    <row r="349" spans="1:25" ht="16" x14ac:dyDescent="0.2">
      <c r="A349" t="s">
        <v>1568</v>
      </c>
      <c r="B349" t="s">
        <v>479</v>
      </c>
      <c r="C349" t="s">
        <v>1568</v>
      </c>
      <c r="D349" t="s">
        <v>1568</v>
      </c>
      <c r="E349" t="s">
        <v>36</v>
      </c>
      <c r="F349" t="s">
        <v>1627</v>
      </c>
      <c r="G349" t="s">
        <v>439</v>
      </c>
      <c r="H349" t="s">
        <v>1568</v>
      </c>
      <c r="I349" t="s">
        <v>440</v>
      </c>
      <c r="J349" t="s">
        <v>1568</v>
      </c>
      <c r="K349" t="s">
        <v>1568</v>
      </c>
      <c r="L349" t="s">
        <v>1568</v>
      </c>
      <c r="M349" t="s">
        <v>1568</v>
      </c>
      <c r="N349" t="s">
        <v>1568</v>
      </c>
      <c r="O349" t="s">
        <v>1568</v>
      </c>
      <c r="P349" t="s">
        <v>1568</v>
      </c>
      <c r="Q349" t="s">
        <v>1568</v>
      </c>
      <c r="R349" t="s">
        <v>1568</v>
      </c>
      <c r="S349" t="s">
        <v>1568</v>
      </c>
      <c r="T349" t="s">
        <v>1568</v>
      </c>
      <c r="U349" t="s">
        <v>1568</v>
      </c>
      <c r="V349" t="s">
        <v>1632</v>
      </c>
      <c r="W349" t="s">
        <v>441</v>
      </c>
      <c r="X349" t="s">
        <v>59</v>
      </c>
      <c r="Y349" t="s">
        <v>1581</v>
      </c>
    </row>
    <row r="350" spans="1:25" ht="16" x14ac:dyDescent="0.2">
      <c r="A350" t="s">
        <v>1568</v>
      </c>
      <c r="B350" t="s">
        <v>480</v>
      </c>
      <c r="C350" t="s">
        <v>1568</v>
      </c>
      <c r="D350" t="s">
        <v>1568</v>
      </c>
      <c r="E350" t="s">
        <v>36</v>
      </c>
      <c r="F350" t="s">
        <v>1625</v>
      </c>
      <c r="G350" t="s">
        <v>425</v>
      </c>
      <c r="H350" t="s">
        <v>1568</v>
      </c>
      <c r="I350" t="s">
        <v>426</v>
      </c>
      <c r="J350" t="s">
        <v>1568</v>
      </c>
      <c r="K350" t="s">
        <v>1568</v>
      </c>
      <c r="L350" t="s">
        <v>1568</v>
      </c>
      <c r="M350" t="s">
        <v>1568</v>
      </c>
      <c r="N350" t="s">
        <v>1568</v>
      </c>
      <c r="O350" t="s">
        <v>1568</v>
      </c>
      <c r="P350" t="s">
        <v>1568</v>
      </c>
      <c r="Q350" t="s">
        <v>1568</v>
      </c>
      <c r="R350" t="s">
        <v>1568</v>
      </c>
      <c r="S350" t="s">
        <v>1568</v>
      </c>
      <c r="T350" t="s">
        <v>1568</v>
      </c>
      <c r="U350" t="s">
        <v>1568</v>
      </c>
      <c r="V350" t="s">
        <v>1641</v>
      </c>
      <c r="W350" t="s">
        <v>427</v>
      </c>
      <c r="X350" t="s">
        <v>61</v>
      </c>
      <c r="Y350" t="s">
        <v>1587</v>
      </c>
    </row>
    <row r="351" spans="1:25" ht="16" x14ac:dyDescent="0.2">
      <c r="A351" t="s">
        <v>1568</v>
      </c>
      <c r="B351" t="s">
        <v>481</v>
      </c>
      <c r="C351" t="s">
        <v>1568</v>
      </c>
      <c r="D351" t="s">
        <v>1568</v>
      </c>
      <c r="E351" t="s">
        <v>36</v>
      </c>
      <c r="F351" t="s">
        <v>1624</v>
      </c>
      <c r="G351" t="s">
        <v>465</v>
      </c>
      <c r="H351" t="s">
        <v>1568</v>
      </c>
      <c r="I351" t="s">
        <v>466</v>
      </c>
      <c r="J351" t="s">
        <v>1568</v>
      </c>
      <c r="K351" t="s">
        <v>1568</v>
      </c>
      <c r="L351" t="s">
        <v>1568</v>
      </c>
      <c r="M351" t="s">
        <v>1568</v>
      </c>
      <c r="N351" t="s">
        <v>1568</v>
      </c>
      <c r="O351" t="s">
        <v>1568</v>
      </c>
      <c r="P351" t="s">
        <v>1568</v>
      </c>
      <c r="Q351" t="s">
        <v>1568</v>
      </c>
      <c r="R351" t="s">
        <v>1568</v>
      </c>
      <c r="S351" t="s">
        <v>1568</v>
      </c>
      <c r="T351" t="s">
        <v>1568</v>
      </c>
      <c r="U351" t="s">
        <v>1568</v>
      </c>
      <c r="V351" t="s">
        <v>1643</v>
      </c>
      <c r="W351" t="s">
        <v>467</v>
      </c>
      <c r="X351" t="s">
        <v>61</v>
      </c>
      <c r="Y351" t="s">
        <v>1587</v>
      </c>
    </row>
    <row r="352" spans="1:25" ht="16" x14ac:dyDescent="0.2">
      <c r="A352" t="s">
        <v>1568</v>
      </c>
      <c r="B352" t="s">
        <v>482</v>
      </c>
      <c r="C352" t="s">
        <v>1568</v>
      </c>
      <c r="D352" t="s">
        <v>1568</v>
      </c>
      <c r="E352" t="s">
        <v>36</v>
      </c>
      <c r="F352" t="s">
        <v>1628</v>
      </c>
      <c r="G352" t="s">
        <v>430</v>
      </c>
      <c r="H352" t="s">
        <v>1568</v>
      </c>
      <c r="I352" t="s">
        <v>431</v>
      </c>
      <c r="J352" t="s">
        <v>1568</v>
      </c>
      <c r="K352" t="s">
        <v>1568</v>
      </c>
      <c r="L352" t="s">
        <v>1568</v>
      </c>
      <c r="M352" t="s">
        <v>1568</v>
      </c>
      <c r="N352" t="s">
        <v>1568</v>
      </c>
      <c r="O352" t="s">
        <v>1568</v>
      </c>
      <c r="P352" t="s">
        <v>1568</v>
      </c>
      <c r="Q352" t="s">
        <v>1568</v>
      </c>
      <c r="R352" t="s">
        <v>1568</v>
      </c>
      <c r="S352" t="s">
        <v>1568</v>
      </c>
      <c r="T352" t="s">
        <v>1568</v>
      </c>
      <c r="U352" t="s">
        <v>1568</v>
      </c>
      <c r="V352" t="s">
        <v>1644</v>
      </c>
      <c r="W352" t="s">
        <v>432</v>
      </c>
      <c r="X352" t="s">
        <v>61</v>
      </c>
      <c r="Y352" t="s">
        <v>1587</v>
      </c>
    </row>
    <row r="353" spans="1:25" ht="16" x14ac:dyDescent="0.2">
      <c r="A353" t="s">
        <v>1568</v>
      </c>
      <c r="B353" t="s">
        <v>483</v>
      </c>
      <c r="C353" t="s">
        <v>1568</v>
      </c>
      <c r="D353" t="s">
        <v>1568</v>
      </c>
      <c r="E353" t="s">
        <v>36</v>
      </c>
      <c r="F353" t="s">
        <v>1621</v>
      </c>
      <c r="G353" t="s">
        <v>456</v>
      </c>
      <c r="H353" t="s">
        <v>1568</v>
      </c>
      <c r="I353" t="s">
        <v>457</v>
      </c>
      <c r="J353" t="s">
        <v>1568</v>
      </c>
      <c r="K353" t="s">
        <v>1568</v>
      </c>
      <c r="L353" t="s">
        <v>1568</v>
      </c>
      <c r="M353" t="s">
        <v>1568</v>
      </c>
      <c r="N353" t="s">
        <v>1568</v>
      </c>
      <c r="O353" t="s">
        <v>1568</v>
      </c>
      <c r="P353" t="s">
        <v>1568</v>
      </c>
      <c r="Q353" t="s">
        <v>1568</v>
      </c>
      <c r="R353" t="s">
        <v>1568</v>
      </c>
      <c r="S353" t="s">
        <v>1568</v>
      </c>
      <c r="T353" t="s">
        <v>1568</v>
      </c>
      <c r="U353" t="s">
        <v>1568</v>
      </c>
      <c r="V353" t="s">
        <v>1640</v>
      </c>
      <c r="W353" t="s">
        <v>458</v>
      </c>
      <c r="X353" t="s">
        <v>61</v>
      </c>
      <c r="Y353" t="s">
        <v>1587</v>
      </c>
    </row>
    <row r="354" spans="1:25" ht="16" x14ac:dyDescent="0.2">
      <c r="A354" t="s">
        <v>1568</v>
      </c>
      <c r="B354" t="s">
        <v>484</v>
      </c>
      <c r="C354" t="s">
        <v>1568</v>
      </c>
      <c r="D354" t="s">
        <v>1568</v>
      </c>
      <c r="E354" t="s">
        <v>36</v>
      </c>
      <c r="F354" t="s">
        <v>1611</v>
      </c>
      <c r="G354" t="s">
        <v>447</v>
      </c>
      <c r="H354" t="s">
        <v>1568</v>
      </c>
      <c r="I354" t="s">
        <v>448</v>
      </c>
      <c r="J354" t="s">
        <v>1568</v>
      </c>
      <c r="K354" t="s">
        <v>1568</v>
      </c>
      <c r="L354" t="s">
        <v>1568</v>
      </c>
      <c r="M354" t="s">
        <v>1568</v>
      </c>
      <c r="N354" t="s">
        <v>1568</v>
      </c>
      <c r="O354" t="s">
        <v>1568</v>
      </c>
      <c r="P354" t="s">
        <v>1568</v>
      </c>
      <c r="Q354" t="s">
        <v>1568</v>
      </c>
      <c r="R354" t="s">
        <v>1568</v>
      </c>
      <c r="S354" t="s">
        <v>1568</v>
      </c>
      <c r="T354" t="s">
        <v>1568</v>
      </c>
      <c r="U354" t="s">
        <v>1568</v>
      </c>
      <c r="V354" t="s">
        <v>1640</v>
      </c>
      <c r="W354" t="s">
        <v>449</v>
      </c>
      <c r="X354" t="s">
        <v>61</v>
      </c>
      <c r="Y354" t="s">
        <v>1587</v>
      </c>
    </row>
    <row r="355" spans="1:25" ht="16" x14ac:dyDescent="0.2">
      <c r="A355" t="s">
        <v>1568</v>
      </c>
      <c r="B355" t="s">
        <v>485</v>
      </c>
      <c r="C355" t="s">
        <v>1568</v>
      </c>
      <c r="D355" t="s">
        <v>1568</v>
      </c>
      <c r="E355" t="s">
        <v>36</v>
      </c>
      <c r="F355" t="s">
        <v>1624</v>
      </c>
      <c r="G355" t="s">
        <v>443</v>
      </c>
      <c r="H355" t="s">
        <v>1568</v>
      </c>
      <c r="I355" t="s">
        <v>444</v>
      </c>
      <c r="J355" t="s">
        <v>1568</v>
      </c>
      <c r="K355" t="s">
        <v>1568</v>
      </c>
      <c r="L355" t="s">
        <v>1568</v>
      </c>
      <c r="M355" t="s">
        <v>1568</v>
      </c>
      <c r="N355" t="s">
        <v>1568</v>
      </c>
      <c r="O355" t="s">
        <v>1568</v>
      </c>
      <c r="P355" t="s">
        <v>1568</v>
      </c>
      <c r="Q355" t="s">
        <v>1568</v>
      </c>
      <c r="R355" t="s">
        <v>1568</v>
      </c>
      <c r="S355" t="s">
        <v>1568</v>
      </c>
      <c r="T355" t="s">
        <v>1568</v>
      </c>
      <c r="U355" t="s">
        <v>1568</v>
      </c>
      <c r="V355" t="s">
        <v>1643</v>
      </c>
      <c r="W355" t="s">
        <v>445</v>
      </c>
      <c r="X355" t="s">
        <v>61</v>
      </c>
      <c r="Y355" t="s">
        <v>1587</v>
      </c>
    </row>
    <row r="356" spans="1:25" ht="16" x14ac:dyDescent="0.2">
      <c r="A356" t="s">
        <v>1568</v>
      </c>
      <c r="B356" t="s">
        <v>486</v>
      </c>
      <c r="C356" t="s">
        <v>1568</v>
      </c>
      <c r="D356" t="s">
        <v>1568</v>
      </c>
      <c r="E356" t="s">
        <v>36</v>
      </c>
      <c r="F356" t="s">
        <v>1612</v>
      </c>
      <c r="G356" t="s">
        <v>434</v>
      </c>
      <c r="H356" t="s">
        <v>1568</v>
      </c>
      <c r="I356" t="s">
        <v>435</v>
      </c>
      <c r="J356" t="s">
        <v>1568</v>
      </c>
      <c r="K356" t="s">
        <v>1568</v>
      </c>
      <c r="L356" t="s">
        <v>1568</v>
      </c>
      <c r="M356" t="s">
        <v>1568</v>
      </c>
      <c r="N356" t="s">
        <v>1568</v>
      </c>
      <c r="O356" t="s">
        <v>1568</v>
      </c>
      <c r="P356" t="s">
        <v>1568</v>
      </c>
      <c r="Q356" t="s">
        <v>1568</v>
      </c>
      <c r="R356" t="s">
        <v>1568</v>
      </c>
      <c r="S356" t="s">
        <v>1568</v>
      </c>
      <c r="T356" t="s">
        <v>1568</v>
      </c>
      <c r="U356" t="s">
        <v>1568</v>
      </c>
      <c r="V356" t="s">
        <v>1643</v>
      </c>
      <c r="W356" t="s">
        <v>436</v>
      </c>
      <c r="X356" t="s">
        <v>61</v>
      </c>
      <c r="Y356" t="s">
        <v>1587</v>
      </c>
    </row>
    <row r="357" spans="1:25" ht="16" x14ac:dyDescent="0.2">
      <c r="A357" t="s">
        <v>1568</v>
      </c>
      <c r="B357" t="s">
        <v>487</v>
      </c>
      <c r="C357" t="s">
        <v>1568</v>
      </c>
      <c r="D357" t="s">
        <v>1568</v>
      </c>
      <c r="E357" t="s">
        <v>36</v>
      </c>
      <c r="F357" t="s">
        <v>1603</v>
      </c>
      <c r="G357" t="s">
        <v>490</v>
      </c>
      <c r="H357" t="s">
        <v>1568</v>
      </c>
      <c r="I357" t="s">
        <v>491</v>
      </c>
      <c r="J357" t="s">
        <v>1568</v>
      </c>
      <c r="K357" t="s">
        <v>1568</v>
      </c>
      <c r="L357" t="s">
        <v>1568</v>
      </c>
      <c r="M357" t="s">
        <v>1568</v>
      </c>
      <c r="N357" t="s">
        <v>1568</v>
      </c>
      <c r="O357" t="s">
        <v>1568</v>
      </c>
      <c r="P357" t="s">
        <v>1568</v>
      </c>
      <c r="Q357" t="s">
        <v>1568</v>
      </c>
      <c r="R357" t="s">
        <v>1568</v>
      </c>
      <c r="S357" t="s">
        <v>1568</v>
      </c>
      <c r="T357" t="s">
        <v>1568</v>
      </c>
      <c r="U357" t="s">
        <v>1568</v>
      </c>
      <c r="V357" t="s">
        <v>1645</v>
      </c>
      <c r="W357" t="s">
        <v>492</v>
      </c>
      <c r="X357" t="s">
        <v>30</v>
      </c>
      <c r="Y357" t="s">
        <v>1572</v>
      </c>
    </row>
    <row r="358" spans="1:25" ht="16" x14ac:dyDescent="0.2">
      <c r="A358" t="s">
        <v>1568</v>
      </c>
      <c r="B358" t="s">
        <v>493</v>
      </c>
      <c r="C358" t="s">
        <v>1568</v>
      </c>
      <c r="D358" t="s">
        <v>1568</v>
      </c>
      <c r="E358" t="s">
        <v>36</v>
      </c>
      <c r="F358" t="s">
        <v>1616</v>
      </c>
      <c r="G358" t="s">
        <v>494</v>
      </c>
      <c r="H358" t="s">
        <v>1568</v>
      </c>
      <c r="I358" t="s">
        <v>495</v>
      </c>
      <c r="J358" t="s">
        <v>1568</v>
      </c>
      <c r="K358" t="s">
        <v>1568</v>
      </c>
      <c r="L358" t="s">
        <v>1568</v>
      </c>
      <c r="M358" t="s">
        <v>1568</v>
      </c>
      <c r="N358" t="s">
        <v>1568</v>
      </c>
      <c r="O358" t="s">
        <v>1568</v>
      </c>
      <c r="P358" t="s">
        <v>1568</v>
      </c>
      <c r="Q358" t="s">
        <v>1568</v>
      </c>
      <c r="R358" t="s">
        <v>1568</v>
      </c>
      <c r="S358" t="s">
        <v>1568</v>
      </c>
      <c r="T358" t="s">
        <v>1568</v>
      </c>
      <c r="U358" t="s">
        <v>1568</v>
      </c>
      <c r="V358" t="s">
        <v>1645</v>
      </c>
      <c r="W358" t="s">
        <v>496</v>
      </c>
      <c r="X358" t="s">
        <v>30</v>
      </c>
      <c r="Y358" t="s">
        <v>1572</v>
      </c>
    </row>
    <row r="359" spans="1:25" ht="16" x14ac:dyDescent="0.2">
      <c r="A359" t="s">
        <v>1568</v>
      </c>
      <c r="B359" t="s">
        <v>497</v>
      </c>
      <c r="C359" t="s">
        <v>1568</v>
      </c>
      <c r="D359" t="s">
        <v>1568</v>
      </c>
      <c r="E359" t="s">
        <v>36</v>
      </c>
      <c r="F359" t="s">
        <v>1616</v>
      </c>
      <c r="G359" t="s">
        <v>498</v>
      </c>
      <c r="H359" t="s">
        <v>1568</v>
      </c>
      <c r="I359" t="s">
        <v>499</v>
      </c>
      <c r="J359" t="s">
        <v>1568</v>
      </c>
      <c r="K359" t="s">
        <v>1568</v>
      </c>
      <c r="L359" t="s">
        <v>1568</v>
      </c>
      <c r="M359" t="s">
        <v>1568</v>
      </c>
      <c r="N359" t="s">
        <v>1568</v>
      </c>
      <c r="O359" t="s">
        <v>1568</v>
      </c>
      <c r="P359" t="s">
        <v>1568</v>
      </c>
      <c r="Q359" t="s">
        <v>1568</v>
      </c>
      <c r="R359" t="s">
        <v>1568</v>
      </c>
      <c r="S359" t="s">
        <v>1568</v>
      </c>
      <c r="T359" t="s">
        <v>1568</v>
      </c>
      <c r="U359" t="s">
        <v>1568</v>
      </c>
      <c r="V359" t="s">
        <v>1645</v>
      </c>
      <c r="W359" t="s">
        <v>500</v>
      </c>
      <c r="X359" t="s">
        <v>30</v>
      </c>
      <c r="Y359" t="s">
        <v>1572</v>
      </c>
    </row>
    <row r="360" spans="1:25" ht="16" x14ac:dyDescent="0.2">
      <c r="A360" t="s">
        <v>1568</v>
      </c>
      <c r="B360" t="s">
        <v>501</v>
      </c>
      <c r="C360" t="s">
        <v>1568</v>
      </c>
      <c r="D360" t="s">
        <v>1568</v>
      </c>
      <c r="E360" t="s">
        <v>36</v>
      </c>
      <c r="F360" t="s">
        <v>1615</v>
      </c>
      <c r="G360" t="s">
        <v>502</v>
      </c>
      <c r="H360" t="s">
        <v>1568</v>
      </c>
      <c r="I360" t="s">
        <v>503</v>
      </c>
      <c r="J360" t="s">
        <v>1568</v>
      </c>
      <c r="K360" t="s">
        <v>1568</v>
      </c>
      <c r="L360" t="s">
        <v>1568</v>
      </c>
      <c r="M360" t="s">
        <v>1568</v>
      </c>
      <c r="N360" t="s">
        <v>1568</v>
      </c>
      <c r="O360" t="s">
        <v>1568</v>
      </c>
      <c r="P360" t="s">
        <v>1568</v>
      </c>
      <c r="Q360" t="s">
        <v>1568</v>
      </c>
      <c r="R360" t="s">
        <v>1568</v>
      </c>
      <c r="S360" t="s">
        <v>1568</v>
      </c>
      <c r="T360" t="s">
        <v>1568</v>
      </c>
      <c r="U360" t="s">
        <v>1568</v>
      </c>
      <c r="V360" t="s">
        <v>1645</v>
      </c>
      <c r="W360" t="s">
        <v>504</v>
      </c>
      <c r="X360" t="s">
        <v>30</v>
      </c>
      <c r="Y360" t="s">
        <v>1572</v>
      </c>
    </row>
    <row r="361" spans="1:25" ht="16" x14ac:dyDescent="0.2">
      <c r="A361" t="s">
        <v>1568</v>
      </c>
      <c r="B361" t="s">
        <v>505</v>
      </c>
      <c r="C361" t="s">
        <v>1568</v>
      </c>
      <c r="D361" t="s">
        <v>1568</v>
      </c>
      <c r="E361" t="s">
        <v>36</v>
      </c>
      <c r="F361" t="s">
        <v>1602</v>
      </c>
      <c r="G361" t="s">
        <v>507</v>
      </c>
      <c r="H361" t="s">
        <v>1568</v>
      </c>
      <c r="I361" t="s">
        <v>508</v>
      </c>
      <c r="J361" t="s">
        <v>1568</v>
      </c>
      <c r="K361" t="s">
        <v>1568</v>
      </c>
      <c r="L361" t="s">
        <v>1568</v>
      </c>
      <c r="M361" t="s">
        <v>1568</v>
      </c>
      <c r="N361" t="s">
        <v>1568</v>
      </c>
      <c r="O361" t="s">
        <v>1568</v>
      </c>
      <c r="P361" t="s">
        <v>1568</v>
      </c>
      <c r="Q361" t="s">
        <v>1568</v>
      </c>
      <c r="R361" t="s">
        <v>1568</v>
      </c>
      <c r="S361" t="s">
        <v>1568</v>
      </c>
      <c r="T361" t="s">
        <v>1568</v>
      </c>
      <c r="U361" t="s">
        <v>1568</v>
      </c>
      <c r="V361" t="s">
        <v>1645</v>
      </c>
      <c r="W361" t="s">
        <v>509</v>
      </c>
      <c r="X361" t="s">
        <v>30</v>
      </c>
      <c r="Y361" t="s">
        <v>1572</v>
      </c>
    </row>
    <row r="362" spans="1:25" ht="16" x14ac:dyDescent="0.2">
      <c r="A362" t="s">
        <v>1568</v>
      </c>
      <c r="B362" t="s">
        <v>510</v>
      </c>
      <c r="C362" t="s">
        <v>1568</v>
      </c>
      <c r="D362" t="s">
        <v>1568</v>
      </c>
      <c r="E362" t="s">
        <v>36</v>
      </c>
      <c r="F362" t="s">
        <v>1609</v>
      </c>
      <c r="G362" t="s">
        <v>511</v>
      </c>
      <c r="H362" t="s">
        <v>1568</v>
      </c>
      <c r="I362" t="s">
        <v>512</v>
      </c>
      <c r="J362" t="s">
        <v>1568</v>
      </c>
      <c r="K362" t="s">
        <v>1568</v>
      </c>
      <c r="L362" t="s">
        <v>1568</v>
      </c>
      <c r="M362" t="s">
        <v>1568</v>
      </c>
      <c r="N362" t="s">
        <v>1568</v>
      </c>
      <c r="O362" t="s">
        <v>1568</v>
      </c>
      <c r="P362" t="s">
        <v>1568</v>
      </c>
      <c r="Q362" t="s">
        <v>1568</v>
      </c>
      <c r="R362" t="s">
        <v>1568</v>
      </c>
      <c r="S362" t="s">
        <v>1568</v>
      </c>
      <c r="T362" t="s">
        <v>1568</v>
      </c>
      <c r="U362" t="s">
        <v>1568</v>
      </c>
      <c r="V362" t="s">
        <v>1645</v>
      </c>
      <c r="W362" t="s">
        <v>513</v>
      </c>
      <c r="X362" t="s">
        <v>30</v>
      </c>
      <c r="Y362" t="s">
        <v>1572</v>
      </c>
    </row>
    <row r="363" spans="1:25" ht="16" x14ac:dyDescent="0.2">
      <c r="A363" t="s">
        <v>1568</v>
      </c>
      <c r="B363" t="s">
        <v>514</v>
      </c>
      <c r="C363" t="s">
        <v>1568</v>
      </c>
      <c r="D363" t="s">
        <v>1568</v>
      </c>
      <c r="E363" t="s">
        <v>36</v>
      </c>
      <c r="F363" t="s">
        <v>1622</v>
      </c>
      <c r="G363" t="s">
        <v>515</v>
      </c>
      <c r="H363" t="s">
        <v>1568</v>
      </c>
      <c r="I363" t="s">
        <v>516</v>
      </c>
      <c r="J363" t="s">
        <v>1568</v>
      </c>
      <c r="K363" t="s">
        <v>1568</v>
      </c>
      <c r="L363" t="s">
        <v>1568</v>
      </c>
      <c r="M363" t="s">
        <v>1568</v>
      </c>
      <c r="N363" t="s">
        <v>1568</v>
      </c>
      <c r="O363" t="s">
        <v>1568</v>
      </c>
      <c r="P363" t="s">
        <v>1568</v>
      </c>
      <c r="Q363" t="s">
        <v>1568</v>
      </c>
      <c r="R363" t="s">
        <v>1568</v>
      </c>
      <c r="S363" t="s">
        <v>1568</v>
      </c>
      <c r="T363" t="s">
        <v>1568</v>
      </c>
      <c r="U363" t="s">
        <v>1568</v>
      </c>
      <c r="V363" t="s">
        <v>1645</v>
      </c>
      <c r="W363" t="s">
        <v>517</v>
      </c>
      <c r="X363" t="s">
        <v>30</v>
      </c>
      <c r="Y363" t="s">
        <v>1572</v>
      </c>
    </row>
    <row r="364" spans="1:25" ht="16" x14ac:dyDescent="0.2">
      <c r="A364" t="s">
        <v>1568</v>
      </c>
      <c r="B364" t="s">
        <v>518</v>
      </c>
      <c r="C364" t="s">
        <v>1568</v>
      </c>
      <c r="D364" t="s">
        <v>1568</v>
      </c>
      <c r="E364" t="s">
        <v>36</v>
      </c>
      <c r="F364" t="s">
        <v>1591</v>
      </c>
      <c r="G364" t="s">
        <v>520</v>
      </c>
      <c r="H364" t="s">
        <v>1568</v>
      </c>
      <c r="I364" t="s">
        <v>521</v>
      </c>
      <c r="J364" t="s">
        <v>1568</v>
      </c>
      <c r="K364" t="s">
        <v>1568</v>
      </c>
      <c r="L364" t="s">
        <v>1568</v>
      </c>
      <c r="M364" t="s">
        <v>1568</v>
      </c>
      <c r="N364" t="s">
        <v>1568</v>
      </c>
      <c r="O364" t="s">
        <v>1568</v>
      </c>
      <c r="P364" t="s">
        <v>1568</v>
      </c>
      <c r="Q364" t="s">
        <v>1568</v>
      </c>
      <c r="R364" t="s">
        <v>1568</v>
      </c>
      <c r="S364" t="s">
        <v>1568</v>
      </c>
      <c r="T364" t="s">
        <v>1568</v>
      </c>
      <c r="U364" t="s">
        <v>1568</v>
      </c>
      <c r="V364" t="s">
        <v>1645</v>
      </c>
      <c r="W364" t="s">
        <v>522</v>
      </c>
      <c r="X364" t="s">
        <v>30</v>
      </c>
      <c r="Y364" t="s">
        <v>1572</v>
      </c>
    </row>
    <row r="365" spans="1:25" ht="16" x14ac:dyDescent="0.2">
      <c r="A365" t="s">
        <v>1568</v>
      </c>
      <c r="B365" t="s">
        <v>523</v>
      </c>
      <c r="C365" t="s">
        <v>1568</v>
      </c>
      <c r="D365" t="s">
        <v>1568</v>
      </c>
      <c r="E365" t="s">
        <v>36</v>
      </c>
      <c r="F365" t="s">
        <v>1610</v>
      </c>
      <c r="G365" t="s">
        <v>524</v>
      </c>
      <c r="H365" t="s">
        <v>1568</v>
      </c>
      <c r="I365" t="s">
        <v>525</v>
      </c>
      <c r="J365" t="s">
        <v>1568</v>
      </c>
      <c r="K365" t="s">
        <v>1568</v>
      </c>
      <c r="L365" t="s">
        <v>1568</v>
      </c>
      <c r="M365" t="s">
        <v>1568</v>
      </c>
      <c r="N365" t="s">
        <v>1568</v>
      </c>
      <c r="O365" t="s">
        <v>1568</v>
      </c>
      <c r="P365" t="s">
        <v>1568</v>
      </c>
      <c r="Q365" t="s">
        <v>1568</v>
      </c>
      <c r="R365" t="s">
        <v>1568</v>
      </c>
      <c r="S365" t="s">
        <v>1568</v>
      </c>
      <c r="T365" t="s">
        <v>1568</v>
      </c>
      <c r="U365" t="s">
        <v>1568</v>
      </c>
      <c r="V365" t="s">
        <v>1645</v>
      </c>
      <c r="W365" t="s">
        <v>526</v>
      </c>
      <c r="X365" t="s">
        <v>30</v>
      </c>
      <c r="Y365" t="s">
        <v>1572</v>
      </c>
    </row>
    <row r="366" spans="1:25" ht="16" x14ac:dyDescent="0.2">
      <c r="A366" t="s">
        <v>1568</v>
      </c>
      <c r="B366" t="s">
        <v>527</v>
      </c>
      <c r="C366" t="s">
        <v>1568</v>
      </c>
      <c r="D366" t="s">
        <v>1568</v>
      </c>
      <c r="E366" t="s">
        <v>36</v>
      </c>
      <c r="F366" t="s">
        <v>1599</v>
      </c>
      <c r="G366" t="s">
        <v>528</v>
      </c>
      <c r="H366" t="s">
        <v>1568</v>
      </c>
      <c r="I366" t="s">
        <v>529</v>
      </c>
      <c r="J366" t="s">
        <v>1568</v>
      </c>
      <c r="K366" t="s">
        <v>1568</v>
      </c>
      <c r="L366" t="s">
        <v>1568</v>
      </c>
      <c r="M366" t="s">
        <v>1568</v>
      </c>
      <c r="N366" t="s">
        <v>1568</v>
      </c>
      <c r="O366" t="s">
        <v>1568</v>
      </c>
      <c r="P366" t="s">
        <v>1568</v>
      </c>
      <c r="Q366" t="s">
        <v>1568</v>
      </c>
      <c r="R366" t="s">
        <v>1568</v>
      </c>
      <c r="S366" t="s">
        <v>1568</v>
      </c>
      <c r="T366" t="s">
        <v>1568</v>
      </c>
      <c r="U366" t="s">
        <v>1568</v>
      </c>
      <c r="V366" t="s">
        <v>1645</v>
      </c>
      <c r="W366" t="s">
        <v>530</v>
      </c>
      <c r="X366" t="s">
        <v>30</v>
      </c>
      <c r="Y366" t="s">
        <v>1572</v>
      </c>
    </row>
    <row r="367" spans="1:25" ht="16" x14ac:dyDescent="0.2">
      <c r="A367" t="s">
        <v>1568</v>
      </c>
      <c r="B367" t="s">
        <v>531</v>
      </c>
      <c r="C367" t="s">
        <v>1568</v>
      </c>
      <c r="D367" t="s">
        <v>1568</v>
      </c>
      <c r="E367" t="s">
        <v>36</v>
      </c>
      <c r="F367" t="s">
        <v>1623</v>
      </c>
      <c r="G367" t="s">
        <v>532</v>
      </c>
      <c r="H367" t="s">
        <v>1568</v>
      </c>
      <c r="I367" t="s">
        <v>533</v>
      </c>
      <c r="J367" t="s">
        <v>1568</v>
      </c>
      <c r="K367" t="s">
        <v>1568</v>
      </c>
      <c r="L367" t="s">
        <v>1568</v>
      </c>
      <c r="M367" t="s">
        <v>1568</v>
      </c>
      <c r="N367" t="s">
        <v>1568</v>
      </c>
      <c r="O367" t="s">
        <v>1568</v>
      </c>
      <c r="P367" t="s">
        <v>1568</v>
      </c>
      <c r="Q367" t="s">
        <v>1568</v>
      </c>
      <c r="R367" t="s">
        <v>1568</v>
      </c>
      <c r="S367" t="s">
        <v>1568</v>
      </c>
      <c r="T367" t="s">
        <v>1568</v>
      </c>
      <c r="U367" t="s">
        <v>1568</v>
      </c>
      <c r="V367" t="s">
        <v>1645</v>
      </c>
      <c r="W367" t="s">
        <v>534</v>
      </c>
      <c r="X367" t="s">
        <v>30</v>
      </c>
      <c r="Y367" t="s">
        <v>1572</v>
      </c>
    </row>
    <row r="368" spans="1:25" ht="16" x14ac:dyDescent="0.2">
      <c r="A368" t="s">
        <v>1568</v>
      </c>
      <c r="B368" t="s">
        <v>535</v>
      </c>
      <c r="C368" t="s">
        <v>1568</v>
      </c>
      <c r="D368" t="s">
        <v>1568</v>
      </c>
      <c r="E368" t="s">
        <v>36</v>
      </c>
      <c r="F368" t="s">
        <v>1603</v>
      </c>
      <c r="G368" t="s">
        <v>490</v>
      </c>
      <c r="H368" t="s">
        <v>1568</v>
      </c>
      <c r="I368" t="s">
        <v>491</v>
      </c>
      <c r="J368" t="s">
        <v>1568</v>
      </c>
      <c r="K368" t="s">
        <v>1568</v>
      </c>
      <c r="L368" t="s">
        <v>1568</v>
      </c>
      <c r="M368" t="s">
        <v>1568</v>
      </c>
      <c r="N368" t="s">
        <v>1568</v>
      </c>
      <c r="O368" t="s">
        <v>1568</v>
      </c>
      <c r="P368" t="s">
        <v>1568</v>
      </c>
      <c r="Q368" t="s">
        <v>1568</v>
      </c>
      <c r="R368" t="s">
        <v>1568</v>
      </c>
      <c r="S368" t="s">
        <v>1568</v>
      </c>
      <c r="T368" t="s">
        <v>1568</v>
      </c>
      <c r="U368" t="s">
        <v>1568</v>
      </c>
      <c r="V368" t="s">
        <v>1646</v>
      </c>
      <c r="W368" t="s">
        <v>492</v>
      </c>
      <c r="X368" t="s">
        <v>59</v>
      </c>
      <c r="Y368" t="s">
        <v>1581</v>
      </c>
    </row>
    <row r="369" spans="1:25" ht="16" x14ac:dyDescent="0.2">
      <c r="A369" t="s">
        <v>1568</v>
      </c>
      <c r="B369" t="s">
        <v>536</v>
      </c>
      <c r="C369" t="s">
        <v>1568</v>
      </c>
      <c r="D369" t="s">
        <v>1568</v>
      </c>
      <c r="E369" t="s">
        <v>36</v>
      </c>
      <c r="F369" t="s">
        <v>1616</v>
      </c>
      <c r="G369" t="s">
        <v>494</v>
      </c>
      <c r="H369" t="s">
        <v>1568</v>
      </c>
      <c r="I369" t="s">
        <v>495</v>
      </c>
      <c r="J369" t="s">
        <v>1568</v>
      </c>
      <c r="K369" t="s">
        <v>1568</v>
      </c>
      <c r="L369" t="s">
        <v>1568</v>
      </c>
      <c r="M369" t="s">
        <v>1568</v>
      </c>
      <c r="N369" t="s">
        <v>1568</v>
      </c>
      <c r="O369" t="s">
        <v>1568</v>
      </c>
      <c r="P369" t="s">
        <v>1568</v>
      </c>
      <c r="Q369" t="s">
        <v>1568</v>
      </c>
      <c r="R369" t="s">
        <v>1568</v>
      </c>
      <c r="S369" t="s">
        <v>1568</v>
      </c>
      <c r="T369" t="s">
        <v>1568</v>
      </c>
      <c r="U369" t="s">
        <v>1568</v>
      </c>
      <c r="V369" t="s">
        <v>1646</v>
      </c>
      <c r="W369" t="s">
        <v>496</v>
      </c>
      <c r="X369" t="s">
        <v>59</v>
      </c>
      <c r="Y369" t="s">
        <v>1581</v>
      </c>
    </row>
    <row r="370" spans="1:25" ht="16" x14ac:dyDescent="0.2">
      <c r="A370" t="s">
        <v>1568</v>
      </c>
      <c r="B370" t="s">
        <v>537</v>
      </c>
      <c r="C370" t="s">
        <v>1568</v>
      </c>
      <c r="D370" t="s">
        <v>1568</v>
      </c>
      <c r="E370" t="s">
        <v>36</v>
      </c>
      <c r="F370" t="s">
        <v>1615</v>
      </c>
      <c r="G370" t="s">
        <v>502</v>
      </c>
      <c r="H370" t="s">
        <v>1568</v>
      </c>
      <c r="I370" t="s">
        <v>503</v>
      </c>
      <c r="J370" t="s">
        <v>1568</v>
      </c>
      <c r="K370" t="s">
        <v>1568</v>
      </c>
      <c r="L370" t="s">
        <v>1568</v>
      </c>
      <c r="M370" t="s">
        <v>1568</v>
      </c>
      <c r="N370" t="s">
        <v>1568</v>
      </c>
      <c r="O370" t="s">
        <v>1568</v>
      </c>
      <c r="P370" t="s">
        <v>1568</v>
      </c>
      <c r="Q370" t="s">
        <v>1568</v>
      </c>
      <c r="R370" t="s">
        <v>1568</v>
      </c>
      <c r="S370" t="s">
        <v>1568</v>
      </c>
      <c r="T370" t="s">
        <v>1568</v>
      </c>
      <c r="U370" t="s">
        <v>1568</v>
      </c>
      <c r="V370" t="s">
        <v>1646</v>
      </c>
      <c r="W370" t="s">
        <v>504</v>
      </c>
      <c r="X370" t="s">
        <v>59</v>
      </c>
      <c r="Y370" t="s">
        <v>1581</v>
      </c>
    </row>
    <row r="371" spans="1:25" ht="16" x14ac:dyDescent="0.2">
      <c r="A371" t="s">
        <v>1568</v>
      </c>
      <c r="B371" t="s">
        <v>538</v>
      </c>
      <c r="C371" t="s">
        <v>1568</v>
      </c>
      <c r="D371" t="s">
        <v>1568</v>
      </c>
      <c r="E371" t="s">
        <v>36</v>
      </c>
      <c r="F371" t="s">
        <v>1616</v>
      </c>
      <c r="G371" t="s">
        <v>498</v>
      </c>
      <c r="H371" t="s">
        <v>1568</v>
      </c>
      <c r="I371" t="s">
        <v>499</v>
      </c>
      <c r="J371" t="s">
        <v>1568</v>
      </c>
      <c r="K371" t="s">
        <v>1568</v>
      </c>
      <c r="L371" t="s">
        <v>1568</v>
      </c>
      <c r="M371" t="s">
        <v>1568</v>
      </c>
      <c r="N371" t="s">
        <v>1568</v>
      </c>
      <c r="O371" t="s">
        <v>1568</v>
      </c>
      <c r="P371" t="s">
        <v>1568</v>
      </c>
      <c r="Q371" t="s">
        <v>1568</v>
      </c>
      <c r="R371" t="s">
        <v>1568</v>
      </c>
      <c r="S371" t="s">
        <v>1568</v>
      </c>
      <c r="T371" t="s">
        <v>1568</v>
      </c>
      <c r="U371" t="s">
        <v>1568</v>
      </c>
      <c r="V371" t="s">
        <v>1646</v>
      </c>
      <c r="W371" t="s">
        <v>500</v>
      </c>
      <c r="X371" t="s">
        <v>59</v>
      </c>
      <c r="Y371" t="s">
        <v>1581</v>
      </c>
    </row>
    <row r="372" spans="1:25" ht="16" x14ac:dyDescent="0.2">
      <c r="A372" t="s">
        <v>1568</v>
      </c>
      <c r="B372" t="s">
        <v>539</v>
      </c>
      <c r="C372" t="s">
        <v>1568</v>
      </c>
      <c r="D372" t="s">
        <v>1568</v>
      </c>
      <c r="E372" t="s">
        <v>36</v>
      </c>
      <c r="F372" t="s">
        <v>1622</v>
      </c>
      <c r="G372" t="s">
        <v>515</v>
      </c>
      <c r="H372" t="s">
        <v>1568</v>
      </c>
      <c r="I372" t="s">
        <v>516</v>
      </c>
      <c r="J372" t="s">
        <v>1568</v>
      </c>
      <c r="K372" t="s">
        <v>1568</v>
      </c>
      <c r="L372" t="s">
        <v>1568</v>
      </c>
      <c r="M372" t="s">
        <v>1568</v>
      </c>
      <c r="N372" t="s">
        <v>1568</v>
      </c>
      <c r="O372" t="s">
        <v>1568</v>
      </c>
      <c r="P372" t="s">
        <v>1568</v>
      </c>
      <c r="Q372" t="s">
        <v>1568</v>
      </c>
      <c r="R372" t="s">
        <v>1568</v>
      </c>
      <c r="S372" t="s">
        <v>1568</v>
      </c>
      <c r="T372" t="s">
        <v>1568</v>
      </c>
      <c r="U372" t="s">
        <v>1568</v>
      </c>
      <c r="V372" t="s">
        <v>1646</v>
      </c>
      <c r="W372" t="s">
        <v>517</v>
      </c>
      <c r="X372" t="s">
        <v>59</v>
      </c>
      <c r="Y372" t="s">
        <v>1581</v>
      </c>
    </row>
    <row r="373" spans="1:25" ht="16" x14ac:dyDescent="0.2">
      <c r="A373" t="s">
        <v>1568</v>
      </c>
      <c r="B373" t="s">
        <v>540</v>
      </c>
      <c r="C373" t="s">
        <v>1568</v>
      </c>
      <c r="D373" t="s">
        <v>1568</v>
      </c>
      <c r="E373" t="s">
        <v>36</v>
      </c>
      <c r="F373" t="s">
        <v>1609</v>
      </c>
      <c r="G373" t="s">
        <v>511</v>
      </c>
      <c r="H373" t="s">
        <v>1568</v>
      </c>
      <c r="I373" t="s">
        <v>512</v>
      </c>
      <c r="J373" t="s">
        <v>1568</v>
      </c>
      <c r="K373" t="s">
        <v>1568</v>
      </c>
      <c r="L373" t="s">
        <v>1568</v>
      </c>
      <c r="M373" t="s">
        <v>1568</v>
      </c>
      <c r="N373" t="s">
        <v>1568</v>
      </c>
      <c r="O373" t="s">
        <v>1568</v>
      </c>
      <c r="P373" t="s">
        <v>1568</v>
      </c>
      <c r="Q373" t="s">
        <v>1568</v>
      </c>
      <c r="R373" t="s">
        <v>1568</v>
      </c>
      <c r="S373" t="s">
        <v>1568</v>
      </c>
      <c r="T373" t="s">
        <v>1568</v>
      </c>
      <c r="U373" t="s">
        <v>1568</v>
      </c>
      <c r="V373" t="s">
        <v>1646</v>
      </c>
      <c r="W373" t="s">
        <v>513</v>
      </c>
      <c r="X373" t="s">
        <v>59</v>
      </c>
      <c r="Y373" t="s">
        <v>1581</v>
      </c>
    </row>
    <row r="374" spans="1:25" ht="16" x14ac:dyDescent="0.2">
      <c r="A374" t="s">
        <v>1568</v>
      </c>
      <c r="B374" t="s">
        <v>541</v>
      </c>
      <c r="C374" t="s">
        <v>1568</v>
      </c>
      <c r="D374" t="s">
        <v>1568</v>
      </c>
      <c r="E374" t="s">
        <v>36</v>
      </c>
      <c r="F374" t="s">
        <v>1602</v>
      </c>
      <c r="G374" t="s">
        <v>507</v>
      </c>
      <c r="H374" t="s">
        <v>1568</v>
      </c>
      <c r="I374" t="s">
        <v>508</v>
      </c>
      <c r="J374" t="s">
        <v>1568</v>
      </c>
      <c r="K374" t="s">
        <v>1568</v>
      </c>
      <c r="L374" t="s">
        <v>1568</v>
      </c>
      <c r="M374" t="s">
        <v>1568</v>
      </c>
      <c r="N374" t="s">
        <v>1568</v>
      </c>
      <c r="O374" t="s">
        <v>1568</v>
      </c>
      <c r="P374" t="s">
        <v>1568</v>
      </c>
      <c r="Q374" t="s">
        <v>1568</v>
      </c>
      <c r="R374" t="s">
        <v>1568</v>
      </c>
      <c r="S374" t="s">
        <v>1568</v>
      </c>
      <c r="T374" t="s">
        <v>1568</v>
      </c>
      <c r="U374" t="s">
        <v>1568</v>
      </c>
      <c r="V374" t="s">
        <v>1646</v>
      </c>
      <c r="W374" t="s">
        <v>509</v>
      </c>
      <c r="X374" t="s">
        <v>59</v>
      </c>
      <c r="Y374" t="s">
        <v>1581</v>
      </c>
    </row>
    <row r="375" spans="1:25" ht="16" x14ac:dyDescent="0.2">
      <c r="A375" t="s">
        <v>1568</v>
      </c>
      <c r="B375" t="s">
        <v>542</v>
      </c>
      <c r="C375" t="s">
        <v>1568</v>
      </c>
      <c r="D375" t="s">
        <v>1568</v>
      </c>
      <c r="E375" t="s">
        <v>36</v>
      </c>
      <c r="F375" t="s">
        <v>1610</v>
      </c>
      <c r="G375" t="s">
        <v>524</v>
      </c>
      <c r="H375" t="s">
        <v>1568</v>
      </c>
      <c r="I375" t="s">
        <v>525</v>
      </c>
      <c r="J375" t="s">
        <v>1568</v>
      </c>
      <c r="K375" t="s">
        <v>1568</v>
      </c>
      <c r="L375" t="s">
        <v>1568</v>
      </c>
      <c r="M375" t="s">
        <v>1568</v>
      </c>
      <c r="N375" t="s">
        <v>1568</v>
      </c>
      <c r="O375" t="s">
        <v>1568</v>
      </c>
      <c r="P375" t="s">
        <v>1568</v>
      </c>
      <c r="Q375" t="s">
        <v>1568</v>
      </c>
      <c r="R375" t="s">
        <v>1568</v>
      </c>
      <c r="S375" t="s">
        <v>1568</v>
      </c>
      <c r="T375" t="s">
        <v>1568</v>
      </c>
      <c r="U375" t="s">
        <v>1568</v>
      </c>
      <c r="V375" t="s">
        <v>1646</v>
      </c>
      <c r="W375" t="s">
        <v>526</v>
      </c>
      <c r="X375" t="s">
        <v>59</v>
      </c>
      <c r="Y375" t="s">
        <v>1581</v>
      </c>
    </row>
    <row r="376" spans="1:25" ht="16" x14ac:dyDescent="0.2">
      <c r="A376" t="s">
        <v>1568</v>
      </c>
      <c r="B376" t="s">
        <v>543</v>
      </c>
      <c r="C376" t="s">
        <v>1568</v>
      </c>
      <c r="D376" t="s">
        <v>1568</v>
      </c>
      <c r="E376" t="s">
        <v>36</v>
      </c>
      <c r="F376" t="s">
        <v>1623</v>
      </c>
      <c r="G376" t="s">
        <v>532</v>
      </c>
      <c r="H376" t="s">
        <v>1568</v>
      </c>
      <c r="I376" t="s">
        <v>533</v>
      </c>
      <c r="J376" t="s">
        <v>1568</v>
      </c>
      <c r="K376" t="s">
        <v>1568</v>
      </c>
      <c r="L376" t="s">
        <v>1568</v>
      </c>
      <c r="M376" t="s">
        <v>1568</v>
      </c>
      <c r="N376" t="s">
        <v>1568</v>
      </c>
      <c r="O376" t="s">
        <v>1568</v>
      </c>
      <c r="P376" t="s">
        <v>1568</v>
      </c>
      <c r="Q376" t="s">
        <v>1568</v>
      </c>
      <c r="R376" t="s">
        <v>1568</v>
      </c>
      <c r="S376" t="s">
        <v>1568</v>
      </c>
      <c r="T376" t="s">
        <v>1568</v>
      </c>
      <c r="U376" t="s">
        <v>1568</v>
      </c>
      <c r="V376" t="s">
        <v>1646</v>
      </c>
      <c r="W376" t="s">
        <v>534</v>
      </c>
      <c r="X376" t="s">
        <v>59</v>
      </c>
      <c r="Y376" t="s">
        <v>1581</v>
      </c>
    </row>
    <row r="377" spans="1:25" ht="16" x14ac:dyDescent="0.2">
      <c r="A377" t="s">
        <v>1568</v>
      </c>
      <c r="B377" t="s">
        <v>544</v>
      </c>
      <c r="C377" t="s">
        <v>1568</v>
      </c>
      <c r="D377" t="s">
        <v>1568</v>
      </c>
      <c r="E377" t="s">
        <v>36</v>
      </c>
      <c r="F377" t="s">
        <v>1599</v>
      </c>
      <c r="G377" t="s">
        <v>528</v>
      </c>
      <c r="H377" t="s">
        <v>1568</v>
      </c>
      <c r="I377" t="s">
        <v>529</v>
      </c>
      <c r="J377" t="s">
        <v>1568</v>
      </c>
      <c r="K377" t="s">
        <v>1568</v>
      </c>
      <c r="L377" t="s">
        <v>1568</v>
      </c>
      <c r="M377" t="s">
        <v>1568</v>
      </c>
      <c r="N377" t="s">
        <v>1568</v>
      </c>
      <c r="O377" t="s">
        <v>1568</v>
      </c>
      <c r="P377" t="s">
        <v>1568</v>
      </c>
      <c r="Q377" t="s">
        <v>1568</v>
      </c>
      <c r="R377" t="s">
        <v>1568</v>
      </c>
      <c r="S377" t="s">
        <v>1568</v>
      </c>
      <c r="T377" t="s">
        <v>1568</v>
      </c>
      <c r="U377" t="s">
        <v>1568</v>
      </c>
      <c r="V377" t="s">
        <v>1646</v>
      </c>
      <c r="W377" t="s">
        <v>530</v>
      </c>
      <c r="X377" t="s">
        <v>59</v>
      </c>
      <c r="Y377" t="s">
        <v>1581</v>
      </c>
    </row>
    <row r="378" spans="1:25" ht="16" x14ac:dyDescent="0.2">
      <c r="A378" t="s">
        <v>1568</v>
      </c>
      <c r="B378" t="s">
        <v>545</v>
      </c>
      <c r="C378" t="s">
        <v>1568</v>
      </c>
      <c r="D378" t="s">
        <v>1568</v>
      </c>
      <c r="E378" t="s">
        <v>36</v>
      </c>
      <c r="F378" t="s">
        <v>1591</v>
      </c>
      <c r="G378" t="s">
        <v>520</v>
      </c>
      <c r="H378" t="s">
        <v>1568</v>
      </c>
      <c r="I378" t="s">
        <v>521</v>
      </c>
      <c r="J378" t="s">
        <v>1568</v>
      </c>
      <c r="K378" t="s">
        <v>1568</v>
      </c>
      <c r="L378" t="s">
        <v>1568</v>
      </c>
      <c r="M378" t="s">
        <v>1568</v>
      </c>
      <c r="N378" t="s">
        <v>1568</v>
      </c>
      <c r="O378" t="s">
        <v>1568</v>
      </c>
      <c r="P378" t="s">
        <v>1568</v>
      </c>
      <c r="Q378" t="s">
        <v>1568</v>
      </c>
      <c r="R378" t="s">
        <v>1568</v>
      </c>
      <c r="S378" t="s">
        <v>1568</v>
      </c>
      <c r="T378" t="s">
        <v>1568</v>
      </c>
      <c r="U378" t="s">
        <v>1568</v>
      </c>
      <c r="V378" t="s">
        <v>1646</v>
      </c>
      <c r="W378" t="s">
        <v>522</v>
      </c>
      <c r="X378" t="s">
        <v>59</v>
      </c>
      <c r="Y378" t="s">
        <v>1581</v>
      </c>
    </row>
    <row r="379" spans="1:25" ht="16" x14ac:dyDescent="0.2">
      <c r="A379" t="s">
        <v>1568</v>
      </c>
      <c r="B379" t="s">
        <v>546</v>
      </c>
      <c r="C379" t="s">
        <v>1568</v>
      </c>
      <c r="D379" t="s">
        <v>1568</v>
      </c>
      <c r="E379" t="s">
        <v>36</v>
      </c>
      <c r="F379" t="s">
        <v>1603</v>
      </c>
      <c r="G379" t="s">
        <v>490</v>
      </c>
      <c r="H379" t="s">
        <v>1568</v>
      </c>
      <c r="I379" t="s">
        <v>491</v>
      </c>
      <c r="J379" t="s">
        <v>1568</v>
      </c>
      <c r="K379" t="s">
        <v>1568</v>
      </c>
      <c r="L379" t="s">
        <v>1568</v>
      </c>
      <c r="M379" t="s">
        <v>1568</v>
      </c>
      <c r="N379" t="s">
        <v>1568</v>
      </c>
      <c r="O379" t="s">
        <v>1568</v>
      </c>
      <c r="P379" t="s">
        <v>1568</v>
      </c>
      <c r="Q379" t="s">
        <v>1568</v>
      </c>
      <c r="R379" t="s">
        <v>1568</v>
      </c>
      <c r="S379" t="s">
        <v>1568</v>
      </c>
      <c r="T379" t="s">
        <v>1568</v>
      </c>
      <c r="U379" t="s">
        <v>1568</v>
      </c>
      <c r="V379" t="s">
        <v>1647</v>
      </c>
      <c r="W379" t="s">
        <v>492</v>
      </c>
      <c r="X379" t="s">
        <v>61</v>
      </c>
      <c r="Y379" t="s">
        <v>1587</v>
      </c>
    </row>
    <row r="380" spans="1:25" ht="16" x14ac:dyDescent="0.2">
      <c r="A380" t="s">
        <v>1568</v>
      </c>
      <c r="B380" t="s">
        <v>547</v>
      </c>
      <c r="C380" t="s">
        <v>1568</v>
      </c>
      <c r="D380" t="s">
        <v>1568</v>
      </c>
      <c r="E380" t="s">
        <v>36</v>
      </c>
      <c r="F380" t="s">
        <v>1616</v>
      </c>
      <c r="G380" t="s">
        <v>494</v>
      </c>
      <c r="H380" t="s">
        <v>1568</v>
      </c>
      <c r="I380" t="s">
        <v>495</v>
      </c>
      <c r="J380" t="s">
        <v>1568</v>
      </c>
      <c r="K380" t="s">
        <v>1568</v>
      </c>
      <c r="L380" t="s">
        <v>1568</v>
      </c>
      <c r="M380" t="s">
        <v>1568</v>
      </c>
      <c r="N380" t="s">
        <v>1568</v>
      </c>
      <c r="O380" t="s">
        <v>1568</v>
      </c>
      <c r="P380" t="s">
        <v>1568</v>
      </c>
      <c r="Q380" t="s">
        <v>1568</v>
      </c>
      <c r="R380" t="s">
        <v>1568</v>
      </c>
      <c r="S380" t="s">
        <v>1568</v>
      </c>
      <c r="T380" t="s">
        <v>1568</v>
      </c>
      <c r="U380" t="s">
        <v>1568</v>
      </c>
      <c r="V380" t="s">
        <v>1647</v>
      </c>
      <c r="W380" t="s">
        <v>496</v>
      </c>
      <c r="X380" t="s">
        <v>61</v>
      </c>
      <c r="Y380" t="s">
        <v>1587</v>
      </c>
    </row>
    <row r="381" spans="1:25" ht="16" x14ac:dyDescent="0.2">
      <c r="A381" t="s">
        <v>1568</v>
      </c>
      <c r="B381" t="s">
        <v>548</v>
      </c>
      <c r="C381" t="s">
        <v>1568</v>
      </c>
      <c r="D381" t="s">
        <v>1568</v>
      </c>
      <c r="E381" t="s">
        <v>36</v>
      </c>
      <c r="F381" t="s">
        <v>1616</v>
      </c>
      <c r="G381" t="s">
        <v>498</v>
      </c>
      <c r="H381" t="s">
        <v>1568</v>
      </c>
      <c r="I381" t="s">
        <v>499</v>
      </c>
      <c r="J381" t="s">
        <v>1568</v>
      </c>
      <c r="K381" t="s">
        <v>1568</v>
      </c>
      <c r="L381" t="s">
        <v>1568</v>
      </c>
      <c r="M381" t="s">
        <v>1568</v>
      </c>
      <c r="N381" t="s">
        <v>1568</v>
      </c>
      <c r="O381" t="s">
        <v>1568</v>
      </c>
      <c r="P381" t="s">
        <v>1568</v>
      </c>
      <c r="Q381" t="s">
        <v>1568</v>
      </c>
      <c r="R381" t="s">
        <v>1568</v>
      </c>
      <c r="S381" t="s">
        <v>1568</v>
      </c>
      <c r="T381" t="s">
        <v>1568</v>
      </c>
      <c r="U381" t="s">
        <v>1568</v>
      </c>
      <c r="V381" t="s">
        <v>1647</v>
      </c>
      <c r="W381" t="s">
        <v>500</v>
      </c>
      <c r="X381" t="s">
        <v>61</v>
      </c>
      <c r="Y381" t="s">
        <v>1587</v>
      </c>
    </row>
    <row r="382" spans="1:25" ht="16" x14ac:dyDescent="0.2">
      <c r="A382" t="s">
        <v>1568</v>
      </c>
      <c r="B382" t="s">
        <v>549</v>
      </c>
      <c r="C382" t="s">
        <v>1568</v>
      </c>
      <c r="D382" t="s">
        <v>1568</v>
      </c>
      <c r="E382" t="s">
        <v>36</v>
      </c>
      <c r="F382" t="s">
        <v>1615</v>
      </c>
      <c r="G382" t="s">
        <v>502</v>
      </c>
      <c r="H382" t="s">
        <v>1568</v>
      </c>
      <c r="I382" t="s">
        <v>503</v>
      </c>
      <c r="J382" t="s">
        <v>1568</v>
      </c>
      <c r="K382" t="s">
        <v>1568</v>
      </c>
      <c r="L382" t="s">
        <v>1568</v>
      </c>
      <c r="M382" t="s">
        <v>1568</v>
      </c>
      <c r="N382" t="s">
        <v>1568</v>
      </c>
      <c r="O382" t="s">
        <v>1568</v>
      </c>
      <c r="P382" t="s">
        <v>1568</v>
      </c>
      <c r="Q382" t="s">
        <v>1568</v>
      </c>
      <c r="R382" t="s">
        <v>1568</v>
      </c>
      <c r="S382" t="s">
        <v>1568</v>
      </c>
      <c r="T382" t="s">
        <v>1568</v>
      </c>
      <c r="U382" t="s">
        <v>1568</v>
      </c>
      <c r="V382" t="s">
        <v>1647</v>
      </c>
      <c r="W382" t="s">
        <v>504</v>
      </c>
      <c r="X382" t="s">
        <v>61</v>
      </c>
      <c r="Y382" t="s">
        <v>1587</v>
      </c>
    </row>
    <row r="383" spans="1:25" ht="16" x14ac:dyDescent="0.2">
      <c r="A383" t="s">
        <v>1568</v>
      </c>
      <c r="B383" t="s">
        <v>550</v>
      </c>
      <c r="C383" t="s">
        <v>1568</v>
      </c>
      <c r="D383" t="s">
        <v>1568</v>
      </c>
      <c r="E383" t="s">
        <v>36</v>
      </c>
      <c r="F383" t="s">
        <v>1622</v>
      </c>
      <c r="G383" t="s">
        <v>515</v>
      </c>
      <c r="H383" t="s">
        <v>1568</v>
      </c>
      <c r="I383" t="s">
        <v>516</v>
      </c>
      <c r="J383" t="s">
        <v>1568</v>
      </c>
      <c r="K383" t="s">
        <v>1568</v>
      </c>
      <c r="L383" t="s">
        <v>1568</v>
      </c>
      <c r="M383" t="s">
        <v>1568</v>
      </c>
      <c r="N383" t="s">
        <v>1568</v>
      </c>
      <c r="O383" t="s">
        <v>1568</v>
      </c>
      <c r="P383" t="s">
        <v>1568</v>
      </c>
      <c r="Q383" t="s">
        <v>1568</v>
      </c>
      <c r="R383" t="s">
        <v>1568</v>
      </c>
      <c r="S383" t="s">
        <v>1568</v>
      </c>
      <c r="T383" t="s">
        <v>1568</v>
      </c>
      <c r="U383" t="s">
        <v>1568</v>
      </c>
      <c r="V383" t="s">
        <v>1647</v>
      </c>
      <c r="W383" t="s">
        <v>517</v>
      </c>
      <c r="X383" t="s">
        <v>61</v>
      </c>
      <c r="Y383" t="s">
        <v>1587</v>
      </c>
    </row>
    <row r="384" spans="1:25" ht="16" x14ac:dyDescent="0.2">
      <c r="A384" t="s">
        <v>1568</v>
      </c>
      <c r="B384" t="s">
        <v>551</v>
      </c>
      <c r="C384" t="s">
        <v>1568</v>
      </c>
      <c r="D384" t="s">
        <v>1568</v>
      </c>
      <c r="E384" t="s">
        <v>36</v>
      </c>
      <c r="F384" t="s">
        <v>1602</v>
      </c>
      <c r="G384" t="s">
        <v>507</v>
      </c>
      <c r="H384" t="s">
        <v>1568</v>
      </c>
      <c r="I384" t="s">
        <v>508</v>
      </c>
      <c r="J384" t="s">
        <v>1568</v>
      </c>
      <c r="K384" t="s">
        <v>1568</v>
      </c>
      <c r="L384" t="s">
        <v>1568</v>
      </c>
      <c r="M384" t="s">
        <v>1568</v>
      </c>
      <c r="N384" t="s">
        <v>1568</v>
      </c>
      <c r="O384" t="s">
        <v>1568</v>
      </c>
      <c r="P384" t="s">
        <v>1568</v>
      </c>
      <c r="Q384" t="s">
        <v>1568</v>
      </c>
      <c r="R384" t="s">
        <v>1568</v>
      </c>
      <c r="S384" t="s">
        <v>1568</v>
      </c>
      <c r="T384" t="s">
        <v>1568</v>
      </c>
      <c r="U384" t="s">
        <v>1568</v>
      </c>
      <c r="V384" t="s">
        <v>1647</v>
      </c>
      <c r="W384" t="s">
        <v>509</v>
      </c>
      <c r="X384" t="s">
        <v>61</v>
      </c>
      <c r="Y384" t="s">
        <v>1587</v>
      </c>
    </row>
    <row r="385" spans="1:25" ht="16" x14ac:dyDescent="0.2">
      <c r="A385" t="s">
        <v>1568</v>
      </c>
      <c r="B385" t="s">
        <v>552</v>
      </c>
      <c r="C385" t="s">
        <v>1568</v>
      </c>
      <c r="D385" t="s">
        <v>1568</v>
      </c>
      <c r="E385" t="s">
        <v>36</v>
      </c>
      <c r="F385" t="s">
        <v>1609</v>
      </c>
      <c r="G385" t="s">
        <v>511</v>
      </c>
      <c r="H385" t="s">
        <v>1568</v>
      </c>
      <c r="I385" t="s">
        <v>512</v>
      </c>
      <c r="J385" t="s">
        <v>1568</v>
      </c>
      <c r="K385" t="s">
        <v>1568</v>
      </c>
      <c r="L385" t="s">
        <v>1568</v>
      </c>
      <c r="M385" t="s">
        <v>1568</v>
      </c>
      <c r="N385" t="s">
        <v>1568</v>
      </c>
      <c r="O385" t="s">
        <v>1568</v>
      </c>
      <c r="P385" t="s">
        <v>1568</v>
      </c>
      <c r="Q385" t="s">
        <v>1568</v>
      </c>
      <c r="R385" t="s">
        <v>1568</v>
      </c>
      <c r="S385" t="s">
        <v>1568</v>
      </c>
      <c r="T385" t="s">
        <v>1568</v>
      </c>
      <c r="U385" t="s">
        <v>1568</v>
      </c>
      <c r="V385" t="s">
        <v>1647</v>
      </c>
      <c r="W385" t="s">
        <v>513</v>
      </c>
      <c r="X385" t="s">
        <v>61</v>
      </c>
      <c r="Y385" t="s">
        <v>1587</v>
      </c>
    </row>
    <row r="386" spans="1:25" ht="16" x14ac:dyDescent="0.2">
      <c r="A386" t="s">
        <v>1568</v>
      </c>
      <c r="B386" t="s">
        <v>553</v>
      </c>
      <c r="C386" t="s">
        <v>1568</v>
      </c>
      <c r="D386" t="s">
        <v>1568</v>
      </c>
      <c r="E386" t="s">
        <v>36</v>
      </c>
      <c r="F386" t="s">
        <v>1599</v>
      </c>
      <c r="G386" t="s">
        <v>528</v>
      </c>
      <c r="H386" t="s">
        <v>1568</v>
      </c>
      <c r="I386" t="s">
        <v>529</v>
      </c>
      <c r="J386" t="s">
        <v>1568</v>
      </c>
      <c r="K386" t="s">
        <v>1568</v>
      </c>
      <c r="L386" t="s">
        <v>1568</v>
      </c>
      <c r="M386" t="s">
        <v>1568</v>
      </c>
      <c r="N386" t="s">
        <v>1568</v>
      </c>
      <c r="O386" t="s">
        <v>1568</v>
      </c>
      <c r="P386" t="s">
        <v>1568</v>
      </c>
      <c r="Q386" t="s">
        <v>1568</v>
      </c>
      <c r="R386" t="s">
        <v>1568</v>
      </c>
      <c r="S386" t="s">
        <v>1568</v>
      </c>
      <c r="T386" t="s">
        <v>1568</v>
      </c>
      <c r="U386" t="s">
        <v>1568</v>
      </c>
      <c r="V386" t="s">
        <v>1647</v>
      </c>
      <c r="W386" t="s">
        <v>530</v>
      </c>
      <c r="X386" t="s">
        <v>61</v>
      </c>
      <c r="Y386" t="s">
        <v>1587</v>
      </c>
    </row>
    <row r="387" spans="1:25" ht="16" x14ac:dyDescent="0.2">
      <c r="A387" t="s">
        <v>1568</v>
      </c>
      <c r="B387" t="s">
        <v>554</v>
      </c>
      <c r="C387" t="s">
        <v>1568</v>
      </c>
      <c r="D387" t="s">
        <v>1568</v>
      </c>
      <c r="E387" t="s">
        <v>36</v>
      </c>
      <c r="F387" t="s">
        <v>1623</v>
      </c>
      <c r="G387" t="s">
        <v>532</v>
      </c>
      <c r="H387" t="s">
        <v>1568</v>
      </c>
      <c r="I387" t="s">
        <v>533</v>
      </c>
      <c r="J387" t="s">
        <v>1568</v>
      </c>
      <c r="K387" t="s">
        <v>1568</v>
      </c>
      <c r="L387" t="s">
        <v>1568</v>
      </c>
      <c r="M387" t="s">
        <v>1568</v>
      </c>
      <c r="N387" t="s">
        <v>1568</v>
      </c>
      <c r="O387" t="s">
        <v>1568</v>
      </c>
      <c r="P387" t="s">
        <v>1568</v>
      </c>
      <c r="Q387" t="s">
        <v>1568</v>
      </c>
      <c r="R387" t="s">
        <v>1568</v>
      </c>
      <c r="S387" t="s">
        <v>1568</v>
      </c>
      <c r="T387" t="s">
        <v>1568</v>
      </c>
      <c r="U387" t="s">
        <v>1568</v>
      </c>
      <c r="V387" t="s">
        <v>1647</v>
      </c>
      <c r="W387" t="s">
        <v>534</v>
      </c>
      <c r="X387" t="s">
        <v>61</v>
      </c>
      <c r="Y387" t="s">
        <v>1587</v>
      </c>
    </row>
    <row r="388" spans="1:25" ht="16" x14ac:dyDescent="0.2">
      <c r="A388" t="s">
        <v>1568</v>
      </c>
      <c r="B388" t="s">
        <v>555</v>
      </c>
      <c r="C388" t="s">
        <v>1568</v>
      </c>
      <c r="D388" t="s">
        <v>1568</v>
      </c>
      <c r="E388" t="s">
        <v>36</v>
      </c>
      <c r="F388" t="s">
        <v>1591</v>
      </c>
      <c r="G388" t="s">
        <v>520</v>
      </c>
      <c r="H388" t="s">
        <v>1568</v>
      </c>
      <c r="I388" t="s">
        <v>521</v>
      </c>
      <c r="J388" t="s">
        <v>1568</v>
      </c>
      <c r="K388" t="s">
        <v>1568</v>
      </c>
      <c r="L388" t="s">
        <v>1568</v>
      </c>
      <c r="M388" t="s">
        <v>1568</v>
      </c>
      <c r="N388" t="s">
        <v>1568</v>
      </c>
      <c r="O388" t="s">
        <v>1568</v>
      </c>
      <c r="P388" t="s">
        <v>1568</v>
      </c>
      <c r="Q388" t="s">
        <v>1568</v>
      </c>
      <c r="R388" t="s">
        <v>1568</v>
      </c>
      <c r="S388" t="s">
        <v>1568</v>
      </c>
      <c r="T388" t="s">
        <v>1568</v>
      </c>
      <c r="U388" t="s">
        <v>1568</v>
      </c>
      <c r="V388" t="s">
        <v>1647</v>
      </c>
      <c r="W388" t="s">
        <v>522</v>
      </c>
      <c r="X388" t="s">
        <v>61</v>
      </c>
      <c r="Y388" t="s">
        <v>1587</v>
      </c>
    </row>
    <row r="389" spans="1:25" ht="16" x14ac:dyDescent="0.2">
      <c r="A389" t="s">
        <v>1568</v>
      </c>
      <c r="B389" t="s">
        <v>556</v>
      </c>
      <c r="C389" t="s">
        <v>1568</v>
      </c>
      <c r="D389" t="s">
        <v>1568</v>
      </c>
      <c r="E389" t="s">
        <v>36</v>
      </c>
      <c r="F389" t="s">
        <v>1610</v>
      </c>
      <c r="G389" t="s">
        <v>524</v>
      </c>
      <c r="H389" t="s">
        <v>1568</v>
      </c>
      <c r="I389" t="s">
        <v>525</v>
      </c>
      <c r="J389" t="s">
        <v>1568</v>
      </c>
      <c r="K389" t="s">
        <v>1568</v>
      </c>
      <c r="L389" t="s">
        <v>1568</v>
      </c>
      <c r="M389" t="s">
        <v>1568</v>
      </c>
      <c r="N389" t="s">
        <v>1568</v>
      </c>
      <c r="O389" t="s">
        <v>1568</v>
      </c>
      <c r="P389" t="s">
        <v>1568</v>
      </c>
      <c r="Q389" t="s">
        <v>1568</v>
      </c>
      <c r="R389" t="s">
        <v>1568</v>
      </c>
      <c r="S389" t="s">
        <v>1568</v>
      </c>
      <c r="T389" t="s">
        <v>1568</v>
      </c>
      <c r="U389" t="s">
        <v>1568</v>
      </c>
      <c r="V389" t="s">
        <v>1647</v>
      </c>
      <c r="W389" t="s">
        <v>526</v>
      </c>
      <c r="X389" t="s">
        <v>61</v>
      </c>
      <c r="Y389" t="s">
        <v>1587</v>
      </c>
    </row>
    <row r="390" spans="1:25" ht="16" x14ac:dyDescent="0.2">
      <c r="A390" t="s">
        <v>1568</v>
      </c>
      <c r="B390" t="s">
        <v>557</v>
      </c>
      <c r="C390" t="s">
        <v>1568</v>
      </c>
      <c r="D390" t="s">
        <v>1568</v>
      </c>
      <c r="E390" t="s">
        <v>36</v>
      </c>
      <c r="F390" t="s">
        <v>1648</v>
      </c>
      <c r="G390" t="s">
        <v>560</v>
      </c>
      <c r="H390" t="s">
        <v>1568</v>
      </c>
      <c r="I390" t="s">
        <v>561</v>
      </c>
      <c r="J390" t="s">
        <v>1568</v>
      </c>
      <c r="K390" t="s">
        <v>1568</v>
      </c>
      <c r="L390" t="s">
        <v>1568</v>
      </c>
      <c r="M390" t="s">
        <v>1568</v>
      </c>
      <c r="N390" t="s">
        <v>1568</v>
      </c>
      <c r="O390" t="s">
        <v>1568</v>
      </c>
      <c r="P390" t="s">
        <v>1568</v>
      </c>
      <c r="Q390" t="s">
        <v>1568</v>
      </c>
      <c r="R390" t="s">
        <v>1568</v>
      </c>
      <c r="S390" t="s">
        <v>1568</v>
      </c>
      <c r="T390" t="s">
        <v>1568</v>
      </c>
      <c r="U390" t="s">
        <v>1568</v>
      </c>
      <c r="V390" t="s">
        <v>1649</v>
      </c>
      <c r="W390" t="s">
        <v>562</v>
      </c>
      <c r="X390" t="s">
        <v>30</v>
      </c>
      <c r="Y390" t="s">
        <v>1572</v>
      </c>
    </row>
    <row r="391" spans="1:25" ht="16" x14ac:dyDescent="0.2">
      <c r="A391" t="s">
        <v>1568</v>
      </c>
      <c r="B391" t="s">
        <v>557</v>
      </c>
      <c r="C391" t="s">
        <v>1568</v>
      </c>
      <c r="D391" t="s">
        <v>1568</v>
      </c>
      <c r="E391" t="s">
        <v>43</v>
      </c>
      <c r="F391" t="s">
        <v>1648</v>
      </c>
      <c r="G391" t="s">
        <v>563</v>
      </c>
      <c r="H391" t="s">
        <v>1568</v>
      </c>
      <c r="I391" t="s">
        <v>564</v>
      </c>
      <c r="J391" t="s">
        <v>1568</v>
      </c>
      <c r="K391" t="s">
        <v>1568</v>
      </c>
      <c r="L391" t="s">
        <v>1568</v>
      </c>
      <c r="M391" t="s">
        <v>1568</v>
      </c>
      <c r="N391" t="s">
        <v>1568</v>
      </c>
      <c r="O391" t="s">
        <v>1568</v>
      </c>
      <c r="P391" t="s">
        <v>1568</v>
      </c>
      <c r="Q391" t="s">
        <v>1568</v>
      </c>
      <c r="R391" t="s">
        <v>1568</v>
      </c>
      <c r="S391" t="s">
        <v>1568</v>
      </c>
      <c r="T391" t="s">
        <v>1568</v>
      </c>
      <c r="U391" t="s">
        <v>1568</v>
      </c>
      <c r="V391" t="s">
        <v>1650</v>
      </c>
      <c r="W391" t="s">
        <v>565</v>
      </c>
      <c r="X391" t="s">
        <v>30</v>
      </c>
      <c r="Y391" t="s">
        <v>1572</v>
      </c>
    </row>
    <row r="392" spans="1:25" ht="16" x14ac:dyDescent="0.2">
      <c r="A392" t="s">
        <v>1568</v>
      </c>
      <c r="B392" t="s">
        <v>557</v>
      </c>
      <c r="C392" t="s">
        <v>1568</v>
      </c>
      <c r="D392" t="s">
        <v>1568</v>
      </c>
      <c r="E392" t="s">
        <v>47</v>
      </c>
      <c r="F392" t="s">
        <v>1648</v>
      </c>
      <c r="G392" t="s">
        <v>566</v>
      </c>
      <c r="H392" t="s">
        <v>1568</v>
      </c>
      <c r="I392" t="s">
        <v>567</v>
      </c>
      <c r="J392" t="s">
        <v>1568</v>
      </c>
      <c r="K392" t="s">
        <v>1568</v>
      </c>
      <c r="L392" t="s">
        <v>1568</v>
      </c>
      <c r="M392" t="s">
        <v>1568</v>
      </c>
      <c r="N392" t="s">
        <v>1568</v>
      </c>
      <c r="O392" t="s">
        <v>1568</v>
      </c>
      <c r="P392" t="s">
        <v>1568</v>
      </c>
      <c r="Q392" t="s">
        <v>1568</v>
      </c>
      <c r="R392" t="s">
        <v>1568</v>
      </c>
      <c r="S392" t="s">
        <v>1568</v>
      </c>
      <c r="T392" t="s">
        <v>1568</v>
      </c>
      <c r="U392" t="s">
        <v>1568</v>
      </c>
      <c r="V392" t="s">
        <v>1651</v>
      </c>
      <c r="W392" t="s">
        <v>568</v>
      </c>
      <c r="X392" t="s">
        <v>30</v>
      </c>
      <c r="Y392" t="s">
        <v>1572</v>
      </c>
    </row>
    <row r="393" spans="1:25" ht="16" x14ac:dyDescent="0.2">
      <c r="A393" t="s">
        <v>1568</v>
      </c>
      <c r="B393" t="s">
        <v>557</v>
      </c>
      <c r="C393" t="s">
        <v>1568</v>
      </c>
      <c r="D393" t="s">
        <v>1568</v>
      </c>
      <c r="E393" t="s">
        <v>51</v>
      </c>
      <c r="F393" t="s">
        <v>1648</v>
      </c>
      <c r="G393" t="s">
        <v>569</v>
      </c>
      <c r="H393" t="s">
        <v>1568</v>
      </c>
      <c r="I393" t="s">
        <v>570</v>
      </c>
      <c r="J393" t="s">
        <v>1568</v>
      </c>
      <c r="K393" t="s">
        <v>1568</v>
      </c>
      <c r="L393" t="s">
        <v>1568</v>
      </c>
      <c r="M393" t="s">
        <v>1568</v>
      </c>
      <c r="N393" t="s">
        <v>1568</v>
      </c>
      <c r="O393" t="s">
        <v>1568</v>
      </c>
      <c r="P393" t="s">
        <v>1568</v>
      </c>
      <c r="Q393" t="s">
        <v>1568</v>
      </c>
      <c r="R393" t="s">
        <v>1568</v>
      </c>
      <c r="S393" t="s">
        <v>1568</v>
      </c>
      <c r="T393" t="s">
        <v>1568</v>
      </c>
      <c r="U393" t="s">
        <v>1568</v>
      </c>
      <c r="V393" t="s">
        <v>1651</v>
      </c>
      <c r="W393" t="s">
        <v>571</v>
      </c>
      <c r="X393" t="s">
        <v>30</v>
      </c>
      <c r="Y393" t="s">
        <v>1572</v>
      </c>
    </row>
    <row r="394" spans="1:25" ht="16" x14ac:dyDescent="0.2">
      <c r="A394" t="s">
        <v>1568</v>
      </c>
      <c r="B394" t="s">
        <v>557</v>
      </c>
      <c r="C394" t="s">
        <v>1568</v>
      </c>
      <c r="D394" t="s">
        <v>1568</v>
      </c>
      <c r="E394" t="s">
        <v>55</v>
      </c>
      <c r="F394" t="s">
        <v>1648</v>
      </c>
      <c r="G394" t="s">
        <v>572</v>
      </c>
      <c r="H394" t="s">
        <v>1568</v>
      </c>
      <c r="I394" t="s">
        <v>573</v>
      </c>
      <c r="J394" t="s">
        <v>1568</v>
      </c>
      <c r="K394" t="s">
        <v>1568</v>
      </c>
      <c r="L394" t="s">
        <v>1568</v>
      </c>
      <c r="M394" t="s">
        <v>1568</v>
      </c>
      <c r="N394" t="s">
        <v>1568</v>
      </c>
      <c r="O394" t="s">
        <v>1568</v>
      </c>
      <c r="P394" t="s">
        <v>1568</v>
      </c>
      <c r="Q394" t="s">
        <v>1568</v>
      </c>
      <c r="R394" t="s">
        <v>1568</v>
      </c>
      <c r="S394" t="s">
        <v>1568</v>
      </c>
      <c r="T394" t="s">
        <v>1568</v>
      </c>
      <c r="U394" t="s">
        <v>1568</v>
      </c>
      <c r="V394" t="s">
        <v>1652</v>
      </c>
      <c r="W394" t="s">
        <v>574</v>
      </c>
      <c r="X394" t="s">
        <v>30</v>
      </c>
      <c r="Y394" t="s">
        <v>1572</v>
      </c>
    </row>
    <row r="395" spans="1:25" ht="16" x14ac:dyDescent="0.2">
      <c r="A395" t="s">
        <v>1568</v>
      </c>
      <c r="B395" t="s">
        <v>575</v>
      </c>
      <c r="C395" t="s">
        <v>1568</v>
      </c>
      <c r="D395" t="s">
        <v>1568</v>
      </c>
      <c r="E395" t="s">
        <v>36</v>
      </c>
      <c r="F395" t="s">
        <v>1648</v>
      </c>
      <c r="G395" t="s">
        <v>560</v>
      </c>
      <c r="H395" t="s">
        <v>1568</v>
      </c>
      <c r="I395" t="s">
        <v>561</v>
      </c>
      <c r="J395" t="s">
        <v>1568</v>
      </c>
      <c r="K395" t="s">
        <v>1568</v>
      </c>
      <c r="L395" t="s">
        <v>1568</v>
      </c>
      <c r="M395" t="s">
        <v>1568</v>
      </c>
      <c r="N395" t="s">
        <v>1568</v>
      </c>
      <c r="O395" t="s">
        <v>1568</v>
      </c>
      <c r="P395" t="s">
        <v>1568</v>
      </c>
      <c r="Q395" t="s">
        <v>1568</v>
      </c>
      <c r="R395" t="s">
        <v>1568</v>
      </c>
      <c r="S395" t="s">
        <v>1568</v>
      </c>
      <c r="T395" t="s">
        <v>1568</v>
      </c>
      <c r="U395" t="s">
        <v>1568</v>
      </c>
      <c r="V395" t="s">
        <v>1607</v>
      </c>
      <c r="W395" t="s">
        <v>562</v>
      </c>
      <c r="X395" t="s">
        <v>59</v>
      </c>
      <c r="Y395" t="s">
        <v>1581</v>
      </c>
    </row>
    <row r="396" spans="1:25" ht="16" x14ac:dyDescent="0.2">
      <c r="A396" t="s">
        <v>1568</v>
      </c>
      <c r="B396" t="s">
        <v>575</v>
      </c>
      <c r="C396" t="s">
        <v>1568</v>
      </c>
      <c r="D396" t="s">
        <v>1568</v>
      </c>
      <c r="E396" t="s">
        <v>43</v>
      </c>
      <c r="F396" t="s">
        <v>1648</v>
      </c>
      <c r="G396" t="s">
        <v>563</v>
      </c>
      <c r="H396" t="s">
        <v>1568</v>
      </c>
      <c r="I396" t="s">
        <v>564</v>
      </c>
      <c r="J396" t="s">
        <v>1568</v>
      </c>
      <c r="K396" t="s">
        <v>1568</v>
      </c>
      <c r="L396" t="s">
        <v>1568</v>
      </c>
      <c r="M396" t="s">
        <v>1568</v>
      </c>
      <c r="N396" t="s">
        <v>1568</v>
      </c>
      <c r="O396" t="s">
        <v>1568</v>
      </c>
      <c r="P396" t="s">
        <v>1568</v>
      </c>
      <c r="Q396" t="s">
        <v>1568</v>
      </c>
      <c r="R396" t="s">
        <v>1568</v>
      </c>
      <c r="S396" t="s">
        <v>1568</v>
      </c>
      <c r="T396" t="s">
        <v>1568</v>
      </c>
      <c r="U396" t="s">
        <v>1568</v>
      </c>
      <c r="V396" t="s">
        <v>1653</v>
      </c>
      <c r="W396" t="s">
        <v>565</v>
      </c>
      <c r="X396" t="s">
        <v>59</v>
      </c>
      <c r="Y396" t="s">
        <v>1581</v>
      </c>
    </row>
    <row r="397" spans="1:25" ht="16" x14ac:dyDescent="0.2">
      <c r="A397" t="s">
        <v>1568</v>
      </c>
      <c r="B397" t="s">
        <v>575</v>
      </c>
      <c r="C397" t="s">
        <v>1568</v>
      </c>
      <c r="D397" t="s">
        <v>1568</v>
      </c>
      <c r="E397" t="s">
        <v>47</v>
      </c>
      <c r="F397" t="s">
        <v>1648</v>
      </c>
      <c r="G397" t="s">
        <v>566</v>
      </c>
      <c r="H397" t="s">
        <v>1568</v>
      </c>
      <c r="I397" t="s">
        <v>567</v>
      </c>
      <c r="J397" t="s">
        <v>1568</v>
      </c>
      <c r="K397" t="s">
        <v>1568</v>
      </c>
      <c r="L397" t="s">
        <v>1568</v>
      </c>
      <c r="M397" t="s">
        <v>1568</v>
      </c>
      <c r="N397" t="s">
        <v>1568</v>
      </c>
      <c r="O397" t="s">
        <v>1568</v>
      </c>
      <c r="P397" t="s">
        <v>1568</v>
      </c>
      <c r="Q397" t="s">
        <v>1568</v>
      </c>
      <c r="R397" t="s">
        <v>1568</v>
      </c>
      <c r="S397" t="s">
        <v>1568</v>
      </c>
      <c r="T397" t="s">
        <v>1568</v>
      </c>
      <c r="U397" t="s">
        <v>1568</v>
      </c>
      <c r="V397" t="s">
        <v>1597</v>
      </c>
      <c r="W397" t="s">
        <v>568</v>
      </c>
      <c r="X397" t="s">
        <v>59</v>
      </c>
      <c r="Y397" t="s">
        <v>1581</v>
      </c>
    </row>
    <row r="398" spans="1:25" ht="16" x14ac:dyDescent="0.2">
      <c r="A398" t="s">
        <v>1568</v>
      </c>
      <c r="B398" t="s">
        <v>575</v>
      </c>
      <c r="C398" t="s">
        <v>1568</v>
      </c>
      <c r="D398" t="s">
        <v>1568</v>
      </c>
      <c r="E398" t="s">
        <v>51</v>
      </c>
      <c r="F398" t="s">
        <v>1648</v>
      </c>
      <c r="G398" t="s">
        <v>569</v>
      </c>
      <c r="H398" t="s">
        <v>1568</v>
      </c>
      <c r="I398" t="s">
        <v>570</v>
      </c>
      <c r="J398" t="s">
        <v>1568</v>
      </c>
      <c r="K398" t="s">
        <v>1568</v>
      </c>
      <c r="L398" t="s">
        <v>1568</v>
      </c>
      <c r="M398" t="s">
        <v>1568</v>
      </c>
      <c r="N398" t="s">
        <v>1568</v>
      </c>
      <c r="O398" t="s">
        <v>1568</v>
      </c>
      <c r="P398" t="s">
        <v>1568</v>
      </c>
      <c r="Q398" t="s">
        <v>1568</v>
      </c>
      <c r="R398" t="s">
        <v>1568</v>
      </c>
      <c r="S398" t="s">
        <v>1568</v>
      </c>
      <c r="T398" t="s">
        <v>1568</v>
      </c>
      <c r="U398" t="s">
        <v>1568</v>
      </c>
      <c r="V398" t="s">
        <v>1597</v>
      </c>
      <c r="W398" t="s">
        <v>571</v>
      </c>
      <c r="X398" t="s">
        <v>59</v>
      </c>
      <c r="Y398" t="s">
        <v>1581</v>
      </c>
    </row>
    <row r="399" spans="1:25" ht="16" x14ac:dyDescent="0.2">
      <c r="A399" t="s">
        <v>1568</v>
      </c>
      <c r="B399" t="s">
        <v>575</v>
      </c>
      <c r="C399" t="s">
        <v>1568</v>
      </c>
      <c r="D399" t="s">
        <v>1568</v>
      </c>
      <c r="E399" t="s">
        <v>55</v>
      </c>
      <c r="F399" t="s">
        <v>1648</v>
      </c>
      <c r="G399" t="s">
        <v>572</v>
      </c>
      <c r="H399" t="s">
        <v>1568</v>
      </c>
      <c r="I399" t="s">
        <v>573</v>
      </c>
      <c r="J399" t="s">
        <v>1568</v>
      </c>
      <c r="K399" t="s">
        <v>1568</v>
      </c>
      <c r="L399" t="s">
        <v>1568</v>
      </c>
      <c r="M399" t="s">
        <v>1568</v>
      </c>
      <c r="N399" t="s">
        <v>1568</v>
      </c>
      <c r="O399" t="s">
        <v>1568</v>
      </c>
      <c r="P399" t="s">
        <v>1568</v>
      </c>
      <c r="Q399" t="s">
        <v>1568</v>
      </c>
      <c r="R399" t="s">
        <v>1568</v>
      </c>
      <c r="S399" t="s">
        <v>1568</v>
      </c>
      <c r="T399" t="s">
        <v>1568</v>
      </c>
      <c r="U399" t="s">
        <v>1568</v>
      </c>
      <c r="V399" t="s">
        <v>1654</v>
      </c>
      <c r="W399" t="s">
        <v>574</v>
      </c>
      <c r="X399" t="s">
        <v>59</v>
      </c>
      <c r="Y399" t="s">
        <v>1581</v>
      </c>
    </row>
    <row r="400" spans="1:25" ht="16" x14ac:dyDescent="0.2">
      <c r="A400" t="s">
        <v>1568</v>
      </c>
      <c r="B400" t="s">
        <v>576</v>
      </c>
      <c r="C400" t="s">
        <v>1568</v>
      </c>
      <c r="D400" t="s">
        <v>1568</v>
      </c>
      <c r="E400" t="s">
        <v>36</v>
      </c>
      <c r="F400" t="s">
        <v>1648</v>
      </c>
      <c r="G400" t="s">
        <v>560</v>
      </c>
      <c r="H400" t="s">
        <v>1568</v>
      </c>
      <c r="I400" t="s">
        <v>561</v>
      </c>
      <c r="J400" t="s">
        <v>1568</v>
      </c>
      <c r="K400" t="s">
        <v>1568</v>
      </c>
      <c r="L400" t="s">
        <v>1568</v>
      </c>
      <c r="M400" t="s">
        <v>1568</v>
      </c>
      <c r="N400" t="s">
        <v>1568</v>
      </c>
      <c r="O400" t="s">
        <v>1568</v>
      </c>
      <c r="P400" t="s">
        <v>1568</v>
      </c>
      <c r="Q400" t="s">
        <v>1568</v>
      </c>
      <c r="R400" t="s">
        <v>1568</v>
      </c>
      <c r="S400" t="s">
        <v>1568</v>
      </c>
      <c r="T400" t="s">
        <v>1568</v>
      </c>
      <c r="U400" t="s">
        <v>1568</v>
      </c>
      <c r="V400" t="s">
        <v>1655</v>
      </c>
      <c r="W400" t="s">
        <v>562</v>
      </c>
      <c r="X400" t="s">
        <v>61</v>
      </c>
      <c r="Y400" t="s">
        <v>1587</v>
      </c>
    </row>
    <row r="401" spans="1:25" ht="16" x14ac:dyDescent="0.2">
      <c r="A401" t="s">
        <v>1568</v>
      </c>
      <c r="B401" t="s">
        <v>576</v>
      </c>
      <c r="C401" t="s">
        <v>1568</v>
      </c>
      <c r="D401" t="s">
        <v>1568</v>
      </c>
      <c r="E401" t="s">
        <v>43</v>
      </c>
      <c r="F401" t="s">
        <v>1648</v>
      </c>
      <c r="G401" t="s">
        <v>563</v>
      </c>
      <c r="H401" t="s">
        <v>1568</v>
      </c>
      <c r="I401" t="s">
        <v>564</v>
      </c>
      <c r="J401" t="s">
        <v>1568</v>
      </c>
      <c r="K401" t="s">
        <v>1568</v>
      </c>
      <c r="L401" t="s">
        <v>1568</v>
      </c>
      <c r="M401" t="s">
        <v>1568</v>
      </c>
      <c r="N401" t="s">
        <v>1568</v>
      </c>
      <c r="O401" t="s">
        <v>1568</v>
      </c>
      <c r="P401" t="s">
        <v>1568</v>
      </c>
      <c r="Q401" t="s">
        <v>1568</v>
      </c>
      <c r="R401" t="s">
        <v>1568</v>
      </c>
      <c r="S401" t="s">
        <v>1568</v>
      </c>
      <c r="T401" t="s">
        <v>1568</v>
      </c>
      <c r="U401" t="s">
        <v>1568</v>
      </c>
      <c r="V401" t="s">
        <v>1656</v>
      </c>
      <c r="W401" t="s">
        <v>565</v>
      </c>
      <c r="X401" t="s">
        <v>61</v>
      </c>
      <c r="Y401" t="s">
        <v>1587</v>
      </c>
    </row>
    <row r="402" spans="1:25" ht="16" x14ac:dyDescent="0.2">
      <c r="A402" t="s">
        <v>1568</v>
      </c>
      <c r="B402" t="s">
        <v>576</v>
      </c>
      <c r="C402" t="s">
        <v>1568</v>
      </c>
      <c r="D402" t="s">
        <v>1568</v>
      </c>
      <c r="E402" t="s">
        <v>55</v>
      </c>
      <c r="F402" t="s">
        <v>1648</v>
      </c>
      <c r="G402" t="s">
        <v>572</v>
      </c>
      <c r="H402" t="s">
        <v>1568</v>
      </c>
      <c r="I402" t="s">
        <v>573</v>
      </c>
      <c r="J402" t="s">
        <v>1568</v>
      </c>
      <c r="K402" t="s">
        <v>1568</v>
      </c>
      <c r="L402" t="s">
        <v>1568</v>
      </c>
      <c r="M402" t="s">
        <v>1568</v>
      </c>
      <c r="N402" t="s">
        <v>1568</v>
      </c>
      <c r="O402" t="s">
        <v>1568</v>
      </c>
      <c r="P402" t="s">
        <v>1568</v>
      </c>
      <c r="Q402" t="s">
        <v>1568</v>
      </c>
      <c r="R402" t="s">
        <v>1568</v>
      </c>
      <c r="S402" t="s">
        <v>1568</v>
      </c>
      <c r="T402" t="s">
        <v>1568</v>
      </c>
      <c r="U402" t="s">
        <v>1568</v>
      </c>
      <c r="V402" t="s">
        <v>1657</v>
      </c>
      <c r="W402" t="s">
        <v>574</v>
      </c>
      <c r="X402" t="s">
        <v>61</v>
      </c>
      <c r="Y402" t="s">
        <v>1587</v>
      </c>
    </row>
    <row r="403" spans="1:25" ht="16" x14ac:dyDescent="0.2">
      <c r="A403" t="s">
        <v>1568</v>
      </c>
      <c r="B403" t="s">
        <v>576</v>
      </c>
      <c r="C403" t="s">
        <v>1568</v>
      </c>
      <c r="D403" t="s">
        <v>1568</v>
      </c>
      <c r="E403" t="s">
        <v>47</v>
      </c>
      <c r="F403" t="s">
        <v>1648</v>
      </c>
      <c r="G403" t="s">
        <v>566</v>
      </c>
      <c r="H403" t="s">
        <v>1568</v>
      </c>
      <c r="I403" t="s">
        <v>567</v>
      </c>
      <c r="J403" t="s">
        <v>1568</v>
      </c>
      <c r="K403" t="s">
        <v>1568</v>
      </c>
      <c r="L403" t="s">
        <v>1568</v>
      </c>
      <c r="M403" t="s">
        <v>1568</v>
      </c>
      <c r="N403" t="s">
        <v>1568</v>
      </c>
      <c r="O403" t="s">
        <v>1568</v>
      </c>
      <c r="P403" t="s">
        <v>1568</v>
      </c>
      <c r="Q403" t="s">
        <v>1568</v>
      </c>
      <c r="R403" t="s">
        <v>1568</v>
      </c>
      <c r="S403" t="s">
        <v>1568</v>
      </c>
      <c r="T403" t="s">
        <v>1568</v>
      </c>
      <c r="U403" t="s">
        <v>1568</v>
      </c>
      <c r="V403" t="s">
        <v>1658</v>
      </c>
      <c r="W403" t="s">
        <v>568</v>
      </c>
      <c r="X403" t="s">
        <v>61</v>
      </c>
      <c r="Y403" t="s">
        <v>1587</v>
      </c>
    </row>
    <row r="404" spans="1:25" ht="16" x14ac:dyDescent="0.2">
      <c r="A404" t="s">
        <v>1568</v>
      </c>
      <c r="B404" t="s">
        <v>576</v>
      </c>
      <c r="C404" t="s">
        <v>1568</v>
      </c>
      <c r="D404" t="s">
        <v>1568</v>
      </c>
      <c r="E404" t="s">
        <v>51</v>
      </c>
      <c r="F404" t="s">
        <v>1648</v>
      </c>
      <c r="G404" t="s">
        <v>569</v>
      </c>
      <c r="H404" t="s">
        <v>1568</v>
      </c>
      <c r="I404" t="s">
        <v>570</v>
      </c>
      <c r="J404" t="s">
        <v>1568</v>
      </c>
      <c r="K404" t="s">
        <v>1568</v>
      </c>
      <c r="L404" t="s">
        <v>1568</v>
      </c>
      <c r="M404" t="s">
        <v>1568</v>
      </c>
      <c r="N404" t="s">
        <v>1568</v>
      </c>
      <c r="O404" t="s">
        <v>1568</v>
      </c>
      <c r="P404" t="s">
        <v>1568</v>
      </c>
      <c r="Q404" t="s">
        <v>1568</v>
      </c>
      <c r="R404" t="s">
        <v>1568</v>
      </c>
      <c r="S404" t="s">
        <v>1568</v>
      </c>
      <c r="T404" t="s">
        <v>1568</v>
      </c>
      <c r="U404" t="s">
        <v>1568</v>
      </c>
      <c r="V404" t="s">
        <v>1658</v>
      </c>
      <c r="W404" t="s">
        <v>571</v>
      </c>
      <c r="X404" t="s">
        <v>61</v>
      </c>
      <c r="Y404" t="s">
        <v>1587</v>
      </c>
    </row>
    <row r="405" spans="1:25" ht="16" x14ac:dyDescent="0.2">
      <c r="A405" t="s">
        <v>1568</v>
      </c>
      <c r="B405" t="s">
        <v>577</v>
      </c>
      <c r="C405" t="s">
        <v>1568</v>
      </c>
      <c r="D405" t="s">
        <v>1568</v>
      </c>
      <c r="E405" t="s">
        <v>36</v>
      </c>
      <c r="F405" t="s">
        <v>1659</v>
      </c>
      <c r="G405" t="s">
        <v>580</v>
      </c>
      <c r="H405" t="s">
        <v>1568</v>
      </c>
      <c r="I405" t="s">
        <v>581</v>
      </c>
      <c r="J405" t="s">
        <v>1568</v>
      </c>
      <c r="K405" t="s">
        <v>1568</v>
      </c>
      <c r="L405" t="s">
        <v>1568</v>
      </c>
      <c r="M405" t="s">
        <v>1568</v>
      </c>
      <c r="N405" t="s">
        <v>1568</v>
      </c>
      <c r="O405" t="s">
        <v>1568</v>
      </c>
      <c r="P405" t="s">
        <v>1568</v>
      </c>
      <c r="Q405" t="s">
        <v>1568</v>
      </c>
      <c r="R405" t="s">
        <v>1568</v>
      </c>
      <c r="S405" t="s">
        <v>1568</v>
      </c>
      <c r="T405" t="s">
        <v>1568</v>
      </c>
      <c r="U405" t="s">
        <v>1568</v>
      </c>
      <c r="V405" t="s">
        <v>1660</v>
      </c>
      <c r="W405" t="s">
        <v>582</v>
      </c>
      <c r="X405" t="s">
        <v>30</v>
      </c>
      <c r="Y405" t="s">
        <v>1572</v>
      </c>
    </row>
    <row r="406" spans="1:25" ht="16" x14ac:dyDescent="0.2">
      <c r="A406" t="s">
        <v>1568</v>
      </c>
      <c r="B406" t="s">
        <v>577</v>
      </c>
      <c r="C406" t="s">
        <v>1568</v>
      </c>
      <c r="D406" t="s">
        <v>1568</v>
      </c>
      <c r="E406" t="s">
        <v>43</v>
      </c>
      <c r="F406" t="s">
        <v>1659</v>
      </c>
      <c r="G406" t="s">
        <v>583</v>
      </c>
      <c r="H406" t="s">
        <v>1568</v>
      </c>
      <c r="I406" t="s">
        <v>584</v>
      </c>
      <c r="J406" t="s">
        <v>1568</v>
      </c>
      <c r="K406" t="s">
        <v>1568</v>
      </c>
      <c r="L406" t="s">
        <v>1568</v>
      </c>
      <c r="M406" t="s">
        <v>1568</v>
      </c>
      <c r="N406" t="s">
        <v>1568</v>
      </c>
      <c r="O406" t="s">
        <v>1568</v>
      </c>
      <c r="P406" t="s">
        <v>1568</v>
      </c>
      <c r="Q406" t="s">
        <v>1568</v>
      </c>
      <c r="R406" t="s">
        <v>1568</v>
      </c>
      <c r="S406" t="s">
        <v>1568</v>
      </c>
      <c r="T406" t="s">
        <v>1568</v>
      </c>
      <c r="U406" t="s">
        <v>1568</v>
      </c>
      <c r="V406" t="s">
        <v>1661</v>
      </c>
      <c r="W406" t="s">
        <v>585</v>
      </c>
      <c r="X406" t="s">
        <v>30</v>
      </c>
      <c r="Y406" t="s">
        <v>1572</v>
      </c>
    </row>
    <row r="407" spans="1:25" ht="16" x14ac:dyDescent="0.2">
      <c r="A407" t="s">
        <v>1568</v>
      </c>
      <c r="B407" t="s">
        <v>577</v>
      </c>
      <c r="C407" t="s">
        <v>1568</v>
      </c>
      <c r="D407" t="s">
        <v>1568</v>
      </c>
      <c r="E407" t="s">
        <v>47</v>
      </c>
      <c r="F407" t="s">
        <v>1659</v>
      </c>
      <c r="G407" t="s">
        <v>586</v>
      </c>
      <c r="H407" t="s">
        <v>1568</v>
      </c>
      <c r="I407" t="s">
        <v>587</v>
      </c>
      <c r="J407" t="s">
        <v>1568</v>
      </c>
      <c r="K407" t="s">
        <v>1568</v>
      </c>
      <c r="L407" t="s">
        <v>1568</v>
      </c>
      <c r="M407" t="s">
        <v>1568</v>
      </c>
      <c r="N407" t="s">
        <v>1568</v>
      </c>
      <c r="O407" t="s">
        <v>1568</v>
      </c>
      <c r="P407" t="s">
        <v>1568</v>
      </c>
      <c r="Q407" t="s">
        <v>1568</v>
      </c>
      <c r="R407" t="s">
        <v>1568</v>
      </c>
      <c r="S407" t="s">
        <v>1568</v>
      </c>
      <c r="T407" t="s">
        <v>1568</v>
      </c>
      <c r="U407" t="s">
        <v>1568</v>
      </c>
      <c r="V407" t="s">
        <v>1662</v>
      </c>
      <c r="W407" t="s">
        <v>588</v>
      </c>
      <c r="X407" t="s">
        <v>30</v>
      </c>
      <c r="Y407" t="s">
        <v>1572</v>
      </c>
    </row>
    <row r="408" spans="1:25" ht="16" x14ac:dyDescent="0.2">
      <c r="A408" t="s">
        <v>1568</v>
      </c>
      <c r="B408" t="s">
        <v>577</v>
      </c>
      <c r="C408" t="s">
        <v>1568</v>
      </c>
      <c r="D408" t="s">
        <v>1568</v>
      </c>
      <c r="E408" t="s">
        <v>51</v>
      </c>
      <c r="F408" t="s">
        <v>1659</v>
      </c>
      <c r="G408" t="s">
        <v>589</v>
      </c>
      <c r="H408" t="s">
        <v>1568</v>
      </c>
      <c r="I408" t="s">
        <v>590</v>
      </c>
      <c r="J408" t="s">
        <v>1568</v>
      </c>
      <c r="K408" t="s">
        <v>1568</v>
      </c>
      <c r="L408" t="s">
        <v>1568</v>
      </c>
      <c r="M408" t="s">
        <v>1568</v>
      </c>
      <c r="N408" t="s">
        <v>1568</v>
      </c>
      <c r="O408" t="s">
        <v>1568</v>
      </c>
      <c r="P408" t="s">
        <v>1568</v>
      </c>
      <c r="Q408" t="s">
        <v>1568</v>
      </c>
      <c r="R408" t="s">
        <v>1568</v>
      </c>
      <c r="S408" t="s">
        <v>1568</v>
      </c>
      <c r="T408" t="s">
        <v>1568</v>
      </c>
      <c r="U408" t="s">
        <v>1568</v>
      </c>
      <c r="V408" t="s">
        <v>1663</v>
      </c>
      <c r="W408" t="s">
        <v>591</v>
      </c>
      <c r="X408" t="s">
        <v>30</v>
      </c>
      <c r="Y408" t="s">
        <v>1572</v>
      </c>
    </row>
    <row r="409" spans="1:25" ht="16" x14ac:dyDescent="0.2">
      <c r="A409" t="s">
        <v>1568</v>
      </c>
      <c r="B409" t="s">
        <v>577</v>
      </c>
      <c r="C409" t="s">
        <v>1568</v>
      </c>
      <c r="D409" t="s">
        <v>1568</v>
      </c>
      <c r="E409" t="s">
        <v>55</v>
      </c>
      <c r="F409" t="s">
        <v>1659</v>
      </c>
      <c r="G409" t="s">
        <v>592</v>
      </c>
      <c r="H409" t="s">
        <v>1568</v>
      </c>
      <c r="I409" t="s">
        <v>593</v>
      </c>
      <c r="J409" t="s">
        <v>1568</v>
      </c>
      <c r="K409" t="s">
        <v>1568</v>
      </c>
      <c r="L409" t="s">
        <v>1568</v>
      </c>
      <c r="M409" t="s">
        <v>1568</v>
      </c>
      <c r="N409" t="s">
        <v>1568</v>
      </c>
      <c r="O409" t="s">
        <v>1568</v>
      </c>
      <c r="P409" t="s">
        <v>1568</v>
      </c>
      <c r="Q409" t="s">
        <v>1568</v>
      </c>
      <c r="R409" t="s">
        <v>1568</v>
      </c>
      <c r="S409" t="s">
        <v>1568</v>
      </c>
      <c r="T409" t="s">
        <v>1568</v>
      </c>
      <c r="U409" t="s">
        <v>1568</v>
      </c>
      <c r="V409" t="s">
        <v>1664</v>
      </c>
      <c r="W409" t="s">
        <v>594</v>
      </c>
      <c r="X409" t="s">
        <v>30</v>
      </c>
      <c r="Y409" t="s">
        <v>1572</v>
      </c>
    </row>
    <row r="410" spans="1:25" ht="16" x14ac:dyDescent="0.2">
      <c r="A410" t="s">
        <v>1568</v>
      </c>
      <c r="B410" t="s">
        <v>595</v>
      </c>
      <c r="C410" t="s">
        <v>1568</v>
      </c>
      <c r="D410" t="s">
        <v>1568</v>
      </c>
      <c r="E410" t="s">
        <v>36</v>
      </c>
      <c r="F410" t="s">
        <v>1659</v>
      </c>
      <c r="G410" t="s">
        <v>580</v>
      </c>
      <c r="H410" t="s">
        <v>1568</v>
      </c>
      <c r="I410" t="s">
        <v>581</v>
      </c>
      <c r="J410" t="s">
        <v>1568</v>
      </c>
      <c r="K410" t="s">
        <v>1568</v>
      </c>
      <c r="L410" t="s">
        <v>1568</v>
      </c>
      <c r="M410" t="s">
        <v>1568</v>
      </c>
      <c r="N410" t="s">
        <v>1568</v>
      </c>
      <c r="O410" t="s">
        <v>1568</v>
      </c>
      <c r="P410" t="s">
        <v>1568</v>
      </c>
      <c r="Q410" t="s">
        <v>1568</v>
      </c>
      <c r="R410" t="s">
        <v>1568</v>
      </c>
      <c r="S410" t="s">
        <v>1568</v>
      </c>
      <c r="T410" t="s">
        <v>1568</v>
      </c>
      <c r="U410" t="s">
        <v>1568</v>
      </c>
      <c r="V410" t="s">
        <v>1665</v>
      </c>
      <c r="W410" t="s">
        <v>582</v>
      </c>
      <c r="X410" t="s">
        <v>61</v>
      </c>
      <c r="Y410" t="s">
        <v>1587</v>
      </c>
    </row>
    <row r="411" spans="1:25" ht="16" x14ac:dyDescent="0.2">
      <c r="A411" t="s">
        <v>1568</v>
      </c>
      <c r="B411" t="s">
        <v>595</v>
      </c>
      <c r="C411" t="s">
        <v>1568</v>
      </c>
      <c r="D411" t="s">
        <v>1568</v>
      </c>
      <c r="E411" t="s">
        <v>43</v>
      </c>
      <c r="F411" t="s">
        <v>1659</v>
      </c>
      <c r="G411" t="s">
        <v>583</v>
      </c>
      <c r="H411" t="s">
        <v>1568</v>
      </c>
      <c r="I411" t="s">
        <v>584</v>
      </c>
      <c r="J411" t="s">
        <v>1568</v>
      </c>
      <c r="K411" t="s">
        <v>1568</v>
      </c>
      <c r="L411" t="s">
        <v>1568</v>
      </c>
      <c r="M411" t="s">
        <v>1568</v>
      </c>
      <c r="N411" t="s">
        <v>1568</v>
      </c>
      <c r="O411" t="s">
        <v>1568</v>
      </c>
      <c r="P411" t="s">
        <v>1568</v>
      </c>
      <c r="Q411" t="s">
        <v>1568</v>
      </c>
      <c r="R411" t="s">
        <v>1568</v>
      </c>
      <c r="S411" t="s">
        <v>1568</v>
      </c>
      <c r="T411" t="s">
        <v>1568</v>
      </c>
      <c r="U411" t="s">
        <v>1568</v>
      </c>
      <c r="V411" t="s">
        <v>1665</v>
      </c>
      <c r="W411" t="s">
        <v>585</v>
      </c>
      <c r="X411" t="s">
        <v>61</v>
      </c>
      <c r="Y411" t="s">
        <v>1587</v>
      </c>
    </row>
    <row r="412" spans="1:25" ht="16" x14ac:dyDescent="0.2">
      <c r="A412" t="s">
        <v>1568</v>
      </c>
      <c r="B412" t="s">
        <v>595</v>
      </c>
      <c r="C412" t="s">
        <v>1568</v>
      </c>
      <c r="D412" t="s">
        <v>1568</v>
      </c>
      <c r="E412" t="s">
        <v>47</v>
      </c>
      <c r="F412" t="s">
        <v>1659</v>
      </c>
      <c r="G412" t="s">
        <v>586</v>
      </c>
      <c r="H412" t="s">
        <v>1568</v>
      </c>
      <c r="I412" t="s">
        <v>587</v>
      </c>
      <c r="J412" t="s">
        <v>1568</v>
      </c>
      <c r="K412" t="s">
        <v>1568</v>
      </c>
      <c r="L412" t="s">
        <v>1568</v>
      </c>
      <c r="M412" t="s">
        <v>1568</v>
      </c>
      <c r="N412" t="s">
        <v>1568</v>
      </c>
      <c r="O412" t="s">
        <v>1568</v>
      </c>
      <c r="P412" t="s">
        <v>1568</v>
      </c>
      <c r="Q412" t="s">
        <v>1568</v>
      </c>
      <c r="R412" t="s">
        <v>1568</v>
      </c>
      <c r="S412" t="s">
        <v>1568</v>
      </c>
      <c r="T412" t="s">
        <v>1568</v>
      </c>
      <c r="U412" t="s">
        <v>1568</v>
      </c>
      <c r="V412" t="s">
        <v>1665</v>
      </c>
      <c r="W412" t="s">
        <v>588</v>
      </c>
      <c r="X412" t="s">
        <v>61</v>
      </c>
      <c r="Y412" t="s">
        <v>1587</v>
      </c>
    </row>
    <row r="413" spans="1:25" ht="16" x14ac:dyDescent="0.2">
      <c r="A413" t="s">
        <v>1568</v>
      </c>
      <c r="B413" t="s">
        <v>595</v>
      </c>
      <c r="C413" t="s">
        <v>1568</v>
      </c>
      <c r="D413" t="s">
        <v>1568</v>
      </c>
      <c r="E413" t="s">
        <v>55</v>
      </c>
      <c r="F413" t="s">
        <v>1659</v>
      </c>
      <c r="G413" t="s">
        <v>592</v>
      </c>
      <c r="H413" t="s">
        <v>1568</v>
      </c>
      <c r="I413" t="s">
        <v>593</v>
      </c>
      <c r="J413" t="s">
        <v>1568</v>
      </c>
      <c r="K413" t="s">
        <v>1568</v>
      </c>
      <c r="L413" t="s">
        <v>1568</v>
      </c>
      <c r="M413" t="s">
        <v>1568</v>
      </c>
      <c r="N413" t="s">
        <v>1568</v>
      </c>
      <c r="O413" t="s">
        <v>1568</v>
      </c>
      <c r="P413" t="s">
        <v>1568</v>
      </c>
      <c r="Q413" t="s">
        <v>1568</v>
      </c>
      <c r="R413" t="s">
        <v>1568</v>
      </c>
      <c r="S413" t="s">
        <v>1568</v>
      </c>
      <c r="T413" t="s">
        <v>1568</v>
      </c>
      <c r="U413" t="s">
        <v>1568</v>
      </c>
      <c r="V413" t="s">
        <v>1665</v>
      </c>
      <c r="W413" t="s">
        <v>594</v>
      </c>
      <c r="X413" t="s">
        <v>61</v>
      </c>
      <c r="Y413" t="s">
        <v>1587</v>
      </c>
    </row>
    <row r="414" spans="1:25" ht="16" x14ac:dyDescent="0.2">
      <c r="A414" t="s">
        <v>1568</v>
      </c>
      <c r="B414" t="s">
        <v>595</v>
      </c>
      <c r="C414" t="s">
        <v>1568</v>
      </c>
      <c r="D414" t="s">
        <v>1568</v>
      </c>
      <c r="E414" t="s">
        <v>51</v>
      </c>
      <c r="F414" t="s">
        <v>1659</v>
      </c>
      <c r="G414" t="s">
        <v>589</v>
      </c>
      <c r="H414" t="s">
        <v>1568</v>
      </c>
      <c r="I414" t="s">
        <v>590</v>
      </c>
      <c r="J414" t="s">
        <v>1568</v>
      </c>
      <c r="K414" t="s">
        <v>1568</v>
      </c>
      <c r="L414" t="s">
        <v>1568</v>
      </c>
      <c r="M414" t="s">
        <v>1568</v>
      </c>
      <c r="N414" t="s">
        <v>1568</v>
      </c>
      <c r="O414" t="s">
        <v>1568</v>
      </c>
      <c r="P414" t="s">
        <v>1568</v>
      </c>
      <c r="Q414" t="s">
        <v>1568</v>
      </c>
      <c r="R414" t="s">
        <v>1568</v>
      </c>
      <c r="S414" t="s">
        <v>1568</v>
      </c>
      <c r="T414" t="s">
        <v>1568</v>
      </c>
      <c r="U414" t="s">
        <v>1568</v>
      </c>
      <c r="V414" t="s">
        <v>1665</v>
      </c>
      <c r="W414" t="s">
        <v>591</v>
      </c>
      <c r="X414" t="s">
        <v>61</v>
      </c>
      <c r="Y414" t="s">
        <v>1587</v>
      </c>
    </row>
    <row r="415" spans="1:25" ht="16" x14ac:dyDescent="0.2">
      <c r="A415" t="s">
        <v>1568</v>
      </c>
      <c r="B415" t="s">
        <v>596</v>
      </c>
      <c r="C415" t="s">
        <v>1568</v>
      </c>
      <c r="D415" t="s">
        <v>1568</v>
      </c>
      <c r="E415" t="s">
        <v>36</v>
      </c>
      <c r="F415" t="s">
        <v>1666</v>
      </c>
      <c r="G415" t="s">
        <v>599</v>
      </c>
      <c r="H415" t="s">
        <v>1568</v>
      </c>
      <c r="I415" t="s">
        <v>600</v>
      </c>
      <c r="J415" t="s">
        <v>1568</v>
      </c>
      <c r="K415" t="s">
        <v>1568</v>
      </c>
      <c r="L415" t="s">
        <v>1568</v>
      </c>
      <c r="M415" t="s">
        <v>1568</v>
      </c>
      <c r="N415" t="s">
        <v>1568</v>
      </c>
      <c r="O415" t="s">
        <v>1568</v>
      </c>
      <c r="P415" t="s">
        <v>1568</v>
      </c>
      <c r="Q415" t="s">
        <v>1568</v>
      </c>
      <c r="R415" t="s">
        <v>1568</v>
      </c>
      <c r="S415" t="s">
        <v>1568</v>
      </c>
      <c r="T415" t="s">
        <v>1568</v>
      </c>
      <c r="U415" t="s">
        <v>1568</v>
      </c>
      <c r="V415" t="s">
        <v>1592</v>
      </c>
      <c r="W415" t="s">
        <v>601</v>
      </c>
      <c r="X415" t="s">
        <v>30</v>
      </c>
      <c r="Y415" t="s">
        <v>1572</v>
      </c>
    </row>
    <row r="416" spans="1:25" ht="16" x14ac:dyDescent="0.2">
      <c r="A416" t="s">
        <v>1568</v>
      </c>
      <c r="B416" t="s">
        <v>596</v>
      </c>
      <c r="C416" t="s">
        <v>1568</v>
      </c>
      <c r="D416" t="s">
        <v>1568</v>
      </c>
      <c r="E416" t="s">
        <v>43</v>
      </c>
      <c r="F416" t="s">
        <v>1666</v>
      </c>
      <c r="G416" t="s">
        <v>602</v>
      </c>
      <c r="H416" t="s">
        <v>1568</v>
      </c>
      <c r="I416" t="s">
        <v>603</v>
      </c>
      <c r="J416" t="s">
        <v>1568</v>
      </c>
      <c r="K416" t="s">
        <v>1568</v>
      </c>
      <c r="L416" t="s">
        <v>1568</v>
      </c>
      <c r="M416" t="s">
        <v>1568</v>
      </c>
      <c r="N416" t="s">
        <v>1568</v>
      </c>
      <c r="O416" t="s">
        <v>1568</v>
      </c>
      <c r="P416" t="s">
        <v>1568</v>
      </c>
      <c r="Q416" t="s">
        <v>1568</v>
      </c>
      <c r="R416" t="s">
        <v>1568</v>
      </c>
      <c r="S416" t="s">
        <v>1568</v>
      </c>
      <c r="T416" t="s">
        <v>1568</v>
      </c>
      <c r="U416" t="s">
        <v>1568</v>
      </c>
      <c r="V416" t="s">
        <v>1634</v>
      </c>
      <c r="W416" t="s">
        <v>604</v>
      </c>
      <c r="X416" t="s">
        <v>30</v>
      </c>
      <c r="Y416" t="s">
        <v>1572</v>
      </c>
    </row>
    <row r="417" spans="1:25" ht="16" x14ac:dyDescent="0.2">
      <c r="A417" t="s">
        <v>1568</v>
      </c>
      <c r="B417" t="s">
        <v>596</v>
      </c>
      <c r="C417" t="s">
        <v>1568</v>
      </c>
      <c r="D417" t="s">
        <v>1568</v>
      </c>
      <c r="E417" t="s">
        <v>47</v>
      </c>
      <c r="F417" t="s">
        <v>1666</v>
      </c>
      <c r="G417" t="s">
        <v>605</v>
      </c>
      <c r="H417" t="s">
        <v>1568</v>
      </c>
      <c r="I417" t="s">
        <v>606</v>
      </c>
      <c r="J417" t="s">
        <v>1568</v>
      </c>
      <c r="K417" t="s">
        <v>1568</v>
      </c>
      <c r="L417" t="s">
        <v>1568</v>
      </c>
      <c r="M417" t="s">
        <v>1568</v>
      </c>
      <c r="N417" t="s">
        <v>1568</v>
      </c>
      <c r="O417" t="s">
        <v>1568</v>
      </c>
      <c r="P417" t="s">
        <v>1568</v>
      </c>
      <c r="Q417" t="s">
        <v>1568</v>
      </c>
      <c r="R417" t="s">
        <v>1568</v>
      </c>
      <c r="S417" t="s">
        <v>1568</v>
      </c>
      <c r="T417" t="s">
        <v>1568</v>
      </c>
      <c r="U417" t="s">
        <v>1568</v>
      </c>
      <c r="V417" t="s">
        <v>1667</v>
      </c>
      <c r="W417" t="s">
        <v>607</v>
      </c>
      <c r="X417" t="s">
        <v>30</v>
      </c>
      <c r="Y417" t="s">
        <v>1572</v>
      </c>
    </row>
    <row r="418" spans="1:25" ht="16" x14ac:dyDescent="0.2">
      <c r="A418" t="s">
        <v>1568</v>
      </c>
      <c r="B418" t="s">
        <v>596</v>
      </c>
      <c r="C418" t="s">
        <v>1568</v>
      </c>
      <c r="D418" t="s">
        <v>1568</v>
      </c>
      <c r="E418" t="s">
        <v>51</v>
      </c>
      <c r="F418" t="s">
        <v>1666</v>
      </c>
      <c r="G418" t="s">
        <v>608</v>
      </c>
      <c r="H418" t="s">
        <v>1568</v>
      </c>
      <c r="I418" t="s">
        <v>609</v>
      </c>
      <c r="J418" t="s">
        <v>1568</v>
      </c>
      <c r="K418" t="s">
        <v>1568</v>
      </c>
      <c r="L418" t="s">
        <v>1568</v>
      </c>
      <c r="M418" t="s">
        <v>1568</v>
      </c>
      <c r="N418" t="s">
        <v>1568</v>
      </c>
      <c r="O418" t="s">
        <v>1568</v>
      </c>
      <c r="P418" t="s">
        <v>1568</v>
      </c>
      <c r="Q418" t="s">
        <v>1568</v>
      </c>
      <c r="R418" t="s">
        <v>1568</v>
      </c>
      <c r="S418" t="s">
        <v>1568</v>
      </c>
      <c r="T418" t="s">
        <v>1568</v>
      </c>
      <c r="U418" t="s">
        <v>1568</v>
      </c>
      <c r="V418" t="s">
        <v>1668</v>
      </c>
      <c r="W418" t="s">
        <v>610</v>
      </c>
      <c r="X418" t="s">
        <v>30</v>
      </c>
      <c r="Y418" t="s">
        <v>1572</v>
      </c>
    </row>
    <row r="419" spans="1:25" ht="16" x14ac:dyDescent="0.2">
      <c r="A419" t="s">
        <v>1568</v>
      </c>
      <c r="B419" t="s">
        <v>596</v>
      </c>
      <c r="C419" t="s">
        <v>1568</v>
      </c>
      <c r="D419" t="s">
        <v>1568</v>
      </c>
      <c r="E419" t="s">
        <v>55</v>
      </c>
      <c r="F419" t="s">
        <v>1666</v>
      </c>
      <c r="G419" t="s">
        <v>611</v>
      </c>
      <c r="H419" t="s">
        <v>1568</v>
      </c>
      <c r="I419" t="s">
        <v>612</v>
      </c>
      <c r="J419" t="s">
        <v>1568</v>
      </c>
      <c r="K419" t="s">
        <v>1568</v>
      </c>
      <c r="L419" t="s">
        <v>1568</v>
      </c>
      <c r="M419" t="s">
        <v>1568</v>
      </c>
      <c r="N419" t="s">
        <v>1568</v>
      </c>
      <c r="O419" t="s">
        <v>1568</v>
      </c>
      <c r="P419" t="s">
        <v>1568</v>
      </c>
      <c r="Q419" t="s">
        <v>1568</v>
      </c>
      <c r="R419" t="s">
        <v>1568</v>
      </c>
      <c r="S419" t="s">
        <v>1568</v>
      </c>
      <c r="T419" t="s">
        <v>1568</v>
      </c>
      <c r="U419" t="s">
        <v>1568</v>
      </c>
      <c r="V419" t="s">
        <v>1661</v>
      </c>
      <c r="W419" t="s">
        <v>613</v>
      </c>
      <c r="X419" t="s">
        <v>30</v>
      </c>
      <c r="Y419" t="s">
        <v>1572</v>
      </c>
    </row>
    <row r="420" spans="1:25" ht="16" x14ac:dyDescent="0.2">
      <c r="A420" t="s">
        <v>1568</v>
      </c>
      <c r="B420" t="s">
        <v>614</v>
      </c>
      <c r="C420" t="s">
        <v>1568</v>
      </c>
      <c r="D420" t="s">
        <v>1568</v>
      </c>
      <c r="E420" t="s">
        <v>36</v>
      </c>
      <c r="F420" t="s">
        <v>1666</v>
      </c>
      <c r="G420" t="s">
        <v>599</v>
      </c>
      <c r="H420" t="s">
        <v>1568</v>
      </c>
      <c r="I420" t="s">
        <v>600</v>
      </c>
      <c r="J420" t="s">
        <v>1568</v>
      </c>
      <c r="K420" t="s">
        <v>1568</v>
      </c>
      <c r="L420" t="s">
        <v>1568</v>
      </c>
      <c r="M420" t="s">
        <v>1568</v>
      </c>
      <c r="N420" t="s">
        <v>1568</v>
      </c>
      <c r="O420" t="s">
        <v>1568</v>
      </c>
      <c r="P420" t="s">
        <v>1568</v>
      </c>
      <c r="Q420" t="s">
        <v>1568</v>
      </c>
      <c r="R420" t="s">
        <v>1568</v>
      </c>
      <c r="S420" t="s">
        <v>1568</v>
      </c>
      <c r="T420" t="s">
        <v>1568</v>
      </c>
      <c r="U420" t="s">
        <v>1568</v>
      </c>
      <c r="V420" t="s">
        <v>1592</v>
      </c>
      <c r="W420" t="s">
        <v>601</v>
      </c>
      <c r="X420" t="s">
        <v>59</v>
      </c>
      <c r="Y420" t="s">
        <v>1581</v>
      </c>
    </row>
    <row r="421" spans="1:25" ht="16" x14ac:dyDescent="0.2">
      <c r="A421" t="s">
        <v>1568</v>
      </c>
      <c r="B421" t="s">
        <v>614</v>
      </c>
      <c r="C421" t="s">
        <v>1568</v>
      </c>
      <c r="D421" t="s">
        <v>1568</v>
      </c>
      <c r="E421" t="s">
        <v>43</v>
      </c>
      <c r="F421" t="s">
        <v>1666</v>
      </c>
      <c r="G421" t="s">
        <v>602</v>
      </c>
      <c r="H421" t="s">
        <v>1568</v>
      </c>
      <c r="I421" t="s">
        <v>603</v>
      </c>
      <c r="J421" t="s">
        <v>1568</v>
      </c>
      <c r="K421" t="s">
        <v>1568</v>
      </c>
      <c r="L421" t="s">
        <v>1568</v>
      </c>
      <c r="M421" t="s">
        <v>1568</v>
      </c>
      <c r="N421" t="s">
        <v>1568</v>
      </c>
      <c r="O421" t="s">
        <v>1568</v>
      </c>
      <c r="P421" t="s">
        <v>1568</v>
      </c>
      <c r="Q421" t="s">
        <v>1568</v>
      </c>
      <c r="R421" t="s">
        <v>1568</v>
      </c>
      <c r="S421" t="s">
        <v>1568</v>
      </c>
      <c r="T421" t="s">
        <v>1568</v>
      </c>
      <c r="U421" t="s">
        <v>1568</v>
      </c>
      <c r="V421" t="s">
        <v>1605</v>
      </c>
      <c r="W421" t="s">
        <v>604</v>
      </c>
      <c r="X421" t="s">
        <v>59</v>
      </c>
      <c r="Y421" t="s">
        <v>1581</v>
      </c>
    </row>
    <row r="422" spans="1:25" ht="16" x14ac:dyDescent="0.2">
      <c r="A422" t="s">
        <v>1568</v>
      </c>
      <c r="B422" t="s">
        <v>614</v>
      </c>
      <c r="C422" t="s">
        <v>1568</v>
      </c>
      <c r="D422" t="s">
        <v>1568</v>
      </c>
      <c r="E422" t="s">
        <v>47</v>
      </c>
      <c r="F422" t="s">
        <v>1666</v>
      </c>
      <c r="G422" t="s">
        <v>605</v>
      </c>
      <c r="H422" t="s">
        <v>1568</v>
      </c>
      <c r="I422" t="s">
        <v>606</v>
      </c>
      <c r="J422" t="s">
        <v>1568</v>
      </c>
      <c r="K422" t="s">
        <v>1568</v>
      </c>
      <c r="L422" t="s">
        <v>1568</v>
      </c>
      <c r="M422" t="s">
        <v>1568</v>
      </c>
      <c r="N422" t="s">
        <v>1568</v>
      </c>
      <c r="O422" t="s">
        <v>1568</v>
      </c>
      <c r="P422" t="s">
        <v>1568</v>
      </c>
      <c r="Q422" t="s">
        <v>1568</v>
      </c>
      <c r="R422" t="s">
        <v>1568</v>
      </c>
      <c r="S422" t="s">
        <v>1568</v>
      </c>
      <c r="T422" t="s">
        <v>1568</v>
      </c>
      <c r="U422" t="s">
        <v>1568</v>
      </c>
      <c r="V422" t="s">
        <v>1669</v>
      </c>
      <c r="W422" t="s">
        <v>607</v>
      </c>
      <c r="X422" t="s">
        <v>59</v>
      </c>
      <c r="Y422" t="s">
        <v>1581</v>
      </c>
    </row>
    <row r="423" spans="1:25" ht="16" x14ac:dyDescent="0.2">
      <c r="A423" t="s">
        <v>1568</v>
      </c>
      <c r="B423" t="s">
        <v>614</v>
      </c>
      <c r="C423" t="s">
        <v>1568</v>
      </c>
      <c r="D423" t="s">
        <v>1568</v>
      </c>
      <c r="E423" t="s">
        <v>51</v>
      </c>
      <c r="F423" t="s">
        <v>1666</v>
      </c>
      <c r="G423" t="s">
        <v>608</v>
      </c>
      <c r="H423" t="s">
        <v>1568</v>
      </c>
      <c r="I423" t="s">
        <v>609</v>
      </c>
      <c r="J423" t="s">
        <v>1568</v>
      </c>
      <c r="K423" t="s">
        <v>1568</v>
      </c>
      <c r="L423" t="s">
        <v>1568</v>
      </c>
      <c r="M423" t="s">
        <v>1568</v>
      </c>
      <c r="N423" t="s">
        <v>1568</v>
      </c>
      <c r="O423" t="s">
        <v>1568</v>
      </c>
      <c r="P423" t="s">
        <v>1568</v>
      </c>
      <c r="Q423" t="s">
        <v>1568</v>
      </c>
      <c r="R423" t="s">
        <v>1568</v>
      </c>
      <c r="S423" t="s">
        <v>1568</v>
      </c>
      <c r="T423" t="s">
        <v>1568</v>
      </c>
      <c r="U423" t="s">
        <v>1568</v>
      </c>
      <c r="V423" t="s">
        <v>1670</v>
      </c>
      <c r="W423" t="s">
        <v>610</v>
      </c>
      <c r="X423" t="s">
        <v>59</v>
      </c>
      <c r="Y423" t="s">
        <v>1581</v>
      </c>
    </row>
    <row r="424" spans="1:25" ht="16" x14ac:dyDescent="0.2">
      <c r="A424" t="s">
        <v>1568</v>
      </c>
      <c r="B424" t="s">
        <v>614</v>
      </c>
      <c r="C424" t="s">
        <v>1568</v>
      </c>
      <c r="D424" t="s">
        <v>1568</v>
      </c>
      <c r="E424" t="s">
        <v>55</v>
      </c>
      <c r="F424" t="s">
        <v>1666</v>
      </c>
      <c r="G424" t="s">
        <v>611</v>
      </c>
      <c r="H424" t="s">
        <v>1568</v>
      </c>
      <c r="I424" t="s">
        <v>612</v>
      </c>
      <c r="J424" t="s">
        <v>1568</v>
      </c>
      <c r="K424" t="s">
        <v>1568</v>
      </c>
      <c r="L424" t="s">
        <v>1568</v>
      </c>
      <c r="M424" t="s">
        <v>1568</v>
      </c>
      <c r="N424" t="s">
        <v>1568</v>
      </c>
      <c r="O424" t="s">
        <v>1568</v>
      </c>
      <c r="P424" t="s">
        <v>1568</v>
      </c>
      <c r="Q424" t="s">
        <v>1568</v>
      </c>
      <c r="R424" t="s">
        <v>1568</v>
      </c>
      <c r="S424" t="s">
        <v>1568</v>
      </c>
      <c r="T424" t="s">
        <v>1568</v>
      </c>
      <c r="U424" t="s">
        <v>1568</v>
      </c>
      <c r="V424" t="s">
        <v>1592</v>
      </c>
      <c r="W424" t="s">
        <v>613</v>
      </c>
      <c r="X424" t="s">
        <v>59</v>
      </c>
      <c r="Y424" t="s">
        <v>1581</v>
      </c>
    </row>
    <row r="425" spans="1:25" ht="16" x14ac:dyDescent="0.2">
      <c r="A425" t="s">
        <v>1568</v>
      </c>
      <c r="B425" t="s">
        <v>615</v>
      </c>
      <c r="C425" t="s">
        <v>1568</v>
      </c>
      <c r="D425" t="s">
        <v>1568</v>
      </c>
      <c r="E425" t="s">
        <v>36</v>
      </c>
      <c r="F425" t="s">
        <v>1666</v>
      </c>
      <c r="G425" t="s">
        <v>599</v>
      </c>
      <c r="H425" t="s">
        <v>1568</v>
      </c>
      <c r="I425" t="s">
        <v>600</v>
      </c>
      <c r="J425" t="s">
        <v>1568</v>
      </c>
      <c r="K425" t="s">
        <v>1568</v>
      </c>
      <c r="L425" t="s">
        <v>1568</v>
      </c>
      <c r="M425" t="s">
        <v>1568</v>
      </c>
      <c r="N425" t="s">
        <v>1568</v>
      </c>
      <c r="O425" t="s">
        <v>1568</v>
      </c>
      <c r="P425" t="s">
        <v>1568</v>
      </c>
      <c r="Q425" t="s">
        <v>1568</v>
      </c>
      <c r="R425" t="s">
        <v>1568</v>
      </c>
      <c r="S425" t="s">
        <v>1568</v>
      </c>
      <c r="T425" t="s">
        <v>1568</v>
      </c>
      <c r="U425" t="s">
        <v>1568</v>
      </c>
      <c r="V425" t="s">
        <v>1592</v>
      </c>
      <c r="W425" t="s">
        <v>601</v>
      </c>
      <c r="X425" t="s">
        <v>61</v>
      </c>
      <c r="Y425" t="s">
        <v>1587</v>
      </c>
    </row>
    <row r="426" spans="1:25" ht="16" x14ac:dyDescent="0.2">
      <c r="A426" t="s">
        <v>1568</v>
      </c>
      <c r="B426" t="s">
        <v>615</v>
      </c>
      <c r="C426" t="s">
        <v>1568</v>
      </c>
      <c r="D426" t="s">
        <v>1568</v>
      </c>
      <c r="E426" t="s">
        <v>43</v>
      </c>
      <c r="F426" t="s">
        <v>1666</v>
      </c>
      <c r="G426" t="s">
        <v>602</v>
      </c>
      <c r="H426" t="s">
        <v>1568</v>
      </c>
      <c r="I426" t="s">
        <v>603</v>
      </c>
      <c r="J426" t="s">
        <v>1568</v>
      </c>
      <c r="K426" t="s">
        <v>1568</v>
      </c>
      <c r="L426" t="s">
        <v>1568</v>
      </c>
      <c r="M426" t="s">
        <v>1568</v>
      </c>
      <c r="N426" t="s">
        <v>1568</v>
      </c>
      <c r="O426" t="s">
        <v>1568</v>
      </c>
      <c r="P426" t="s">
        <v>1568</v>
      </c>
      <c r="Q426" t="s">
        <v>1568</v>
      </c>
      <c r="R426" t="s">
        <v>1568</v>
      </c>
      <c r="S426" t="s">
        <v>1568</v>
      </c>
      <c r="T426" t="s">
        <v>1568</v>
      </c>
      <c r="U426" t="s">
        <v>1568</v>
      </c>
      <c r="V426" t="s">
        <v>1671</v>
      </c>
      <c r="W426" t="s">
        <v>604</v>
      </c>
      <c r="X426" t="s">
        <v>61</v>
      </c>
      <c r="Y426" t="s">
        <v>1587</v>
      </c>
    </row>
    <row r="427" spans="1:25" ht="16" x14ac:dyDescent="0.2">
      <c r="A427" t="s">
        <v>1568</v>
      </c>
      <c r="B427" t="s">
        <v>615</v>
      </c>
      <c r="C427" t="s">
        <v>1568</v>
      </c>
      <c r="D427" t="s">
        <v>1568</v>
      </c>
      <c r="E427" t="s">
        <v>47</v>
      </c>
      <c r="F427" t="s">
        <v>1666</v>
      </c>
      <c r="G427" t="s">
        <v>605</v>
      </c>
      <c r="H427" t="s">
        <v>1568</v>
      </c>
      <c r="I427" t="s">
        <v>606</v>
      </c>
      <c r="J427" t="s">
        <v>1568</v>
      </c>
      <c r="K427" t="s">
        <v>1568</v>
      </c>
      <c r="L427" t="s">
        <v>1568</v>
      </c>
      <c r="M427" t="s">
        <v>1568</v>
      </c>
      <c r="N427" t="s">
        <v>1568</v>
      </c>
      <c r="O427" t="s">
        <v>1568</v>
      </c>
      <c r="P427" t="s">
        <v>1568</v>
      </c>
      <c r="Q427" t="s">
        <v>1568</v>
      </c>
      <c r="R427" t="s">
        <v>1568</v>
      </c>
      <c r="S427" t="s">
        <v>1568</v>
      </c>
      <c r="T427" t="s">
        <v>1568</v>
      </c>
      <c r="U427" t="s">
        <v>1568</v>
      </c>
      <c r="V427" t="s">
        <v>1672</v>
      </c>
      <c r="W427" t="s">
        <v>607</v>
      </c>
      <c r="X427" t="s">
        <v>61</v>
      </c>
      <c r="Y427" t="s">
        <v>1587</v>
      </c>
    </row>
    <row r="428" spans="1:25" ht="16" x14ac:dyDescent="0.2">
      <c r="A428" t="s">
        <v>1568</v>
      </c>
      <c r="B428" t="s">
        <v>615</v>
      </c>
      <c r="C428" t="s">
        <v>1568</v>
      </c>
      <c r="D428" t="s">
        <v>1568</v>
      </c>
      <c r="E428" t="s">
        <v>51</v>
      </c>
      <c r="F428" t="s">
        <v>1666</v>
      </c>
      <c r="G428" t="s">
        <v>608</v>
      </c>
      <c r="H428" t="s">
        <v>1568</v>
      </c>
      <c r="I428" t="s">
        <v>609</v>
      </c>
      <c r="J428" t="s">
        <v>1568</v>
      </c>
      <c r="K428" t="s">
        <v>1568</v>
      </c>
      <c r="L428" t="s">
        <v>1568</v>
      </c>
      <c r="M428" t="s">
        <v>1568</v>
      </c>
      <c r="N428" t="s">
        <v>1568</v>
      </c>
      <c r="O428" t="s">
        <v>1568</v>
      </c>
      <c r="P428" t="s">
        <v>1568</v>
      </c>
      <c r="Q428" t="s">
        <v>1568</v>
      </c>
      <c r="R428" t="s">
        <v>1568</v>
      </c>
      <c r="S428" t="s">
        <v>1568</v>
      </c>
      <c r="T428" t="s">
        <v>1568</v>
      </c>
      <c r="U428" t="s">
        <v>1568</v>
      </c>
      <c r="V428" t="s">
        <v>1673</v>
      </c>
      <c r="W428" t="s">
        <v>610</v>
      </c>
      <c r="X428" t="s">
        <v>61</v>
      </c>
      <c r="Y428" t="s">
        <v>1587</v>
      </c>
    </row>
    <row r="429" spans="1:25" ht="16" x14ac:dyDescent="0.2">
      <c r="A429" t="s">
        <v>1568</v>
      </c>
      <c r="B429" t="s">
        <v>615</v>
      </c>
      <c r="C429" t="s">
        <v>1568</v>
      </c>
      <c r="D429" t="s">
        <v>1568</v>
      </c>
      <c r="E429" t="s">
        <v>55</v>
      </c>
      <c r="F429" t="s">
        <v>1666</v>
      </c>
      <c r="G429" t="s">
        <v>611</v>
      </c>
      <c r="H429" t="s">
        <v>1568</v>
      </c>
      <c r="I429" t="s">
        <v>612</v>
      </c>
      <c r="J429" t="s">
        <v>1568</v>
      </c>
      <c r="K429" t="s">
        <v>1568</v>
      </c>
      <c r="L429" t="s">
        <v>1568</v>
      </c>
      <c r="M429" t="s">
        <v>1568</v>
      </c>
      <c r="N429" t="s">
        <v>1568</v>
      </c>
      <c r="O429" t="s">
        <v>1568</v>
      </c>
      <c r="P429" t="s">
        <v>1568</v>
      </c>
      <c r="Q429" t="s">
        <v>1568</v>
      </c>
      <c r="R429" t="s">
        <v>1568</v>
      </c>
      <c r="S429" t="s">
        <v>1568</v>
      </c>
      <c r="T429" t="s">
        <v>1568</v>
      </c>
      <c r="U429" t="s">
        <v>1568</v>
      </c>
      <c r="V429" t="s">
        <v>1592</v>
      </c>
      <c r="W429" t="s">
        <v>613</v>
      </c>
      <c r="X429" t="s">
        <v>61</v>
      </c>
      <c r="Y429" t="s">
        <v>1587</v>
      </c>
    </row>
    <row r="430" spans="1:25" ht="16" x14ac:dyDescent="0.2">
      <c r="A430" t="s">
        <v>1568</v>
      </c>
      <c r="B430" t="s">
        <v>616</v>
      </c>
      <c r="C430" t="s">
        <v>1568</v>
      </c>
      <c r="D430" t="s">
        <v>1568</v>
      </c>
      <c r="E430" t="s">
        <v>36</v>
      </c>
      <c r="F430" t="s">
        <v>1674</v>
      </c>
      <c r="G430" t="s">
        <v>617</v>
      </c>
      <c r="H430" t="s">
        <v>1568</v>
      </c>
      <c r="I430" t="s">
        <v>618</v>
      </c>
      <c r="J430" t="s">
        <v>1568</v>
      </c>
      <c r="K430" t="s">
        <v>1568</v>
      </c>
      <c r="L430" t="s">
        <v>1568</v>
      </c>
      <c r="M430" t="s">
        <v>1568</v>
      </c>
      <c r="N430" t="s">
        <v>1568</v>
      </c>
      <c r="O430" t="s">
        <v>1568</v>
      </c>
      <c r="P430" t="s">
        <v>1568</v>
      </c>
      <c r="Q430" t="s">
        <v>1568</v>
      </c>
      <c r="R430" t="s">
        <v>1568</v>
      </c>
      <c r="S430" t="s">
        <v>1568</v>
      </c>
      <c r="T430" t="s">
        <v>1568</v>
      </c>
      <c r="U430" t="s">
        <v>1568</v>
      </c>
      <c r="V430" t="s">
        <v>1592</v>
      </c>
      <c r="W430" t="s">
        <v>601</v>
      </c>
      <c r="X430" t="s">
        <v>30</v>
      </c>
      <c r="Y430" t="s">
        <v>1572</v>
      </c>
    </row>
    <row r="431" spans="1:25" ht="16" x14ac:dyDescent="0.2">
      <c r="A431" t="s">
        <v>1568</v>
      </c>
      <c r="B431" t="s">
        <v>616</v>
      </c>
      <c r="C431" t="s">
        <v>1568</v>
      </c>
      <c r="D431" t="s">
        <v>1568</v>
      </c>
      <c r="E431" t="s">
        <v>43</v>
      </c>
      <c r="F431" t="s">
        <v>1674</v>
      </c>
      <c r="G431" t="s">
        <v>619</v>
      </c>
      <c r="H431" t="s">
        <v>1568</v>
      </c>
      <c r="I431" t="s">
        <v>620</v>
      </c>
      <c r="J431" t="s">
        <v>1568</v>
      </c>
      <c r="K431" t="s">
        <v>1568</v>
      </c>
      <c r="L431" t="s">
        <v>1568</v>
      </c>
      <c r="M431" t="s">
        <v>1568</v>
      </c>
      <c r="N431" t="s">
        <v>1568</v>
      </c>
      <c r="O431" t="s">
        <v>1568</v>
      </c>
      <c r="P431" t="s">
        <v>1568</v>
      </c>
      <c r="Q431" t="s">
        <v>1568</v>
      </c>
      <c r="R431" t="s">
        <v>1568</v>
      </c>
      <c r="S431" t="s">
        <v>1568</v>
      </c>
      <c r="T431" t="s">
        <v>1568</v>
      </c>
      <c r="U431" t="s">
        <v>1568</v>
      </c>
      <c r="V431" t="s">
        <v>1649</v>
      </c>
      <c r="W431" t="s">
        <v>604</v>
      </c>
      <c r="X431" t="s">
        <v>30</v>
      </c>
      <c r="Y431" t="s">
        <v>1572</v>
      </c>
    </row>
    <row r="432" spans="1:25" ht="16" x14ac:dyDescent="0.2">
      <c r="A432" t="s">
        <v>1568</v>
      </c>
      <c r="B432" t="s">
        <v>616</v>
      </c>
      <c r="C432" t="s">
        <v>1568</v>
      </c>
      <c r="D432" t="s">
        <v>1568</v>
      </c>
      <c r="E432" t="s">
        <v>47</v>
      </c>
      <c r="F432" t="s">
        <v>1674</v>
      </c>
      <c r="G432" t="s">
        <v>621</v>
      </c>
      <c r="H432" t="s">
        <v>1568</v>
      </c>
      <c r="I432" t="s">
        <v>622</v>
      </c>
      <c r="J432" t="s">
        <v>1568</v>
      </c>
      <c r="K432" t="s">
        <v>1568</v>
      </c>
      <c r="L432" t="s">
        <v>1568</v>
      </c>
      <c r="M432" t="s">
        <v>1568</v>
      </c>
      <c r="N432" t="s">
        <v>1568</v>
      </c>
      <c r="O432" t="s">
        <v>1568</v>
      </c>
      <c r="P432" t="s">
        <v>1568</v>
      </c>
      <c r="Q432" t="s">
        <v>1568</v>
      </c>
      <c r="R432" t="s">
        <v>1568</v>
      </c>
      <c r="S432" t="s">
        <v>1568</v>
      </c>
      <c r="T432" t="s">
        <v>1568</v>
      </c>
      <c r="U432" t="s">
        <v>1568</v>
      </c>
      <c r="V432" t="s">
        <v>1675</v>
      </c>
      <c r="W432" t="s">
        <v>607</v>
      </c>
      <c r="X432" t="s">
        <v>30</v>
      </c>
      <c r="Y432" t="s">
        <v>1572</v>
      </c>
    </row>
    <row r="433" spans="1:25" ht="16" x14ac:dyDescent="0.2">
      <c r="A433" t="s">
        <v>1568</v>
      </c>
      <c r="B433" t="s">
        <v>616</v>
      </c>
      <c r="C433" t="s">
        <v>1568</v>
      </c>
      <c r="D433" t="s">
        <v>1568</v>
      </c>
      <c r="E433" t="s">
        <v>51</v>
      </c>
      <c r="F433" t="s">
        <v>1674</v>
      </c>
      <c r="G433" t="s">
        <v>623</v>
      </c>
      <c r="H433" t="s">
        <v>1568</v>
      </c>
      <c r="I433" t="s">
        <v>624</v>
      </c>
      <c r="J433" t="s">
        <v>1568</v>
      </c>
      <c r="K433" t="s">
        <v>1568</v>
      </c>
      <c r="L433" t="s">
        <v>1568</v>
      </c>
      <c r="M433" t="s">
        <v>1568</v>
      </c>
      <c r="N433" t="s">
        <v>1568</v>
      </c>
      <c r="O433" t="s">
        <v>1568</v>
      </c>
      <c r="P433" t="s">
        <v>1568</v>
      </c>
      <c r="Q433" t="s">
        <v>1568</v>
      </c>
      <c r="R433" t="s">
        <v>1568</v>
      </c>
      <c r="S433" t="s">
        <v>1568</v>
      </c>
      <c r="T433" t="s">
        <v>1568</v>
      </c>
      <c r="U433" t="s">
        <v>1568</v>
      </c>
      <c r="V433" t="s">
        <v>1676</v>
      </c>
      <c r="W433" t="s">
        <v>610</v>
      </c>
      <c r="X433" t="s">
        <v>30</v>
      </c>
      <c r="Y433" t="s">
        <v>1572</v>
      </c>
    </row>
    <row r="434" spans="1:25" ht="16" x14ac:dyDescent="0.2">
      <c r="A434" t="s">
        <v>1568</v>
      </c>
      <c r="B434" t="s">
        <v>616</v>
      </c>
      <c r="C434" t="s">
        <v>1568</v>
      </c>
      <c r="D434" t="s">
        <v>1568</v>
      </c>
      <c r="E434" t="s">
        <v>55</v>
      </c>
      <c r="F434" t="s">
        <v>1674</v>
      </c>
      <c r="G434" t="s">
        <v>625</v>
      </c>
      <c r="H434" t="s">
        <v>1568</v>
      </c>
      <c r="I434" t="s">
        <v>626</v>
      </c>
      <c r="J434" t="s">
        <v>1568</v>
      </c>
      <c r="K434" t="s">
        <v>1568</v>
      </c>
      <c r="L434" t="s">
        <v>1568</v>
      </c>
      <c r="M434" t="s">
        <v>1568</v>
      </c>
      <c r="N434" t="s">
        <v>1568</v>
      </c>
      <c r="O434" t="s">
        <v>1568</v>
      </c>
      <c r="P434" t="s">
        <v>1568</v>
      </c>
      <c r="Q434" t="s">
        <v>1568</v>
      </c>
      <c r="R434" t="s">
        <v>1568</v>
      </c>
      <c r="S434" t="s">
        <v>1568</v>
      </c>
      <c r="T434" t="s">
        <v>1568</v>
      </c>
      <c r="U434" t="s">
        <v>1568</v>
      </c>
      <c r="V434" t="s">
        <v>1677</v>
      </c>
      <c r="W434" t="s">
        <v>613</v>
      </c>
      <c r="X434" t="s">
        <v>30</v>
      </c>
      <c r="Y434" t="s">
        <v>1572</v>
      </c>
    </row>
    <row r="435" spans="1:25" ht="16" x14ac:dyDescent="0.2">
      <c r="A435" t="s">
        <v>1568</v>
      </c>
      <c r="B435" t="s">
        <v>627</v>
      </c>
      <c r="C435" t="s">
        <v>1568</v>
      </c>
      <c r="D435" t="s">
        <v>1568</v>
      </c>
      <c r="E435" t="s">
        <v>36</v>
      </c>
      <c r="F435" t="s">
        <v>1678</v>
      </c>
      <c r="G435" t="s">
        <v>628</v>
      </c>
      <c r="H435" t="s">
        <v>1568</v>
      </c>
      <c r="I435" t="s">
        <v>629</v>
      </c>
      <c r="J435" t="s">
        <v>1568</v>
      </c>
      <c r="K435" t="s">
        <v>1568</v>
      </c>
      <c r="L435" t="s">
        <v>1568</v>
      </c>
      <c r="M435" t="s">
        <v>1568</v>
      </c>
      <c r="N435" t="s">
        <v>1568</v>
      </c>
      <c r="O435" t="s">
        <v>1568</v>
      </c>
      <c r="P435" t="s">
        <v>1568</v>
      </c>
      <c r="Q435" t="s">
        <v>1568</v>
      </c>
      <c r="R435" t="s">
        <v>1568</v>
      </c>
      <c r="S435" t="s">
        <v>1568</v>
      </c>
      <c r="T435" t="s">
        <v>1568</v>
      </c>
      <c r="U435" t="s">
        <v>1568</v>
      </c>
      <c r="V435" t="s">
        <v>1592</v>
      </c>
      <c r="W435" t="s">
        <v>630</v>
      </c>
      <c r="X435" t="s">
        <v>30</v>
      </c>
      <c r="Y435" t="s">
        <v>1572</v>
      </c>
    </row>
    <row r="436" spans="1:25" ht="16" x14ac:dyDescent="0.2">
      <c r="A436" t="s">
        <v>1568</v>
      </c>
      <c r="B436" t="s">
        <v>627</v>
      </c>
      <c r="C436" t="s">
        <v>1568</v>
      </c>
      <c r="D436" t="s">
        <v>1568</v>
      </c>
      <c r="E436" t="s">
        <v>43</v>
      </c>
      <c r="F436" t="s">
        <v>1678</v>
      </c>
      <c r="G436" t="s">
        <v>631</v>
      </c>
      <c r="H436" t="s">
        <v>1568</v>
      </c>
      <c r="I436" t="s">
        <v>632</v>
      </c>
      <c r="J436" t="s">
        <v>1568</v>
      </c>
      <c r="K436" t="s">
        <v>1568</v>
      </c>
      <c r="L436" t="s">
        <v>1568</v>
      </c>
      <c r="M436" t="s">
        <v>1568</v>
      </c>
      <c r="N436" t="s">
        <v>1568</v>
      </c>
      <c r="O436" t="s">
        <v>1568</v>
      </c>
      <c r="P436" t="s">
        <v>1568</v>
      </c>
      <c r="Q436" t="s">
        <v>1568</v>
      </c>
      <c r="R436" t="s">
        <v>1568</v>
      </c>
      <c r="S436" t="s">
        <v>1568</v>
      </c>
      <c r="T436" t="s">
        <v>1568</v>
      </c>
      <c r="U436" t="s">
        <v>1568</v>
      </c>
      <c r="V436" t="s">
        <v>1649</v>
      </c>
      <c r="W436" t="s">
        <v>633</v>
      </c>
      <c r="X436" t="s">
        <v>30</v>
      </c>
      <c r="Y436" t="s">
        <v>1572</v>
      </c>
    </row>
    <row r="437" spans="1:25" ht="16" x14ac:dyDescent="0.2">
      <c r="A437" t="s">
        <v>1568</v>
      </c>
      <c r="B437" t="s">
        <v>627</v>
      </c>
      <c r="C437" t="s">
        <v>1568</v>
      </c>
      <c r="D437" t="s">
        <v>1568</v>
      </c>
      <c r="E437" t="s">
        <v>47</v>
      </c>
      <c r="F437" t="s">
        <v>1678</v>
      </c>
      <c r="G437" t="s">
        <v>634</v>
      </c>
      <c r="H437" t="s">
        <v>1568</v>
      </c>
      <c r="I437" t="s">
        <v>635</v>
      </c>
      <c r="J437" t="s">
        <v>1568</v>
      </c>
      <c r="K437" t="s">
        <v>1568</v>
      </c>
      <c r="L437" t="s">
        <v>1568</v>
      </c>
      <c r="M437" t="s">
        <v>1568</v>
      </c>
      <c r="N437" t="s">
        <v>1568</v>
      </c>
      <c r="O437" t="s">
        <v>1568</v>
      </c>
      <c r="P437" t="s">
        <v>1568</v>
      </c>
      <c r="Q437" t="s">
        <v>1568</v>
      </c>
      <c r="R437" t="s">
        <v>1568</v>
      </c>
      <c r="S437" t="s">
        <v>1568</v>
      </c>
      <c r="T437" t="s">
        <v>1568</v>
      </c>
      <c r="U437" t="s">
        <v>1568</v>
      </c>
      <c r="V437" t="s">
        <v>1675</v>
      </c>
      <c r="W437" t="s">
        <v>636</v>
      </c>
      <c r="X437" t="s">
        <v>30</v>
      </c>
      <c r="Y437" t="s">
        <v>1572</v>
      </c>
    </row>
    <row r="438" spans="1:25" ht="16" x14ac:dyDescent="0.2">
      <c r="A438" t="s">
        <v>1568</v>
      </c>
      <c r="B438" t="s">
        <v>627</v>
      </c>
      <c r="C438" t="s">
        <v>1568</v>
      </c>
      <c r="D438" t="s">
        <v>1568</v>
      </c>
      <c r="E438" t="s">
        <v>51</v>
      </c>
      <c r="F438" t="s">
        <v>1678</v>
      </c>
      <c r="G438" t="s">
        <v>637</v>
      </c>
      <c r="H438" t="s">
        <v>1568</v>
      </c>
      <c r="I438" t="s">
        <v>638</v>
      </c>
      <c r="J438" t="s">
        <v>1568</v>
      </c>
      <c r="K438" t="s">
        <v>1568</v>
      </c>
      <c r="L438" t="s">
        <v>1568</v>
      </c>
      <c r="M438" t="s">
        <v>1568</v>
      </c>
      <c r="N438" t="s">
        <v>1568</v>
      </c>
      <c r="O438" t="s">
        <v>1568</v>
      </c>
      <c r="P438" t="s">
        <v>1568</v>
      </c>
      <c r="Q438" t="s">
        <v>1568</v>
      </c>
      <c r="R438" t="s">
        <v>1568</v>
      </c>
      <c r="S438" t="s">
        <v>1568</v>
      </c>
      <c r="T438" t="s">
        <v>1568</v>
      </c>
      <c r="U438" t="s">
        <v>1568</v>
      </c>
      <c r="V438" t="s">
        <v>1676</v>
      </c>
      <c r="W438" t="s">
        <v>639</v>
      </c>
      <c r="X438" t="s">
        <v>30</v>
      </c>
      <c r="Y438" t="s">
        <v>1572</v>
      </c>
    </row>
    <row r="439" spans="1:25" ht="16" x14ac:dyDescent="0.2">
      <c r="A439" t="s">
        <v>1568</v>
      </c>
      <c r="B439" t="s">
        <v>627</v>
      </c>
      <c r="C439" t="s">
        <v>1568</v>
      </c>
      <c r="D439" t="s">
        <v>1568</v>
      </c>
      <c r="E439" t="s">
        <v>55</v>
      </c>
      <c r="F439" t="s">
        <v>1678</v>
      </c>
      <c r="G439" t="s">
        <v>640</v>
      </c>
      <c r="H439" t="s">
        <v>1568</v>
      </c>
      <c r="I439" t="s">
        <v>641</v>
      </c>
      <c r="J439" t="s">
        <v>1568</v>
      </c>
      <c r="K439" t="s">
        <v>1568</v>
      </c>
      <c r="L439" t="s">
        <v>1568</v>
      </c>
      <c r="M439" t="s">
        <v>1568</v>
      </c>
      <c r="N439" t="s">
        <v>1568</v>
      </c>
      <c r="O439" t="s">
        <v>1568</v>
      </c>
      <c r="P439" t="s">
        <v>1568</v>
      </c>
      <c r="Q439" t="s">
        <v>1568</v>
      </c>
      <c r="R439" t="s">
        <v>1568</v>
      </c>
      <c r="S439" t="s">
        <v>1568</v>
      </c>
      <c r="T439" t="s">
        <v>1568</v>
      </c>
      <c r="U439" t="s">
        <v>1568</v>
      </c>
      <c r="V439" t="s">
        <v>1677</v>
      </c>
      <c r="W439" t="s">
        <v>642</v>
      </c>
      <c r="X439" t="s">
        <v>30</v>
      </c>
      <c r="Y439" t="s">
        <v>1572</v>
      </c>
    </row>
    <row r="440" spans="1:25" ht="16" x14ac:dyDescent="0.2">
      <c r="A440" t="s">
        <v>1568</v>
      </c>
      <c r="B440" t="s">
        <v>643</v>
      </c>
      <c r="C440" t="s">
        <v>1568</v>
      </c>
      <c r="D440" t="s">
        <v>1568</v>
      </c>
      <c r="E440" t="s">
        <v>36</v>
      </c>
      <c r="F440" t="s">
        <v>1679</v>
      </c>
      <c r="G440" t="s">
        <v>644</v>
      </c>
      <c r="H440" t="s">
        <v>1568</v>
      </c>
      <c r="I440" t="s">
        <v>645</v>
      </c>
      <c r="J440" t="s">
        <v>1568</v>
      </c>
      <c r="K440" t="s">
        <v>1568</v>
      </c>
      <c r="L440" t="s">
        <v>1568</v>
      </c>
      <c r="M440" t="s">
        <v>1568</v>
      </c>
      <c r="N440" t="s">
        <v>1568</v>
      </c>
      <c r="O440" t="s">
        <v>1568</v>
      </c>
      <c r="P440" t="s">
        <v>1568</v>
      </c>
      <c r="Q440" t="s">
        <v>1568</v>
      </c>
      <c r="R440" t="s">
        <v>1568</v>
      </c>
      <c r="S440" t="s">
        <v>1568</v>
      </c>
      <c r="T440" t="s">
        <v>1568</v>
      </c>
      <c r="U440" t="s">
        <v>1568</v>
      </c>
      <c r="V440" t="s">
        <v>1592</v>
      </c>
      <c r="W440" t="s">
        <v>646</v>
      </c>
      <c r="X440" t="s">
        <v>30</v>
      </c>
      <c r="Y440" t="s">
        <v>1572</v>
      </c>
    </row>
    <row r="441" spans="1:25" ht="16" x14ac:dyDescent="0.2">
      <c r="A441" t="s">
        <v>1568</v>
      </c>
      <c r="B441" t="s">
        <v>643</v>
      </c>
      <c r="C441" t="s">
        <v>1568</v>
      </c>
      <c r="D441" t="s">
        <v>1568</v>
      </c>
      <c r="E441" t="s">
        <v>43</v>
      </c>
      <c r="F441" t="s">
        <v>1679</v>
      </c>
      <c r="G441" t="s">
        <v>647</v>
      </c>
      <c r="H441" t="s">
        <v>1568</v>
      </c>
      <c r="I441" t="s">
        <v>648</v>
      </c>
      <c r="J441" t="s">
        <v>1568</v>
      </c>
      <c r="K441" t="s">
        <v>1568</v>
      </c>
      <c r="L441" t="s">
        <v>1568</v>
      </c>
      <c r="M441" t="s">
        <v>1568</v>
      </c>
      <c r="N441" t="s">
        <v>1568</v>
      </c>
      <c r="O441" t="s">
        <v>1568</v>
      </c>
      <c r="P441" t="s">
        <v>1568</v>
      </c>
      <c r="Q441" t="s">
        <v>1568</v>
      </c>
      <c r="R441" t="s">
        <v>1568</v>
      </c>
      <c r="S441" t="s">
        <v>1568</v>
      </c>
      <c r="T441" t="s">
        <v>1568</v>
      </c>
      <c r="U441" t="s">
        <v>1568</v>
      </c>
      <c r="V441" t="s">
        <v>1649</v>
      </c>
      <c r="W441" t="s">
        <v>649</v>
      </c>
      <c r="X441" t="s">
        <v>30</v>
      </c>
      <c r="Y441" t="s">
        <v>1572</v>
      </c>
    </row>
    <row r="442" spans="1:25" ht="16" x14ac:dyDescent="0.2">
      <c r="A442" t="s">
        <v>1568</v>
      </c>
      <c r="B442" t="s">
        <v>643</v>
      </c>
      <c r="C442" t="s">
        <v>1568</v>
      </c>
      <c r="D442" t="s">
        <v>1568</v>
      </c>
      <c r="E442" t="s">
        <v>47</v>
      </c>
      <c r="F442" t="s">
        <v>1679</v>
      </c>
      <c r="G442" t="s">
        <v>650</v>
      </c>
      <c r="H442" t="s">
        <v>1568</v>
      </c>
      <c r="I442" t="s">
        <v>651</v>
      </c>
      <c r="J442" t="s">
        <v>1568</v>
      </c>
      <c r="K442" t="s">
        <v>1568</v>
      </c>
      <c r="L442" t="s">
        <v>1568</v>
      </c>
      <c r="M442" t="s">
        <v>1568</v>
      </c>
      <c r="N442" t="s">
        <v>1568</v>
      </c>
      <c r="O442" t="s">
        <v>1568</v>
      </c>
      <c r="P442" t="s">
        <v>1568</v>
      </c>
      <c r="Q442" t="s">
        <v>1568</v>
      </c>
      <c r="R442" t="s">
        <v>1568</v>
      </c>
      <c r="S442" t="s">
        <v>1568</v>
      </c>
      <c r="T442" t="s">
        <v>1568</v>
      </c>
      <c r="U442" t="s">
        <v>1568</v>
      </c>
      <c r="V442" t="s">
        <v>1675</v>
      </c>
      <c r="W442" t="s">
        <v>652</v>
      </c>
      <c r="X442" t="s">
        <v>30</v>
      </c>
      <c r="Y442" t="s">
        <v>1572</v>
      </c>
    </row>
    <row r="443" spans="1:25" ht="16" x14ac:dyDescent="0.2">
      <c r="A443" t="s">
        <v>1568</v>
      </c>
      <c r="B443" t="s">
        <v>643</v>
      </c>
      <c r="C443" t="s">
        <v>1568</v>
      </c>
      <c r="D443" t="s">
        <v>1568</v>
      </c>
      <c r="E443" t="s">
        <v>51</v>
      </c>
      <c r="F443" t="s">
        <v>1679</v>
      </c>
      <c r="G443" t="s">
        <v>653</v>
      </c>
      <c r="H443" t="s">
        <v>1568</v>
      </c>
      <c r="I443" t="s">
        <v>654</v>
      </c>
      <c r="J443" t="s">
        <v>1568</v>
      </c>
      <c r="K443" t="s">
        <v>1568</v>
      </c>
      <c r="L443" t="s">
        <v>1568</v>
      </c>
      <c r="M443" t="s">
        <v>1568</v>
      </c>
      <c r="N443" t="s">
        <v>1568</v>
      </c>
      <c r="O443" t="s">
        <v>1568</v>
      </c>
      <c r="P443" t="s">
        <v>1568</v>
      </c>
      <c r="Q443" t="s">
        <v>1568</v>
      </c>
      <c r="R443" t="s">
        <v>1568</v>
      </c>
      <c r="S443" t="s">
        <v>1568</v>
      </c>
      <c r="T443" t="s">
        <v>1568</v>
      </c>
      <c r="U443" t="s">
        <v>1568</v>
      </c>
      <c r="V443" t="s">
        <v>1676</v>
      </c>
      <c r="W443" t="s">
        <v>655</v>
      </c>
      <c r="X443" t="s">
        <v>30</v>
      </c>
      <c r="Y443" t="s">
        <v>1572</v>
      </c>
    </row>
    <row r="444" spans="1:25" ht="16" x14ac:dyDescent="0.2">
      <c r="A444" t="s">
        <v>1568</v>
      </c>
      <c r="B444" t="s">
        <v>643</v>
      </c>
      <c r="C444" t="s">
        <v>1568</v>
      </c>
      <c r="D444" t="s">
        <v>1568</v>
      </c>
      <c r="E444" t="s">
        <v>55</v>
      </c>
      <c r="F444" t="s">
        <v>1679</v>
      </c>
      <c r="G444" t="s">
        <v>656</v>
      </c>
      <c r="H444" t="s">
        <v>1568</v>
      </c>
      <c r="I444" t="s">
        <v>657</v>
      </c>
      <c r="J444" t="s">
        <v>1568</v>
      </c>
      <c r="K444" t="s">
        <v>1568</v>
      </c>
      <c r="L444" t="s">
        <v>1568</v>
      </c>
      <c r="M444" t="s">
        <v>1568</v>
      </c>
      <c r="N444" t="s">
        <v>1568</v>
      </c>
      <c r="O444" t="s">
        <v>1568</v>
      </c>
      <c r="P444" t="s">
        <v>1568</v>
      </c>
      <c r="Q444" t="s">
        <v>1568</v>
      </c>
      <c r="R444" t="s">
        <v>1568</v>
      </c>
      <c r="S444" t="s">
        <v>1568</v>
      </c>
      <c r="T444" t="s">
        <v>1568</v>
      </c>
      <c r="U444" t="s">
        <v>1568</v>
      </c>
      <c r="V444" t="s">
        <v>1677</v>
      </c>
      <c r="W444" t="s">
        <v>658</v>
      </c>
      <c r="X444" t="s">
        <v>30</v>
      </c>
      <c r="Y444" t="s">
        <v>1572</v>
      </c>
    </row>
    <row r="445" spans="1:25" ht="16" x14ac:dyDescent="0.2">
      <c r="A445" t="s">
        <v>1568</v>
      </c>
      <c r="B445" t="s">
        <v>659</v>
      </c>
      <c r="C445" t="s">
        <v>1568</v>
      </c>
      <c r="D445" t="s">
        <v>1568</v>
      </c>
      <c r="E445" t="s">
        <v>36</v>
      </c>
      <c r="F445" t="s">
        <v>1674</v>
      </c>
      <c r="G445" t="s">
        <v>617</v>
      </c>
      <c r="H445" t="s">
        <v>1568</v>
      </c>
      <c r="I445" t="s">
        <v>618</v>
      </c>
      <c r="J445" t="s">
        <v>1568</v>
      </c>
      <c r="K445" t="s">
        <v>1568</v>
      </c>
      <c r="L445" t="s">
        <v>1568</v>
      </c>
      <c r="M445" t="s">
        <v>1568</v>
      </c>
      <c r="N445" t="s">
        <v>1568</v>
      </c>
      <c r="O445" t="s">
        <v>1568</v>
      </c>
      <c r="P445" t="s">
        <v>1568</v>
      </c>
      <c r="Q445" t="s">
        <v>1568</v>
      </c>
      <c r="R445" t="s">
        <v>1568</v>
      </c>
      <c r="S445" t="s">
        <v>1568</v>
      </c>
      <c r="T445" t="s">
        <v>1568</v>
      </c>
      <c r="U445" t="s">
        <v>1568</v>
      </c>
      <c r="V445" t="s">
        <v>1592</v>
      </c>
      <c r="W445" t="s">
        <v>601</v>
      </c>
      <c r="X445" t="s">
        <v>59</v>
      </c>
      <c r="Y445" t="s">
        <v>1581</v>
      </c>
    </row>
    <row r="446" spans="1:25" ht="16" x14ac:dyDescent="0.2">
      <c r="A446" t="s">
        <v>1568</v>
      </c>
      <c r="B446" t="s">
        <v>659</v>
      </c>
      <c r="C446" t="s">
        <v>1568</v>
      </c>
      <c r="D446" t="s">
        <v>1568</v>
      </c>
      <c r="E446" t="s">
        <v>43</v>
      </c>
      <c r="F446" t="s">
        <v>1674</v>
      </c>
      <c r="G446" t="s">
        <v>619</v>
      </c>
      <c r="H446" t="s">
        <v>1568</v>
      </c>
      <c r="I446" t="s">
        <v>620</v>
      </c>
      <c r="J446" t="s">
        <v>1568</v>
      </c>
      <c r="K446" t="s">
        <v>1568</v>
      </c>
      <c r="L446" t="s">
        <v>1568</v>
      </c>
      <c r="M446" t="s">
        <v>1568</v>
      </c>
      <c r="N446" t="s">
        <v>1568</v>
      </c>
      <c r="O446" t="s">
        <v>1568</v>
      </c>
      <c r="P446" t="s">
        <v>1568</v>
      </c>
      <c r="Q446" t="s">
        <v>1568</v>
      </c>
      <c r="R446" t="s">
        <v>1568</v>
      </c>
      <c r="S446" t="s">
        <v>1568</v>
      </c>
      <c r="T446" t="s">
        <v>1568</v>
      </c>
      <c r="U446" t="s">
        <v>1568</v>
      </c>
      <c r="V446" t="s">
        <v>1680</v>
      </c>
      <c r="W446" t="s">
        <v>604</v>
      </c>
      <c r="X446" t="s">
        <v>59</v>
      </c>
      <c r="Y446" t="s">
        <v>1581</v>
      </c>
    </row>
    <row r="447" spans="1:25" ht="16" x14ac:dyDescent="0.2">
      <c r="A447" t="s">
        <v>1568</v>
      </c>
      <c r="B447" t="s">
        <v>659</v>
      </c>
      <c r="C447" t="s">
        <v>1568</v>
      </c>
      <c r="D447" t="s">
        <v>1568</v>
      </c>
      <c r="E447" t="s">
        <v>47</v>
      </c>
      <c r="F447" t="s">
        <v>1674</v>
      </c>
      <c r="G447" t="s">
        <v>621</v>
      </c>
      <c r="H447" t="s">
        <v>1568</v>
      </c>
      <c r="I447" t="s">
        <v>622</v>
      </c>
      <c r="J447" t="s">
        <v>1568</v>
      </c>
      <c r="K447" t="s">
        <v>1568</v>
      </c>
      <c r="L447" t="s">
        <v>1568</v>
      </c>
      <c r="M447" t="s">
        <v>1568</v>
      </c>
      <c r="N447" t="s">
        <v>1568</v>
      </c>
      <c r="O447" t="s">
        <v>1568</v>
      </c>
      <c r="P447" t="s">
        <v>1568</v>
      </c>
      <c r="Q447" t="s">
        <v>1568</v>
      </c>
      <c r="R447" t="s">
        <v>1568</v>
      </c>
      <c r="S447" t="s">
        <v>1568</v>
      </c>
      <c r="T447" t="s">
        <v>1568</v>
      </c>
      <c r="U447" t="s">
        <v>1568</v>
      </c>
      <c r="V447" t="s">
        <v>1681</v>
      </c>
      <c r="W447" t="s">
        <v>607</v>
      </c>
      <c r="X447" t="s">
        <v>59</v>
      </c>
      <c r="Y447" t="s">
        <v>1581</v>
      </c>
    </row>
    <row r="448" spans="1:25" ht="16" x14ac:dyDescent="0.2">
      <c r="A448" t="s">
        <v>1568</v>
      </c>
      <c r="B448" t="s">
        <v>659</v>
      </c>
      <c r="C448" t="s">
        <v>1568</v>
      </c>
      <c r="D448" t="s">
        <v>1568</v>
      </c>
      <c r="E448" t="s">
        <v>51</v>
      </c>
      <c r="F448" t="s">
        <v>1674</v>
      </c>
      <c r="G448" t="s">
        <v>623</v>
      </c>
      <c r="H448" t="s">
        <v>1568</v>
      </c>
      <c r="I448" t="s">
        <v>624</v>
      </c>
      <c r="J448" t="s">
        <v>1568</v>
      </c>
      <c r="K448" t="s">
        <v>1568</v>
      </c>
      <c r="L448" t="s">
        <v>1568</v>
      </c>
      <c r="M448" t="s">
        <v>1568</v>
      </c>
      <c r="N448" t="s">
        <v>1568</v>
      </c>
      <c r="O448" t="s">
        <v>1568</v>
      </c>
      <c r="P448" t="s">
        <v>1568</v>
      </c>
      <c r="Q448" t="s">
        <v>1568</v>
      </c>
      <c r="R448" t="s">
        <v>1568</v>
      </c>
      <c r="S448" t="s">
        <v>1568</v>
      </c>
      <c r="T448" t="s">
        <v>1568</v>
      </c>
      <c r="U448" t="s">
        <v>1568</v>
      </c>
      <c r="V448" t="s">
        <v>1641</v>
      </c>
      <c r="W448" t="s">
        <v>610</v>
      </c>
      <c r="X448" t="s">
        <v>59</v>
      </c>
      <c r="Y448" t="s">
        <v>1581</v>
      </c>
    </row>
    <row r="449" spans="1:25" ht="16" x14ac:dyDescent="0.2">
      <c r="A449" t="s">
        <v>1568</v>
      </c>
      <c r="B449" t="s">
        <v>659</v>
      </c>
      <c r="C449" t="s">
        <v>1568</v>
      </c>
      <c r="D449" t="s">
        <v>1568</v>
      </c>
      <c r="E449" t="s">
        <v>55</v>
      </c>
      <c r="F449" t="s">
        <v>1674</v>
      </c>
      <c r="G449" t="s">
        <v>625</v>
      </c>
      <c r="H449" t="s">
        <v>1568</v>
      </c>
      <c r="I449" t="s">
        <v>626</v>
      </c>
      <c r="J449" t="s">
        <v>1568</v>
      </c>
      <c r="K449" t="s">
        <v>1568</v>
      </c>
      <c r="L449" t="s">
        <v>1568</v>
      </c>
      <c r="M449" t="s">
        <v>1568</v>
      </c>
      <c r="N449" t="s">
        <v>1568</v>
      </c>
      <c r="O449" t="s">
        <v>1568</v>
      </c>
      <c r="P449" t="s">
        <v>1568</v>
      </c>
      <c r="Q449" t="s">
        <v>1568</v>
      </c>
      <c r="R449" t="s">
        <v>1568</v>
      </c>
      <c r="S449" t="s">
        <v>1568</v>
      </c>
      <c r="T449" t="s">
        <v>1568</v>
      </c>
      <c r="U449" t="s">
        <v>1568</v>
      </c>
      <c r="V449" t="s">
        <v>1592</v>
      </c>
      <c r="W449" t="s">
        <v>613</v>
      </c>
      <c r="X449" t="s">
        <v>59</v>
      </c>
      <c r="Y449" t="s">
        <v>1581</v>
      </c>
    </row>
    <row r="450" spans="1:25" ht="16" x14ac:dyDescent="0.2">
      <c r="A450" t="s">
        <v>1568</v>
      </c>
      <c r="B450" t="s">
        <v>660</v>
      </c>
      <c r="C450" t="s">
        <v>1568</v>
      </c>
      <c r="D450" t="s">
        <v>1568</v>
      </c>
      <c r="E450" t="s">
        <v>36</v>
      </c>
      <c r="F450" t="s">
        <v>1682</v>
      </c>
      <c r="G450" t="s">
        <v>661</v>
      </c>
      <c r="H450" t="s">
        <v>1568</v>
      </c>
      <c r="I450" t="s">
        <v>662</v>
      </c>
      <c r="J450" t="s">
        <v>1568</v>
      </c>
      <c r="K450" t="s">
        <v>1568</v>
      </c>
      <c r="L450" t="s">
        <v>1568</v>
      </c>
      <c r="M450" t="s">
        <v>1568</v>
      </c>
      <c r="N450" t="s">
        <v>1568</v>
      </c>
      <c r="O450" t="s">
        <v>1568</v>
      </c>
      <c r="P450" t="s">
        <v>1568</v>
      </c>
      <c r="Q450" t="s">
        <v>1568</v>
      </c>
      <c r="R450" t="s">
        <v>1568</v>
      </c>
      <c r="S450" t="s">
        <v>1568</v>
      </c>
      <c r="T450" t="s">
        <v>1568</v>
      </c>
      <c r="U450" t="s">
        <v>1568</v>
      </c>
      <c r="V450" t="s">
        <v>1592</v>
      </c>
      <c r="W450" t="s">
        <v>663</v>
      </c>
      <c r="X450" t="s">
        <v>30</v>
      </c>
      <c r="Y450" t="s">
        <v>1572</v>
      </c>
    </row>
    <row r="451" spans="1:25" ht="16" x14ac:dyDescent="0.2">
      <c r="A451" t="s">
        <v>1568</v>
      </c>
      <c r="B451" t="s">
        <v>660</v>
      </c>
      <c r="C451" t="s">
        <v>1568</v>
      </c>
      <c r="D451" t="s">
        <v>1568</v>
      </c>
      <c r="E451" t="s">
        <v>43</v>
      </c>
      <c r="F451" t="s">
        <v>1682</v>
      </c>
      <c r="G451" t="s">
        <v>664</v>
      </c>
      <c r="H451" t="s">
        <v>1568</v>
      </c>
      <c r="I451" t="s">
        <v>665</v>
      </c>
      <c r="J451" t="s">
        <v>1568</v>
      </c>
      <c r="K451" t="s">
        <v>1568</v>
      </c>
      <c r="L451" t="s">
        <v>1568</v>
      </c>
      <c r="M451" t="s">
        <v>1568</v>
      </c>
      <c r="N451" t="s">
        <v>1568</v>
      </c>
      <c r="O451" t="s">
        <v>1568</v>
      </c>
      <c r="P451" t="s">
        <v>1568</v>
      </c>
      <c r="Q451" t="s">
        <v>1568</v>
      </c>
      <c r="R451" t="s">
        <v>1568</v>
      </c>
      <c r="S451" t="s">
        <v>1568</v>
      </c>
      <c r="T451" t="s">
        <v>1568</v>
      </c>
      <c r="U451" t="s">
        <v>1568</v>
      </c>
      <c r="V451" t="s">
        <v>1649</v>
      </c>
      <c r="W451" t="s">
        <v>666</v>
      </c>
      <c r="X451" t="s">
        <v>30</v>
      </c>
      <c r="Y451" t="s">
        <v>1572</v>
      </c>
    </row>
    <row r="452" spans="1:25" ht="16" x14ac:dyDescent="0.2">
      <c r="A452" t="s">
        <v>1568</v>
      </c>
      <c r="B452" t="s">
        <v>660</v>
      </c>
      <c r="C452" t="s">
        <v>1568</v>
      </c>
      <c r="D452" t="s">
        <v>1568</v>
      </c>
      <c r="E452" t="s">
        <v>47</v>
      </c>
      <c r="F452" t="s">
        <v>1682</v>
      </c>
      <c r="G452" t="s">
        <v>667</v>
      </c>
      <c r="H452" t="s">
        <v>1568</v>
      </c>
      <c r="I452" t="s">
        <v>668</v>
      </c>
      <c r="J452" t="s">
        <v>1568</v>
      </c>
      <c r="K452" t="s">
        <v>1568</v>
      </c>
      <c r="L452" t="s">
        <v>1568</v>
      </c>
      <c r="M452" t="s">
        <v>1568</v>
      </c>
      <c r="N452" t="s">
        <v>1568</v>
      </c>
      <c r="O452" t="s">
        <v>1568</v>
      </c>
      <c r="P452" t="s">
        <v>1568</v>
      </c>
      <c r="Q452" t="s">
        <v>1568</v>
      </c>
      <c r="R452" t="s">
        <v>1568</v>
      </c>
      <c r="S452" t="s">
        <v>1568</v>
      </c>
      <c r="T452" t="s">
        <v>1568</v>
      </c>
      <c r="U452" t="s">
        <v>1568</v>
      </c>
      <c r="V452" t="s">
        <v>1675</v>
      </c>
      <c r="W452" t="s">
        <v>669</v>
      </c>
      <c r="X452" t="s">
        <v>30</v>
      </c>
      <c r="Y452" t="s">
        <v>1572</v>
      </c>
    </row>
    <row r="453" spans="1:25" ht="16" x14ac:dyDescent="0.2">
      <c r="A453" t="s">
        <v>1568</v>
      </c>
      <c r="B453" t="s">
        <v>660</v>
      </c>
      <c r="C453" t="s">
        <v>1568</v>
      </c>
      <c r="D453" t="s">
        <v>1568</v>
      </c>
      <c r="E453" t="s">
        <v>51</v>
      </c>
      <c r="F453" t="s">
        <v>1682</v>
      </c>
      <c r="G453" t="s">
        <v>670</v>
      </c>
      <c r="H453" t="s">
        <v>1568</v>
      </c>
      <c r="I453" t="s">
        <v>671</v>
      </c>
      <c r="J453" t="s">
        <v>1568</v>
      </c>
      <c r="K453" t="s">
        <v>1568</v>
      </c>
      <c r="L453" t="s">
        <v>1568</v>
      </c>
      <c r="M453" t="s">
        <v>1568</v>
      </c>
      <c r="N453" t="s">
        <v>1568</v>
      </c>
      <c r="O453" t="s">
        <v>1568</v>
      </c>
      <c r="P453" t="s">
        <v>1568</v>
      </c>
      <c r="Q453" t="s">
        <v>1568</v>
      </c>
      <c r="R453" t="s">
        <v>1568</v>
      </c>
      <c r="S453" t="s">
        <v>1568</v>
      </c>
      <c r="T453" t="s">
        <v>1568</v>
      </c>
      <c r="U453" t="s">
        <v>1568</v>
      </c>
      <c r="V453" t="s">
        <v>1676</v>
      </c>
      <c r="W453" t="s">
        <v>672</v>
      </c>
      <c r="X453" t="s">
        <v>30</v>
      </c>
      <c r="Y453" t="s">
        <v>1572</v>
      </c>
    </row>
    <row r="454" spans="1:25" ht="16" x14ac:dyDescent="0.2">
      <c r="A454" t="s">
        <v>1568</v>
      </c>
      <c r="B454" t="s">
        <v>660</v>
      </c>
      <c r="C454" t="s">
        <v>1568</v>
      </c>
      <c r="D454" t="s">
        <v>1568</v>
      </c>
      <c r="E454" t="s">
        <v>55</v>
      </c>
      <c r="F454" t="s">
        <v>1682</v>
      </c>
      <c r="G454" t="s">
        <v>673</v>
      </c>
      <c r="H454" t="s">
        <v>1568</v>
      </c>
      <c r="I454" t="s">
        <v>674</v>
      </c>
      <c r="J454" t="s">
        <v>1568</v>
      </c>
      <c r="K454" t="s">
        <v>1568</v>
      </c>
      <c r="L454" t="s">
        <v>1568</v>
      </c>
      <c r="M454" t="s">
        <v>1568</v>
      </c>
      <c r="N454" t="s">
        <v>1568</v>
      </c>
      <c r="O454" t="s">
        <v>1568</v>
      </c>
      <c r="P454" t="s">
        <v>1568</v>
      </c>
      <c r="Q454" t="s">
        <v>1568</v>
      </c>
      <c r="R454" t="s">
        <v>1568</v>
      </c>
      <c r="S454" t="s">
        <v>1568</v>
      </c>
      <c r="T454" t="s">
        <v>1568</v>
      </c>
      <c r="U454" t="s">
        <v>1568</v>
      </c>
      <c r="V454" t="s">
        <v>1677</v>
      </c>
      <c r="W454" t="s">
        <v>675</v>
      </c>
      <c r="X454" t="s">
        <v>30</v>
      </c>
      <c r="Y454" t="s">
        <v>1572</v>
      </c>
    </row>
    <row r="455" spans="1:25" ht="16" x14ac:dyDescent="0.2">
      <c r="A455" t="s">
        <v>1568</v>
      </c>
      <c r="B455" t="s">
        <v>676</v>
      </c>
      <c r="C455" t="s">
        <v>1568</v>
      </c>
      <c r="D455" t="s">
        <v>1568</v>
      </c>
      <c r="E455" t="s">
        <v>36</v>
      </c>
      <c r="F455" t="s">
        <v>1683</v>
      </c>
      <c r="G455" t="s">
        <v>677</v>
      </c>
      <c r="H455" t="s">
        <v>1568</v>
      </c>
      <c r="I455" t="s">
        <v>678</v>
      </c>
      <c r="J455" t="s">
        <v>1568</v>
      </c>
      <c r="K455" t="s">
        <v>1568</v>
      </c>
      <c r="L455" t="s">
        <v>1568</v>
      </c>
      <c r="M455" t="s">
        <v>1568</v>
      </c>
      <c r="N455" t="s">
        <v>1568</v>
      </c>
      <c r="O455" t="s">
        <v>1568</v>
      </c>
      <c r="P455" t="s">
        <v>1568</v>
      </c>
      <c r="Q455" t="s">
        <v>1568</v>
      </c>
      <c r="R455" t="s">
        <v>1568</v>
      </c>
      <c r="S455" t="s">
        <v>1568</v>
      </c>
      <c r="T455" t="s">
        <v>1568</v>
      </c>
      <c r="U455" t="s">
        <v>1568</v>
      </c>
      <c r="V455" t="s">
        <v>1592</v>
      </c>
      <c r="W455" t="s">
        <v>679</v>
      </c>
      <c r="X455" t="s">
        <v>30</v>
      </c>
      <c r="Y455" t="s">
        <v>1572</v>
      </c>
    </row>
    <row r="456" spans="1:25" ht="16" x14ac:dyDescent="0.2">
      <c r="A456" t="s">
        <v>1568</v>
      </c>
      <c r="B456" t="s">
        <v>676</v>
      </c>
      <c r="C456" t="s">
        <v>1568</v>
      </c>
      <c r="D456" t="s">
        <v>1568</v>
      </c>
      <c r="E456" t="s">
        <v>43</v>
      </c>
      <c r="F456" t="s">
        <v>1683</v>
      </c>
      <c r="G456" t="s">
        <v>680</v>
      </c>
      <c r="H456" t="s">
        <v>1568</v>
      </c>
      <c r="I456" t="s">
        <v>681</v>
      </c>
      <c r="J456" t="s">
        <v>1568</v>
      </c>
      <c r="K456" t="s">
        <v>1568</v>
      </c>
      <c r="L456" t="s">
        <v>1568</v>
      </c>
      <c r="M456" t="s">
        <v>1568</v>
      </c>
      <c r="N456" t="s">
        <v>1568</v>
      </c>
      <c r="O456" t="s">
        <v>1568</v>
      </c>
      <c r="P456" t="s">
        <v>1568</v>
      </c>
      <c r="Q456" t="s">
        <v>1568</v>
      </c>
      <c r="R456" t="s">
        <v>1568</v>
      </c>
      <c r="S456" t="s">
        <v>1568</v>
      </c>
      <c r="T456" t="s">
        <v>1568</v>
      </c>
      <c r="U456" t="s">
        <v>1568</v>
      </c>
      <c r="V456" t="s">
        <v>1649</v>
      </c>
      <c r="W456" t="s">
        <v>682</v>
      </c>
      <c r="X456" t="s">
        <v>30</v>
      </c>
      <c r="Y456" t="s">
        <v>1572</v>
      </c>
    </row>
    <row r="457" spans="1:25" ht="16" x14ac:dyDescent="0.2">
      <c r="A457" t="s">
        <v>1568</v>
      </c>
      <c r="B457" t="s">
        <v>676</v>
      </c>
      <c r="C457" t="s">
        <v>1568</v>
      </c>
      <c r="D457" t="s">
        <v>1568</v>
      </c>
      <c r="E457" t="s">
        <v>47</v>
      </c>
      <c r="F457" t="s">
        <v>1683</v>
      </c>
      <c r="G457" t="s">
        <v>683</v>
      </c>
      <c r="H457" t="s">
        <v>1568</v>
      </c>
      <c r="I457" t="s">
        <v>684</v>
      </c>
      <c r="J457" t="s">
        <v>1568</v>
      </c>
      <c r="K457" t="s">
        <v>1568</v>
      </c>
      <c r="L457" t="s">
        <v>1568</v>
      </c>
      <c r="M457" t="s">
        <v>1568</v>
      </c>
      <c r="N457" t="s">
        <v>1568</v>
      </c>
      <c r="O457" t="s">
        <v>1568</v>
      </c>
      <c r="P457" t="s">
        <v>1568</v>
      </c>
      <c r="Q457" t="s">
        <v>1568</v>
      </c>
      <c r="R457" t="s">
        <v>1568</v>
      </c>
      <c r="S457" t="s">
        <v>1568</v>
      </c>
      <c r="T457" t="s">
        <v>1568</v>
      </c>
      <c r="U457" t="s">
        <v>1568</v>
      </c>
      <c r="V457" t="s">
        <v>1675</v>
      </c>
      <c r="W457" t="s">
        <v>685</v>
      </c>
      <c r="X457" t="s">
        <v>30</v>
      </c>
      <c r="Y457" t="s">
        <v>1572</v>
      </c>
    </row>
    <row r="458" spans="1:25" ht="16" x14ac:dyDescent="0.2">
      <c r="A458" t="s">
        <v>1568</v>
      </c>
      <c r="B458" t="s">
        <v>676</v>
      </c>
      <c r="C458" t="s">
        <v>1568</v>
      </c>
      <c r="D458" t="s">
        <v>1568</v>
      </c>
      <c r="E458" t="s">
        <v>51</v>
      </c>
      <c r="F458" t="s">
        <v>1683</v>
      </c>
      <c r="G458" t="s">
        <v>686</v>
      </c>
      <c r="H458" t="s">
        <v>1568</v>
      </c>
      <c r="I458" t="s">
        <v>687</v>
      </c>
      <c r="J458" t="s">
        <v>1568</v>
      </c>
      <c r="K458" t="s">
        <v>1568</v>
      </c>
      <c r="L458" t="s">
        <v>1568</v>
      </c>
      <c r="M458" t="s">
        <v>1568</v>
      </c>
      <c r="N458" t="s">
        <v>1568</v>
      </c>
      <c r="O458" t="s">
        <v>1568</v>
      </c>
      <c r="P458" t="s">
        <v>1568</v>
      </c>
      <c r="Q458" t="s">
        <v>1568</v>
      </c>
      <c r="R458" t="s">
        <v>1568</v>
      </c>
      <c r="S458" t="s">
        <v>1568</v>
      </c>
      <c r="T458" t="s">
        <v>1568</v>
      </c>
      <c r="U458" t="s">
        <v>1568</v>
      </c>
      <c r="V458" t="s">
        <v>1676</v>
      </c>
      <c r="W458" t="s">
        <v>610</v>
      </c>
      <c r="X458" t="s">
        <v>30</v>
      </c>
      <c r="Y458" t="s">
        <v>1572</v>
      </c>
    </row>
    <row r="459" spans="1:25" ht="16" x14ac:dyDescent="0.2">
      <c r="A459" t="s">
        <v>1568</v>
      </c>
      <c r="B459" t="s">
        <v>676</v>
      </c>
      <c r="C459" t="s">
        <v>1568</v>
      </c>
      <c r="D459" t="s">
        <v>1568</v>
      </c>
      <c r="E459" t="s">
        <v>55</v>
      </c>
      <c r="F459" t="s">
        <v>1683</v>
      </c>
      <c r="G459" t="s">
        <v>688</v>
      </c>
      <c r="H459" t="s">
        <v>1568</v>
      </c>
      <c r="I459" t="s">
        <v>689</v>
      </c>
      <c r="J459" t="s">
        <v>1568</v>
      </c>
      <c r="K459" t="s">
        <v>1568</v>
      </c>
      <c r="L459" t="s">
        <v>1568</v>
      </c>
      <c r="M459" t="s">
        <v>1568</v>
      </c>
      <c r="N459" t="s">
        <v>1568</v>
      </c>
      <c r="O459" t="s">
        <v>1568</v>
      </c>
      <c r="P459" t="s">
        <v>1568</v>
      </c>
      <c r="Q459" t="s">
        <v>1568</v>
      </c>
      <c r="R459" t="s">
        <v>1568</v>
      </c>
      <c r="S459" t="s">
        <v>1568</v>
      </c>
      <c r="T459" t="s">
        <v>1568</v>
      </c>
      <c r="U459" t="s">
        <v>1568</v>
      </c>
      <c r="V459" t="s">
        <v>1677</v>
      </c>
      <c r="W459" t="s">
        <v>613</v>
      </c>
      <c r="X459" t="s">
        <v>30</v>
      </c>
      <c r="Y459" t="s">
        <v>1572</v>
      </c>
    </row>
    <row r="460" spans="1:25" ht="16" x14ac:dyDescent="0.2">
      <c r="A460" t="s">
        <v>1568</v>
      </c>
      <c r="B460" t="s">
        <v>690</v>
      </c>
      <c r="C460" t="s">
        <v>1568</v>
      </c>
      <c r="D460" t="s">
        <v>1568</v>
      </c>
      <c r="E460" t="s">
        <v>36</v>
      </c>
      <c r="F460" t="s">
        <v>1678</v>
      </c>
      <c r="G460" t="s">
        <v>628</v>
      </c>
      <c r="H460" t="s">
        <v>1568</v>
      </c>
      <c r="I460" t="s">
        <v>629</v>
      </c>
      <c r="J460" t="s">
        <v>1568</v>
      </c>
      <c r="K460" t="s">
        <v>1568</v>
      </c>
      <c r="L460" t="s">
        <v>1568</v>
      </c>
      <c r="M460" t="s">
        <v>1568</v>
      </c>
      <c r="N460" t="s">
        <v>1568</v>
      </c>
      <c r="O460" t="s">
        <v>1568</v>
      </c>
      <c r="P460" t="s">
        <v>1568</v>
      </c>
      <c r="Q460" t="s">
        <v>1568</v>
      </c>
      <c r="R460" t="s">
        <v>1568</v>
      </c>
      <c r="S460" t="s">
        <v>1568</v>
      </c>
      <c r="T460" t="s">
        <v>1568</v>
      </c>
      <c r="U460" t="s">
        <v>1568</v>
      </c>
      <c r="V460" t="s">
        <v>1592</v>
      </c>
      <c r="W460" t="s">
        <v>630</v>
      </c>
      <c r="X460" t="s">
        <v>59</v>
      </c>
      <c r="Y460" t="s">
        <v>1581</v>
      </c>
    </row>
    <row r="461" spans="1:25" ht="16" x14ac:dyDescent="0.2">
      <c r="A461" t="s">
        <v>1568</v>
      </c>
      <c r="B461" t="s">
        <v>690</v>
      </c>
      <c r="C461" t="s">
        <v>1568</v>
      </c>
      <c r="D461" t="s">
        <v>1568</v>
      </c>
      <c r="E461" t="s">
        <v>43</v>
      </c>
      <c r="F461" t="s">
        <v>1678</v>
      </c>
      <c r="G461" t="s">
        <v>631</v>
      </c>
      <c r="H461" t="s">
        <v>1568</v>
      </c>
      <c r="I461" t="s">
        <v>632</v>
      </c>
      <c r="J461" t="s">
        <v>1568</v>
      </c>
      <c r="K461" t="s">
        <v>1568</v>
      </c>
      <c r="L461" t="s">
        <v>1568</v>
      </c>
      <c r="M461" t="s">
        <v>1568</v>
      </c>
      <c r="N461" t="s">
        <v>1568</v>
      </c>
      <c r="O461" t="s">
        <v>1568</v>
      </c>
      <c r="P461" t="s">
        <v>1568</v>
      </c>
      <c r="Q461" t="s">
        <v>1568</v>
      </c>
      <c r="R461" t="s">
        <v>1568</v>
      </c>
      <c r="S461" t="s">
        <v>1568</v>
      </c>
      <c r="T461" t="s">
        <v>1568</v>
      </c>
      <c r="U461" t="s">
        <v>1568</v>
      </c>
      <c r="V461" t="s">
        <v>1680</v>
      </c>
      <c r="W461" t="s">
        <v>633</v>
      </c>
      <c r="X461" t="s">
        <v>59</v>
      </c>
      <c r="Y461" t="s">
        <v>1581</v>
      </c>
    </row>
    <row r="462" spans="1:25" ht="16" x14ac:dyDescent="0.2">
      <c r="A462" t="s">
        <v>1568</v>
      </c>
      <c r="B462" t="s">
        <v>690</v>
      </c>
      <c r="C462" t="s">
        <v>1568</v>
      </c>
      <c r="D462" t="s">
        <v>1568</v>
      </c>
      <c r="E462" t="s">
        <v>47</v>
      </c>
      <c r="F462" t="s">
        <v>1678</v>
      </c>
      <c r="G462" t="s">
        <v>634</v>
      </c>
      <c r="H462" t="s">
        <v>1568</v>
      </c>
      <c r="I462" t="s">
        <v>635</v>
      </c>
      <c r="J462" t="s">
        <v>1568</v>
      </c>
      <c r="K462" t="s">
        <v>1568</v>
      </c>
      <c r="L462" t="s">
        <v>1568</v>
      </c>
      <c r="M462" t="s">
        <v>1568</v>
      </c>
      <c r="N462" t="s">
        <v>1568</v>
      </c>
      <c r="O462" t="s">
        <v>1568</v>
      </c>
      <c r="P462" t="s">
        <v>1568</v>
      </c>
      <c r="Q462" t="s">
        <v>1568</v>
      </c>
      <c r="R462" t="s">
        <v>1568</v>
      </c>
      <c r="S462" t="s">
        <v>1568</v>
      </c>
      <c r="T462" t="s">
        <v>1568</v>
      </c>
      <c r="U462" t="s">
        <v>1568</v>
      </c>
      <c r="V462" t="s">
        <v>1681</v>
      </c>
      <c r="W462" t="s">
        <v>636</v>
      </c>
      <c r="X462" t="s">
        <v>59</v>
      </c>
      <c r="Y462" t="s">
        <v>1581</v>
      </c>
    </row>
    <row r="463" spans="1:25" ht="16" x14ac:dyDescent="0.2">
      <c r="A463" t="s">
        <v>1568</v>
      </c>
      <c r="B463" t="s">
        <v>690</v>
      </c>
      <c r="C463" t="s">
        <v>1568</v>
      </c>
      <c r="D463" t="s">
        <v>1568</v>
      </c>
      <c r="E463" t="s">
        <v>51</v>
      </c>
      <c r="F463" t="s">
        <v>1678</v>
      </c>
      <c r="G463" t="s">
        <v>637</v>
      </c>
      <c r="H463" t="s">
        <v>1568</v>
      </c>
      <c r="I463" t="s">
        <v>638</v>
      </c>
      <c r="J463" t="s">
        <v>1568</v>
      </c>
      <c r="K463" t="s">
        <v>1568</v>
      </c>
      <c r="L463" t="s">
        <v>1568</v>
      </c>
      <c r="M463" t="s">
        <v>1568</v>
      </c>
      <c r="N463" t="s">
        <v>1568</v>
      </c>
      <c r="O463" t="s">
        <v>1568</v>
      </c>
      <c r="P463" t="s">
        <v>1568</v>
      </c>
      <c r="Q463" t="s">
        <v>1568</v>
      </c>
      <c r="R463" t="s">
        <v>1568</v>
      </c>
      <c r="S463" t="s">
        <v>1568</v>
      </c>
      <c r="T463" t="s">
        <v>1568</v>
      </c>
      <c r="U463" t="s">
        <v>1568</v>
      </c>
      <c r="V463" t="s">
        <v>1641</v>
      </c>
      <c r="W463" t="s">
        <v>639</v>
      </c>
      <c r="X463" t="s">
        <v>59</v>
      </c>
      <c r="Y463" t="s">
        <v>1581</v>
      </c>
    </row>
    <row r="464" spans="1:25" ht="16" x14ac:dyDescent="0.2">
      <c r="A464" t="s">
        <v>1568</v>
      </c>
      <c r="B464" t="s">
        <v>690</v>
      </c>
      <c r="C464" t="s">
        <v>1568</v>
      </c>
      <c r="D464" t="s">
        <v>1568</v>
      </c>
      <c r="E464" t="s">
        <v>55</v>
      </c>
      <c r="F464" t="s">
        <v>1678</v>
      </c>
      <c r="G464" t="s">
        <v>640</v>
      </c>
      <c r="H464" t="s">
        <v>1568</v>
      </c>
      <c r="I464" t="s">
        <v>641</v>
      </c>
      <c r="J464" t="s">
        <v>1568</v>
      </c>
      <c r="K464" t="s">
        <v>1568</v>
      </c>
      <c r="L464" t="s">
        <v>1568</v>
      </c>
      <c r="M464" t="s">
        <v>1568</v>
      </c>
      <c r="N464" t="s">
        <v>1568</v>
      </c>
      <c r="O464" t="s">
        <v>1568</v>
      </c>
      <c r="P464" t="s">
        <v>1568</v>
      </c>
      <c r="Q464" t="s">
        <v>1568</v>
      </c>
      <c r="R464" t="s">
        <v>1568</v>
      </c>
      <c r="S464" t="s">
        <v>1568</v>
      </c>
      <c r="T464" t="s">
        <v>1568</v>
      </c>
      <c r="U464" t="s">
        <v>1568</v>
      </c>
      <c r="V464" t="s">
        <v>1592</v>
      </c>
      <c r="W464" t="s">
        <v>642</v>
      </c>
      <c r="X464" t="s">
        <v>59</v>
      </c>
      <c r="Y464" t="s">
        <v>1581</v>
      </c>
    </row>
    <row r="465" spans="1:25" ht="16" x14ac:dyDescent="0.2">
      <c r="A465" t="s">
        <v>1568</v>
      </c>
      <c r="B465" t="s">
        <v>691</v>
      </c>
      <c r="C465" t="s">
        <v>1568</v>
      </c>
      <c r="D465" t="s">
        <v>1568</v>
      </c>
      <c r="E465" t="s">
        <v>36</v>
      </c>
      <c r="F465" t="s">
        <v>1684</v>
      </c>
      <c r="G465" t="s">
        <v>692</v>
      </c>
      <c r="H465" t="s">
        <v>1568</v>
      </c>
      <c r="I465" t="s">
        <v>693</v>
      </c>
      <c r="J465" t="s">
        <v>1568</v>
      </c>
      <c r="K465" t="s">
        <v>1568</v>
      </c>
      <c r="L465" t="s">
        <v>1568</v>
      </c>
      <c r="M465" t="s">
        <v>1568</v>
      </c>
      <c r="N465" t="s">
        <v>1568</v>
      </c>
      <c r="O465" t="s">
        <v>1568</v>
      </c>
      <c r="P465" t="s">
        <v>1568</v>
      </c>
      <c r="Q465" t="s">
        <v>1568</v>
      </c>
      <c r="R465" t="s">
        <v>1568</v>
      </c>
      <c r="S465" t="s">
        <v>1568</v>
      </c>
      <c r="T465" t="s">
        <v>1568</v>
      </c>
      <c r="U465" t="s">
        <v>1568</v>
      </c>
      <c r="V465" t="s">
        <v>1592</v>
      </c>
      <c r="W465" t="s">
        <v>694</v>
      </c>
      <c r="X465" t="s">
        <v>30</v>
      </c>
      <c r="Y465" t="s">
        <v>1572</v>
      </c>
    </row>
    <row r="466" spans="1:25" ht="16" x14ac:dyDescent="0.2">
      <c r="A466" t="s">
        <v>1568</v>
      </c>
      <c r="B466" t="s">
        <v>691</v>
      </c>
      <c r="C466" t="s">
        <v>1568</v>
      </c>
      <c r="D466" t="s">
        <v>1568</v>
      </c>
      <c r="E466" t="s">
        <v>43</v>
      </c>
      <c r="F466" t="s">
        <v>1684</v>
      </c>
      <c r="G466" t="s">
        <v>695</v>
      </c>
      <c r="H466" t="s">
        <v>1568</v>
      </c>
      <c r="I466" t="s">
        <v>696</v>
      </c>
      <c r="J466" t="s">
        <v>1568</v>
      </c>
      <c r="K466" t="s">
        <v>1568</v>
      </c>
      <c r="L466" t="s">
        <v>1568</v>
      </c>
      <c r="M466" t="s">
        <v>1568</v>
      </c>
      <c r="N466" t="s">
        <v>1568</v>
      </c>
      <c r="O466" t="s">
        <v>1568</v>
      </c>
      <c r="P466" t="s">
        <v>1568</v>
      </c>
      <c r="Q466" t="s">
        <v>1568</v>
      </c>
      <c r="R466" t="s">
        <v>1568</v>
      </c>
      <c r="S466" t="s">
        <v>1568</v>
      </c>
      <c r="T466" t="s">
        <v>1568</v>
      </c>
      <c r="U466" t="s">
        <v>1568</v>
      </c>
      <c r="V466" t="s">
        <v>1649</v>
      </c>
      <c r="W466" t="s">
        <v>697</v>
      </c>
      <c r="X466" t="s">
        <v>30</v>
      </c>
      <c r="Y466" t="s">
        <v>1572</v>
      </c>
    </row>
    <row r="467" spans="1:25" ht="16" x14ac:dyDescent="0.2">
      <c r="A467" t="s">
        <v>1568</v>
      </c>
      <c r="B467" t="s">
        <v>691</v>
      </c>
      <c r="C467" t="s">
        <v>1568</v>
      </c>
      <c r="D467" t="s">
        <v>1568</v>
      </c>
      <c r="E467" t="s">
        <v>47</v>
      </c>
      <c r="F467" t="s">
        <v>1684</v>
      </c>
      <c r="G467" t="s">
        <v>698</v>
      </c>
      <c r="H467" t="s">
        <v>1568</v>
      </c>
      <c r="I467" t="s">
        <v>699</v>
      </c>
      <c r="J467" t="s">
        <v>1568</v>
      </c>
      <c r="K467" t="s">
        <v>1568</v>
      </c>
      <c r="L467" t="s">
        <v>1568</v>
      </c>
      <c r="M467" t="s">
        <v>1568</v>
      </c>
      <c r="N467" t="s">
        <v>1568</v>
      </c>
      <c r="O467" t="s">
        <v>1568</v>
      </c>
      <c r="P467" t="s">
        <v>1568</v>
      </c>
      <c r="Q467" t="s">
        <v>1568</v>
      </c>
      <c r="R467" t="s">
        <v>1568</v>
      </c>
      <c r="S467" t="s">
        <v>1568</v>
      </c>
      <c r="T467" t="s">
        <v>1568</v>
      </c>
      <c r="U467" t="s">
        <v>1568</v>
      </c>
      <c r="V467" t="s">
        <v>1675</v>
      </c>
      <c r="W467" t="s">
        <v>700</v>
      </c>
      <c r="X467" t="s">
        <v>30</v>
      </c>
      <c r="Y467" t="s">
        <v>1572</v>
      </c>
    </row>
    <row r="468" spans="1:25" ht="16" x14ac:dyDescent="0.2">
      <c r="A468" t="s">
        <v>1568</v>
      </c>
      <c r="B468" t="s">
        <v>691</v>
      </c>
      <c r="C468" t="s">
        <v>1568</v>
      </c>
      <c r="D468" t="s">
        <v>1568</v>
      </c>
      <c r="E468" t="s">
        <v>51</v>
      </c>
      <c r="F468" t="s">
        <v>1684</v>
      </c>
      <c r="G468" t="s">
        <v>701</v>
      </c>
      <c r="H468" t="s">
        <v>1568</v>
      </c>
      <c r="I468" t="s">
        <v>702</v>
      </c>
      <c r="J468" t="s">
        <v>1568</v>
      </c>
      <c r="K468" t="s">
        <v>1568</v>
      </c>
      <c r="L468" t="s">
        <v>1568</v>
      </c>
      <c r="M468" t="s">
        <v>1568</v>
      </c>
      <c r="N468" t="s">
        <v>1568</v>
      </c>
      <c r="O468" t="s">
        <v>1568</v>
      </c>
      <c r="P468" t="s">
        <v>1568</v>
      </c>
      <c r="Q468" t="s">
        <v>1568</v>
      </c>
      <c r="R468" t="s">
        <v>1568</v>
      </c>
      <c r="S468" t="s">
        <v>1568</v>
      </c>
      <c r="T468" t="s">
        <v>1568</v>
      </c>
      <c r="U468" t="s">
        <v>1568</v>
      </c>
      <c r="V468" t="s">
        <v>1676</v>
      </c>
      <c r="W468" t="s">
        <v>703</v>
      </c>
      <c r="X468" t="s">
        <v>30</v>
      </c>
      <c r="Y468" t="s">
        <v>1572</v>
      </c>
    </row>
    <row r="469" spans="1:25" ht="16" x14ac:dyDescent="0.2">
      <c r="A469" t="s">
        <v>1568</v>
      </c>
      <c r="B469" t="s">
        <v>691</v>
      </c>
      <c r="C469" t="s">
        <v>1568</v>
      </c>
      <c r="D469" t="s">
        <v>1568</v>
      </c>
      <c r="E469" t="s">
        <v>55</v>
      </c>
      <c r="F469" t="s">
        <v>1684</v>
      </c>
      <c r="G469" t="s">
        <v>704</v>
      </c>
      <c r="H469" t="s">
        <v>1568</v>
      </c>
      <c r="I469" t="s">
        <v>705</v>
      </c>
      <c r="J469" t="s">
        <v>1568</v>
      </c>
      <c r="K469" t="s">
        <v>1568</v>
      </c>
      <c r="L469" t="s">
        <v>1568</v>
      </c>
      <c r="M469" t="s">
        <v>1568</v>
      </c>
      <c r="N469" t="s">
        <v>1568</v>
      </c>
      <c r="O469" t="s">
        <v>1568</v>
      </c>
      <c r="P469" t="s">
        <v>1568</v>
      </c>
      <c r="Q469" t="s">
        <v>1568</v>
      </c>
      <c r="R469" t="s">
        <v>1568</v>
      </c>
      <c r="S469" t="s">
        <v>1568</v>
      </c>
      <c r="T469" t="s">
        <v>1568</v>
      </c>
      <c r="U469" t="s">
        <v>1568</v>
      </c>
      <c r="V469" t="s">
        <v>1677</v>
      </c>
      <c r="W469" t="s">
        <v>706</v>
      </c>
      <c r="X469" t="s">
        <v>30</v>
      </c>
      <c r="Y469" t="s">
        <v>1572</v>
      </c>
    </row>
    <row r="470" spans="1:25" ht="16" x14ac:dyDescent="0.2">
      <c r="A470" t="s">
        <v>1568</v>
      </c>
      <c r="B470" t="s">
        <v>707</v>
      </c>
      <c r="C470" t="s">
        <v>1568</v>
      </c>
      <c r="D470" t="s">
        <v>1568</v>
      </c>
      <c r="E470" t="s">
        <v>36</v>
      </c>
      <c r="F470" t="s">
        <v>1679</v>
      </c>
      <c r="G470" t="s">
        <v>644</v>
      </c>
      <c r="H470" t="s">
        <v>1568</v>
      </c>
      <c r="I470" t="s">
        <v>645</v>
      </c>
      <c r="J470" t="s">
        <v>1568</v>
      </c>
      <c r="K470" t="s">
        <v>1568</v>
      </c>
      <c r="L470" t="s">
        <v>1568</v>
      </c>
      <c r="M470" t="s">
        <v>1568</v>
      </c>
      <c r="N470" t="s">
        <v>1568</v>
      </c>
      <c r="O470" t="s">
        <v>1568</v>
      </c>
      <c r="P470" t="s">
        <v>1568</v>
      </c>
      <c r="Q470" t="s">
        <v>1568</v>
      </c>
      <c r="R470" t="s">
        <v>1568</v>
      </c>
      <c r="S470" t="s">
        <v>1568</v>
      </c>
      <c r="T470" t="s">
        <v>1568</v>
      </c>
      <c r="U470" t="s">
        <v>1568</v>
      </c>
      <c r="V470" t="s">
        <v>1592</v>
      </c>
      <c r="W470" t="s">
        <v>646</v>
      </c>
      <c r="X470" t="s">
        <v>59</v>
      </c>
      <c r="Y470" t="s">
        <v>1581</v>
      </c>
    </row>
    <row r="471" spans="1:25" ht="16" x14ac:dyDescent="0.2">
      <c r="A471" t="s">
        <v>1568</v>
      </c>
      <c r="B471" t="s">
        <v>707</v>
      </c>
      <c r="C471" t="s">
        <v>1568</v>
      </c>
      <c r="D471" t="s">
        <v>1568</v>
      </c>
      <c r="E471" t="s">
        <v>43</v>
      </c>
      <c r="F471" t="s">
        <v>1679</v>
      </c>
      <c r="G471" t="s">
        <v>647</v>
      </c>
      <c r="H471" t="s">
        <v>1568</v>
      </c>
      <c r="I471" t="s">
        <v>648</v>
      </c>
      <c r="J471" t="s">
        <v>1568</v>
      </c>
      <c r="K471" t="s">
        <v>1568</v>
      </c>
      <c r="L471" t="s">
        <v>1568</v>
      </c>
      <c r="M471" t="s">
        <v>1568</v>
      </c>
      <c r="N471" t="s">
        <v>1568</v>
      </c>
      <c r="O471" t="s">
        <v>1568</v>
      </c>
      <c r="P471" t="s">
        <v>1568</v>
      </c>
      <c r="Q471" t="s">
        <v>1568</v>
      </c>
      <c r="R471" t="s">
        <v>1568</v>
      </c>
      <c r="S471" t="s">
        <v>1568</v>
      </c>
      <c r="T471" t="s">
        <v>1568</v>
      </c>
      <c r="U471" t="s">
        <v>1568</v>
      </c>
      <c r="V471" t="s">
        <v>1680</v>
      </c>
      <c r="W471" t="s">
        <v>649</v>
      </c>
      <c r="X471" t="s">
        <v>59</v>
      </c>
      <c r="Y471" t="s">
        <v>1581</v>
      </c>
    </row>
    <row r="472" spans="1:25" ht="16" x14ac:dyDescent="0.2">
      <c r="A472" t="s">
        <v>1568</v>
      </c>
      <c r="B472" t="s">
        <v>707</v>
      </c>
      <c r="C472" t="s">
        <v>1568</v>
      </c>
      <c r="D472" t="s">
        <v>1568</v>
      </c>
      <c r="E472" t="s">
        <v>47</v>
      </c>
      <c r="F472" t="s">
        <v>1679</v>
      </c>
      <c r="G472" t="s">
        <v>650</v>
      </c>
      <c r="H472" t="s">
        <v>1568</v>
      </c>
      <c r="I472" t="s">
        <v>651</v>
      </c>
      <c r="J472" t="s">
        <v>1568</v>
      </c>
      <c r="K472" t="s">
        <v>1568</v>
      </c>
      <c r="L472" t="s">
        <v>1568</v>
      </c>
      <c r="M472" t="s">
        <v>1568</v>
      </c>
      <c r="N472" t="s">
        <v>1568</v>
      </c>
      <c r="O472" t="s">
        <v>1568</v>
      </c>
      <c r="P472" t="s">
        <v>1568</v>
      </c>
      <c r="Q472" t="s">
        <v>1568</v>
      </c>
      <c r="R472" t="s">
        <v>1568</v>
      </c>
      <c r="S472" t="s">
        <v>1568</v>
      </c>
      <c r="T472" t="s">
        <v>1568</v>
      </c>
      <c r="U472" t="s">
        <v>1568</v>
      </c>
      <c r="V472" t="s">
        <v>1681</v>
      </c>
      <c r="W472" t="s">
        <v>652</v>
      </c>
      <c r="X472" t="s">
        <v>59</v>
      </c>
      <c r="Y472" t="s">
        <v>1581</v>
      </c>
    </row>
    <row r="473" spans="1:25" ht="16" x14ac:dyDescent="0.2">
      <c r="A473" t="s">
        <v>1568</v>
      </c>
      <c r="B473" t="s">
        <v>707</v>
      </c>
      <c r="C473" t="s">
        <v>1568</v>
      </c>
      <c r="D473" t="s">
        <v>1568</v>
      </c>
      <c r="E473" t="s">
        <v>51</v>
      </c>
      <c r="F473" t="s">
        <v>1679</v>
      </c>
      <c r="G473" t="s">
        <v>653</v>
      </c>
      <c r="H473" t="s">
        <v>1568</v>
      </c>
      <c r="I473" t="s">
        <v>654</v>
      </c>
      <c r="J473" t="s">
        <v>1568</v>
      </c>
      <c r="K473" t="s">
        <v>1568</v>
      </c>
      <c r="L473" t="s">
        <v>1568</v>
      </c>
      <c r="M473" t="s">
        <v>1568</v>
      </c>
      <c r="N473" t="s">
        <v>1568</v>
      </c>
      <c r="O473" t="s">
        <v>1568</v>
      </c>
      <c r="P473" t="s">
        <v>1568</v>
      </c>
      <c r="Q473" t="s">
        <v>1568</v>
      </c>
      <c r="R473" t="s">
        <v>1568</v>
      </c>
      <c r="S473" t="s">
        <v>1568</v>
      </c>
      <c r="T473" t="s">
        <v>1568</v>
      </c>
      <c r="U473" t="s">
        <v>1568</v>
      </c>
      <c r="V473" t="s">
        <v>1641</v>
      </c>
      <c r="W473" t="s">
        <v>655</v>
      </c>
      <c r="X473" t="s">
        <v>59</v>
      </c>
      <c r="Y473" t="s">
        <v>1581</v>
      </c>
    </row>
    <row r="474" spans="1:25" ht="16" x14ac:dyDescent="0.2">
      <c r="A474" t="s">
        <v>1568</v>
      </c>
      <c r="B474" t="s">
        <v>707</v>
      </c>
      <c r="C474" t="s">
        <v>1568</v>
      </c>
      <c r="D474" t="s">
        <v>1568</v>
      </c>
      <c r="E474" t="s">
        <v>55</v>
      </c>
      <c r="F474" t="s">
        <v>1679</v>
      </c>
      <c r="G474" t="s">
        <v>656</v>
      </c>
      <c r="H474" t="s">
        <v>1568</v>
      </c>
      <c r="I474" t="s">
        <v>657</v>
      </c>
      <c r="J474" t="s">
        <v>1568</v>
      </c>
      <c r="K474" t="s">
        <v>1568</v>
      </c>
      <c r="L474" t="s">
        <v>1568</v>
      </c>
      <c r="M474" t="s">
        <v>1568</v>
      </c>
      <c r="N474" t="s">
        <v>1568</v>
      </c>
      <c r="O474" t="s">
        <v>1568</v>
      </c>
      <c r="P474" t="s">
        <v>1568</v>
      </c>
      <c r="Q474" t="s">
        <v>1568</v>
      </c>
      <c r="R474" t="s">
        <v>1568</v>
      </c>
      <c r="S474" t="s">
        <v>1568</v>
      </c>
      <c r="T474" t="s">
        <v>1568</v>
      </c>
      <c r="U474" t="s">
        <v>1568</v>
      </c>
      <c r="V474" t="s">
        <v>1592</v>
      </c>
      <c r="W474" t="s">
        <v>658</v>
      </c>
      <c r="X474" t="s">
        <v>59</v>
      </c>
      <c r="Y474" t="s">
        <v>1581</v>
      </c>
    </row>
    <row r="475" spans="1:25" ht="16" x14ac:dyDescent="0.2">
      <c r="A475" t="s">
        <v>1568</v>
      </c>
      <c r="B475" t="s">
        <v>708</v>
      </c>
      <c r="C475" t="s">
        <v>1568</v>
      </c>
      <c r="D475" t="s">
        <v>1568</v>
      </c>
      <c r="E475" t="s">
        <v>36</v>
      </c>
      <c r="F475" t="s">
        <v>1674</v>
      </c>
      <c r="G475" t="s">
        <v>617</v>
      </c>
      <c r="H475" t="s">
        <v>1568</v>
      </c>
      <c r="I475" t="s">
        <v>618</v>
      </c>
      <c r="J475" t="s">
        <v>1568</v>
      </c>
      <c r="K475" t="s">
        <v>1568</v>
      </c>
      <c r="L475" t="s">
        <v>1568</v>
      </c>
      <c r="M475" t="s">
        <v>1568</v>
      </c>
      <c r="N475" t="s">
        <v>1568</v>
      </c>
      <c r="O475" t="s">
        <v>1568</v>
      </c>
      <c r="P475" t="s">
        <v>1568</v>
      </c>
      <c r="Q475" t="s">
        <v>1568</v>
      </c>
      <c r="R475" t="s">
        <v>1568</v>
      </c>
      <c r="S475" t="s">
        <v>1568</v>
      </c>
      <c r="T475" t="s">
        <v>1568</v>
      </c>
      <c r="U475" t="s">
        <v>1568</v>
      </c>
      <c r="V475" t="s">
        <v>1592</v>
      </c>
      <c r="W475" t="s">
        <v>601</v>
      </c>
      <c r="X475" t="s">
        <v>61</v>
      </c>
      <c r="Y475" t="s">
        <v>1587</v>
      </c>
    </row>
    <row r="476" spans="1:25" ht="16" x14ac:dyDescent="0.2">
      <c r="A476" t="s">
        <v>1568</v>
      </c>
      <c r="B476" t="s">
        <v>708</v>
      </c>
      <c r="C476" t="s">
        <v>1568</v>
      </c>
      <c r="D476" t="s">
        <v>1568</v>
      </c>
      <c r="E476" t="s">
        <v>43</v>
      </c>
      <c r="F476" t="s">
        <v>1674</v>
      </c>
      <c r="G476" t="s">
        <v>619</v>
      </c>
      <c r="H476" t="s">
        <v>1568</v>
      </c>
      <c r="I476" t="s">
        <v>620</v>
      </c>
      <c r="J476" t="s">
        <v>1568</v>
      </c>
      <c r="K476" t="s">
        <v>1568</v>
      </c>
      <c r="L476" t="s">
        <v>1568</v>
      </c>
      <c r="M476" t="s">
        <v>1568</v>
      </c>
      <c r="N476" t="s">
        <v>1568</v>
      </c>
      <c r="O476" t="s">
        <v>1568</v>
      </c>
      <c r="P476" t="s">
        <v>1568</v>
      </c>
      <c r="Q476" t="s">
        <v>1568</v>
      </c>
      <c r="R476" t="s">
        <v>1568</v>
      </c>
      <c r="S476" t="s">
        <v>1568</v>
      </c>
      <c r="T476" t="s">
        <v>1568</v>
      </c>
      <c r="U476" t="s">
        <v>1568</v>
      </c>
      <c r="V476" t="s">
        <v>1685</v>
      </c>
      <c r="W476" t="s">
        <v>604</v>
      </c>
      <c r="X476" t="s">
        <v>61</v>
      </c>
      <c r="Y476" t="s">
        <v>1587</v>
      </c>
    </row>
    <row r="477" spans="1:25" ht="16" x14ac:dyDescent="0.2">
      <c r="A477" t="s">
        <v>1568</v>
      </c>
      <c r="B477" t="s">
        <v>708</v>
      </c>
      <c r="C477" t="s">
        <v>1568</v>
      </c>
      <c r="D477" t="s">
        <v>1568</v>
      </c>
      <c r="E477" t="s">
        <v>47</v>
      </c>
      <c r="F477" t="s">
        <v>1674</v>
      </c>
      <c r="G477" t="s">
        <v>621</v>
      </c>
      <c r="H477" t="s">
        <v>1568</v>
      </c>
      <c r="I477" t="s">
        <v>622</v>
      </c>
      <c r="J477" t="s">
        <v>1568</v>
      </c>
      <c r="K477" t="s">
        <v>1568</v>
      </c>
      <c r="L477" t="s">
        <v>1568</v>
      </c>
      <c r="M477" t="s">
        <v>1568</v>
      </c>
      <c r="N477" t="s">
        <v>1568</v>
      </c>
      <c r="O477" t="s">
        <v>1568</v>
      </c>
      <c r="P477" t="s">
        <v>1568</v>
      </c>
      <c r="Q477" t="s">
        <v>1568</v>
      </c>
      <c r="R477" t="s">
        <v>1568</v>
      </c>
      <c r="S477" t="s">
        <v>1568</v>
      </c>
      <c r="T477" t="s">
        <v>1568</v>
      </c>
      <c r="U477" t="s">
        <v>1568</v>
      </c>
      <c r="V477" t="s">
        <v>1617</v>
      </c>
      <c r="W477" t="s">
        <v>607</v>
      </c>
      <c r="X477" t="s">
        <v>61</v>
      </c>
      <c r="Y477" t="s">
        <v>1587</v>
      </c>
    </row>
    <row r="478" spans="1:25" ht="16" x14ac:dyDescent="0.2">
      <c r="A478" t="s">
        <v>1568</v>
      </c>
      <c r="B478" t="s">
        <v>708</v>
      </c>
      <c r="C478" t="s">
        <v>1568</v>
      </c>
      <c r="D478" t="s">
        <v>1568</v>
      </c>
      <c r="E478" t="s">
        <v>51</v>
      </c>
      <c r="F478" t="s">
        <v>1674</v>
      </c>
      <c r="G478" t="s">
        <v>623</v>
      </c>
      <c r="H478" t="s">
        <v>1568</v>
      </c>
      <c r="I478" t="s">
        <v>624</v>
      </c>
      <c r="J478" t="s">
        <v>1568</v>
      </c>
      <c r="K478" t="s">
        <v>1568</v>
      </c>
      <c r="L478" t="s">
        <v>1568</v>
      </c>
      <c r="M478" t="s">
        <v>1568</v>
      </c>
      <c r="N478" t="s">
        <v>1568</v>
      </c>
      <c r="O478" t="s">
        <v>1568</v>
      </c>
      <c r="P478" t="s">
        <v>1568</v>
      </c>
      <c r="Q478" t="s">
        <v>1568</v>
      </c>
      <c r="R478" t="s">
        <v>1568</v>
      </c>
      <c r="S478" t="s">
        <v>1568</v>
      </c>
      <c r="T478" t="s">
        <v>1568</v>
      </c>
      <c r="U478" t="s">
        <v>1568</v>
      </c>
      <c r="V478" t="s">
        <v>1686</v>
      </c>
      <c r="W478" t="s">
        <v>610</v>
      </c>
      <c r="X478" t="s">
        <v>61</v>
      </c>
      <c r="Y478" t="s">
        <v>1587</v>
      </c>
    </row>
    <row r="479" spans="1:25" ht="16" x14ac:dyDescent="0.2">
      <c r="A479" t="s">
        <v>1568</v>
      </c>
      <c r="B479" t="s">
        <v>708</v>
      </c>
      <c r="C479" t="s">
        <v>1568</v>
      </c>
      <c r="D479" t="s">
        <v>1568</v>
      </c>
      <c r="E479" t="s">
        <v>55</v>
      </c>
      <c r="F479" t="s">
        <v>1674</v>
      </c>
      <c r="G479" t="s">
        <v>625</v>
      </c>
      <c r="H479" t="s">
        <v>1568</v>
      </c>
      <c r="I479" t="s">
        <v>626</v>
      </c>
      <c r="J479" t="s">
        <v>1568</v>
      </c>
      <c r="K479" t="s">
        <v>1568</v>
      </c>
      <c r="L479" t="s">
        <v>1568</v>
      </c>
      <c r="M479" t="s">
        <v>1568</v>
      </c>
      <c r="N479" t="s">
        <v>1568</v>
      </c>
      <c r="O479" t="s">
        <v>1568</v>
      </c>
      <c r="P479" t="s">
        <v>1568</v>
      </c>
      <c r="Q479" t="s">
        <v>1568</v>
      </c>
      <c r="R479" t="s">
        <v>1568</v>
      </c>
      <c r="S479" t="s">
        <v>1568</v>
      </c>
      <c r="T479" t="s">
        <v>1568</v>
      </c>
      <c r="U479" t="s">
        <v>1568</v>
      </c>
      <c r="V479" t="s">
        <v>1592</v>
      </c>
      <c r="W479" t="s">
        <v>613</v>
      </c>
      <c r="X479" t="s">
        <v>61</v>
      </c>
      <c r="Y479" t="s">
        <v>1587</v>
      </c>
    </row>
    <row r="480" spans="1:25" ht="16" x14ac:dyDescent="0.2">
      <c r="A480" t="s">
        <v>1568</v>
      </c>
      <c r="B480" t="s">
        <v>709</v>
      </c>
      <c r="C480" t="s">
        <v>1568</v>
      </c>
      <c r="D480" t="s">
        <v>1568</v>
      </c>
      <c r="E480" t="s">
        <v>36</v>
      </c>
      <c r="F480" t="s">
        <v>1682</v>
      </c>
      <c r="G480" t="s">
        <v>661</v>
      </c>
      <c r="H480" t="s">
        <v>1568</v>
      </c>
      <c r="I480" t="s">
        <v>662</v>
      </c>
      <c r="J480" t="s">
        <v>1568</v>
      </c>
      <c r="K480" t="s">
        <v>1568</v>
      </c>
      <c r="L480" t="s">
        <v>1568</v>
      </c>
      <c r="M480" t="s">
        <v>1568</v>
      </c>
      <c r="N480" t="s">
        <v>1568</v>
      </c>
      <c r="O480" t="s">
        <v>1568</v>
      </c>
      <c r="P480" t="s">
        <v>1568</v>
      </c>
      <c r="Q480" t="s">
        <v>1568</v>
      </c>
      <c r="R480" t="s">
        <v>1568</v>
      </c>
      <c r="S480" t="s">
        <v>1568</v>
      </c>
      <c r="T480" t="s">
        <v>1568</v>
      </c>
      <c r="U480" t="s">
        <v>1568</v>
      </c>
      <c r="V480" t="s">
        <v>1592</v>
      </c>
      <c r="W480" t="s">
        <v>663</v>
      </c>
      <c r="X480" t="s">
        <v>59</v>
      </c>
      <c r="Y480" t="s">
        <v>1581</v>
      </c>
    </row>
    <row r="481" spans="1:25" ht="16" x14ac:dyDescent="0.2">
      <c r="A481" t="s">
        <v>1568</v>
      </c>
      <c r="B481" t="s">
        <v>709</v>
      </c>
      <c r="C481" t="s">
        <v>1568</v>
      </c>
      <c r="D481" t="s">
        <v>1568</v>
      </c>
      <c r="E481" t="s">
        <v>43</v>
      </c>
      <c r="F481" t="s">
        <v>1682</v>
      </c>
      <c r="G481" t="s">
        <v>664</v>
      </c>
      <c r="H481" t="s">
        <v>1568</v>
      </c>
      <c r="I481" t="s">
        <v>665</v>
      </c>
      <c r="J481" t="s">
        <v>1568</v>
      </c>
      <c r="K481" t="s">
        <v>1568</v>
      </c>
      <c r="L481" t="s">
        <v>1568</v>
      </c>
      <c r="M481" t="s">
        <v>1568</v>
      </c>
      <c r="N481" t="s">
        <v>1568</v>
      </c>
      <c r="O481" t="s">
        <v>1568</v>
      </c>
      <c r="P481" t="s">
        <v>1568</v>
      </c>
      <c r="Q481" t="s">
        <v>1568</v>
      </c>
      <c r="R481" t="s">
        <v>1568</v>
      </c>
      <c r="S481" t="s">
        <v>1568</v>
      </c>
      <c r="T481" t="s">
        <v>1568</v>
      </c>
      <c r="U481" t="s">
        <v>1568</v>
      </c>
      <c r="V481" t="s">
        <v>1680</v>
      </c>
      <c r="W481" t="s">
        <v>666</v>
      </c>
      <c r="X481" t="s">
        <v>59</v>
      </c>
      <c r="Y481" t="s">
        <v>1581</v>
      </c>
    </row>
    <row r="482" spans="1:25" ht="16" x14ac:dyDescent="0.2">
      <c r="A482" t="s">
        <v>1568</v>
      </c>
      <c r="B482" t="s">
        <v>709</v>
      </c>
      <c r="C482" t="s">
        <v>1568</v>
      </c>
      <c r="D482" t="s">
        <v>1568</v>
      </c>
      <c r="E482" t="s">
        <v>47</v>
      </c>
      <c r="F482" t="s">
        <v>1682</v>
      </c>
      <c r="G482" t="s">
        <v>667</v>
      </c>
      <c r="H482" t="s">
        <v>1568</v>
      </c>
      <c r="I482" t="s">
        <v>668</v>
      </c>
      <c r="J482" t="s">
        <v>1568</v>
      </c>
      <c r="K482" t="s">
        <v>1568</v>
      </c>
      <c r="L482" t="s">
        <v>1568</v>
      </c>
      <c r="M482" t="s">
        <v>1568</v>
      </c>
      <c r="N482" t="s">
        <v>1568</v>
      </c>
      <c r="O482" t="s">
        <v>1568</v>
      </c>
      <c r="P482" t="s">
        <v>1568</v>
      </c>
      <c r="Q482" t="s">
        <v>1568</v>
      </c>
      <c r="R482" t="s">
        <v>1568</v>
      </c>
      <c r="S482" t="s">
        <v>1568</v>
      </c>
      <c r="T482" t="s">
        <v>1568</v>
      </c>
      <c r="U482" t="s">
        <v>1568</v>
      </c>
      <c r="V482" t="s">
        <v>1681</v>
      </c>
      <c r="W482" t="s">
        <v>669</v>
      </c>
      <c r="X482" t="s">
        <v>59</v>
      </c>
      <c r="Y482" t="s">
        <v>1581</v>
      </c>
    </row>
    <row r="483" spans="1:25" ht="16" x14ac:dyDescent="0.2">
      <c r="A483" t="s">
        <v>1568</v>
      </c>
      <c r="B483" t="s">
        <v>709</v>
      </c>
      <c r="C483" t="s">
        <v>1568</v>
      </c>
      <c r="D483" t="s">
        <v>1568</v>
      </c>
      <c r="E483" t="s">
        <v>51</v>
      </c>
      <c r="F483" t="s">
        <v>1682</v>
      </c>
      <c r="G483" t="s">
        <v>670</v>
      </c>
      <c r="H483" t="s">
        <v>1568</v>
      </c>
      <c r="I483" t="s">
        <v>671</v>
      </c>
      <c r="J483" t="s">
        <v>1568</v>
      </c>
      <c r="K483" t="s">
        <v>1568</v>
      </c>
      <c r="L483" t="s">
        <v>1568</v>
      </c>
      <c r="M483" t="s">
        <v>1568</v>
      </c>
      <c r="N483" t="s">
        <v>1568</v>
      </c>
      <c r="O483" t="s">
        <v>1568</v>
      </c>
      <c r="P483" t="s">
        <v>1568</v>
      </c>
      <c r="Q483" t="s">
        <v>1568</v>
      </c>
      <c r="R483" t="s">
        <v>1568</v>
      </c>
      <c r="S483" t="s">
        <v>1568</v>
      </c>
      <c r="T483" t="s">
        <v>1568</v>
      </c>
      <c r="U483" t="s">
        <v>1568</v>
      </c>
      <c r="V483" t="s">
        <v>1641</v>
      </c>
      <c r="W483" t="s">
        <v>672</v>
      </c>
      <c r="X483" t="s">
        <v>59</v>
      </c>
      <c r="Y483" t="s">
        <v>1581</v>
      </c>
    </row>
    <row r="484" spans="1:25" ht="16" x14ac:dyDescent="0.2">
      <c r="A484" t="s">
        <v>1568</v>
      </c>
      <c r="B484" t="s">
        <v>709</v>
      </c>
      <c r="C484" t="s">
        <v>1568</v>
      </c>
      <c r="D484" t="s">
        <v>1568</v>
      </c>
      <c r="E484" t="s">
        <v>55</v>
      </c>
      <c r="F484" t="s">
        <v>1682</v>
      </c>
      <c r="G484" t="s">
        <v>673</v>
      </c>
      <c r="H484" t="s">
        <v>1568</v>
      </c>
      <c r="I484" t="s">
        <v>674</v>
      </c>
      <c r="J484" t="s">
        <v>1568</v>
      </c>
      <c r="K484" t="s">
        <v>1568</v>
      </c>
      <c r="L484" t="s">
        <v>1568</v>
      </c>
      <c r="M484" t="s">
        <v>1568</v>
      </c>
      <c r="N484" t="s">
        <v>1568</v>
      </c>
      <c r="O484" t="s">
        <v>1568</v>
      </c>
      <c r="P484" t="s">
        <v>1568</v>
      </c>
      <c r="Q484" t="s">
        <v>1568</v>
      </c>
      <c r="R484" t="s">
        <v>1568</v>
      </c>
      <c r="S484" t="s">
        <v>1568</v>
      </c>
      <c r="T484" t="s">
        <v>1568</v>
      </c>
      <c r="U484" t="s">
        <v>1568</v>
      </c>
      <c r="V484" t="s">
        <v>1592</v>
      </c>
      <c r="W484" t="s">
        <v>675</v>
      </c>
      <c r="X484" t="s">
        <v>59</v>
      </c>
      <c r="Y484" t="s">
        <v>1581</v>
      </c>
    </row>
    <row r="485" spans="1:25" ht="16" x14ac:dyDescent="0.2">
      <c r="A485" t="s">
        <v>1568</v>
      </c>
      <c r="B485" t="s">
        <v>710</v>
      </c>
      <c r="C485" t="s">
        <v>1568</v>
      </c>
      <c r="D485" t="s">
        <v>1568</v>
      </c>
      <c r="E485" t="s">
        <v>36</v>
      </c>
      <c r="F485" t="s">
        <v>1683</v>
      </c>
      <c r="G485" t="s">
        <v>677</v>
      </c>
      <c r="H485" t="s">
        <v>1568</v>
      </c>
      <c r="I485" t="s">
        <v>678</v>
      </c>
      <c r="J485" t="s">
        <v>1568</v>
      </c>
      <c r="K485" t="s">
        <v>1568</v>
      </c>
      <c r="L485" t="s">
        <v>1568</v>
      </c>
      <c r="M485" t="s">
        <v>1568</v>
      </c>
      <c r="N485" t="s">
        <v>1568</v>
      </c>
      <c r="O485" t="s">
        <v>1568</v>
      </c>
      <c r="P485" t="s">
        <v>1568</v>
      </c>
      <c r="Q485" t="s">
        <v>1568</v>
      </c>
      <c r="R485" t="s">
        <v>1568</v>
      </c>
      <c r="S485" t="s">
        <v>1568</v>
      </c>
      <c r="T485" t="s">
        <v>1568</v>
      </c>
      <c r="U485" t="s">
        <v>1568</v>
      </c>
      <c r="V485" t="s">
        <v>1592</v>
      </c>
      <c r="W485" t="s">
        <v>679</v>
      </c>
      <c r="X485" t="s">
        <v>59</v>
      </c>
      <c r="Y485" t="s">
        <v>1581</v>
      </c>
    </row>
    <row r="486" spans="1:25" ht="16" x14ac:dyDescent="0.2">
      <c r="A486" t="s">
        <v>1568</v>
      </c>
      <c r="B486" t="s">
        <v>710</v>
      </c>
      <c r="C486" t="s">
        <v>1568</v>
      </c>
      <c r="D486" t="s">
        <v>1568</v>
      </c>
      <c r="E486" t="s">
        <v>43</v>
      </c>
      <c r="F486" t="s">
        <v>1683</v>
      </c>
      <c r="G486" t="s">
        <v>680</v>
      </c>
      <c r="H486" t="s">
        <v>1568</v>
      </c>
      <c r="I486" t="s">
        <v>681</v>
      </c>
      <c r="J486" t="s">
        <v>1568</v>
      </c>
      <c r="K486" t="s">
        <v>1568</v>
      </c>
      <c r="L486" t="s">
        <v>1568</v>
      </c>
      <c r="M486" t="s">
        <v>1568</v>
      </c>
      <c r="N486" t="s">
        <v>1568</v>
      </c>
      <c r="O486" t="s">
        <v>1568</v>
      </c>
      <c r="P486" t="s">
        <v>1568</v>
      </c>
      <c r="Q486" t="s">
        <v>1568</v>
      </c>
      <c r="R486" t="s">
        <v>1568</v>
      </c>
      <c r="S486" t="s">
        <v>1568</v>
      </c>
      <c r="T486" t="s">
        <v>1568</v>
      </c>
      <c r="U486" t="s">
        <v>1568</v>
      </c>
      <c r="V486" t="s">
        <v>1680</v>
      </c>
      <c r="W486" t="s">
        <v>682</v>
      </c>
      <c r="X486" t="s">
        <v>59</v>
      </c>
      <c r="Y486" t="s">
        <v>1581</v>
      </c>
    </row>
    <row r="487" spans="1:25" ht="16" x14ac:dyDescent="0.2">
      <c r="A487" t="s">
        <v>1568</v>
      </c>
      <c r="B487" t="s">
        <v>710</v>
      </c>
      <c r="C487" t="s">
        <v>1568</v>
      </c>
      <c r="D487" t="s">
        <v>1568</v>
      </c>
      <c r="E487" t="s">
        <v>47</v>
      </c>
      <c r="F487" t="s">
        <v>1683</v>
      </c>
      <c r="G487" t="s">
        <v>683</v>
      </c>
      <c r="H487" t="s">
        <v>1568</v>
      </c>
      <c r="I487" t="s">
        <v>684</v>
      </c>
      <c r="J487" t="s">
        <v>1568</v>
      </c>
      <c r="K487" t="s">
        <v>1568</v>
      </c>
      <c r="L487" t="s">
        <v>1568</v>
      </c>
      <c r="M487" t="s">
        <v>1568</v>
      </c>
      <c r="N487" t="s">
        <v>1568</v>
      </c>
      <c r="O487" t="s">
        <v>1568</v>
      </c>
      <c r="P487" t="s">
        <v>1568</v>
      </c>
      <c r="Q487" t="s">
        <v>1568</v>
      </c>
      <c r="R487" t="s">
        <v>1568</v>
      </c>
      <c r="S487" t="s">
        <v>1568</v>
      </c>
      <c r="T487" t="s">
        <v>1568</v>
      </c>
      <c r="U487" t="s">
        <v>1568</v>
      </c>
      <c r="V487" t="s">
        <v>1681</v>
      </c>
      <c r="W487" t="s">
        <v>685</v>
      </c>
      <c r="X487" t="s">
        <v>59</v>
      </c>
      <c r="Y487" t="s">
        <v>1581</v>
      </c>
    </row>
    <row r="488" spans="1:25" ht="16" x14ac:dyDescent="0.2">
      <c r="A488" t="s">
        <v>1568</v>
      </c>
      <c r="B488" t="s">
        <v>710</v>
      </c>
      <c r="C488" t="s">
        <v>1568</v>
      </c>
      <c r="D488" t="s">
        <v>1568</v>
      </c>
      <c r="E488" t="s">
        <v>51</v>
      </c>
      <c r="F488" t="s">
        <v>1683</v>
      </c>
      <c r="G488" t="s">
        <v>686</v>
      </c>
      <c r="H488" t="s">
        <v>1568</v>
      </c>
      <c r="I488" t="s">
        <v>687</v>
      </c>
      <c r="J488" t="s">
        <v>1568</v>
      </c>
      <c r="K488" t="s">
        <v>1568</v>
      </c>
      <c r="L488" t="s">
        <v>1568</v>
      </c>
      <c r="M488" t="s">
        <v>1568</v>
      </c>
      <c r="N488" t="s">
        <v>1568</v>
      </c>
      <c r="O488" t="s">
        <v>1568</v>
      </c>
      <c r="P488" t="s">
        <v>1568</v>
      </c>
      <c r="Q488" t="s">
        <v>1568</v>
      </c>
      <c r="R488" t="s">
        <v>1568</v>
      </c>
      <c r="S488" t="s">
        <v>1568</v>
      </c>
      <c r="T488" t="s">
        <v>1568</v>
      </c>
      <c r="U488" t="s">
        <v>1568</v>
      </c>
      <c r="V488" t="s">
        <v>1641</v>
      </c>
      <c r="W488" t="s">
        <v>610</v>
      </c>
      <c r="X488" t="s">
        <v>59</v>
      </c>
      <c r="Y488" t="s">
        <v>1581</v>
      </c>
    </row>
    <row r="489" spans="1:25" ht="16" x14ac:dyDescent="0.2">
      <c r="A489" t="s">
        <v>1568</v>
      </c>
      <c r="B489" t="s">
        <v>710</v>
      </c>
      <c r="C489" t="s">
        <v>1568</v>
      </c>
      <c r="D489" t="s">
        <v>1568</v>
      </c>
      <c r="E489" t="s">
        <v>55</v>
      </c>
      <c r="F489" t="s">
        <v>1683</v>
      </c>
      <c r="G489" t="s">
        <v>688</v>
      </c>
      <c r="H489" t="s">
        <v>1568</v>
      </c>
      <c r="I489" t="s">
        <v>689</v>
      </c>
      <c r="J489" t="s">
        <v>1568</v>
      </c>
      <c r="K489" t="s">
        <v>1568</v>
      </c>
      <c r="L489" t="s">
        <v>1568</v>
      </c>
      <c r="M489" t="s">
        <v>1568</v>
      </c>
      <c r="N489" t="s">
        <v>1568</v>
      </c>
      <c r="O489" t="s">
        <v>1568</v>
      </c>
      <c r="P489" t="s">
        <v>1568</v>
      </c>
      <c r="Q489" t="s">
        <v>1568</v>
      </c>
      <c r="R489" t="s">
        <v>1568</v>
      </c>
      <c r="S489" t="s">
        <v>1568</v>
      </c>
      <c r="T489" t="s">
        <v>1568</v>
      </c>
      <c r="U489" t="s">
        <v>1568</v>
      </c>
      <c r="V489" t="s">
        <v>1592</v>
      </c>
      <c r="W489" t="s">
        <v>613</v>
      </c>
      <c r="X489" t="s">
        <v>59</v>
      </c>
      <c r="Y489" t="s">
        <v>1581</v>
      </c>
    </row>
    <row r="490" spans="1:25" ht="16" x14ac:dyDescent="0.2">
      <c r="A490" t="s">
        <v>1568</v>
      </c>
      <c r="B490" t="s">
        <v>711</v>
      </c>
      <c r="C490" t="s">
        <v>1568</v>
      </c>
      <c r="D490" t="s">
        <v>1568</v>
      </c>
      <c r="E490" t="s">
        <v>36</v>
      </c>
      <c r="F490" t="s">
        <v>1678</v>
      </c>
      <c r="G490" t="s">
        <v>628</v>
      </c>
      <c r="H490" t="s">
        <v>1568</v>
      </c>
      <c r="I490" t="s">
        <v>629</v>
      </c>
      <c r="J490" t="s">
        <v>1568</v>
      </c>
      <c r="K490" t="s">
        <v>1568</v>
      </c>
      <c r="L490" t="s">
        <v>1568</v>
      </c>
      <c r="M490" t="s">
        <v>1568</v>
      </c>
      <c r="N490" t="s">
        <v>1568</v>
      </c>
      <c r="O490" t="s">
        <v>1568</v>
      </c>
      <c r="P490" t="s">
        <v>1568</v>
      </c>
      <c r="Q490" t="s">
        <v>1568</v>
      </c>
      <c r="R490" t="s">
        <v>1568</v>
      </c>
      <c r="S490" t="s">
        <v>1568</v>
      </c>
      <c r="T490" t="s">
        <v>1568</v>
      </c>
      <c r="U490" t="s">
        <v>1568</v>
      </c>
      <c r="V490" t="s">
        <v>1592</v>
      </c>
      <c r="W490" t="s">
        <v>630</v>
      </c>
      <c r="X490" t="s">
        <v>61</v>
      </c>
      <c r="Y490" t="s">
        <v>1587</v>
      </c>
    </row>
    <row r="491" spans="1:25" ht="16" x14ac:dyDescent="0.2">
      <c r="A491" t="s">
        <v>1568</v>
      </c>
      <c r="B491" t="s">
        <v>711</v>
      </c>
      <c r="C491" t="s">
        <v>1568</v>
      </c>
      <c r="D491" t="s">
        <v>1568</v>
      </c>
      <c r="E491" t="s">
        <v>43</v>
      </c>
      <c r="F491" t="s">
        <v>1678</v>
      </c>
      <c r="G491" t="s">
        <v>631</v>
      </c>
      <c r="H491" t="s">
        <v>1568</v>
      </c>
      <c r="I491" t="s">
        <v>632</v>
      </c>
      <c r="J491" t="s">
        <v>1568</v>
      </c>
      <c r="K491" t="s">
        <v>1568</v>
      </c>
      <c r="L491" t="s">
        <v>1568</v>
      </c>
      <c r="M491" t="s">
        <v>1568</v>
      </c>
      <c r="N491" t="s">
        <v>1568</v>
      </c>
      <c r="O491" t="s">
        <v>1568</v>
      </c>
      <c r="P491" t="s">
        <v>1568</v>
      </c>
      <c r="Q491" t="s">
        <v>1568</v>
      </c>
      <c r="R491" t="s">
        <v>1568</v>
      </c>
      <c r="S491" t="s">
        <v>1568</v>
      </c>
      <c r="T491" t="s">
        <v>1568</v>
      </c>
      <c r="U491" t="s">
        <v>1568</v>
      </c>
      <c r="V491" t="s">
        <v>1685</v>
      </c>
      <c r="W491" t="s">
        <v>633</v>
      </c>
      <c r="X491" t="s">
        <v>61</v>
      </c>
      <c r="Y491" t="s">
        <v>1587</v>
      </c>
    </row>
    <row r="492" spans="1:25" ht="16" x14ac:dyDescent="0.2">
      <c r="A492" t="s">
        <v>1568</v>
      </c>
      <c r="B492" t="s">
        <v>711</v>
      </c>
      <c r="C492" t="s">
        <v>1568</v>
      </c>
      <c r="D492" t="s">
        <v>1568</v>
      </c>
      <c r="E492" t="s">
        <v>47</v>
      </c>
      <c r="F492" t="s">
        <v>1678</v>
      </c>
      <c r="G492" t="s">
        <v>634</v>
      </c>
      <c r="H492" t="s">
        <v>1568</v>
      </c>
      <c r="I492" t="s">
        <v>635</v>
      </c>
      <c r="J492" t="s">
        <v>1568</v>
      </c>
      <c r="K492" t="s">
        <v>1568</v>
      </c>
      <c r="L492" t="s">
        <v>1568</v>
      </c>
      <c r="M492" t="s">
        <v>1568</v>
      </c>
      <c r="N492" t="s">
        <v>1568</v>
      </c>
      <c r="O492" t="s">
        <v>1568</v>
      </c>
      <c r="P492" t="s">
        <v>1568</v>
      </c>
      <c r="Q492" t="s">
        <v>1568</v>
      </c>
      <c r="R492" t="s">
        <v>1568</v>
      </c>
      <c r="S492" t="s">
        <v>1568</v>
      </c>
      <c r="T492" t="s">
        <v>1568</v>
      </c>
      <c r="U492" t="s">
        <v>1568</v>
      </c>
      <c r="V492" t="s">
        <v>1617</v>
      </c>
      <c r="W492" t="s">
        <v>636</v>
      </c>
      <c r="X492" t="s">
        <v>61</v>
      </c>
      <c r="Y492" t="s">
        <v>1587</v>
      </c>
    </row>
    <row r="493" spans="1:25" ht="16" x14ac:dyDescent="0.2">
      <c r="A493" t="s">
        <v>1568</v>
      </c>
      <c r="B493" t="s">
        <v>711</v>
      </c>
      <c r="C493" t="s">
        <v>1568</v>
      </c>
      <c r="D493" t="s">
        <v>1568</v>
      </c>
      <c r="E493" t="s">
        <v>51</v>
      </c>
      <c r="F493" t="s">
        <v>1678</v>
      </c>
      <c r="G493" t="s">
        <v>637</v>
      </c>
      <c r="H493" t="s">
        <v>1568</v>
      </c>
      <c r="I493" t="s">
        <v>638</v>
      </c>
      <c r="J493" t="s">
        <v>1568</v>
      </c>
      <c r="K493" t="s">
        <v>1568</v>
      </c>
      <c r="L493" t="s">
        <v>1568</v>
      </c>
      <c r="M493" t="s">
        <v>1568</v>
      </c>
      <c r="N493" t="s">
        <v>1568</v>
      </c>
      <c r="O493" t="s">
        <v>1568</v>
      </c>
      <c r="P493" t="s">
        <v>1568</v>
      </c>
      <c r="Q493" t="s">
        <v>1568</v>
      </c>
      <c r="R493" t="s">
        <v>1568</v>
      </c>
      <c r="S493" t="s">
        <v>1568</v>
      </c>
      <c r="T493" t="s">
        <v>1568</v>
      </c>
      <c r="U493" t="s">
        <v>1568</v>
      </c>
      <c r="V493" t="s">
        <v>1686</v>
      </c>
      <c r="W493" t="s">
        <v>639</v>
      </c>
      <c r="X493" t="s">
        <v>61</v>
      </c>
      <c r="Y493" t="s">
        <v>1587</v>
      </c>
    </row>
    <row r="494" spans="1:25" ht="16" x14ac:dyDescent="0.2">
      <c r="A494" t="s">
        <v>1568</v>
      </c>
      <c r="B494" t="s">
        <v>711</v>
      </c>
      <c r="C494" t="s">
        <v>1568</v>
      </c>
      <c r="D494" t="s">
        <v>1568</v>
      </c>
      <c r="E494" t="s">
        <v>55</v>
      </c>
      <c r="F494" t="s">
        <v>1678</v>
      </c>
      <c r="G494" t="s">
        <v>640</v>
      </c>
      <c r="H494" t="s">
        <v>1568</v>
      </c>
      <c r="I494" t="s">
        <v>641</v>
      </c>
      <c r="J494" t="s">
        <v>1568</v>
      </c>
      <c r="K494" t="s">
        <v>1568</v>
      </c>
      <c r="L494" t="s">
        <v>1568</v>
      </c>
      <c r="M494" t="s">
        <v>1568</v>
      </c>
      <c r="N494" t="s">
        <v>1568</v>
      </c>
      <c r="O494" t="s">
        <v>1568</v>
      </c>
      <c r="P494" t="s">
        <v>1568</v>
      </c>
      <c r="Q494" t="s">
        <v>1568</v>
      </c>
      <c r="R494" t="s">
        <v>1568</v>
      </c>
      <c r="S494" t="s">
        <v>1568</v>
      </c>
      <c r="T494" t="s">
        <v>1568</v>
      </c>
      <c r="U494" t="s">
        <v>1568</v>
      </c>
      <c r="V494" t="s">
        <v>1592</v>
      </c>
      <c r="W494" t="s">
        <v>642</v>
      </c>
      <c r="X494" t="s">
        <v>61</v>
      </c>
      <c r="Y494" t="s">
        <v>1587</v>
      </c>
    </row>
    <row r="495" spans="1:25" ht="16" x14ac:dyDescent="0.2">
      <c r="A495" t="s">
        <v>1568</v>
      </c>
      <c r="B495" t="s">
        <v>712</v>
      </c>
      <c r="C495" t="s">
        <v>1568</v>
      </c>
      <c r="D495" t="s">
        <v>1568</v>
      </c>
      <c r="E495" t="s">
        <v>36</v>
      </c>
      <c r="F495" t="s">
        <v>1679</v>
      </c>
      <c r="G495" t="s">
        <v>644</v>
      </c>
      <c r="H495" t="s">
        <v>1568</v>
      </c>
      <c r="I495" t="s">
        <v>645</v>
      </c>
      <c r="J495" t="s">
        <v>1568</v>
      </c>
      <c r="K495" t="s">
        <v>1568</v>
      </c>
      <c r="L495" t="s">
        <v>1568</v>
      </c>
      <c r="M495" t="s">
        <v>1568</v>
      </c>
      <c r="N495" t="s">
        <v>1568</v>
      </c>
      <c r="O495" t="s">
        <v>1568</v>
      </c>
      <c r="P495" t="s">
        <v>1568</v>
      </c>
      <c r="Q495" t="s">
        <v>1568</v>
      </c>
      <c r="R495" t="s">
        <v>1568</v>
      </c>
      <c r="S495" t="s">
        <v>1568</v>
      </c>
      <c r="T495" t="s">
        <v>1568</v>
      </c>
      <c r="U495" t="s">
        <v>1568</v>
      </c>
      <c r="V495" t="s">
        <v>1592</v>
      </c>
      <c r="W495" t="s">
        <v>646</v>
      </c>
      <c r="X495" t="s">
        <v>61</v>
      </c>
      <c r="Y495" t="s">
        <v>1587</v>
      </c>
    </row>
    <row r="496" spans="1:25" ht="16" x14ac:dyDescent="0.2">
      <c r="A496" t="s">
        <v>1568</v>
      </c>
      <c r="B496" t="s">
        <v>712</v>
      </c>
      <c r="C496" t="s">
        <v>1568</v>
      </c>
      <c r="D496" t="s">
        <v>1568</v>
      </c>
      <c r="E496" t="s">
        <v>43</v>
      </c>
      <c r="F496" t="s">
        <v>1679</v>
      </c>
      <c r="G496" t="s">
        <v>647</v>
      </c>
      <c r="H496" t="s">
        <v>1568</v>
      </c>
      <c r="I496" t="s">
        <v>648</v>
      </c>
      <c r="J496" t="s">
        <v>1568</v>
      </c>
      <c r="K496" t="s">
        <v>1568</v>
      </c>
      <c r="L496" t="s">
        <v>1568</v>
      </c>
      <c r="M496" t="s">
        <v>1568</v>
      </c>
      <c r="N496" t="s">
        <v>1568</v>
      </c>
      <c r="O496" t="s">
        <v>1568</v>
      </c>
      <c r="P496" t="s">
        <v>1568</v>
      </c>
      <c r="Q496" t="s">
        <v>1568</v>
      </c>
      <c r="R496" t="s">
        <v>1568</v>
      </c>
      <c r="S496" t="s">
        <v>1568</v>
      </c>
      <c r="T496" t="s">
        <v>1568</v>
      </c>
      <c r="U496" t="s">
        <v>1568</v>
      </c>
      <c r="V496" t="s">
        <v>1685</v>
      </c>
      <c r="W496" t="s">
        <v>649</v>
      </c>
      <c r="X496" t="s">
        <v>61</v>
      </c>
      <c r="Y496" t="s">
        <v>1587</v>
      </c>
    </row>
    <row r="497" spans="1:25" ht="16" x14ac:dyDescent="0.2">
      <c r="A497" t="s">
        <v>1568</v>
      </c>
      <c r="B497" t="s">
        <v>712</v>
      </c>
      <c r="C497" t="s">
        <v>1568</v>
      </c>
      <c r="D497" t="s">
        <v>1568</v>
      </c>
      <c r="E497" t="s">
        <v>47</v>
      </c>
      <c r="F497" t="s">
        <v>1679</v>
      </c>
      <c r="G497" t="s">
        <v>650</v>
      </c>
      <c r="H497" t="s">
        <v>1568</v>
      </c>
      <c r="I497" t="s">
        <v>651</v>
      </c>
      <c r="J497" t="s">
        <v>1568</v>
      </c>
      <c r="K497" t="s">
        <v>1568</v>
      </c>
      <c r="L497" t="s">
        <v>1568</v>
      </c>
      <c r="M497" t="s">
        <v>1568</v>
      </c>
      <c r="N497" t="s">
        <v>1568</v>
      </c>
      <c r="O497" t="s">
        <v>1568</v>
      </c>
      <c r="P497" t="s">
        <v>1568</v>
      </c>
      <c r="Q497" t="s">
        <v>1568</v>
      </c>
      <c r="R497" t="s">
        <v>1568</v>
      </c>
      <c r="S497" t="s">
        <v>1568</v>
      </c>
      <c r="T497" t="s">
        <v>1568</v>
      </c>
      <c r="U497" t="s">
        <v>1568</v>
      </c>
      <c r="V497" t="s">
        <v>1617</v>
      </c>
      <c r="W497" t="s">
        <v>652</v>
      </c>
      <c r="X497" t="s">
        <v>61</v>
      </c>
      <c r="Y497" t="s">
        <v>1587</v>
      </c>
    </row>
    <row r="498" spans="1:25" ht="16" x14ac:dyDescent="0.2">
      <c r="A498" t="s">
        <v>1568</v>
      </c>
      <c r="B498" t="s">
        <v>712</v>
      </c>
      <c r="C498" t="s">
        <v>1568</v>
      </c>
      <c r="D498" t="s">
        <v>1568</v>
      </c>
      <c r="E498" t="s">
        <v>51</v>
      </c>
      <c r="F498" t="s">
        <v>1679</v>
      </c>
      <c r="G498" t="s">
        <v>653</v>
      </c>
      <c r="H498" t="s">
        <v>1568</v>
      </c>
      <c r="I498" t="s">
        <v>654</v>
      </c>
      <c r="J498" t="s">
        <v>1568</v>
      </c>
      <c r="K498" t="s">
        <v>1568</v>
      </c>
      <c r="L498" t="s">
        <v>1568</v>
      </c>
      <c r="M498" t="s">
        <v>1568</v>
      </c>
      <c r="N498" t="s">
        <v>1568</v>
      </c>
      <c r="O498" t="s">
        <v>1568</v>
      </c>
      <c r="P498" t="s">
        <v>1568</v>
      </c>
      <c r="Q498" t="s">
        <v>1568</v>
      </c>
      <c r="R498" t="s">
        <v>1568</v>
      </c>
      <c r="S498" t="s">
        <v>1568</v>
      </c>
      <c r="T498" t="s">
        <v>1568</v>
      </c>
      <c r="U498" t="s">
        <v>1568</v>
      </c>
      <c r="V498" t="s">
        <v>1686</v>
      </c>
      <c r="W498" t="s">
        <v>655</v>
      </c>
      <c r="X498" t="s">
        <v>61</v>
      </c>
      <c r="Y498" t="s">
        <v>1587</v>
      </c>
    </row>
    <row r="499" spans="1:25" ht="16" x14ac:dyDescent="0.2">
      <c r="A499" t="s">
        <v>1568</v>
      </c>
      <c r="B499" t="s">
        <v>712</v>
      </c>
      <c r="C499" t="s">
        <v>1568</v>
      </c>
      <c r="D499" t="s">
        <v>1568</v>
      </c>
      <c r="E499" t="s">
        <v>55</v>
      </c>
      <c r="F499" t="s">
        <v>1679</v>
      </c>
      <c r="G499" t="s">
        <v>656</v>
      </c>
      <c r="H499" t="s">
        <v>1568</v>
      </c>
      <c r="I499" t="s">
        <v>657</v>
      </c>
      <c r="J499" t="s">
        <v>1568</v>
      </c>
      <c r="K499" t="s">
        <v>1568</v>
      </c>
      <c r="L499" t="s">
        <v>1568</v>
      </c>
      <c r="M499" t="s">
        <v>1568</v>
      </c>
      <c r="N499" t="s">
        <v>1568</v>
      </c>
      <c r="O499" t="s">
        <v>1568</v>
      </c>
      <c r="P499" t="s">
        <v>1568</v>
      </c>
      <c r="Q499" t="s">
        <v>1568</v>
      </c>
      <c r="R499" t="s">
        <v>1568</v>
      </c>
      <c r="S499" t="s">
        <v>1568</v>
      </c>
      <c r="T499" t="s">
        <v>1568</v>
      </c>
      <c r="U499" t="s">
        <v>1568</v>
      </c>
      <c r="V499" t="s">
        <v>1592</v>
      </c>
      <c r="W499" t="s">
        <v>658</v>
      </c>
      <c r="X499" t="s">
        <v>61</v>
      </c>
      <c r="Y499" t="s">
        <v>1587</v>
      </c>
    </row>
    <row r="500" spans="1:25" ht="16" x14ac:dyDescent="0.2">
      <c r="A500" t="s">
        <v>1568</v>
      </c>
      <c r="B500" t="s">
        <v>713</v>
      </c>
      <c r="C500" t="s">
        <v>1568</v>
      </c>
      <c r="D500" t="s">
        <v>1568</v>
      </c>
      <c r="E500" t="s">
        <v>36</v>
      </c>
      <c r="F500" t="s">
        <v>1684</v>
      </c>
      <c r="G500" t="s">
        <v>692</v>
      </c>
      <c r="H500" t="s">
        <v>1568</v>
      </c>
      <c r="I500" t="s">
        <v>693</v>
      </c>
      <c r="J500" t="s">
        <v>1568</v>
      </c>
      <c r="K500" t="s">
        <v>1568</v>
      </c>
      <c r="L500" t="s">
        <v>1568</v>
      </c>
      <c r="M500" t="s">
        <v>1568</v>
      </c>
      <c r="N500" t="s">
        <v>1568</v>
      </c>
      <c r="O500" t="s">
        <v>1568</v>
      </c>
      <c r="P500" t="s">
        <v>1568</v>
      </c>
      <c r="Q500" t="s">
        <v>1568</v>
      </c>
      <c r="R500" t="s">
        <v>1568</v>
      </c>
      <c r="S500" t="s">
        <v>1568</v>
      </c>
      <c r="T500" t="s">
        <v>1568</v>
      </c>
      <c r="U500" t="s">
        <v>1568</v>
      </c>
      <c r="V500" t="s">
        <v>1592</v>
      </c>
      <c r="W500" t="s">
        <v>694</v>
      </c>
      <c r="X500" t="s">
        <v>59</v>
      </c>
      <c r="Y500" t="s">
        <v>1581</v>
      </c>
    </row>
    <row r="501" spans="1:25" ht="16" x14ac:dyDescent="0.2">
      <c r="A501" t="s">
        <v>1568</v>
      </c>
      <c r="B501" t="s">
        <v>713</v>
      </c>
      <c r="C501" t="s">
        <v>1568</v>
      </c>
      <c r="D501" t="s">
        <v>1568</v>
      </c>
      <c r="E501" t="s">
        <v>43</v>
      </c>
      <c r="F501" t="s">
        <v>1684</v>
      </c>
      <c r="G501" t="s">
        <v>695</v>
      </c>
      <c r="H501" t="s">
        <v>1568</v>
      </c>
      <c r="I501" t="s">
        <v>696</v>
      </c>
      <c r="J501" t="s">
        <v>1568</v>
      </c>
      <c r="K501" t="s">
        <v>1568</v>
      </c>
      <c r="L501" t="s">
        <v>1568</v>
      </c>
      <c r="M501" t="s">
        <v>1568</v>
      </c>
      <c r="N501" t="s">
        <v>1568</v>
      </c>
      <c r="O501" t="s">
        <v>1568</v>
      </c>
      <c r="P501" t="s">
        <v>1568</v>
      </c>
      <c r="Q501" t="s">
        <v>1568</v>
      </c>
      <c r="R501" t="s">
        <v>1568</v>
      </c>
      <c r="S501" t="s">
        <v>1568</v>
      </c>
      <c r="T501" t="s">
        <v>1568</v>
      </c>
      <c r="U501" t="s">
        <v>1568</v>
      </c>
      <c r="V501" t="s">
        <v>1680</v>
      </c>
      <c r="W501" t="s">
        <v>697</v>
      </c>
      <c r="X501" t="s">
        <v>59</v>
      </c>
      <c r="Y501" t="s">
        <v>1581</v>
      </c>
    </row>
    <row r="502" spans="1:25" ht="16" x14ac:dyDescent="0.2">
      <c r="A502" t="s">
        <v>1568</v>
      </c>
      <c r="B502" t="s">
        <v>713</v>
      </c>
      <c r="C502" t="s">
        <v>1568</v>
      </c>
      <c r="D502" t="s">
        <v>1568</v>
      </c>
      <c r="E502" t="s">
        <v>47</v>
      </c>
      <c r="F502" t="s">
        <v>1684</v>
      </c>
      <c r="G502" t="s">
        <v>698</v>
      </c>
      <c r="H502" t="s">
        <v>1568</v>
      </c>
      <c r="I502" t="s">
        <v>699</v>
      </c>
      <c r="J502" t="s">
        <v>1568</v>
      </c>
      <c r="K502" t="s">
        <v>1568</v>
      </c>
      <c r="L502" t="s">
        <v>1568</v>
      </c>
      <c r="M502" t="s">
        <v>1568</v>
      </c>
      <c r="N502" t="s">
        <v>1568</v>
      </c>
      <c r="O502" t="s">
        <v>1568</v>
      </c>
      <c r="P502" t="s">
        <v>1568</v>
      </c>
      <c r="Q502" t="s">
        <v>1568</v>
      </c>
      <c r="R502" t="s">
        <v>1568</v>
      </c>
      <c r="S502" t="s">
        <v>1568</v>
      </c>
      <c r="T502" t="s">
        <v>1568</v>
      </c>
      <c r="U502" t="s">
        <v>1568</v>
      </c>
      <c r="V502" t="s">
        <v>1681</v>
      </c>
      <c r="W502" t="s">
        <v>700</v>
      </c>
      <c r="X502" t="s">
        <v>59</v>
      </c>
      <c r="Y502" t="s">
        <v>1581</v>
      </c>
    </row>
    <row r="503" spans="1:25" ht="16" x14ac:dyDescent="0.2">
      <c r="A503" t="s">
        <v>1568</v>
      </c>
      <c r="B503" t="s">
        <v>713</v>
      </c>
      <c r="C503" t="s">
        <v>1568</v>
      </c>
      <c r="D503" t="s">
        <v>1568</v>
      </c>
      <c r="E503" t="s">
        <v>51</v>
      </c>
      <c r="F503" t="s">
        <v>1684</v>
      </c>
      <c r="G503" t="s">
        <v>701</v>
      </c>
      <c r="H503" t="s">
        <v>1568</v>
      </c>
      <c r="I503" t="s">
        <v>702</v>
      </c>
      <c r="J503" t="s">
        <v>1568</v>
      </c>
      <c r="K503" t="s">
        <v>1568</v>
      </c>
      <c r="L503" t="s">
        <v>1568</v>
      </c>
      <c r="M503" t="s">
        <v>1568</v>
      </c>
      <c r="N503" t="s">
        <v>1568</v>
      </c>
      <c r="O503" t="s">
        <v>1568</v>
      </c>
      <c r="P503" t="s">
        <v>1568</v>
      </c>
      <c r="Q503" t="s">
        <v>1568</v>
      </c>
      <c r="R503" t="s">
        <v>1568</v>
      </c>
      <c r="S503" t="s">
        <v>1568</v>
      </c>
      <c r="T503" t="s">
        <v>1568</v>
      </c>
      <c r="U503" t="s">
        <v>1568</v>
      </c>
      <c r="V503" t="s">
        <v>1641</v>
      </c>
      <c r="W503" t="s">
        <v>703</v>
      </c>
      <c r="X503" t="s">
        <v>59</v>
      </c>
      <c r="Y503" t="s">
        <v>1581</v>
      </c>
    </row>
    <row r="504" spans="1:25" ht="16" x14ac:dyDescent="0.2">
      <c r="A504" t="s">
        <v>1568</v>
      </c>
      <c r="B504" t="s">
        <v>713</v>
      </c>
      <c r="C504" t="s">
        <v>1568</v>
      </c>
      <c r="D504" t="s">
        <v>1568</v>
      </c>
      <c r="E504" t="s">
        <v>55</v>
      </c>
      <c r="F504" t="s">
        <v>1684</v>
      </c>
      <c r="G504" t="s">
        <v>704</v>
      </c>
      <c r="H504" t="s">
        <v>1568</v>
      </c>
      <c r="I504" t="s">
        <v>705</v>
      </c>
      <c r="J504" t="s">
        <v>1568</v>
      </c>
      <c r="K504" t="s">
        <v>1568</v>
      </c>
      <c r="L504" t="s">
        <v>1568</v>
      </c>
      <c r="M504" t="s">
        <v>1568</v>
      </c>
      <c r="N504" t="s">
        <v>1568</v>
      </c>
      <c r="O504" t="s">
        <v>1568</v>
      </c>
      <c r="P504" t="s">
        <v>1568</v>
      </c>
      <c r="Q504" t="s">
        <v>1568</v>
      </c>
      <c r="R504" t="s">
        <v>1568</v>
      </c>
      <c r="S504" t="s">
        <v>1568</v>
      </c>
      <c r="T504" t="s">
        <v>1568</v>
      </c>
      <c r="U504" t="s">
        <v>1568</v>
      </c>
      <c r="V504" t="s">
        <v>1592</v>
      </c>
      <c r="W504" t="s">
        <v>706</v>
      </c>
      <c r="X504" t="s">
        <v>59</v>
      </c>
      <c r="Y504" t="s">
        <v>1581</v>
      </c>
    </row>
    <row r="505" spans="1:25" ht="16" x14ac:dyDescent="0.2">
      <c r="A505" t="s">
        <v>1568</v>
      </c>
      <c r="B505" t="s">
        <v>714</v>
      </c>
      <c r="C505" t="s">
        <v>1568</v>
      </c>
      <c r="D505" t="s">
        <v>1568</v>
      </c>
      <c r="E505" t="s">
        <v>36</v>
      </c>
      <c r="F505" t="s">
        <v>1682</v>
      </c>
      <c r="G505" t="s">
        <v>661</v>
      </c>
      <c r="H505" t="s">
        <v>1568</v>
      </c>
      <c r="I505" t="s">
        <v>662</v>
      </c>
      <c r="J505" t="s">
        <v>1568</v>
      </c>
      <c r="K505" t="s">
        <v>1568</v>
      </c>
      <c r="L505" t="s">
        <v>1568</v>
      </c>
      <c r="M505" t="s">
        <v>1568</v>
      </c>
      <c r="N505" t="s">
        <v>1568</v>
      </c>
      <c r="O505" t="s">
        <v>1568</v>
      </c>
      <c r="P505" t="s">
        <v>1568</v>
      </c>
      <c r="Q505" t="s">
        <v>1568</v>
      </c>
      <c r="R505" t="s">
        <v>1568</v>
      </c>
      <c r="S505" t="s">
        <v>1568</v>
      </c>
      <c r="T505" t="s">
        <v>1568</v>
      </c>
      <c r="U505" t="s">
        <v>1568</v>
      </c>
      <c r="V505" t="s">
        <v>1592</v>
      </c>
      <c r="W505" t="s">
        <v>663</v>
      </c>
      <c r="X505" t="s">
        <v>61</v>
      </c>
      <c r="Y505" t="s">
        <v>1587</v>
      </c>
    </row>
    <row r="506" spans="1:25" ht="16" x14ac:dyDescent="0.2">
      <c r="A506" t="s">
        <v>1568</v>
      </c>
      <c r="B506" t="s">
        <v>714</v>
      </c>
      <c r="C506" t="s">
        <v>1568</v>
      </c>
      <c r="D506" t="s">
        <v>1568</v>
      </c>
      <c r="E506" t="s">
        <v>43</v>
      </c>
      <c r="F506" t="s">
        <v>1682</v>
      </c>
      <c r="G506" t="s">
        <v>664</v>
      </c>
      <c r="H506" t="s">
        <v>1568</v>
      </c>
      <c r="I506" t="s">
        <v>665</v>
      </c>
      <c r="J506" t="s">
        <v>1568</v>
      </c>
      <c r="K506" t="s">
        <v>1568</v>
      </c>
      <c r="L506" t="s">
        <v>1568</v>
      </c>
      <c r="M506" t="s">
        <v>1568</v>
      </c>
      <c r="N506" t="s">
        <v>1568</v>
      </c>
      <c r="O506" t="s">
        <v>1568</v>
      </c>
      <c r="P506" t="s">
        <v>1568</v>
      </c>
      <c r="Q506" t="s">
        <v>1568</v>
      </c>
      <c r="R506" t="s">
        <v>1568</v>
      </c>
      <c r="S506" t="s">
        <v>1568</v>
      </c>
      <c r="T506" t="s">
        <v>1568</v>
      </c>
      <c r="U506" t="s">
        <v>1568</v>
      </c>
      <c r="V506" t="s">
        <v>1685</v>
      </c>
      <c r="W506" t="s">
        <v>666</v>
      </c>
      <c r="X506" t="s">
        <v>61</v>
      </c>
      <c r="Y506" t="s">
        <v>1587</v>
      </c>
    </row>
    <row r="507" spans="1:25" ht="16" x14ac:dyDescent="0.2">
      <c r="A507" t="s">
        <v>1568</v>
      </c>
      <c r="B507" t="s">
        <v>714</v>
      </c>
      <c r="C507" t="s">
        <v>1568</v>
      </c>
      <c r="D507" t="s">
        <v>1568</v>
      </c>
      <c r="E507" t="s">
        <v>47</v>
      </c>
      <c r="F507" t="s">
        <v>1682</v>
      </c>
      <c r="G507" t="s">
        <v>667</v>
      </c>
      <c r="H507" t="s">
        <v>1568</v>
      </c>
      <c r="I507" t="s">
        <v>668</v>
      </c>
      <c r="J507" t="s">
        <v>1568</v>
      </c>
      <c r="K507" t="s">
        <v>1568</v>
      </c>
      <c r="L507" t="s">
        <v>1568</v>
      </c>
      <c r="M507" t="s">
        <v>1568</v>
      </c>
      <c r="N507" t="s">
        <v>1568</v>
      </c>
      <c r="O507" t="s">
        <v>1568</v>
      </c>
      <c r="P507" t="s">
        <v>1568</v>
      </c>
      <c r="Q507" t="s">
        <v>1568</v>
      </c>
      <c r="R507" t="s">
        <v>1568</v>
      </c>
      <c r="S507" t="s">
        <v>1568</v>
      </c>
      <c r="T507" t="s">
        <v>1568</v>
      </c>
      <c r="U507" t="s">
        <v>1568</v>
      </c>
      <c r="V507" t="s">
        <v>1617</v>
      </c>
      <c r="W507" t="s">
        <v>669</v>
      </c>
      <c r="X507" t="s">
        <v>61</v>
      </c>
      <c r="Y507" t="s">
        <v>1587</v>
      </c>
    </row>
    <row r="508" spans="1:25" ht="16" x14ac:dyDescent="0.2">
      <c r="A508" t="s">
        <v>1568</v>
      </c>
      <c r="B508" t="s">
        <v>714</v>
      </c>
      <c r="C508" t="s">
        <v>1568</v>
      </c>
      <c r="D508" t="s">
        <v>1568</v>
      </c>
      <c r="E508" t="s">
        <v>51</v>
      </c>
      <c r="F508" t="s">
        <v>1682</v>
      </c>
      <c r="G508" t="s">
        <v>670</v>
      </c>
      <c r="H508" t="s">
        <v>1568</v>
      </c>
      <c r="I508" t="s">
        <v>671</v>
      </c>
      <c r="J508" t="s">
        <v>1568</v>
      </c>
      <c r="K508" t="s">
        <v>1568</v>
      </c>
      <c r="L508" t="s">
        <v>1568</v>
      </c>
      <c r="M508" t="s">
        <v>1568</v>
      </c>
      <c r="N508" t="s">
        <v>1568</v>
      </c>
      <c r="O508" t="s">
        <v>1568</v>
      </c>
      <c r="P508" t="s">
        <v>1568</v>
      </c>
      <c r="Q508" t="s">
        <v>1568</v>
      </c>
      <c r="R508" t="s">
        <v>1568</v>
      </c>
      <c r="S508" t="s">
        <v>1568</v>
      </c>
      <c r="T508" t="s">
        <v>1568</v>
      </c>
      <c r="U508" t="s">
        <v>1568</v>
      </c>
      <c r="V508" t="s">
        <v>1686</v>
      </c>
      <c r="W508" t="s">
        <v>672</v>
      </c>
      <c r="X508" t="s">
        <v>61</v>
      </c>
      <c r="Y508" t="s">
        <v>1587</v>
      </c>
    </row>
    <row r="509" spans="1:25" ht="16" x14ac:dyDescent="0.2">
      <c r="A509" t="s">
        <v>1568</v>
      </c>
      <c r="B509" t="s">
        <v>714</v>
      </c>
      <c r="C509" t="s">
        <v>1568</v>
      </c>
      <c r="D509" t="s">
        <v>1568</v>
      </c>
      <c r="E509" t="s">
        <v>55</v>
      </c>
      <c r="F509" t="s">
        <v>1682</v>
      </c>
      <c r="G509" t="s">
        <v>673</v>
      </c>
      <c r="H509" t="s">
        <v>1568</v>
      </c>
      <c r="I509" t="s">
        <v>674</v>
      </c>
      <c r="J509" t="s">
        <v>1568</v>
      </c>
      <c r="K509" t="s">
        <v>1568</v>
      </c>
      <c r="L509" t="s">
        <v>1568</v>
      </c>
      <c r="M509" t="s">
        <v>1568</v>
      </c>
      <c r="N509" t="s">
        <v>1568</v>
      </c>
      <c r="O509" t="s">
        <v>1568</v>
      </c>
      <c r="P509" t="s">
        <v>1568</v>
      </c>
      <c r="Q509" t="s">
        <v>1568</v>
      </c>
      <c r="R509" t="s">
        <v>1568</v>
      </c>
      <c r="S509" t="s">
        <v>1568</v>
      </c>
      <c r="T509" t="s">
        <v>1568</v>
      </c>
      <c r="U509" t="s">
        <v>1568</v>
      </c>
      <c r="V509" t="s">
        <v>1592</v>
      </c>
      <c r="W509" t="s">
        <v>675</v>
      </c>
      <c r="X509" t="s">
        <v>61</v>
      </c>
      <c r="Y509" t="s">
        <v>1587</v>
      </c>
    </row>
    <row r="510" spans="1:25" ht="16" x14ac:dyDescent="0.2">
      <c r="A510" t="s">
        <v>1568</v>
      </c>
      <c r="B510" t="s">
        <v>715</v>
      </c>
      <c r="C510" t="s">
        <v>1568</v>
      </c>
      <c r="D510" t="s">
        <v>1568</v>
      </c>
      <c r="E510" t="s">
        <v>36</v>
      </c>
      <c r="F510" t="s">
        <v>1683</v>
      </c>
      <c r="G510" t="s">
        <v>677</v>
      </c>
      <c r="H510" t="s">
        <v>1568</v>
      </c>
      <c r="I510" t="s">
        <v>678</v>
      </c>
      <c r="J510" t="s">
        <v>1568</v>
      </c>
      <c r="K510" t="s">
        <v>1568</v>
      </c>
      <c r="L510" t="s">
        <v>1568</v>
      </c>
      <c r="M510" t="s">
        <v>1568</v>
      </c>
      <c r="N510" t="s">
        <v>1568</v>
      </c>
      <c r="O510" t="s">
        <v>1568</v>
      </c>
      <c r="P510" t="s">
        <v>1568</v>
      </c>
      <c r="Q510" t="s">
        <v>1568</v>
      </c>
      <c r="R510" t="s">
        <v>1568</v>
      </c>
      <c r="S510" t="s">
        <v>1568</v>
      </c>
      <c r="T510" t="s">
        <v>1568</v>
      </c>
      <c r="U510" t="s">
        <v>1568</v>
      </c>
      <c r="V510" t="s">
        <v>1592</v>
      </c>
      <c r="W510" t="s">
        <v>679</v>
      </c>
      <c r="X510" t="s">
        <v>61</v>
      </c>
      <c r="Y510" t="s">
        <v>1587</v>
      </c>
    </row>
    <row r="511" spans="1:25" ht="16" x14ac:dyDescent="0.2">
      <c r="A511" t="s">
        <v>1568</v>
      </c>
      <c r="B511" t="s">
        <v>715</v>
      </c>
      <c r="C511" t="s">
        <v>1568</v>
      </c>
      <c r="D511" t="s">
        <v>1568</v>
      </c>
      <c r="E511" t="s">
        <v>43</v>
      </c>
      <c r="F511" t="s">
        <v>1683</v>
      </c>
      <c r="G511" t="s">
        <v>680</v>
      </c>
      <c r="H511" t="s">
        <v>1568</v>
      </c>
      <c r="I511" t="s">
        <v>681</v>
      </c>
      <c r="J511" t="s">
        <v>1568</v>
      </c>
      <c r="K511" t="s">
        <v>1568</v>
      </c>
      <c r="L511" t="s">
        <v>1568</v>
      </c>
      <c r="M511" t="s">
        <v>1568</v>
      </c>
      <c r="N511" t="s">
        <v>1568</v>
      </c>
      <c r="O511" t="s">
        <v>1568</v>
      </c>
      <c r="P511" t="s">
        <v>1568</v>
      </c>
      <c r="Q511" t="s">
        <v>1568</v>
      </c>
      <c r="R511" t="s">
        <v>1568</v>
      </c>
      <c r="S511" t="s">
        <v>1568</v>
      </c>
      <c r="T511" t="s">
        <v>1568</v>
      </c>
      <c r="U511" t="s">
        <v>1568</v>
      </c>
      <c r="V511" t="s">
        <v>1685</v>
      </c>
      <c r="W511" t="s">
        <v>682</v>
      </c>
      <c r="X511" t="s">
        <v>61</v>
      </c>
      <c r="Y511" t="s">
        <v>1587</v>
      </c>
    </row>
    <row r="512" spans="1:25" ht="16" x14ac:dyDescent="0.2">
      <c r="A512" t="s">
        <v>1568</v>
      </c>
      <c r="B512" t="s">
        <v>715</v>
      </c>
      <c r="C512" t="s">
        <v>1568</v>
      </c>
      <c r="D512" t="s">
        <v>1568</v>
      </c>
      <c r="E512" t="s">
        <v>47</v>
      </c>
      <c r="F512" t="s">
        <v>1683</v>
      </c>
      <c r="G512" t="s">
        <v>683</v>
      </c>
      <c r="H512" t="s">
        <v>1568</v>
      </c>
      <c r="I512" t="s">
        <v>684</v>
      </c>
      <c r="J512" t="s">
        <v>1568</v>
      </c>
      <c r="K512" t="s">
        <v>1568</v>
      </c>
      <c r="L512" t="s">
        <v>1568</v>
      </c>
      <c r="M512" t="s">
        <v>1568</v>
      </c>
      <c r="N512" t="s">
        <v>1568</v>
      </c>
      <c r="O512" t="s">
        <v>1568</v>
      </c>
      <c r="P512" t="s">
        <v>1568</v>
      </c>
      <c r="Q512" t="s">
        <v>1568</v>
      </c>
      <c r="R512" t="s">
        <v>1568</v>
      </c>
      <c r="S512" t="s">
        <v>1568</v>
      </c>
      <c r="T512" t="s">
        <v>1568</v>
      </c>
      <c r="U512" t="s">
        <v>1568</v>
      </c>
      <c r="V512" t="s">
        <v>1617</v>
      </c>
      <c r="W512" t="s">
        <v>685</v>
      </c>
      <c r="X512" t="s">
        <v>61</v>
      </c>
      <c r="Y512" t="s">
        <v>1587</v>
      </c>
    </row>
    <row r="513" spans="1:25" ht="16" x14ac:dyDescent="0.2">
      <c r="A513" t="s">
        <v>1568</v>
      </c>
      <c r="B513" t="s">
        <v>715</v>
      </c>
      <c r="C513" t="s">
        <v>1568</v>
      </c>
      <c r="D513" t="s">
        <v>1568</v>
      </c>
      <c r="E513" t="s">
        <v>51</v>
      </c>
      <c r="F513" t="s">
        <v>1683</v>
      </c>
      <c r="G513" t="s">
        <v>686</v>
      </c>
      <c r="H513" t="s">
        <v>1568</v>
      </c>
      <c r="I513" t="s">
        <v>687</v>
      </c>
      <c r="J513" t="s">
        <v>1568</v>
      </c>
      <c r="K513" t="s">
        <v>1568</v>
      </c>
      <c r="L513" t="s">
        <v>1568</v>
      </c>
      <c r="M513" t="s">
        <v>1568</v>
      </c>
      <c r="N513" t="s">
        <v>1568</v>
      </c>
      <c r="O513" t="s">
        <v>1568</v>
      </c>
      <c r="P513" t="s">
        <v>1568</v>
      </c>
      <c r="Q513" t="s">
        <v>1568</v>
      </c>
      <c r="R513" t="s">
        <v>1568</v>
      </c>
      <c r="S513" t="s">
        <v>1568</v>
      </c>
      <c r="T513" t="s">
        <v>1568</v>
      </c>
      <c r="U513" t="s">
        <v>1568</v>
      </c>
      <c r="V513" t="s">
        <v>1686</v>
      </c>
      <c r="W513" t="s">
        <v>610</v>
      </c>
      <c r="X513" t="s">
        <v>61</v>
      </c>
      <c r="Y513" t="s">
        <v>1587</v>
      </c>
    </row>
    <row r="514" spans="1:25" ht="16" x14ac:dyDescent="0.2">
      <c r="A514" t="s">
        <v>1568</v>
      </c>
      <c r="B514" t="s">
        <v>715</v>
      </c>
      <c r="C514" t="s">
        <v>1568</v>
      </c>
      <c r="D514" t="s">
        <v>1568</v>
      </c>
      <c r="E514" t="s">
        <v>55</v>
      </c>
      <c r="F514" t="s">
        <v>1683</v>
      </c>
      <c r="G514" t="s">
        <v>688</v>
      </c>
      <c r="H514" t="s">
        <v>1568</v>
      </c>
      <c r="I514" t="s">
        <v>689</v>
      </c>
      <c r="J514" t="s">
        <v>1568</v>
      </c>
      <c r="K514" t="s">
        <v>1568</v>
      </c>
      <c r="L514" t="s">
        <v>1568</v>
      </c>
      <c r="M514" t="s">
        <v>1568</v>
      </c>
      <c r="N514" t="s">
        <v>1568</v>
      </c>
      <c r="O514" t="s">
        <v>1568</v>
      </c>
      <c r="P514" t="s">
        <v>1568</v>
      </c>
      <c r="Q514" t="s">
        <v>1568</v>
      </c>
      <c r="R514" t="s">
        <v>1568</v>
      </c>
      <c r="S514" t="s">
        <v>1568</v>
      </c>
      <c r="T514" t="s">
        <v>1568</v>
      </c>
      <c r="U514" t="s">
        <v>1568</v>
      </c>
      <c r="V514" t="s">
        <v>1592</v>
      </c>
      <c r="W514" t="s">
        <v>613</v>
      </c>
      <c r="X514" t="s">
        <v>61</v>
      </c>
      <c r="Y514" t="s">
        <v>1587</v>
      </c>
    </row>
    <row r="515" spans="1:25" ht="16" x14ac:dyDescent="0.2">
      <c r="A515" t="s">
        <v>1568</v>
      </c>
      <c r="B515" t="s">
        <v>716</v>
      </c>
      <c r="C515" t="s">
        <v>1568</v>
      </c>
      <c r="D515" t="s">
        <v>1568</v>
      </c>
      <c r="E515" t="s">
        <v>36</v>
      </c>
      <c r="F515" t="s">
        <v>1684</v>
      </c>
      <c r="G515" t="s">
        <v>692</v>
      </c>
      <c r="H515" t="s">
        <v>1568</v>
      </c>
      <c r="I515" t="s">
        <v>693</v>
      </c>
      <c r="J515" t="s">
        <v>1568</v>
      </c>
      <c r="K515" t="s">
        <v>1568</v>
      </c>
      <c r="L515" t="s">
        <v>1568</v>
      </c>
      <c r="M515" t="s">
        <v>1568</v>
      </c>
      <c r="N515" t="s">
        <v>1568</v>
      </c>
      <c r="O515" t="s">
        <v>1568</v>
      </c>
      <c r="P515" t="s">
        <v>1568</v>
      </c>
      <c r="Q515" t="s">
        <v>1568</v>
      </c>
      <c r="R515" t="s">
        <v>1568</v>
      </c>
      <c r="S515" t="s">
        <v>1568</v>
      </c>
      <c r="T515" t="s">
        <v>1568</v>
      </c>
      <c r="U515" t="s">
        <v>1568</v>
      </c>
      <c r="V515" t="s">
        <v>1592</v>
      </c>
      <c r="W515" t="s">
        <v>694</v>
      </c>
      <c r="X515" t="s">
        <v>61</v>
      </c>
      <c r="Y515" t="s">
        <v>1587</v>
      </c>
    </row>
    <row r="516" spans="1:25" ht="16" x14ac:dyDescent="0.2">
      <c r="A516" t="s">
        <v>1568</v>
      </c>
      <c r="B516" t="s">
        <v>716</v>
      </c>
      <c r="C516" t="s">
        <v>1568</v>
      </c>
      <c r="D516" t="s">
        <v>1568</v>
      </c>
      <c r="E516" t="s">
        <v>43</v>
      </c>
      <c r="F516" t="s">
        <v>1684</v>
      </c>
      <c r="G516" t="s">
        <v>695</v>
      </c>
      <c r="H516" t="s">
        <v>1568</v>
      </c>
      <c r="I516" t="s">
        <v>696</v>
      </c>
      <c r="J516" t="s">
        <v>1568</v>
      </c>
      <c r="K516" t="s">
        <v>1568</v>
      </c>
      <c r="L516" t="s">
        <v>1568</v>
      </c>
      <c r="M516" t="s">
        <v>1568</v>
      </c>
      <c r="N516" t="s">
        <v>1568</v>
      </c>
      <c r="O516" t="s">
        <v>1568</v>
      </c>
      <c r="P516" t="s">
        <v>1568</v>
      </c>
      <c r="Q516" t="s">
        <v>1568</v>
      </c>
      <c r="R516" t="s">
        <v>1568</v>
      </c>
      <c r="S516" t="s">
        <v>1568</v>
      </c>
      <c r="T516" t="s">
        <v>1568</v>
      </c>
      <c r="U516" t="s">
        <v>1568</v>
      </c>
      <c r="V516" t="s">
        <v>1685</v>
      </c>
      <c r="W516" t="s">
        <v>697</v>
      </c>
      <c r="X516" t="s">
        <v>61</v>
      </c>
      <c r="Y516" t="s">
        <v>1587</v>
      </c>
    </row>
    <row r="517" spans="1:25" ht="16" x14ac:dyDescent="0.2">
      <c r="A517" t="s">
        <v>1568</v>
      </c>
      <c r="B517" t="s">
        <v>716</v>
      </c>
      <c r="C517" t="s">
        <v>1568</v>
      </c>
      <c r="D517" t="s">
        <v>1568</v>
      </c>
      <c r="E517" t="s">
        <v>47</v>
      </c>
      <c r="F517" t="s">
        <v>1684</v>
      </c>
      <c r="G517" t="s">
        <v>698</v>
      </c>
      <c r="H517" t="s">
        <v>1568</v>
      </c>
      <c r="I517" t="s">
        <v>699</v>
      </c>
      <c r="J517" t="s">
        <v>1568</v>
      </c>
      <c r="K517" t="s">
        <v>1568</v>
      </c>
      <c r="L517" t="s">
        <v>1568</v>
      </c>
      <c r="M517" t="s">
        <v>1568</v>
      </c>
      <c r="N517" t="s">
        <v>1568</v>
      </c>
      <c r="O517" t="s">
        <v>1568</v>
      </c>
      <c r="P517" t="s">
        <v>1568</v>
      </c>
      <c r="Q517" t="s">
        <v>1568</v>
      </c>
      <c r="R517" t="s">
        <v>1568</v>
      </c>
      <c r="S517" t="s">
        <v>1568</v>
      </c>
      <c r="T517" t="s">
        <v>1568</v>
      </c>
      <c r="U517" t="s">
        <v>1568</v>
      </c>
      <c r="V517" t="s">
        <v>1617</v>
      </c>
      <c r="W517" t="s">
        <v>700</v>
      </c>
      <c r="X517" t="s">
        <v>61</v>
      </c>
      <c r="Y517" t="s">
        <v>1587</v>
      </c>
    </row>
    <row r="518" spans="1:25" ht="16" x14ac:dyDescent="0.2">
      <c r="A518" t="s">
        <v>1568</v>
      </c>
      <c r="B518" t="s">
        <v>716</v>
      </c>
      <c r="C518" t="s">
        <v>1568</v>
      </c>
      <c r="D518" t="s">
        <v>1568</v>
      </c>
      <c r="E518" t="s">
        <v>51</v>
      </c>
      <c r="F518" t="s">
        <v>1684</v>
      </c>
      <c r="G518" t="s">
        <v>701</v>
      </c>
      <c r="H518" t="s">
        <v>1568</v>
      </c>
      <c r="I518" t="s">
        <v>702</v>
      </c>
      <c r="J518" t="s">
        <v>1568</v>
      </c>
      <c r="K518" t="s">
        <v>1568</v>
      </c>
      <c r="L518" t="s">
        <v>1568</v>
      </c>
      <c r="M518" t="s">
        <v>1568</v>
      </c>
      <c r="N518" t="s">
        <v>1568</v>
      </c>
      <c r="O518" t="s">
        <v>1568</v>
      </c>
      <c r="P518" t="s">
        <v>1568</v>
      </c>
      <c r="Q518" t="s">
        <v>1568</v>
      </c>
      <c r="R518" t="s">
        <v>1568</v>
      </c>
      <c r="S518" t="s">
        <v>1568</v>
      </c>
      <c r="T518" t="s">
        <v>1568</v>
      </c>
      <c r="U518" t="s">
        <v>1568</v>
      </c>
      <c r="V518" t="s">
        <v>1686</v>
      </c>
      <c r="W518" t="s">
        <v>703</v>
      </c>
      <c r="X518" t="s">
        <v>61</v>
      </c>
      <c r="Y518" t="s">
        <v>1587</v>
      </c>
    </row>
    <row r="519" spans="1:25" ht="16" x14ac:dyDescent="0.2">
      <c r="A519" t="s">
        <v>1568</v>
      </c>
      <c r="B519" t="s">
        <v>716</v>
      </c>
      <c r="C519" t="s">
        <v>1568</v>
      </c>
      <c r="D519" t="s">
        <v>1568</v>
      </c>
      <c r="E519" t="s">
        <v>55</v>
      </c>
      <c r="F519" t="s">
        <v>1684</v>
      </c>
      <c r="G519" t="s">
        <v>704</v>
      </c>
      <c r="H519" t="s">
        <v>1568</v>
      </c>
      <c r="I519" t="s">
        <v>705</v>
      </c>
      <c r="J519" t="s">
        <v>1568</v>
      </c>
      <c r="K519" t="s">
        <v>1568</v>
      </c>
      <c r="L519" t="s">
        <v>1568</v>
      </c>
      <c r="M519" t="s">
        <v>1568</v>
      </c>
      <c r="N519" t="s">
        <v>1568</v>
      </c>
      <c r="O519" t="s">
        <v>1568</v>
      </c>
      <c r="P519" t="s">
        <v>1568</v>
      </c>
      <c r="Q519" t="s">
        <v>1568</v>
      </c>
      <c r="R519" t="s">
        <v>1568</v>
      </c>
      <c r="S519" t="s">
        <v>1568</v>
      </c>
      <c r="T519" t="s">
        <v>1568</v>
      </c>
      <c r="U519" t="s">
        <v>1568</v>
      </c>
      <c r="V519" t="s">
        <v>1592</v>
      </c>
      <c r="W519" t="s">
        <v>706</v>
      </c>
      <c r="X519" t="s">
        <v>61</v>
      </c>
      <c r="Y519" t="s">
        <v>1587</v>
      </c>
    </row>
    <row r="520" spans="1:25" ht="16" x14ac:dyDescent="0.2">
      <c r="A520" t="s">
        <v>1568</v>
      </c>
      <c r="B520" t="s">
        <v>717</v>
      </c>
      <c r="C520" t="s">
        <v>1568</v>
      </c>
      <c r="D520" t="s">
        <v>1568</v>
      </c>
      <c r="E520" t="s">
        <v>36</v>
      </c>
      <c r="F520" t="s">
        <v>1687</v>
      </c>
      <c r="G520" t="s">
        <v>718</v>
      </c>
      <c r="H520" t="s">
        <v>1568</v>
      </c>
      <c r="I520" t="s">
        <v>719</v>
      </c>
      <c r="J520" t="s">
        <v>1568</v>
      </c>
      <c r="K520" t="s">
        <v>1568</v>
      </c>
      <c r="L520" t="s">
        <v>1568</v>
      </c>
      <c r="M520" t="s">
        <v>1568</v>
      </c>
      <c r="N520" t="s">
        <v>1568</v>
      </c>
      <c r="O520" t="s">
        <v>1568</v>
      </c>
      <c r="P520" t="s">
        <v>1568</v>
      </c>
      <c r="Q520" t="s">
        <v>1568</v>
      </c>
      <c r="R520" t="s">
        <v>1568</v>
      </c>
      <c r="S520" t="s">
        <v>1568</v>
      </c>
      <c r="T520" t="s">
        <v>1568</v>
      </c>
      <c r="U520" t="s">
        <v>1568</v>
      </c>
      <c r="V520" t="s">
        <v>1592</v>
      </c>
      <c r="W520" t="s">
        <v>720</v>
      </c>
      <c r="X520" t="s">
        <v>30</v>
      </c>
      <c r="Y520" t="s">
        <v>1572</v>
      </c>
    </row>
    <row r="521" spans="1:25" ht="16" x14ac:dyDescent="0.2">
      <c r="A521" t="s">
        <v>1568</v>
      </c>
      <c r="B521" t="s">
        <v>717</v>
      </c>
      <c r="C521" t="s">
        <v>1568</v>
      </c>
      <c r="D521" t="s">
        <v>1568</v>
      </c>
      <c r="E521" t="s">
        <v>43</v>
      </c>
      <c r="F521" t="s">
        <v>1687</v>
      </c>
      <c r="G521" t="s">
        <v>721</v>
      </c>
      <c r="H521" t="s">
        <v>1568</v>
      </c>
      <c r="I521" t="s">
        <v>722</v>
      </c>
      <c r="J521" t="s">
        <v>1568</v>
      </c>
      <c r="K521" t="s">
        <v>1568</v>
      </c>
      <c r="L521" t="s">
        <v>1568</v>
      </c>
      <c r="M521" t="s">
        <v>1568</v>
      </c>
      <c r="N521" t="s">
        <v>1568</v>
      </c>
      <c r="O521" t="s">
        <v>1568</v>
      </c>
      <c r="P521" t="s">
        <v>1568</v>
      </c>
      <c r="Q521" t="s">
        <v>1568</v>
      </c>
      <c r="R521" t="s">
        <v>1568</v>
      </c>
      <c r="S521" t="s">
        <v>1568</v>
      </c>
      <c r="T521" t="s">
        <v>1568</v>
      </c>
      <c r="U521" t="s">
        <v>1568</v>
      </c>
      <c r="V521" t="s">
        <v>1649</v>
      </c>
      <c r="W521" t="s">
        <v>723</v>
      </c>
      <c r="X521" t="s">
        <v>30</v>
      </c>
      <c r="Y521" t="s">
        <v>1572</v>
      </c>
    </row>
    <row r="522" spans="1:25" ht="16" x14ac:dyDescent="0.2">
      <c r="A522" t="s">
        <v>1568</v>
      </c>
      <c r="B522" t="s">
        <v>717</v>
      </c>
      <c r="C522" t="s">
        <v>1568</v>
      </c>
      <c r="D522" t="s">
        <v>1568</v>
      </c>
      <c r="E522" t="s">
        <v>47</v>
      </c>
      <c r="F522" t="s">
        <v>1687</v>
      </c>
      <c r="G522" t="s">
        <v>724</v>
      </c>
      <c r="H522" t="s">
        <v>1568</v>
      </c>
      <c r="I522" t="s">
        <v>725</v>
      </c>
      <c r="J522" t="s">
        <v>1568</v>
      </c>
      <c r="K522" t="s">
        <v>1568</v>
      </c>
      <c r="L522" t="s">
        <v>1568</v>
      </c>
      <c r="M522" t="s">
        <v>1568</v>
      </c>
      <c r="N522" t="s">
        <v>1568</v>
      </c>
      <c r="O522" t="s">
        <v>1568</v>
      </c>
      <c r="P522" t="s">
        <v>1568</v>
      </c>
      <c r="Q522" t="s">
        <v>1568</v>
      </c>
      <c r="R522" t="s">
        <v>1568</v>
      </c>
      <c r="S522" t="s">
        <v>1568</v>
      </c>
      <c r="T522" t="s">
        <v>1568</v>
      </c>
      <c r="U522" t="s">
        <v>1568</v>
      </c>
      <c r="V522" t="s">
        <v>1675</v>
      </c>
      <c r="W522" t="s">
        <v>726</v>
      </c>
      <c r="X522" t="s">
        <v>30</v>
      </c>
      <c r="Y522" t="s">
        <v>1572</v>
      </c>
    </row>
    <row r="523" spans="1:25" ht="16" x14ac:dyDescent="0.2">
      <c r="A523" t="s">
        <v>1568</v>
      </c>
      <c r="B523" t="s">
        <v>717</v>
      </c>
      <c r="C523" t="s">
        <v>1568</v>
      </c>
      <c r="D523" t="s">
        <v>1568</v>
      </c>
      <c r="E523" t="s">
        <v>51</v>
      </c>
      <c r="F523" t="s">
        <v>1687</v>
      </c>
      <c r="G523" t="s">
        <v>727</v>
      </c>
      <c r="H523" t="s">
        <v>1568</v>
      </c>
      <c r="I523" t="s">
        <v>728</v>
      </c>
      <c r="J523" t="s">
        <v>1568</v>
      </c>
      <c r="K523" t="s">
        <v>1568</v>
      </c>
      <c r="L523" t="s">
        <v>1568</v>
      </c>
      <c r="M523" t="s">
        <v>1568</v>
      </c>
      <c r="N523" t="s">
        <v>1568</v>
      </c>
      <c r="O523" t="s">
        <v>1568</v>
      </c>
      <c r="P523" t="s">
        <v>1568</v>
      </c>
      <c r="Q523" t="s">
        <v>1568</v>
      </c>
      <c r="R523" t="s">
        <v>1568</v>
      </c>
      <c r="S523" t="s">
        <v>1568</v>
      </c>
      <c r="T523" t="s">
        <v>1568</v>
      </c>
      <c r="U523" t="s">
        <v>1568</v>
      </c>
      <c r="V523" t="s">
        <v>1676</v>
      </c>
      <c r="W523" t="s">
        <v>729</v>
      </c>
      <c r="X523" t="s">
        <v>30</v>
      </c>
      <c r="Y523" t="s">
        <v>1572</v>
      </c>
    </row>
    <row r="524" spans="1:25" ht="16" x14ac:dyDescent="0.2">
      <c r="A524" t="s">
        <v>1568</v>
      </c>
      <c r="B524" t="s">
        <v>717</v>
      </c>
      <c r="C524" t="s">
        <v>1568</v>
      </c>
      <c r="D524" t="s">
        <v>1568</v>
      </c>
      <c r="E524" t="s">
        <v>55</v>
      </c>
      <c r="F524" t="s">
        <v>1687</v>
      </c>
      <c r="G524" t="s">
        <v>730</v>
      </c>
      <c r="H524" t="s">
        <v>1568</v>
      </c>
      <c r="I524" t="s">
        <v>731</v>
      </c>
      <c r="J524" t="s">
        <v>1568</v>
      </c>
      <c r="K524" t="s">
        <v>1568</v>
      </c>
      <c r="L524" t="s">
        <v>1568</v>
      </c>
      <c r="M524" t="s">
        <v>1568</v>
      </c>
      <c r="N524" t="s">
        <v>1568</v>
      </c>
      <c r="O524" t="s">
        <v>1568</v>
      </c>
      <c r="P524" t="s">
        <v>1568</v>
      </c>
      <c r="Q524" t="s">
        <v>1568</v>
      </c>
      <c r="R524" t="s">
        <v>1568</v>
      </c>
      <c r="S524" t="s">
        <v>1568</v>
      </c>
      <c r="T524" t="s">
        <v>1568</v>
      </c>
      <c r="U524" t="s">
        <v>1568</v>
      </c>
      <c r="V524" t="s">
        <v>1677</v>
      </c>
      <c r="W524" t="s">
        <v>732</v>
      </c>
      <c r="X524" t="s">
        <v>30</v>
      </c>
      <c r="Y524" t="s">
        <v>1572</v>
      </c>
    </row>
    <row r="525" spans="1:25" ht="16" x14ac:dyDescent="0.2">
      <c r="A525" t="s">
        <v>1568</v>
      </c>
      <c r="B525" t="s">
        <v>733</v>
      </c>
      <c r="C525" t="s">
        <v>1568</v>
      </c>
      <c r="D525" t="s">
        <v>1568</v>
      </c>
      <c r="E525" t="s">
        <v>36</v>
      </c>
      <c r="F525" t="s">
        <v>1688</v>
      </c>
      <c r="G525" t="s">
        <v>734</v>
      </c>
      <c r="H525" t="s">
        <v>1568</v>
      </c>
      <c r="I525" t="s">
        <v>735</v>
      </c>
      <c r="J525" t="s">
        <v>1568</v>
      </c>
      <c r="K525" t="s">
        <v>1568</v>
      </c>
      <c r="L525" t="s">
        <v>1568</v>
      </c>
      <c r="M525" t="s">
        <v>1568</v>
      </c>
      <c r="N525" t="s">
        <v>1568</v>
      </c>
      <c r="O525" t="s">
        <v>1568</v>
      </c>
      <c r="P525" t="s">
        <v>1568</v>
      </c>
      <c r="Q525" t="s">
        <v>1568</v>
      </c>
      <c r="R525" t="s">
        <v>1568</v>
      </c>
      <c r="S525" t="s">
        <v>1568</v>
      </c>
      <c r="T525" t="s">
        <v>1568</v>
      </c>
      <c r="U525" t="s">
        <v>1568</v>
      </c>
      <c r="V525" t="s">
        <v>1592</v>
      </c>
      <c r="W525" t="s">
        <v>736</v>
      </c>
      <c r="X525" t="s">
        <v>30</v>
      </c>
      <c r="Y525" t="s">
        <v>1572</v>
      </c>
    </row>
    <row r="526" spans="1:25" ht="16" x14ac:dyDescent="0.2">
      <c r="A526" t="s">
        <v>1568</v>
      </c>
      <c r="B526" t="s">
        <v>733</v>
      </c>
      <c r="C526" t="s">
        <v>1568</v>
      </c>
      <c r="D526" t="s">
        <v>1568</v>
      </c>
      <c r="E526" t="s">
        <v>43</v>
      </c>
      <c r="F526" t="s">
        <v>1688</v>
      </c>
      <c r="G526" t="s">
        <v>737</v>
      </c>
      <c r="H526" t="s">
        <v>1568</v>
      </c>
      <c r="I526" t="s">
        <v>738</v>
      </c>
      <c r="J526" t="s">
        <v>1568</v>
      </c>
      <c r="K526" t="s">
        <v>1568</v>
      </c>
      <c r="L526" t="s">
        <v>1568</v>
      </c>
      <c r="M526" t="s">
        <v>1568</v>
      </c>
      <c r="N526" t="s">
        <v>1568</v>
      </c>
      <c r="O526" t="s">
        <v>1568</v>
      </c>
      <c r="P526" t="s">
        <v>1568</v>
      </c>
      <c r="Q526" t="s">
        <v>1568</v>
      </c>
      <c r="R526" t="s">
        <v>1568</v>
      </c>
      <c r="S526" t="s">
        <v>1568</v>
      </c>
      <c r="T526" t="s">
        <v>1568</v>
      </c>
      <c r="U526" t="s">
        <v>1568</v>
      </c>
      <c r="V526" t="s">
        <v>1649</v>
      </c>
      <c r="W526" t="s">
        <v>739</v>
      </c>
      <c r="X526" t="s">
        <v>30</v>
      </c>
      <c r="Y526" t="s">
        <v>1572</v>
      </c>
    </row>
    <row r="527" spans="1:25" ht="16" x14ac:dyDescent="0.2">
      <c r="A527" t="s">
        <v>1568</v>
      </c>
      <c r="B527" t="s">
        <v>733</v>
      </c>
      <c r="C527" t="s">
        <v>1568</v>
      </c>
      <c r="D527" t="s">
        <v>1568</v>
      </c>
      <c r="E527" t="s">
        <v>47</v>
      </c>
      <c r="F527" t="s">
        <v>1688</v>
      </c>
      <c r="G527" t="s">
        <v>740</v>
      </c>
      <c r="H527" t="s">
        <v>1568</v>
      </c>
      <c r="I527" t="s">
        <v>741</v>
      </c>
      <c r="J527" t="s">
        <v>1568</v>
      </c>
      <c r="K527" t="s">
        <v>1568</v>
      </c>
      <c r="L527" t="s">
        <v>1568</v>
      </c>
      <c r="M527" t="s">
        <v>1568</v>
      </c>
      <c r="N527" t="s">
        <v>1568</v>
      </c>
      <c r="O527" t="s">
        <v>1568</v>
      </c>
      <c r="P527" t="s">
        <v>1568</v>
      </c>
      <c r="Q527" t="s">
        <v>1568</v>
      </c>
      <c r="R527" t="s">
        <v>1568</v>
      </c>
      <c r="S527" t="s">
        <v>1568</v>
      </c>
      <c r="T527" t="s">
        <v>1568</v>
      </c>
      <c r="U527" t="s">
        <v>1568</v>
      </c>
      <c r="V527" t="s">
        <v>1675</v>
      </c>
      <c r="W527" t="s">
        <v>742</v>
      </c>
      <c r="X527" t="s">
        <v>30</v>
      </c>
      <c r="Y527" t="s">
        <v>1572</v>
      </c>
    </row>
    <row r="528" spans="1:25" ht="16" x14ac:dyDescent="0.2">
      <c r="A528" t="s">
        <v>1568</v>
      </c>
      <c r="B528" t="s">
        <v>733</v>
      </c>
      <c r="C528" t="s">
        <v>1568</v>
      </c>
      <c r="D528" t="s">
        <v>1568</v>
      </c>
      <c r="E528" t="s">
        <v>51</v>
      </c>
      <c r="F528" t="s">
        <v>1688</v>
      </c>
      <c r="G528" t="s">
        <v>743</v>
      </c>
      <c r="H528" t="s">
        <v>1568</v>
      </c>
      <c r="I528" t="s">
        <v>744</v>
      </c>
      <c r="J528" t="s">
        <v>1568</v>
      </c>
      <c r="K528" t="s">
        <v>1568</v>
      </c>
      <c r="L528" t="s">
        <v>1568</v>
      </c>
      <c r="M528" t="s">
        <v>1568</v>
      </c>
      <c r="N528" t="s">
        <v>1568</v>
      </c>
      <c r="O528" t="s">
        <v>1568</v>
      </c>
      <c r="P528" t="s">
        <v>1568</v>
      </c>
      <c r="Q528" t="s">
        <v>1568</v>
      </c>
      <c r="R528" t="s">
        <v>1568</v>
      </c>
      <c r="S528" t="s">
        <v>1568</v>
      </c>
      <c r="T528" t="s">
        <v>1568</v>
      </c>
      <c r="U528" t="s">
        <v>1568</v>
      </c>
      <c r="V528" t="s">
        <v>1676</v>
      </c>
      <c r="W528" t="s">
        <v>745</v>
      </c>
      <c r="X528" t="s">
        <v>30</v>
      </c>
      <c r="Y528" t="s">
        <v>1572</v>
      </c>
    </row>
    <row r="529" spans="1:25" ht="16" x14ac:dyDescent="0.2">
      <c r="A529" t="s">
        <v>1568</v>
      </c>
      <c r="B529" t="s">
        <v>733</v>
      </c>
      <c r="C529" t="s">
        <v>1568</v>
      </c>
      <c r="D529" t="s">
        <v>1568</v>
      </c>
      <c r="E529" t="s">
        <v>55</v>
      </c>
      <c r="F529" t="s">
        <v>1688</v>
      </c>
      <c r="G529" t="s">
        <v>746</v>
      </c>
      <c r="H529" t="s">
        <v>1568</v>
      </c>
      <c r="I529" t="s">
        <v>747</v>
      </c>
      <c r="J529" t="s">
        <v>1568</v>
      </c>
      <c r="K529" t="s">
        <v>1568</v>
      </c>
      <c r="L529" t="s">
        <v>1568</v>
      </c>
      <c r="M529" t="s">
        <v>1568</v>
      </c>
      <c r="N529" t="s">
        <v>1568</v>
      </c>
      <c r="O529" t="s">
        <v>1568</v>
      </c>
      <c r="P529" t="s">
        <v>1568</v>
      </c>
      <c r="Q529" t="s">
        <v>1568</v>
      </c>
      <c r="R529" t="s">
        <v>1568</v>
      </c>
      <c r="S529" t="s">
        <v>1568</v>
      </c>
      <c r="T529" t="s">
        <v>1568</v>
      </c>
      <c r="U529" t="s">
        <v>1568</v>
      </c>
      <c r="V529" t="s">
        <v>1677</v>
      </c>
      <c r="W529" t="s">
        <v>748</v>
      </c>
      <c r="X529" t="s">
        <v>30</v>
      </c>
      <c r="Y529" t="s">
        <v>1572</v>
      </c>
    </row>
    <row r="530" spans="1:25" ht="16" x14ac:dyDescent="0.2">
      <c r="A530" t="s">
        <v>1568</v>
      </c>
      <c r="B530" t="s">
        <v>749</v>
      </c>
      <c r="C530" t="s">
        <v>1568</v>
      </c>
      <c r="D530" t="s">
        <v>1568</v>
      </c>
      <c r="E530" t="s">
        <v>36</v>
      </c>
      <c r="F530" t="s">
        <v>1689</v>
      </c>
      <c r="G530" t="s">
        <v>750</v>
      </c>
      <c r="H530" t="s">
        <v>1568</v>
      </c>
      <c r="I530" t="s">
        <v>751</v>
      </c>
      <c r="J530" t="s">
        <v>1568</v>
      </c>
      <c r="K530" t="s">
        <v>1568</v>
      </c>
      <c r="L530" t="s">
        <v>1568</v>
      </c>
      <c r="M530" t="s">
        <v>1568</v>
      </c>
      <c r="N530" t="s">
        <v>1568</v>
      </c>
      <c r="O530" t="s">
        <v>1568</v>
      </c>
      <c r="P530" t="s">
        <v>1568</v>
      </c>
      <c r="Q530" t="s">
        <v>1568</v>
      </c>
      <c r="R530" t="s">
        <v>1568</v>
      </c>
      <c r="S530" t="s">
        <v>1568</v>
      </c>
      <c r="T530" t="s">
        <v>1568</v>
      </c>
      <c r="U530" t="s">
        <v>1568</v>
      </c>
      <c r="V530" t="s">
        <v>1592</v>
      </c>
      <c r="W530" t="s">
        <v>752</v>
      </c>
      <c r="X530" t="s">
        <v>30</v>
      </c>
      <c r="Y530" t="s">
        <v>1572</v>
      </c>
    </row>
    <row r="531" spans="1:25" ht="16" x14ac:dyDescent="0.2">
      <c r="A531" t="s">
        <v>1568</v>
      </c>
      <c r="B531" t="s">
        <v>749</v>
      </c>
      <c r="C531" t="s">
        <v>1568</v>
      </c>
      <c r="D531" t="s">
        <v>1568</v>
      </c>
      <c r="E531" t="s">
        <v>43</v>
      </c>
      <c r="F531" t="s">
        <v>1689</v>
      </c>
      <c r="G531" t="s">
        <v>753</v>
      </c>
      <c r="H531" t="s">
        <v>1568</v>
      </c>
      <c r="I531" t="s">
        <v>754</v>
      </c>
      <c r="J531" t="s">
        <v>1568</v>
      </c>
      <c r="K531" t="s">
        <v>1568</v>
      </c>
      <c r="L531" t="s">
        <v>1568</v>
      </c>
      <c r="M531" t="s">
        <v>1568</v>
      </c>
      <c r="N531" t="s">
        <v>1568</v>
      </c>
      <c r="O531" t="s">
        <v>1568</v>
      </c>
      <c r="P531" t="s">
        <v>1568</v>
      </c>
      <c r="Q531" t="s">
        <v>1568</v>
      </c>
      <c r="R531" t="s">
        <v>1568</v>
      </c>
      <c r="S531" t="s">
        <v>1568</v>
      </c>
      <c r="T531" t="s">
        <v>1568</v>
      </c>
      <c r="U531" t="s">
        <v>1568</v>
      </c>
      <c r="V531" t="s">
        <v>1649</v>
      </c>
      <c r="W531" t="s">
        <v>755</v>
      </c>
      <c r="X531" t="s">
        <v>30</v>
      </c>
      <c r="Y531" t="s">
        <v>1572</v>
      </c>
    </row>
    <row r="532" spans="1:25" ht="16" x14ac:dyDescent="0.2">
      <c r="A532" t="s">
        <v>1568</v>
      </c>
      <c r="B532" t="s">
        <v>749</v>
      </c>
      <c r="C532" t="s">
        <v>1568</v>
      </c>
      <c r="D532" t="s">
        <v>1568</v>
      </c>
      <c r="E532" t="s">
        <v>47</v>
      </c>
      <c r="F532" t="s">
        <v>1689</v>
      </c>
      <c r="G532" t="s">
        <v>756</v>
      </c>
      <c r="H532" t="s">
        <v>1568</v>
      </c>
      <c r="I532" t="s">
        <v>757</v>
      </c>
      <c r="J532" t="s">
        <v>1568</v>
      </c>
      <c r="K532" t="s">
        <v>1568</v>
      </c>
      <c r="L532" t="s">
        <v>1568</v>
      </c>
      <c r="M532" t="s">
        <v>1568</v>
      </c>
      <c r="N532" t="s">
        <v>1568</v>
      </c>
      <c r="O532" t="s">
        <v>1568</v>
      </c>
      <c r="P532" t="s">
        <v>1568</v>
      </c>
      <c r="Q532" t="s">
        <v>1568</v>
      </c>
      <c r="R532" t="s">
        <v>1568</v>
      </c>
      <c r="S532" t="s">
        <v>1568</v>
      </c>
      <c r="T532" t="s">
        <v>1568</v>
      </c>
      <c r="U532" t="s">
        <v>1568</v>
      </c>
      <c r="V532" t="s">
        <v>1675</v>
      </c>
      <c r="W532" t="s">
        <v>758</v>
      </c>
      <c r="X532" t="s">
        <v>30</v>
      </c>
      <c r="Y532" t="s">
        <v>1572</v>
      </c>
    </row>
    <row r="533" spans="1:25" ht="16" x14ac:dyDescent="0.2">
      <c r="A533" t="s">
        <v>1568</v>
      </c>
      <c r="B533" t="s">
        <v>749</v>
      </c>
      <c r="C533" t="s">
        <v>1568</v>
      </c>
      <c r="D533" t="s">
        <v>1568</v>
      </c>
      <c r="E533" t="s">
        <v>51</v>
      </c>
      <c r="F533" t="s">
        <v>1689</v>
      </c>
      <c r="G533" t="s">
        <v>759</v>
      </c>
      <c r="H533" t="s">
        <v>1568</v>
      </c>
      <c r="I533" t="s">
        <v>760</v>
      </c>
      <c r="J533" t="s">
        <v>1568</v>
      </c>
      <c r="K533" t="s">
        <v>1568</v>
      </c>
      <c r="L533" t="s">
        <v>1568</v>
      </c>
      <c r="M533" t="s">
        <v>1568</v>
      </c>
      <c r="N533" t="s">
        <v>1568</v>
      </c>
      <c r="O533" t="s">
        <v>1568</v>
      </c>
      <c r="P533" t="s">
        <v>1568</v>
      </c>
      <c r="Q533" t="s">
        <v>1568</v>
      </c>
      <c r="R533" t="s">
        <v>1568</v>
      </c>
      <c r="S533" t="s">
        <v>1568</v>
      </c>
      <c r="T533" t="s">
        <v>1568</v>
      </c>
      <c r="U533" t="s">
        <v>1568</v>
      </c>
      <c r="V533" t="s">
        <v>1676</v>
      </c>
      <c r="W533" t="s">
        <v>761</v>
      </c>
      <c r="X533" t="s">
        <v>30</v>
      </c>
      <c r="Y533" t="s">
        <v>1572</v>
      </c>
    </row>
    <row r="534" spans="1:25" ht="16" x14ac:dyDescent="0.2">
      <c r="A534" t="s">
        <v>1568</v>
      </c>
      <c r="B534" t="s">
        <v>749</v>
      </c>
      <c r="C534" t="s">
        <v>1568</v>
      </c>
      <c r="D534" t="s">
        <v>1568</v>
      </c>
      <c r="E534" t="s">
        <v>55</v>
      </c>
      <c r="F534" t="s">
        <v>1689</v>
      </c>
      <c r="G534" t="s">
        <v>762</v>
      </c>
      <c r="H534" t="s">
        <v>1568</v>
      </c>
      <c r="I534" t="s">
        <v>763</v>
      </c>
      <c r="J534" t="s">
        <v>1568</v>
      </c>
      <c r="K534" t="s">
        <v>1568</v>
      </c>
      <c r="L534" t="s">
        <v>1568</v>
      </c>
      <c r="M534" t="s">
        <v>1568</v>
      </c>
      <c r="N534" t="s">
        <v>1568</v>
      </c>
      <c r="O534" t="s">
        <v>1568</v>
      </c>
      <c r="P534" t="s">
        <v>1568</v>
      </c>
      <c r="Q534" t="s">
        <v>1568</v>
      </c>
      <c r="R534" t="s">
        <v>1568</v>
      </c>
      <c r="S534" t="s">
        <v>1568</v>
      </c>
      <c r="T534" t="s">
        <v>1568</v>
      </c>
      <c r="U534" t="s">
        <v>1568</v>
      </c>
      <c r="V534" t="s">
        <v>1677</v>
      </c>
      <c r="W534" t="s">
        <v>764</v>
      </c>
      <c r="X534" t="s">
        <v>30</v>
      </c>
      <c r="Y534" t="s">
        <v>1572</v>
      </c>
    </row>
    <row r="535" spans="1:25" ht="16" x14ac:dyDescent="0.2">
      <c r="A535" t="s">
        <v>1568</v>
      </c>
      <c r="B535" t="s">
        <v>765</v>
      </c>
      <c r="C535" t="s">
        <v>1568</v>
      </c>
      <c r="D535" t="s">
        <v>1568</v>
      </c>
      <c r="E535" t="s">
        <v>36</v>
      </c>
      <c r="F535" t="s">
        <v>1690</v>
      </c>
      <c r="G535" t="s">
        <v>766</v>
      </c>
      <c r="H535" t="s">
        <v>1568</v>
      </c>
      <c r="I535" t="s">
        <v>767</v>
      </c>
      <c r="J535" t="s">
        <v>1568</v>
      </c>
      <c r="K535" t="s">
        <v>1568</v>
      </c>
      <c r="L535" t="s">
        <v>1568</v>
      </c>
      <c r="M535" t="s">
        <v>1568</v>
      </c>
      <c r="N535" t="s">
        <v>1568</v>
      </c>
      <c r="O535" t="s">
        <v>1568</v>
      </c>
      <c r="P535" t="s">
        <v>1568</v>
      </c>
      <c r="Q535" t="s">
        <v>1568</v>
      </c>
      <c r="R535" t="s">
        <v>1568</v>
      </c>
      <c r="S535" t="s">
        <v>1568</v>
      </c>
      <c r="T535" t="s">
        <v>1568</v>
      </c>
      <c r="U535" t="s">
        <v>1568</v>
      </c>
      <c r="V535" t="s">
        <v>1592</v>
      </c>
      <c r="W535" t="s">
        <v>768</v>
      </c>
      <c r="X535" t="s">
        <v>30</v>
      </c>
      <c r="Y535" t="s">
        <v>1572</v>
      </c>
    </row>
    <row r="536" spans="1:25" ht="16" x14ac:dyDescent="0.2">
      <c r="A536" t="s">
        <v>1568</v>
      </c>
      <c r="B536" t="s">
        <v>765</v>
      </c>
      <c r="C536" t="s">
        <v>1568</v>
      </c>
      <c r="D536" t="s">
        <v>1568</v>
      </c>
      <c r="E536" t="s">
        <v>43</v>
      </c>
      <c r="F536" t="s">
        <v>1690</v>
      </c>
      <c r="G536" t="s">
        <v>769</v>
      </c>
      <c r="H536" t="s">
        <v>1568</v>
      </c>
      <c r="I536" t="s">
        <v>770</v>
      </c>
      <c r="J536" t="s">
        <v>1568</v>
      </c>
      <c r="K536" t="s">
        <v>1568</v>
      </c>
      <c r="L536" t="s">
        <v>1568</v>
      </c>
      <c r="M536" t="s">
        <v>1568</v>
      </c>
      <c r="N536" t="s">
        <v>1568</v>
      </c>
      <c r="O536" t="s">
        <v>1568</v>
      </c>
      <c r="P536" t="s">
        <v>1568</v>
      </c>
      <c r="Q536" t="s">
        <v>1568</v>
      </c>
      <c r="R536" t="s">
        <v>1568</v>
      </c>
      <c r="S536" t="s">
        <v>1568</v>
      </c>
      <c r="T536" t="s">
        <v>1568</v>
      </c>
      <c r="U536" t="s">
        <v>1568</v>
      </c>
      <c r="V536" t="s">
        <v>1649</v>
      </c>
      <c r="W536" t="s">
        <v>771</v>
      </c>
      <c r="X536" t="s">
        <v>30</v>
      </c>
      <c r="Y536" t="s">
        <v>1572</v>
      </c>
    </row>
    <row r="537" spans="1:25" ht="16" x14ac:dyDescent="0.2">
      <c r="A537" t="s">
        <v>1568</v>
      </c>
      <c r="B537" t="s">
        <v>765</v>
      </c>
      <c r="C537" t="s">
        <v>1568</v>
      </c>
      <c r="D537" t="s">
        <v>1568</v>
      </c>
      <c r="E537" t="s">
        <v>47</v>
      </c>
      <c r="F537" t="s">
        <v>1690</v>
      </c>
      <c r="G537" t="s">
        <v>772</v>
      </c>
      <c r="H537" t="s">
        <v>1568</v>
      </c>
      <c r="I537" t="s">
        <v>773</v>
      </c>
      <c r="J537" t="s">
        <v>1568</v>
      </c>
      <c r="K537" t="s">
        <v>1568</v>
      </c>
      <c r="L537" t="s">
        <v>1568</v>
      </c>
      <c r="M537" t="s">
        <v>1568</v>
      </c>
      <c r="N537" t="s">
        <v>1568</v>
      </c>
      <c r="O537" t="s">
        <v>1568</v>
      </c>
      <c r="P537" t="s">
        <v>1568</v>
      </c>
      <c r="Q537" t="s">
        <v>1568</v>
      </c>
      <c r="R537" t="s">
        <v>1568</v>
      </c>
      <c r="S537" t="s">
        <v>1568</v>
      </c>
      <c r="T537" t="s">
        <v>1568</v>
      </c>
      <c r="U537" t="s">
        <v>1568</v>
      </c>
      <c r="V537" t="s">
        <v>1675</v>
      </c>
      <c r="W537" t="s">
        <v>774</v>
      </c>
      <c r="X537" t="s">
        <v>30</v>
      </c>
      <c r="Y537" t="s">
        <v>1572</v>
      </c>
    </row>
    <row r="538" spans="1:25" ht="16" x14ac:dyDescent="0.2">
      <c r="A538" t="s">
        <v>1568</v>
      </c>
      <c r="B538" t="s">
        <v>765</v>
      </c>
      <c r="C538" t="s">
        <v>1568</v>
      </c>
      <c r="D538" t="s">
        <v>1568</v>
      </c>
      <c r="E538" t="s">
        <v>51</v>
      </c>
      <c r="F538" t="s">
        <v>1690</v>
      </c>
      <c r="G538" t="s">
        <v>775</v>
      </c>
      <c r="H538" t="s">
        <v>1568</v>
      </c>
      <c r="I538" t="s">
        <v>776</v>
      </c>
      <c r="J538" t="s">
        <v>1568</v>
      </c>
      <c r="K538" t="s">
        <v>1568</v>
      </c>
      <c r="L538" t="s">
        <v>1568</v>
      </c>
      <c r="M538" t="s">
        <v>1568</v>
      </c>
      <c r="N538" t="s">
        <v>1568</v>
      </c>
      <c r="O538" t="s">
        <v>1568</v>
      </c>
      <c r="P538" t="s">
        <v>1568</v>
      </c>
      <c r="Q538" t="s">
        <v>1568</v>
      </c>
      <c r="R538" t="s">
        <v>1568</v>
      </c>
      <c r="S538" t="s">
        <v>1568</v>
      </c>
      <c r="T538" t="s">
        <v>1568</v>
      </c>
      <c r="U538" t="s">
        <v>1568</v>
      </c>
      <c r="V538" t="s">
        <v>1676</v>
      </c>
      <c r="W538" t="s">
        <v>777</v>
      </c>
      <c r="X538" t="s">
        <v>30</v>
      </c>
      <c r="Y538" t="s">
        <v>1572</v>
      </c>
    </row>
    <row r="539" spans="1:25" ht="16" x14ac:dyDescent="0.2">
      <c r="A539" t="s">
        <v>1568</v>
      </c>
      <c r="B539" t="s">
        <v>765</v>
      </c>
      <c r="C539" t="s">
        <v>1568</v>
      </c>
      <c r="D539" t="s">
        <v>1568</v>
      </c>
      <c r="E539" t="s">
        <v>55</v>
      </c>
      <c r="F539" t="s">
        <v>1690</v>
      </c>
      <c r="G539" t="s">
        <v>778</v>
      </c>
      <c r="H539" t="s">
        <v>1568</v>
      </c>
      <c r="I539" t="s">
        <v>779</v>
      </c>
      <c r="J539" t="s">
        <v>1568</v>
      </c>
      <c r="K539" t="s">
        <v>1568</v>
      </c>
      <c r="L539" t="s">
        <v>1568</v>
      </c>
      <c r="M539" t="s">
        <v>1568</v>
      </c>
      <c r="N539" t="s">
        <v>1568</v>
      </c>
      <c r="O539" t="s">
        <v>1568</v>
      </c>
      <c r="P539" t="s">
        <v>1568</v>
      </c>
      <c r="Q539" t="s">
        <v>1568</v>
      </c>
      <c r="R539" t="s">
        <v>1568</v>
      </c>
      <c r="S539" t="s">
        <v>1568</v>
      </c>
      <c r="T539" t="s">
        <v>1568</v>
      </c>
      <c r="U539" t="s">
        <v>1568</v>
      </c>
      <c r="V539" t="s">
        <v>1677</v>
      </c>
      <c r="W539" t="s">
        <v>780</v>
      </c>
      <c r="X539" t="s">
        <v>30</v>
      </c>
      <c r="Y539" t="s">
        <v>1572</v>
      </c>
    </row>
    <row r="540" spans="1:25" ht="16" x14ac:dyDescent="0.2">
      <c r="A540" t="s">
        <v>1568</v>
      </c>
      <c r="B540" t="s">
        <v>781</v>
      </c>
      <c r="C540" t="s">
        <v>1568</v>
      </c>
      <c r="D540" t="s">
        <v>1568</v>
      </c>
      <c r="E540" t="s">
        <v>36</v>
      </c>
      <c r="F540" t="s">
        <v>1687</v>
      </c>
      <c r="G540" t="s">
        <v>718</v>
      </c>
      <c r="H540" t="s">
        <v>1568</v>
      </c>
      <c r="I540" t="s">
        <v>719</v>
      </c>
      <c r="J540" t="s">
        <v>1568</v>
      </c>
      <c r="K540" t="s">
        <v>1568</v>
      </c>
      <c r="L540" t="s">
        <v>1568</v>
      </c>
      <c r="M540" t="s">
        <v>1568</v>
      </c>
      <c r="N540" t="s">
        <v>1568</v>
      </c>
      <c r="O540" t="s">
        <v>1568</v>
      </c>
      <c r="P540" t="s">
        <v>1568</v>
      </c>
      <c r="Q540" t="s">
        <v>1568</v>
      </c>
      <c r="R540" t="s">
        <v>1568</v>
      </c>
      <c r="S540" t="s">
        <v>1568</v>
      </c>
      <c r="T540" t="s">
        <v>1568</v>
      </c>
      <c r="U540" t="s">
        <v>1568</v>
      </c>
      <c r="V540" t="s">
        <v>1592</v>
      </c>
      <c r="W540" t="s">
        <v>720</v>
      </c>
      <c r="X540" t="s">
        <v>59</v>
      </c>
      <c r="Y540" t="s">
        <v>1581</v>
      </c>
    </row>
    <row r="541" spans="1:25" ht="16" x14ac:dyDescent="0.2">
      <c r="A541" t="s">
        <v>1568</v>
      </c>
      <c r="B541" t="s">
        <v>781</v>
      </c>
      <c r="C541" t="s">
        <v>1568</v>
      </c>
      <c r="D541" t="s">
        <v>1568</v>
      </c>
      <c r="E541" t="s">
        <v>43</v>
      </c>
      <c r="F541" t="s">
        <v>1687</v>
      </c>
      <c r="G541" t="s">
        <v>721</v>
      </c>
      <c r="H541" t="s">
        <v>1568</v>
      </c>
      <c r="I541" t="s">
        <v>722</v>
      </c>
      <c r="J541" t="s">
        <v>1568</v>
      </c>
      <c r="K541" t="s">
        <v>1568</v>
      </c>
      <c r="L541" t="s">
        <v>1568</v>
      </c>
      <c r="M541" t="s">
        <v>1568</v>
      </c>
      <c r="N541" t="s">
        <v>1568</v>
      </c>
      <c r="O541" t="s">
        <v>1568</v>
      </c>
      <c r="P541" t="s">
        <v>1568</v>
      </c>
      <c r="Q541" t="s">
        <v>1568</v>
      </c>
      <c r="R541" t="s">
        <v>1568</v>
      </c>
      <c r="S541" t="s">
        <v>1568</v>
      </c>
      <c r="T541" t="s">
        <v>1568</v>
      </c>
      <c r="U541" t="s">
        <v>1568</v>
      </c>
      <c r="V541" t="s">
        <v>1680</v>
      </c>
      <c r="W541" t="s">
        <v>723</v>
      </c>
      <c r="X541" t="s">
        <v>59</v>
      </c>
      <c r="Y541" t="s">
        <v>1581</v>
      </c>
    </row>
    <row r="542" spans="1:25" ht="16" x14ac:dyDescent="0.2">
      <c r="A542" t="s">
        <v>1568</v>
      </c>
      <c r="B542" t="s">
        <v>781</v>
      </c>
      <c r="C542" t="s">
        <v>1568</v>
      </c>
      <c r="D542" t="s">
        <v>1568</v>
      </c>
      <c r="E542" t="s">
        <v>47</v>
      </c>
      <c r="F542" t="s">
        <v>1687</v>
      </c>
      <c r="G542" t="s">
        <v>724</v>
      </c>
      <c r="H542" t="s">
        <v>1568</v>
      </c>
      <c r="I542" t="s">
        <v>725</v>
      </c>
      <c r="J542" t="s">
        <v>1568</v>
      </c>
      <c r="K542" t="s">
        <v>1568</v>
      </c>
      <c r="L542" t="s">
        <v>1568</v>
      </c>
      <c r="M542" t="s">
        <v>1568</v>
      </c>
      <c r="N542" t="s">
        <v>1568</v>
      </c>
      <c r="O542" t="s">
        <v>1568</v>
      </c>
      <c r="P542" t="s">
        <v>1568</v>
      </c>
      <c r="Q542" t="s">
        <v>1568</v>
      </c>
      <c r="R542" t="s">
        <v>1568</v>
      </c>
      <c r="S542" t="s">
        <v>1568</v>
      </c>
      <c r="T542" t="s">
        <v>1568</v>
      </c>
      <c r="U542" t="s">
        <v>1568</v>
      </c>
      <c r="V542" t="s">
        <v>1681</v>
      </c>
      <c r="W542" t="s">
        <v>726</v>
      </c>
      <c r="X542" t="s">
        <v>59</v>
      </c>
      <c r="Y542" t="s">
        <v>1581</v>
      </c>
    </row>
    <row r="543" spans="1:25" ht="16" x14ac:dyDescent="0.2">
      <c r="A543" t="s">
        <v>1568</v>
      </c>
      <c r="B543" t="s">
        <v>781</v>
      </c>
      <c r="C543" t="s">
        <v>1568</v>
      </c>
      <c r="D543" t="s">
        <v>1568</v>
      </c>
      <c r="E543" t="s">
        <v>51</v>
      </c>
      <c r="F543" t="s">
        <v>1687</v>
      </c>
      <c r="G543" t="s">
        <v>727</v>
      </c>
      <c r="H543" t="s">
        <v>1568</v>
      </c>
      <c r="I543" t="s">
        <v>728</v>
      </c>
      <c r="J543" t="s">
        <v>1568</v>
      </c>
      <c r="K543" t="s">
        <v>1568</v>
      </c>
      <c r="L543" t="s">
        <v>1568</v>
      </c>
      <c r="M543" t="s">
        <v>1568</v>
      </c>
      <c r="N543" t="s">
        <v>1568</v>
      </c>
      <c r="O543" t="s">
        <v>1568</v>
      </c>
      <c r="P543" t="s">
        <v>1568</v>
      </c>
      <c r="Q543" t="s">
        <v>1568</v>
      </c>
      <c r="R543" t="s">
        <v>1568</v>
      </c>
      <c r="S543" t="s">
        <v>1568</v>
      </c>
      <c r="T543" t="s">
        <v>1568</v>
      </c>
      <c r="U543" t="s">
        <v>1568</v>
      </c>
      <c r="V543" t="s">
        <v>1641</v>
      </c>
      <c r="W543" t="s">
        <v>729</v>
      </c>
      <c r="X543" t="s">
        <v>59</v>
      </c>
      <c r="Y543" t="s">
        <v>1581</v>
      </c>
    </row>
    <row r="544" spans="1:25" ht="16" x14ac:dyDescent="0.2">
      <c r="A544" t="s">
        <v>1568</v>
      </c>
      <c r="B544" t="s">
        <v>781</v>
      </c>
      <c r="C544" t="s">
        <v>1568</v>
      </c>
      <c r="D544" t="s">
        <v>1568</v>
      </c>
      <c r="E544" t="s">
        <v>55</v>
      </c>
      <c r="F544" t="s">
        <v>1687</v>
      </c>
      <c r="G544" t="s">
        <v>730</v>
      </c>
      <c r="H544" t="s">
        <v>1568</v>
      </c>
      <c r="I544" t="s">
        <v>731</v>
      </c>
      <c r="J544" t="s">
        <v>1568</v>
      </c>
      <c r="K544" t="s">
        <v>1568</v>
      </c>
      <c r="L544" t="s">
        <v>1568</v>
      </c>
      <c r="M544" t="s">
        <v>1568</v>
      </c>
      <c r="N544" t="s">
        <v>1568</v>
      </c>
      <c r="O544" t="s">
        <v>1568</v>
      </c>
      <c r="P544" t="s">
        <v>1568</v>
      </c>
      <c r="Q544" t="s">
        <v>1568</v>
      </c>
      <c r="R544" t="s">
        <v>1568</v>
      </c>
      <c r="S544" t="s">
        <v>1568</v>
      </c>
      <c r="T544" t="s">
        <v>1568</v>
      </c>
      <c r="U544" t="s">
        <v>1568</v>
      </c>
      <c r="V544" t="s">
        <v>1592</v>
      </c>
      <c r="W544" t="s">
        <v>732</v>
      </c>
      <c r="X544" t="s">
        <v>59</v>
      </c>
      <c r="Y544" t="s">
        <v>1581</v>
      </c>
    </row>
    <row r="545" spans="1:25" ht="16" x14ac:dyDescent="0.2">
      <c r="A545" t="s">
        <v>1568</v>
      </c>
      <c r="B545" t="s">
        <v>782</v>
      </c>
      <c r="C545" t="s">
        <v>1568</v>
      </c>
      <c r="D545" t="s">
        <v>1568</v>
      </c>
      <c r="E545" t="s">
        <v>36</v>
      </c>
      <c r="F545" t="s">
        <v>1688</v>
      </c>
      <c r="G545" t="s">
        <v>734</v>
      </c>
      <c r="H545" t="s">
        <v>1568</v>
      </c>
      <c r="I545" t="s">
        <v>735</v>
      </c>
      <c r="J545" t="s">
        <v>1568</v>
      </c>
      <c r="K545" t="s">
        <v>1568</v>
      </c>
      <c r="L545" t="s">
        <v>1568</v>
      </c>
      <c r="M545" t="s">
        <v>1568</v>
      </c>
      <c r="N545" t="s">
        <v>1568</v>
      </c>
      <c r="O545" t="s">
        <v>1568</v>
      </c>
      <c r="P545" t="s">
        <v>1568</v>
      </c>
      <c r="Q545" t="s">
        <v>1568</v>
      </c>
      <c r="R545" t="s">
        <v>1568</v>
      </c>
      <c r="S545" t="s">
        <v>1568</v>
      </c>
      <c r="T545" t="s">
        <v>1568</v>
      </c>
      <c r="U545" t="s">
        <v>1568</v>
      </c>
      <c r="V545" t="s">
        <v>1592</v>
      </c>
      <c r="W545" t="s">
        <v>736</v>
      </c>
      <c r="X545" t="s">
        <v>59</v>
      </c>
      <c r="Y545" t="s">
        <v>1581</v>
      </c>
    </row>
    <row r="546" spans="1:25" ht="16" x14ac:dyDescent="0.2">
      <c r="A546" t="s">
        <v>1568</v>
      </c>
      <c r="B546" t="s">
        <v>782</v>
      </c>
      <c r="C546" t="s">
        <v>1568</v>
      </c>
      <c r="D546" t="s">
        <v>1568</v>
      </c>
      <c r="E546" t="s">
        <v>43</v>
      </c>
      <c r="F546" t="s">
        <v>1688</v>
      </c>
      <c r="G546" t="s">
        <v>737</v>
      </c>
      <c r="H546" t="s">
        <v>1568</v>
      </c>
      <c r="I546" t="s">
        <v>738</v>
      </c>
      <c r="J546" t="s">
        <v>1568</v>
      </c>
      <c r="K546" t="s">
        <v>1568</v>
      </c>
      <c r="L546" t="s">
        <v>1568</v>
      </c>
      <c r="M546" t="s">
        <v>1568</v>
      </c>
      <c r="N546" t="s">
        <v>1568</v>
      </c>
      <c r="O546" t="s">
        <v>1568</v>
      </c>
      <c r="P546" t="s">
        <v>1568</v>
      </c>
      <c r="Q546" t="s">
        <v>1568</v>
      </c>
      <c r="R546" t="s">
        <v>1568</v>
      </c>
      <c r="S546" t="s">
        <v>1568</v>
      </c>
      <c r="T546" t="s">
        <v>1568</v>
      </c>
      <c r="U546" t="s">
        <v>1568</v>
      </c>
      <c r="V546" t="s">
        <v>1680</v>
      </c>
      <c r="W546" t="s">
        <v>739</v>
      </c>
      <c r="X546" t="s">
        <v>59</v>
      </c>
      <c r="Y546" t="s">
        <v>1581</v>
      </c>
    </row>
    <row r="547" spans="1:25" ht="16" x14ac:dyDescent="0.2">
      <c r="A547" t="s">
        <v>1568</v>
      </c>
      <c r="B547" t="s">
        <v>782</v>
      </c>
      <c r="C547" t="s">
        <v>1568</v>
      </c>
      <c r="D547" t="s">
        <v>1568</v>
      </c>
      <c r="E547" t="s">
        <v>47</v>
      </c>
      <c r="F547" t="s">
        <v>1688</v>
      </c>
      <c r="G547" t="s">
        <v>740</v>
      </c>
      <c r="H547" t="s">
        <v>1568</v>
      </c>
      <c r="I547" t="s">
        <v>741</v>
      </c>
      <c r="J547" t="s">
        <v>1568</v>
      </c>
      <c r="K547" t="s">
        <v>1568</v>
      </c>
      <c r="L547" t="s">
        <v>1568</v>
      </c>
      <c r="M547" t="s">
        <v>1568</v>
      </c>
      <c r="N547" t="s">
        <v>1568</v>
      </c>
      <c r="O547" t="s">
        <v>1568</v>
      </c>
      <c r="P547" t="s">
        <v>1568</v>
      </c>
      <c r="Q547" t="s">
        <v>1568</v>
      </c>
      <c r="R547" t="s">
        <v>1568</v>
      </c>
      <c r="S547" t="s">
        <v>1568</v>
      </c>
      <c r="T547" t="s">
        <v>1568</v>
      </c>
      <c r="U547" t="s">
        <v>1568</v>
      </c>
      <c r="V547" t="s">
        <v>1681</v>
      </c>
      <c r="W547" t="s">
        <v>742</v>
      </c>
      <c r="X547" t="s">
        <v>59</v>
      </c>
      <c r="Y547" t="s">
        <v>1581</v>
      </c>
    </row>
    <row r="548" spans="1:25" ht="16" x14ac:dyDescent="0.2">
      <c r="A548" t="s">
        <v>1568</v>
      </c>
      <c r="B548" t="s">
        <v>782</v>
      </c>
      <c r="C548" t="s">
        <v>1568</v>
      </c>
      <c r="D548" t="s">
        <v>1568</v>
      </c>
      <c r="E548" t="s">
        <v>51</v>
      </c>
      <c r="F548" t="s">
        <v>1688</v>
      </c>
      <c r="G548" t="s">
        <v>743</v>
      </c>
      <c r="H548" t="s">
        <v>1568</v>
      </c>
      <c r="I548" t="s">
        <v>744</v>
      </c>
      <c r="J548" t="s">
        <v>1568</v>
      </c>
      <c r="K548" t="s">
        <v>1568</v>
      </c>
      <c r="L548" t="s">
        <v>1568</v>
      </c>
      <c r="M548" t="s">
        <v>1568</v>
      </c>
      <c r="N548" t="s">
        <v>1568</v>
      </c>
      <c r="O548" t="s">
        <v>1568</v>
      </c>
      <c r="P548" t="s">
        <v>1568</v>
      </c>
      <c r="Q548" t="s">
        <v>1568</v>
      </c>
      <c r="R548" t="s">
        <v>1568</v>
      </c>
      <c r="S548" t="s">
        <v>1568</v>
      </c>
      <c r="T548" t="s">
        <v>1568</v>
      </c>
      <c r="U548" t="s">
        <v>1568</v>
      </c>
      <c r="V548" t="s">
        <v>1641</v>
      </c>
      <c r="W548" t="s">
        <v>745</v>
      </c>
      <c r="X548" t="s">
        <v>59</v>
      </c>
      <c r="Y548" t="s">
        <v>1581</v>
      </c>
    </row>
    <row r="549" spans="1:25" ht="16" x14ac:dyDescent="0.2">
      <c r="A549" t="s">
        <v>1568</v>
      </c>
      <c r="B549" t="s">
        <v>782</v>
      </c>
      <c r="C549" t="s">
        <v>1568</v>
      </c>
      <c r="D549" t="s">
        <v>1568</v>
      </c>
      <c r="E549" t="s">
        <v>55</v>
      </c>
      <c r="F549" t="s">
        <v>1688</v>
      </c>
      <c r="G549" t="s">
        <v>746</v>
      </c>
      <c r="H549" t="s">
        <v>1568</v>
      </c>
      <c r="I549" t="s">
        <v>747</v>
      </c>
      <c r="J549" t="s">
        <v>1568</v>
      </c>
      <c r="K549" t="s">
        <v>1568</v>
      </c>
      <c r="L549" t="s">
        <v>1568</v>
      </c>
      <c r="M549" t="s">
        <v>1568</v>
      </c>
      <c r="N549" t="s">
        <v>1568</v>
      </c>
      <c r="O549" t="s">
        <v>1568</v>
      </c>
      <c r="P549" t="s">
        <v>1568</v>
      </c>
      <c r="Q549" t="s">
        <v>1568</v>
      </c>
      <c r="R549" t="s">
        <v>1568</v>
      </c>
      <c r="S549" t="s">
        <v>1568</v>
      </c>
      <c r="T549" t="s">
        <v>1568</v>
      </c>
      <c r="U549" t="s">
        <v>1568</v>
      </c>
      <c r="V549" t="s">
        <v>1592</v>
      </c>
      <c r="W549" t="s">
        <v>748</v>
      </c>
      <c r="X549" t="s">
        <v>59</v>
      </c>
      <c r="Y549" t="s">
        <v>1581</v>
      </c>
    </row>
    <row r="550" spans="1:25" ht="16" x14ac:dyDescent="0.2">
      <c r="A550" t="s">
        <v>1568</v>
      </c>
      <c r="B550" t="s">
        <v>783</v>
      </c>
      <c r="C550" t="s">
        <v>1568</v>
      </c>
      <c r="D550" t="s">
        <v>1568</v>
      </c>
      <c r="E550" t="s">
        <v>36</v>
      </c>
      <c r="F550" t="s">
        <v>1689</v>
      </c>
      <c r="G550" t="s">
        <v>750</v>
      </c>
      <c r="H550" t="s">
        <v>1568</v>
      </c>
      <c r="I550" t="s">
        <v>751</v>
      </c>
      <c r="J550" t="s">
        <v>1568</v>
      </c>
      <c r="K550" t="s">
        <v>1568</v>
      </c>
      <c r="L550" t="s">
        <v>1568</v>
      </c>
      <c r="M550" t="s">
        <v>1568</v>
      </c>
      <c r="N550" t="s">
        <v>1568</v>
      </c>
      <c r="O550" t="s">
        <v>1568</v>
      </c>
      <c r="P550" t="s">
        <v>1568</v>
      </c>
      <c r="Q550" t="s">
        <v>1568</v>
      </c>
      <c r="R550" t="s">
        <v>1568</v>
      </c>
      <c r="S550" t="s">
        <v>1568</v>
      </c>
      <c r="T550" t="s">
        <v>1568</v>
      </c>
      <c r="U550" t="s">
        <v>1568</v>
      </c>
      <c r="V550" t="s">
        <v>1592</v>
      </c>
      <c r="W550" t="s">
        <v>752</v>
      </c>
      <c r="X550" t="s">
        <v>59</v>
      </c>
      <c r="Y550" t="s">
        <v>1581</v>
      </c>
    </row>
    <row r="551" spans="1:25" ht="16" x14ac:dyDescent="0.2">
      <c r="A551" t="s">
        <v>1568</v>
      </c>
      <c r="B551" t="s">
        <v>783</v>
      </c>
      <c r="C551" t="s">
        <v>1568</v>
      </c>
      <c r="D551" t="s">
        <v>1568</v>
      </c>
      <c r="E551" t="s">
        <v>43</v>
      </c>
      <c r="F551" t="s">
        <v>1689</v>
      </c>
      <c r="G551" t="s">
        <v>753</v>
      </c>
      <c r="H551" t="s">
        <v>1568</v>
      </c>
      <c r="I551" t="s">
        <v>754</v>
      </c>
      <c r="J551" t="s">
        <v>1568</v>
      </c>
      <c r="K551" t="s">
        <v>1568</v>
      </c>
      <c r="L551" t="s">
        <v>1568</v>
      </c>
      <c r="M551" t="s">
        <v>1568</v>
      </c>
      <c r="N551" t="s">
        <v>1568</v>
      </c>
      <c r="O551" t="s">
        <v>1568</v>
      </c>
      <c r="P551" t="s">
        <v>1568</v>
      </c>
      <c r="Q551" t="s">
        <v>1568</v>
      </c>
      <c r="R551" t="s">
        <v>1568</v>
      </c>
      <c r="S551" t="s">
        <v>1568</v>
      </c>
      <c r="T551" t="s">
        <v>1568</v>
      </c>
      <c r="U551" t="s">
        <v>1568</v>
      </c>
      <c r="V551" t="s">
        <v>1680</v>
      </c>
      <c r="W551" t="s">
        <v>755</v>
      </c>
      <c r="X551" t="s">
        <v>59</v>
      </c>
      <c r="Y551" t="s">
        <v>1581</v>
      </c>
    </row>
    <row r="552" spans="1:25" ht="16" x14ac:dyDescent="0.2">
      <c r="A552" t="s">
        <v>1568</v>
      </c>
      <c r="B552" t="s">
        <v>783</v>
      </c>
      <c r="C552" t="s">
        <v>1568</v>
      </c>
      <c r="D552" t="s">
        <v>1568</v>
      </c>
      <c r="E552" t="s">
        <v>47</v>
      </c>
      <c r="F552" t="s">
        <v>1689</v>
      </c>
      <c r="G552" t="s">
        <v>756</v>
      </c>
      <c r="H552" t="s">
        <v>1568</v>
      </c>
      <c r="I552" t="s">
        <v>757</v>
      </c>
      <c r="J552" t="s">
        <v>1568</v>
      </c>
      <c r="K552" t="s">
        <v>1568</v>
      </c>
      <c r="L552" t="s">
        <v>1568</v>
      </c>
      <c r="M552" t="s">
        <v>1568</v>
      </c>
      <c r="N552" t="s">
        <v>1568</v>
      </c>
      <c r="O552" t="s">
        <v>1568</v>
      </c>
      <c r="P552" t="s">
        <v>1568</v>
      </c>
      <c r="Q552" t="s">
        <v>1568</v>
      </c>
      <c r="R552" t="s">
        <v>1568</v>
      </c>
      <c r="S552" t="s">
        <v>1568</v>
      </c>
      <c r="T552" t="s">
        <v>1568</v>
      </c>
      <c r="U552" t="s">
        <v>1568</v>
      </c>
      <c r="V552" t="s">
        <v>1681</v>
      </c>
      <c r="W552" t="s">
        <v>758</v>
      </c>
      <c r="X552" t="s">
        <v>59</v>
      </c>
      <c r="Y552" t="s">
        <v>1581</v>
      </c>
    </row>
    <row r="553" spans="1:25" ht="16" x14ac:dyDescent="0.2">
      <c r="A553" t="s">
        <v>1568</v>
      </c>
      <c r="B553" t="s">
        <v>783</v>
      </c>
      <c r="C553" t="s">
        <v>1568</v>
      </c>
      <c r="D553" t="s">
        <v>1568</v>
      </c>
      <c r="E553" t="s">
        <v>51</v>
      </c>
      <c r="F553" t="s">
        <v>1689</v>
      </c>
      <c r="G553" t="s">
        <v>759</v>
      </c>
      <c r="H553" t="s">
        <v>1568</v>
      </c>
      <c r="I553" t="s">
        <v>760</v>
      </c>
      <c r="J553" t="s">
        <v>1568</v>
      </c>
      <c r="K553" t="s">
        <v>1568</v>
      </c>
      <c r="L553" t="s">
        <v>1568</v>
      </c>
      <c r="M553" t="s">
        <v>1568</v>
      </c>
      <c r="N553" t="s">
        <v>1568</v>
      </c>
      <c r="O553" t="s">
        <v>1568</v>
      </c>
      <c r="P553" t="s">
        <v>1568</v>
      </c>
      <c r="Q553" t="s">
        <v>1568</v>
      </c>
      <c r="R553" t="s">
        <v>1568</v>
      </c>
      <c r="S553" t="s">
        <v>1568</v>
      </c>
      <c r="T553" t="s">
        <v>1568</v>
      </c>
      <c r="U553" t="s">
        <v>1568</v>
      </c>
      <c r="V553" t="s">
        <v>1641</v>
      </c>
      <c r="W553" t="s">
        <v>761</v>
      </c>
      <c r="X553" t="s">
        <v>59</v>
      </c>
      <c r="Y553" t="s">
        <v>1581</v>
      </c>
    </row>
    <row r="554" spans="1:25" ht="16" x14ac:dyDescent="0.2">
      <c r="A554" t="s">
        <v>1568</v>
      </c>
      <c r="B554" t="s">
        <v>783</v>
      </c>
      <c r="C554" t="s">
        <v>1568</v>
      </c>
      <c r="D554" t="s">
        <v>1568</v>
      </c>
      <c r="E554" t="s">
        <v>55</v>
      </c>
      <c r="F554" t="s">
        <v>1689</v>
      </c>
      <c r="G554" t="s">
        <v>762</v>
      </c>
      <c r="H554" t="s">
        <v>1568</v>
      </c>
      <c r="I554" t="s">
        <v>763</v>
      </c>
      <c r="J554" t="s">
        <v>1568</v>
      </c>
      <c r="K554" t="s">
        <v>1568</v>
      </c>
      <c r="L554" t="s">
        <v>1568</v>
      </c>
      <c r="M554" t="s">
        <v>1568</v>
      </c>
      <c r="N554" t="s">
        <v>1568</v>
      </c>
      <c r="O554" t="s">
        <v>1568</v>
      </c>
      <c r="P554" t="s">
        <v>1568</v>
      </c>
      <c r="Q554" t="s">
        <v>1568</v>
      </c>
      <c r="R554" t="s">
        <v>1568</v>
      </c>
      <c r="S554" t="s">
        <v>1568</v>
      </c>
      <c r="T554" t="s">
        <v>1568</v>
      </c>
      <c r="U554" t="s">
        <v>1568</v>
      </c>
      <c r="V554" t="s">
        <v>1592</v>
      </c>
      <c r="W554" t="s">
        <v>764</v>
      </c>
      <c r="X554" t="s">
        <v>59</v>
      </c>
      <c r="Y554" t="s">
        <v>1581</v>
      </c>
    </row>
    <row r="555" spans="1:25" ht="16" x14ac:dyDescent="0.2">
      <c r="A555" t="s">
        <v>1568</v>
      </c>
      <c r="B555" t="s">
        <v>784</v>
      </c>
      <c r="C555" t="s">
        <v>1568</v>
      </c>
      <c r="D555" t="s">
        <v>1568</v>
      </c>
      <c r="E555" t="s">
        <v>36</v>
      </c>
      <c r="F555" t="s">
        <v>1690</v>
      </c>
      <c r="G555" t="s">
        <v>766</v>
      </c>
      <c r="H555" t="s">
        <v>1568</v>
      </c>
      <c r="I555" t="s">
        <v>767</v>
      </c>
      <c r="J555" t="s">
        <v>1568</v>
      </c>
      <c r="K555" t="s">
        <v>1568</v>
      </c>
      <c r="L555" t="s">
        <v>1568</v>
      </c>
      <c r="M555" t="s">
        <v>1568</v>
      </c>
      <c r="N555" t="s">
        <v>1568</v>
      </c>
      <c r="O555" t="s">
        <v>1568</v>
      </c>
      <c r="P555" t="s">
        <v>1568</v>
      </c>
      <c r="Q555" t="s">
        <v>1568</v>
      </c>
      <c r="R555" t="s">
        <v>1568</v>
      </c>
      <c r="S555" t="s">
        <v>1568</v>
      </c>
      <c r="T555" t="s">
        <v>1568</v>
      </c>
      <c r="U555" t="s">
        <v>1568</v>
      </c>
      <c r="V555" t="s">
        <v>1592</v>
      </c>
      <c r="W555" t="s">
        <v>768</v>
      </c>
      <c r="X555" t="s">
        <v>59</v>
      </c>
      <c r="Y555" t="s">
        <v>1581</v>
      </c>
    </row>
    <row r="556" spans="1:25" ht="16" x14ac:dyDescent="0.2">
      <c r="A556" t="s">
        <v>1568</v>
      </c>
      <c r="B556" t="s">
        <v>784</v>
      </c>
      <c r="C556" t="s">
        <v>1568</v>
      </c>
      <c r="D556" t="s">
        <v>1568</v>
      </c>
      <c r="E556" t="s">
        <v>43</v>
      </c>
      <c r="F556" t="s">
        <v>1690</v>
      </c>
      <c r="G556" t="s">
        <v>769</v>
      </c>
      <c r="H556" t="s">
        <v>1568</v>
      </c>
      <c r="I556" t="s">
        <v>770</v>
      </c>
      <c r="J556" t="s">
        <v>1568</v>
      </c>
      <c r="K556" t="s">
        <v>1568</v>
      </c>
      <c r="L556" t="s">
        <v>1568</v>
      </c>
      <c r="M556" t="s">
        <v>1568</v>
      </c>
      <c r="N556" t="s">
        <v>1568</v>
      </c>
      <c r="O556" t="s">
        <v>1568</v>
      </c>
      <c r="P556" t="s">
        <v>1568</v>
      </c>
      <c r="Q556" t="s">
        <v>1568</v>
      </c>
      <c r="R556" t="s">
        <v>1568</v>
      </c>
      <c r="S556" t="s">
        <v>1568</v>
      </c>
      <c r="T556" t="s">
        <v>1568</v>
      </c>
      <c r="U556" t="s">
        <v>1568</v>
      </c>
      <c r="V556" t="s">
        <v>1680</v>
      </c>
      <c r="W556" t="s">
        <v>771</v>
      </c>
      <c r="X556" t="s">
        <v>59</v>
      </c>
      <c r="Y556" t="s">
        <v>1581</v>
      </c>
    </row>
    <row r="557" spans="1:25" ht="16" x14ac:dyDescent="0.2">
      <c r="A557" t="s">
        <v>1568</v>
      </c>
      <c r="B557" t="s">
        <v>784</v>
      </c>
      <c r="C557" t="s">
        <v>1568</v>
      </c>
      <c r="D557" t="s">
        <v>1568</v>
      </c>
      <c r="E557" t="s">
        <v>47</v>
      </c>
      <c r="F557" t="s">
        <v>1690</v>
      </c>
      <c r="G557" t="s">
        <v>772</v>
      </c>
      <c r="H557" t="s">
        <v>1568</v>
      </c>
      <c r="I557" t="s">
        <v>773</v>
      </c>
      <c r="J557" t="s">
        <v>1568</v>
      </c>
      <c r="K557" t="s">
        <v>1568</v>
      </c>
      <c r="L557" t="s">
        <v>1568</v>
      </c>
      <c r="M557" t="s">
        <v>1568</v>
      </c>
      <c r="N557" t="s">
        <v>1568</v>
      </c>
      <c r="O557" t="s">
        <v>1568</v>
      </c>
      <c r="P557" t="s">
        <v>1568</v>
      </c>
      <c r="Q557" t="s">
        <v>1568</v>
      </c>
      <c r="R557" t="s">
        <v>1568</v>
      </c>
      <c r="S557" t="s">
        <v>1568</v>
      </c>
      <c r="T557" t="s">
        <v>1568</v>
      </c>
      <c r="U557" t="s">
        <v>1568</v>
      </c>
      <c r="V557" t="s">
        <v>1681</v>
      </c>
      <c r="W557" t="s">
        <v>774</v>
      </c>
      <c r="X557" t="s">
        <v>59</v>
      </c>
      <c r="Y557" t="s">
        <v>1581</v>
      </c>
    </row>
    <row r="558" spans="1:25" ht="16" x14ac:dyDescent="0.2">
      <c r="A558" t="s">
        <v>1568</v>
      </c>
      <c r="B558" t="s">
        <v>784</v>
      </c>
      <c r="C558" t="s">
        <v>1568</v>
      </c>
      <c r="D558" t="s">
        <v>1568</v>
      </c>
      <c r="E558" t="s">
        <v>51</v>
      </c>
      <c r="F558" t="s">
        <v>1690</v>
      </c>
      <c r="G558" t="s">
        <v>775</v>
      </c>
      <c r="H558" t="s">
        <v>1568</v>
      </c>
      <c r="I558" t="s">
        <v>776</v>
      </c>
      <c r="J558" t="s">
        <v>1568</v>
      </c>
      <c r="K558" t="s">
        <v>1568</v>
      </c>
      <c r="L558" t="s">
        <v>1568</v>
      </c>
      <c r="M558" t="s">
        <v>1568</v>
      </c>
      <c r="N558" t="s">
        <v>1568</v>
      </c>
      <c r="O558" t="s">
        <v>1568</v>
      </c>
      <c r="P558" t="s">
        <v>1568</v>
      </c>
      <c r="Q558" t="s">
        <v>1568</v>
      </c>
      <c r="R558" t="s">
        <v>1568</v>
      </c>
      <c r="S558" t="s">
        <v>1568</v>
      </c>
      <c r="T558" t="s">
        <v>1568</v>
      </c>
      <c r="U558" t="s">
        <v>1568</v>
      </c>
      <c r="V558" t="s">
        <v>1641</v>
      </c>
      <c r="W558" t="s">
        <v>777</v>
      </c>
      <c r="X558" t="s">
        <v>59</v>
      </c>
      <c r="Y558" t="s">
        <v>1581</v>
      </c>
    </row>
    <row r="559" spans="1:25" ht="16" x14ac:dyDescent="0.2">
      <c r="A559" t="s">
        <v>1568</v>
      </c>
      <c r="B559" t="s">
        <v>784</v>
      </c>
      <c r="C559" t="s">
        <v>1568</v>
      </c>
      <c r="D559" t="s">
        <v>1568</v>
      </c>
      <c r="E559" t="s">
        <v>55</v>
      </c>
      <c r="F559" t="s">
        <v>1690</v>
      </c>
      <c r="G559" t="s">
        <v>778</v>
      </c>
      <c r="H559" t="s">
        <v>1568</v>
      </c>
      <c r="I559" t="s">
        <v>779</v>
      </c>
      <c r="J559" t="s">
        <v>1568</v>
      </c>
      <c r="K559" t="s">
        <v>1568</v>
      </c>
      <c r="L559" t="s">
        <v>1568</v>
      </c>
      <c r="M559" t="s">
        <v>1568</v>
      </c>
      <c r="N559" t="s">
        <v>1568</v>
      </c>
      <c r="O559" t="s">
        <v>1568</v>
      </c>
      <c r="P559" t="s">
        <v>1568</v>
      </c>
      <c r="Q559" t="s">
        <v>1568</v>
      </c>
      <c r="R559" t="s">
        <v>1568</v>
      </c>
      <c r="S559" t="s">
        <v>1568</v>
      </c>
      <c r="T559" t="s">
        <v>1568</v>
      </c>
      <c r="U559" t="s">
        <v>1568</v>
      </c>
      <c r="V559" t="s">
        <v>1592</v>
      </c>
      <c r="W559" t="s">
        <v>780</v>
      </c>
      <c r="X559" t="s">
        <v>59</v>
      </c>
      <c r="Y559" t="s">
        <v>1581</v>
      </c>
    </row>
    <row r="560" spans="1:25" ht="16" x14ac:dyDescent="0.2">
      <c r="A560" t="s">
        <v>1568</v>
      </c>
      <c r="B560" t="s">
        <v>785</v>
      </c>
      <c r="C560" t="s">
        <v>1568</v>
      </c>
      <c r="D560" t="s">
        <v>1568</v>
      </c>
      <c r="E560" t="s">
        <v>36</v>
      </c>
      <c r="F560" t="s">
        <v>1687</v>
      </c>
      <c r="G560" t="s">
        <v>718</v>
      </c>
      <c r="H560" t="s">
        <v>1568</v>
      </c>
      <c r="I560" t="s">
        <v>719</v>
      </c>
      <c r="J560" t="s">
        <v>1568</v>
      </c>
      <c r="K560" t="s">
        <v>1568</v>
      </c>
      <c r="L560" t="s">
        <v>1568</v>
      </c>
      <c r="M560" t="s">
        <v>1568</v>
      </c>
      <c r="N560" t="s">
        <v>1568</v>
      </c>
      <c r="O560" t="s">
        <v>1568</v>
      </c>
      <c r="P560" t="s">
        <v>1568</v>
      </c>
      <c r="Q560" t="s">
        <v>1568</v>
      </c>
      <c r="R560" t="s">
        <v>1568</v>
      </c>
      <c r="S560" t="s">
        <v>1568</v>
      </c>
      <c r="T560" t="s">
        <v>1568</v>
      </c>
      <c r="U560" t="s">
        <v>1568</v>
      </c>
      <c r="V560" t="s">
        <v>1592</v>
      </c>
      <c r="W560" t="s">
        <v>720</v>
      </c>
      <c r="X560" t="s">
        <v>61</v>
      </c>
      <c r="Y560" t="s">
        <v>1587</v>
      </c>
    </row>
    <row r="561" spans="1:25" ht="16" x14ac:dyDescent="0.2">
      <c r="A561" t="s">
        <v>1568</v>
      </c>
      <c r="B561" t="s">
        <v>785</v>
      </c>
      <c r="C561" t="s">
        <v>1568</v>
      </c>
      <c r="D561" t="s">
        <v>1568</v>
      </c>
      <c r="E561" t="s">
        <v>43</v>
      </c>
      <c r="F561" t="s">
        <v>1687</v>
      </c>
      <c r="G561" t="s">
        <v>721</v>
      </c>
      <c r="H561" t="s">
        <v>1568</v>
      </c>
      <c r="I561" t="s">
        <v>722</v>
      </c>
      <c r="J561" t="s">
        <v>1568</v>
      </c>
      <c r="K561" t="s">
        <v>1568</v>
      </c>
      <c r="L561" t="s">
        <v>1568</v>
      </c>
      <c r="M561" t="s">
        <v>1568</v>
      </c>
      <c r="N561" t="s">
        <v>1568</v>
      </c>
      <c r="O561" t="s">
        <v>1568</v>
      </c>
      <c r="P561" t="s">
        <v>1568</v>
      </c>
      <c r="Q561" t="s">
        <v>1568</v>
      </c>
      <c r="R561" t="s">
        <v>1568</v>
      </c>
      <c r="S561" t="s">
        <v>1568</v>
      </c>
      <c r="T561" t="s">
        <v>1568</v>
      </c>
      <c r="U561" t="s">
        <v>1568</v>
      </c>
      <c r="V561" t="s">
        <v>1685</v>
      </c>
      <c r="W561" t="s">
        <v>723</v>
      </c>
      <c r="X561" t="s">
        <v>61</v>
      </c>
      <c r="Y561" t="s">
        <v>1587</v>
      </c>
    </row>
    <row r="562" spans="1:25" ht="16" x14ac:dyDescent="0.2">
      <c r="A562" t="s">
        <v>1568</v>
      </c>
      <c r="B562" t="s">
        <v>785</v>
      </c>
      <c r="C562" t="s">
        <v>1568</v>
      </c>
      <c r="D562" t="s">
        <v>1568</v>
      </c>
      <c r="E562" t="s">
        <v>47</v>
      </c>
      <c r="F562" t="s">
        <v>1687</v>
      </c>
      <c r="G562" t="s">
        <v>724</v>
      </c>
      <c r="H562" t="s">
        <v>1568</v>
      </c>
      <c r="I562" t="s">
        <v>725</v>
      </c>
      <c r="J562" t="s">
        <v>1568</v>
      </c>
      <c r="K562" t="s">
        <v>1568</v>
      </c>
      <c r="L562" t="s">
        <v>1568</v>
      </c>
      <c r="M562" t="s">
        <v>1568</v>
      </c>
      <c r="N562" t="s">
        <v>1568</v>
      </c>
      <c r="O562" t="s">
        <v>1568</v>
      </c>
      <c r="P562" t="s">
        <v>1568</v>
      </c>
      <c r="Q562" t="s">
        <v>1568</v>
      </c>
      <c r="R562" t="s">
        <v>1568</v>
      </c>
      <c r="S562" t="s">
        <v>1568</v>
      </c>
      <c r="T562" t="s">
        <v>1568</v>
      </c>
      <c r="U562" t="s">
        <v>1568</v>
      </c>
      <c r="V562" t="s">
        <v>1617</v>
      </c>
      <c r="W562" t="s">
        <v>726</v>
      </c>
      <c r="X562" t="s">
        <v>61</v>
      </c>
      <c r="Y562" t="s">
        <v>1587</v>
      </c>
    </row>
    <row r="563" spans="1:25" ht="16" x14ac:dyDescent="0.2">
      <c r="A563" t="s">
        <v>1568</v>
      </c>
      <c r="B563" t="s">
        <v>785</v>
      </c>
      <c r="C563" t="s">
        <v>1568</v>
      </c>
      <c r="D563" t="s">
        <v>1568</v>
      </c>
      <c r="E563" t="s">
        <v>51</v>
      </c>
      <c r="F563" t="s">
        <v>1687</v>
      </c>
      <c r="G563" t="s">
        <v>727</v>
      </c>
      <c r="H563" t="s">
        <v>1568</v>
      </c>
      <c r="I563" t="s">
        <v>728</v>
      </c>
      <c r="J563" t="s">
        <v>1568</v>
      </c>
      <c r="K563" t="s">
        <v>1568</v>
      </c>
      <c r="L563" t="s">
        <v>1568</v>
      </c>
      <c r="M563" t="s">
        <v>1568</v>
      </c>
      <c r="N563" t="s">
        <v>1568</v>
      </c>
      <c r="O563" t="s">
        <v>1568</v>
      </c>
      <c r="P563" t="s">
        <v>1568</v>
      </c>
      <c r="Q563" t="s">
        <v>1568</v>
      </c>
      <c r="R563" t="s">
        <v>1568</v>
      </c>
      <c r="S563" t="s">
        <v>1568</v>
      </c>
      <c r="T563" t="s">
        <v>1568</v>
      </c>
      <c r="U563" t="s">
        <v>1568</v>
      </c>
      <c r="V563" t="s">
        <v>1686</v>
      </c>
      <c r="W563" t="s">
        <v>729</v>
      </c>
      <c r="X563" t="s">
        <v>61</v>
      </c>
      <c r="Y563" t="s">
        <v>1587</v>
      </c>
    </row>
    <row r="564" spans="1:25" ht="16" x14ac:dyDescent="0.2">
      <c r="A564" t="s">
        <v>1568</v>
      </c>
      <c r="B564" t="s">
        <v>785</v>
      </c>
      <c r="C564" t="s">
        <v>1568</v>
      </c>
      <c r="D564" t="s">
        <v>1568</v>
      </c>
      <c r="E564" t="s">
        <v>55</v>
      </c>
      <c r="F564" t="s">
        <v>1687</v>
      </c>
      <c r="G564" t="s">
        <v>730</v>
      </c>
      <c r="H564" t="s">
        <v>1568</v>
      </c>
      <c r="I564" t="s">
        <v>731</v>
      </c>
      <c r="J564" t="s">
        <v>1568</v>
      </c>
      <c r="K564" t="s">
        <v>1568</v>
      </c>
      <c r="L564" t="s">
        <v>1568</v>
      </c>
      <c r="M564" t="s">
        <v>1568</v>
      </c>
      <c r="N564" t="s">
        <v>1568</v>
      </c>
      <c r="O564" t="s">
        <v>1568</v>
      </c>
      <c r="P564" t="s">
        <v>1568</v>
      </c>
      <c r="Q564" t="s">
        <v>1568</v>
      </c>
      <c r="R564" t="s">
        <v>1568</v>
      </c>
      <c r="S564" t="s">
        <v>1568</v>
      </c>
      <c r="T564" t="s">
        <v>1568</v>
      </c>
      <c r="U564" t="s">
        <v>1568</v>
      </c>
      <c r="V564" t="s">
        <v>1592</v>
      </c>
      <c r="W564" t="s">
        <v>732</v>
      </c>
      <c r="X564" t="s">
        <v>61</v>
      </c>
      <c r="Y564" t="s">
        <v>1587</v>
      </c>
    </row>
    <row r="565" spans="1:25" ht="16" x14ac:dyDescent="0.2">
      <c r="A565" t="s">
        <v>1568</v>
      </c>
      <c r="B565" t="s">
        <v>786</v>
      </c>
      <c r="C565" t="s">
        <v>1568</v>
      </c>
      <c r="D565" t="s">
        <v>1568</v>
      </c>
      <c r="E565" t="s">
        <v>36</v>
      </c>
      <c r="F565" t="s">
        <v>1688</v>
      </c>
      <c r="G565" t="s">
        <v>734</v>
      </c>
      <c r="H565" t="s">
        <v>1568</v>
      </c>
      <c r="I565" t="s">
        <v>735</v>
      </c>
      <c r="J565" t="s">
        <v>1568</v>
      </c>
      <c r="K565" t="s">
        <v>1568</v>
      </c>
      <c r="L565" t="s">
        <v>1568</v>
      </c>
      <c r="M565" t="s">
        <v>1568</v>
      </c>
      <c r="N565" t="s">
        <v>1568</v>
      </c>
      <c r="O565" t="s">
        <v>1568</v>
      </c>
      <c r="P565" t="s">
        <v>1568</v>
      </c>
      <c r="Q565" t="s">
        <v>1568</v>
      </c>
      <c r="R565" t="s">
        <v>1568</v>
      </c>
      <c r="S565" t="s">
        <v>1568</v>
      </c>
      <c r="T565" t="s">
        <v>1568</v>
      </c>
      <c r="U565" t="s">
        <v>1568</v>
      </c>
      <c r="V565" t="s">
        <v>1592</v>
      </c>
      <c r="W565" t="s">
        <v>736</v>
      </c>
      <c r="X565" t="s">
        <v>61</v>
      </c>
      <c r="Y565" t="s">
        <v>1587</v>
      </c>
    </row>
    <row r="566" spans="1:25" ht="16" x14ac:dyDescent="0.2">
      <c r="A566" t="s">
        <v>1568</v>
      </c>
      <c r="B566" t="s">
        <v>786</v>
      </c>
      <c r="C566" t="s">
        <v>1568</v>
      </c>
      <c r="D566" t="s">
        <v>1568</v>
      </c>
      <c r="E566" t="s">
        <v>43</v>
      </c>
      <c r="F566" t="s">
        <v>1688</v>
      </c>
      <c r="G566" t="s">
        <v>737</v>
      </c>
      <c r="H566" t="s">
        <v>1568</v>
      </c>
      <c r="I566" t="s">
        <v>738</v>
      </c>
      <c r="J566" t="s">
        <v>1568</v>
      </c>
      <c r="K566" t="s">
        <v>1568</v>
      </c>
      <c r="L566" t="s">
        <v>1568</v>
      </c>
      <c r="M566" t="s">
        <v>1568</v>
      </c>
      <c r="N566" t="s">
        <v>1568</v>
      </c>
      <c r="O566" t="s">
        <v>1568</v>
      </c>
      <c r="P566" t="s">
        <v>1568</v>
      </c>
      <c r="Q566" t="s">
        <v>1568</v>
      </c>
      <c r="R566" t="s">
        <v>1568</v>
      </c>
      <c r="S566" t="s">
        <v>1568</v>
      </c>
      <c r="T566" t="s">
        <v>1568</v>
      </c>
      <c r="U566" t="s">
        <v>1568</v>
      </c>
      <c r="V566" t="s">
        <v>1685</v>
      </c>
      <c r="W566" t="s">
        <v>739</v>
      </c>
      <c r="X566" t="s">
        <v>61</v>
      </c>
      <c r="Y566" t="s">
        <v>1587</v>
      </c>
    </row>
    <row r="567" spans="1:25" ht="16" x14ac:dyDescent="0.2">
      <c r="A567" t="s">
        <v>1568</v>
      </c>
      <c r="B567" t="s">
        <v>786</v>
      </c>
      <c r="C567" t="s">
        <v>1568</v>
      </c>
      <c r="D567" t="s">
        <v>1568</v>
      </c>
      <c r="E567" t="s">
        <v>47</v>
      </c>
      <c r="F567" t="s">
        <v>1688</v>
      </c>
      <c r="G567" t="s">
        <v>740</v>
      </c>
      <c r="H567" t="s">
        <v>1568</v>
      </c>
      <c r="I567" t="s">
        <v>741</v>
      </c>
      <c r="J567" t="s">
        <v>1568</v>
      </c>
      <c r="K567" t="s">
        <v>1568</v>
      </c>
      <c r="L567" t="s">
        <v>1568</v>
      </c>
      <c r="M567" t="s">
        <v>1568</v>
      </c>
      <c r="N567" t="s">
        <v>1568</v>
      </c>
      <c r="O567" t="s">
        <v>1568</v>
      </c>
      <c r="P567" t="s">
        <v>1568</v>
      </c>
      <c r="Q567" t="s">
        <v>1568</v>
      </c>
      <c r="R567" t="s">
        <v>1568</v>
      </c>
      <c r="S567" t="s">
        <v>1568</v>
      </c>
      <c r="T567" t="s">
        <v>1568</v>
      </c>
      <c r="U567" t="s">
        <v>1568</v>
      </c>
      <c r="V567" t="s">
        <v>1617</v>
      </c>
      <c r="W567" t="s">
        <v>742</v>
      </c>
      <c r="X567" t="s">
        <v>61</v>
      </c>
      <c r="Y567" t="s">
        <v>1587</v>
      </c>
    </row>
    <row r="568" spans="1:25" ht="16" x14ac:dyDescent="0.2">
      <c r="A568" t="s">
        <v>1568</v>
      </c>
      <c r="B568" t="s">
        <v>786</v>
      </c>
      <c r="C568" t="s">
        <v>1568</v>
      </c>
      <c r="D568" t="s">
        <v>1568</v>
      </c>
      <c r="E568" t="s">
        <v>51</v>
      </c>
      <c r="F568" t="s">
        <v>1688</v>
      </c>
      <c r="G568" t="s">
        <v>743</v>
      </c>
      <c r="H568" t="s">
        <v>1568</v>
      </c>
      <c r="I568" t="s">
        <v>744</v>
      </c>
      <c r="J568" t="s">
        <v>1568</v>
      </c>
      <c r="K568" t="s">
        <v>1568</v>
      </c>
      <c r="L568" t="s">
        <v>1568</v>
      </c>
      <c r="M568" t="s">
        <v>1568</v>
      </c>
      <c r="N568" t="s">
        <v>1568</v>
      </c>
      <c r="O568" t="s">
        <v>1568</v>
      </c>
      <c r="P568" t="s">
        <v>1568</v>
      </c>
      <c r="Q568" t="s">
        <v>1568</v>
      </c>
      <c r="R568" t="s">
        <v>1568</v>
      </c>
      <c r="S568" t="s">
        <v>1568</v>
      </c>
      <c r="T568" t="s">
        <v>1568</v>
      </c>
      <c r="U568" t="s">
        <v>1568</v>
      </c>
      <c r="V568" t="s">
        <v>1686</v>
      </c>
      <c r="W568" t="s">
        <v>745</v>
      </c>
      <c r="X568" t="s">
        <v>61</v>
      </c>
      <c r="Y568" t="s">
        <v>1587</v>
      </c>
    </row>
    <row r="569" spans="1:25" ht="16" x14ac:dyDescent="0.2">
      <c r="A569" t="s">
        <v>1568</v>
      </c>
      <c r="B569" t="s">
        <v>786</v>
      </c>
      <c r="C569" t="s">
        <v>1568</v>
      </c>
      <c r="D569" t="s">
        <v>1568</v>
      </c>
      <c r="E569" t="s">
        <v>55</v>
      </c>
      <c r="F569" t="s">
        <v>1688</v>
      </c>
      <c r="G569" t="s">
        <v>746</v>
      </c>
      <c r="H569" t="s">
        <v>1568</v>
      </c>
      <c r="I569" t="s">
        <v>747</v>
      </c>
      <c r="J569" t="s">
        <v>1568</v>
      </c>
      <c r="K569" t="s">
        <v>1568</v>
      </c>
      <c r="L569" t="s">
        <v>1568</v>
      </c>
      <c r="M569" t="s">
        <v>1568</v>
      </c>
      <c r="N569" t="s">
        <v>1568</v>
      </c>
      <c r="O569" t="s">
        <v>1568</v>
      </c>
      <c r="P569" t="s">
        <v>1568</v>
      </c>
      <c r="Q569" t="s">
        <v>1568</v>
      </c>
      <c r="R569" t="s">
        <v>1568</v>
      </c>
      <c r="S569" t="s">
        <v>1568</v>
      </c>
      <c r="T569" t="s">
        <v>1568</v>
      </c>
      <c r="U569" t="s">
        <v>1568</v>
      </c>
      <c r="V569" t="s">
        <v>1592</v>
      </c>
      <c r="W569" t="s">
        <v>748</v>
      </c>
      <c r="X569" t="s">
        <v>61</v>
      </c>
      <c r="Y569" t="s">
        <v>1587</v>
      </c>
    </row>
    <row r="570" spans="1:25" ht="16" x14ac:dyDescent="0.2">
      <c r="A570" t="s">
        <v>1568</v>
      </c>
      <c r="B570" t="s">
        <v>787</v>
      </c>
      <c r="C570" t="s">
        <v>1568</v>
      </c>
      <c r="D570" t="s">
        <v>1568</v>
      </c>
      <c r="E570" t="s">
        <v>36</v>
      </c>
      <c r="F570" t="s">
        <v>1689</v>
      </c>
      <c r="G570" t="s">
        <v>750</v>
      </c>
      <c r="H570" t="s">
        <v>1568</v>
      </c>
      <c r="I570" t="s">
        <v>751</v>
      </c>
      <c r="J570" t="s">
        <v>1568</v>
      </c>
      <c r="K570" t="s">
        <v>1568</v>
      </c>
      <c r="L570" t="s">
        <v>1568</v>
      </c>
      <c r="M570" t="s">
        <v>1568</v>
      </c>
      <c r="N570" t="s">
        <v>1568</v>
      </c>
      <c r="O570" t="s">
        <v>1568</v>
      </c>
      <c r="P570" t="s">
        <v>1568</v>
      </c>
      <c r="Q570" t="s">
        <v>1568</v>
      </c>
      <c r="R570" t="s">
        <v>1568</v>
      </c>
      <c r="S570" t="s">
        <v>1568</v>
      </c>
      <c r="T570" t="s">
        <v>1568</v>
      </c>
      <c r="U570" t="s">
        <v>1568</v>
      </c>
      <c r="V570" t="s">
        <v>1592</v>
      </c>
      <c r="W570" t="s">
        <v>752</v>
      </c>
      <c r="X570" t="s">
        <v>61</v>
      </c>
      <c r="Y570" t="s">
        <v>1587</v>
      </c>
    </row>
    <row r="571" spans="1:25" ht="16" x14ac:dyDescent="0.2">
      <c r="A571" t="s">
        <v>1568</v>
      </c>
      <c r="B571" t="s">
        <v>787</v>
      </c>
      <c r="C571" t="s">
        <v>1568</v>
      </c>
      <c r="D571" t="s">
        <v>1568</v>
      </c>
      <c r="E571" t="s">
        <v>43</v>
      </c>
      <c r="F571" t="s">
        <v>1689</v>
      </c>
      <c r="G571" t="s">
        <v>753</v>
      </c>
      <c r="H571" t="s">
        <v>1568</v>
      </c>
      <c r="I571" t="s">
        <v>754</v>
      </c>
      <c r="J571" t="s">
        <v>1568</v>
      </c>
      <c r="K571" t="s">
        <v>1568</v>
      </c>
      <c r="L571" t="s">
        <v>1568</v>
      </c>
      <c r="M571" t="s">
        <v>1568</v>
      </c>
      <c r="N571" t="s">
        <v>1568</v>
      </c>
      <c r="O571" t="s">
        <v>1568</v>
      </c>
      <c r="P571" t="s">
        <v>1568</v>
      </c>
      <c r="Q571" t="s">
        <v>1568</v>
      </c>
      <c r="R571" t="s">
        <v>1568</v>
      </c>
      <c r="S571" t="s">
        <v>1568</v>
      </c>
      <c r="T571" t="s">
        <v>1568</v>
      </c>
      <c r="U571" t="s">
        <v>1568</v>
      </c>
      <c r="V571" t="s">
        <v>1685</v>
      </c>
      <c r="W571" t="s">
        <v>755</v>
      </c>
      <c r="X571" t="s">
        <v>61</v>
      </c>
      <c r="Y571" t="s">
        <v>1587</v>
      </c>
    </row>
    <row r="572" spans="1:25" ht="16" x14ac:dyDescent="0.2">
      <c r="A572" t="s">
        <v>1568</v>
      </c>
      <c r="B572" t="s">
        <v>787</v>
      </c>
      <c r="C572" t="s">
        <v>1568</v>
      </c>
      <c r="D572" t="s">
        <v>1568</v>
      </c>
      <c r="E572" t="s">
        <v>47</v>
      </c>
      <c r="F572" t="s">
        <v>1689</v>
      </c>
      <c r="G572" t="s">
        <v>756</v>
      </c>
      <c r="H572" t="s">
        <v>1568</v>
      </c>
      <c r="I572" t="s">
        <v>757</v>
      </c>
      <c r="J572" t="s">
        <v>1568</v>
      </c>
      <c r="K572" t="s">
        <v>1568</v>
      </c>
      <c r="L572" t="s">
        <v>1568</v>
      </c>
      <c r="M572" t="s">
        <v>1568</v>
      </c>
      <c r="N572" t="s">
        <v>1568</v>
      </c>
      <c r="O572" t="s">
        <v>1568</v>
      </c>
      <c r="P572" t="s">
        <v>1568</v>
      </c>
      <c r="Q572" t="s">
        <v>1568</v>
      </c>
      <c r="R572" t="s">
        <v>1568</v>
      </c>
      <c r="S572" t="s">
        <v>1568</v>
      </c>
      <c r="T572" t="s">
        <v>1568</v>
      </c>
      <c r="U572" t="s">
        <v>1568</v>
      </c>
      <c r="V572" t="s">
        <v>1617</v>
      </c>
      <c r="W572" t="s">
        <v>758</v>
      </c>
      <c r="X572" t="s">
        <v>61</v>
      </c>
      <c r="Y572" t="s">
        <v>1587</v>
      </c>
    </row>
    <row r="573" spans="1:25" ht="16" x14ac:dyDescent="0.2">
      <c r="A573" t="s">
        <v>1568</v>
      </c>
      <c r="B573" t="s">
        <v>787</v>
      </c>
      <c r="C573" t="s">
        <v>1568</v>
      </c>
      <c r="D573" t="s">
        <v>1568</v>
      </c>
      <c r="E573" t="s">
        <v>51</v>
      </c>
      <c r="F573" t="s">
        <v>1689</v>
      </c>
      <c r="G573" t="s">
        <v>759</v>
      </c>
      <c r="H573" t="s">
        <v>1568</v>
      </c>
      <c r="I573" t="s">
        <v>760</v>
      </c>
      <c r="J573" t="s">
        <v>1568</v>
      </c>
      <c r="K573" t="s">
        <v>1568</v>
      </c>
      <c r="L573" t="s">
        <v>1568</v>
      </c>
      <c r="M573" t="s">
        <v>1568</v>
      </c>
      <c r="N573" t="s">
        <v>1568</v>
      </c>
      <c r="O573" t="s">
        <v>1568</v>
      </c>
      <c r="P573" t="s">
        <v>1568</v>
      </c>
      <c r="Q573" t="s">
        <v>1568</v>
      </c>
      <c r="R573" t="s">
        <v>1568</v>
      </c>
      <c r="S573" t="s">
        <v>1568</v>
      </c>
      <c r="T573" t="s">
        <v>1568</v>
      </c>
      <c r="U573" t="s">
        <v>1568</v>
      </c>
      <c r="V573" t="s">
        <v>1686</v>
      </c>
      <c r="W573" t="s">
        <v>761</v>
      </c>
      <c r="X573" t="s">
        <v>61</v>
      </c>
      <c r="Y573" t="s">
        <v>1587</v>
      </c>
    </row>
    <row r="574" spans="1:25" ht="16" x14ac:dyDescent="0.2">
      <c r="A574" t="s">
        <v>1568</v>
      </c>
      <c r="B574" t="s">
        <v>787</v>
      </c>
      <c r="C574" t="s">
        <v>1568</v>
      </c>
      <c r="D574" t="s">
        <v>1568</v>
      </c>
      <c r="E574" t="s">
        <v>55</v>
      </c>
      <c r="F574" t="s">
        <v>1689</v>
      </c>
      <c r="G574" t="s">
        <v>762</v>
      </c>
      <c r="H574" t="s">
        <v>1568</v>
      </c>
      <c r="I574" t="s">
        <v>763</v>
      </c>
      <c r="J574" t="s">
        <v>1568</v>
      </c>
      <c r="K574" t="s">
        <v>1568</v>
      </c>
      <c r="L574" t="s">
        <v>1568</v>
      </c>
      <c r="M574" t="s">
        <v>1568</v>
      </c>
      <c r="N574" t="s">
        <v>1568</v>
      </c>
      <c r="O574" t="s">
        <v>1568</v>
      </c>
      <c r="P574" t="s">
        <v>1568</v>
      </c>
      <c r="Q574" t="s">
        <v>1568</v>
      </c>
      <c r="R574" t="s">
        <v>1568</v>
      </c>
      <c r="S574" t="s">
        <v>1568</v>
      </c>
      <c r="T574" t="s">
        <v>1568</v>
      </c>
      <c r="U574" t="s">
        <v>1568</v>
      </c>
      <c r="V574" t="s">
        <v>1592</v>
      </c>
      <c r="W574" t="s">
        <v>764</v>
      </c>
      <c r="X574" t="s">
        <v>61</v>
      </c>
      <c r="Y574" t="s">
        <v>1587</v>
      </c>
    </row>
    <row r="575" spans="1:25" ht="16" x14ac:dyDescent="0.2">
      <c r="A575" t="s">
        <v>1568</v>
      </c>
      <c r="B575" t="s">
        <v>788</v>
      </c>
      <c r="C575" t="s">
        <v>1568</v>
      </c>
      <c r="D575" t="s">
        <v>1568</v>
      </c>
      <c r="E575" t="s">
        <v>36</v>
      </c>
      <c r="F575" t="s">
        <v>1690</v>
      </c>
      <c r="G575" t="s">
        <v>766</v>
      </c>
      <c r="H575" t="s">
        <v>1568</v>
      </c>
      <c r="I575" t="s">
        <v>767</v>
      </c>
      <c r="J575" t="s">
        <v>1568</v>
      </c>
      <c r="K575" t="s">
        <v>1568</v>
      </c>
      <c r="L575" t="s">
        <v>1568</v>
      </c>
      <c r="M575" t="s">
        <v>1568</v>
      </c>
      <c r="N575" t="s">
        <v>1568</v>
      </c>
      <c r="O575" t="s">
        <v>1568</v>
      </c>
      <c r="P575" t="s">
        <v>1568</v>
      </c>
      <c r="Q575" t="s">
        <v>1568</v>
      </c>
      <c r="R575" t="s">
        <v>1568</v>
      </c>
      <c r="S575" t="s">
        <v>1568</v>
      </c>
      <c r="T575" t="s">
        <v>1568</v>
      </c>
      <c r="U575" t="s">
        <v>1568</v>
      </c>
      <c r="V575" t="s">
        <v>1592</v>
      </c>
      <c r="W575" t="s">
        <v>768</v>
      </c>
      <c r="X575" t="s">
        <v>61</v>
      </c>
      <c r="Y575" t="s">
        <v>1587</v>
      </c>
    </row>
    <row r="576" spans="1:25" ht="16" x14ac:dyDescent="0.2">
      <c r="A576" t="s">
        <v>1568</v>
      </c>
      <c r="B576" t="s">
        <v>788</v>
      </c>
      <c r="C576" t="s">
        <v>1568</v>
      </c>
      <c r="D576" t="s">
        <v>1568</v>
      </c>
      <c r="E576" t="s">
        <v>43</v>
      </c>
      <c r="F576" t="s">
        <v>1690</v>
      </c>
      <c r="G576" t="s">
        <v>769</v>
      </c>
      <c r="H576" t="s">
        <v>1568</v>
      </c>
      <c r="I576" t="s">
        <v>770</v>
      </c>
      <c r="J576" t="s">
        <v>1568</v>
      </c>
      <c r="K576" t="s">
        <v>1568</v>
      </c>
      <c r="L576" t="s">
        <v>1568</v>
      </c>
      <c r="M576" t="s">
        <v>1568</v>
      </c>
      <c r="N576" t="s">
        <v>1568</v>
      </c>
      <c r="O576" t="s">
        <v>1568</v>
      </c>
      <c r="P576" t="s">
        <v>1568</v>
      </c>
      <c r="Q576" t="s">
        <v>1568</v>
      </c>
      <c r="R576" t="s">
        <v>1568</v>
      </c>
      <c r="S576" t="s">
        <v>1568</v>
      </c>
      <c r="T576" t="s">
        <v>1568</v>
      </c>
      <c r="U576" t="s">
        <v>1568</v>
      </c>
      <c r="V576" t="s">
        <v>1685</v>
      </c>
      <c r="W576" t="s">
        <v>771</v>
      </c>
      <c r="X576" t="s">
        <v>61</v>
      </c>
      <c r="Y576" t="s">
        <v>1587</v>
      </c>
    </row>
    <row r="577" spans="1:25" ht="16" x14ac:dyDescent="0.2">
      <c r="A577" t="s">
        <v>1568</v>
      </c>
      <c r="B577" t="s">
        <v>788</v>
      </c>
      <c r="C577" t="s">
        <v>1568</v>
      </c>
      <c r="D577" t="s">
        <v>1568</v>
      </c>
      <c r="E577" t="s">
        <v>47</v>
      </c>
      <c r="F577" t="s">
        <v>1690</v>
      </c>
      <c r="G577" t="s">
        <v>772</v>
      </c>
      <c r="H577" t="s">
        <v>1568</v>
      </c>
      <c r="I577" t="s">
        <v>773</v>
      </c>
      <c r="J577" t="s">
        <v>1568</v>
      </c>
      <c r="K577" t="s">
        <v>1568</v>
      </c>
      <c r="L577" t="s">
        <v>1568</v>
      </c>
      <c r="M577" t="s">
        <v>1568</v>
      </c>
      <c r="N577" t="s">
        <v>1568</v>
      </c>
      <c r="O577" t="s">
        <v>1568</v>
      </c>
      <c r="P577" t="s">
        <v>1568</v>
      </c>
      <c r="Q577" t="s">
        <v>1568</v>
      </c>
      <c r="R577" t="s">
        <v>1568</v>
      </c>
      <c r="S577" t="s">
        <v>1568</v>
      </c>
      <c r="T577" t="s">
        <v>1568</v>
      </c>
      <c r="U577" t="s">
        <v>1568</v>
      </c>
      <c r="V577" t="s">
        <v>1617</v>
      </c>
      <c r="W577" t="s">
        <v>774</v>
      </c>
      <c r="X577" t="s">
        <v>61</v>
      </c>
      <c r="Y577" t="s">
        <v>1587</v>
      </c>
    </row>
    <row r="578" spans="1:25" ht="16" x14ac:dyDescent="0.2">
      <c r="A578" t="s">
        <v>1568</v>
      </c>
      <c r="B578" t="s">
        <v>788</v>
      </c>
      <c r="C578" t="s">
        <v>1568</v>
      </c>
      <c r="D578" t="s">
        <v>1568</v>
      </c>
      <c r="E578" t="s">
        <v>51</v>
      </c>
      <c r="F578" t="s">
        <v>1690</v>
      </c>
      <c r="G578" t="s">
        <v>775</v>
      </c>
      <c r="H578" t="s">
        <v>1568</v>
      </c>
      <c r="I578" t="s">
        <v>776</v>
      </c>
      <c r="J578" t="s">
        <v>1568</v>
      </c>
      <c r="K578" t="s">
        <v>1568</v>
      </c>
      <c r="L578" t="s">
        <v>1568</v>
      </c>
      <c r="M578" t="s">
        <v>1568</v>
      </c>
      <c r="N578" t="s">
        <v>1568</v>
      </c>
      <c r="O578" t="s">
        <v>1568</v>
      </c>
      <c r="P578" t="s">
        <v>1568</v>
      </c>
      <c r="Q578" t="s">
        <v>1568</v>
      </c>
      <c r="R578" t="s">
        <v>1568</v>
      </c>
      <c r="S578" t="s">
        <v>1568</v>
      </c>
      <c r="T578" t="s">
        <v>1568</v>
      </c>
      <c r="U578" t="s">
        <v>1568</v>
      </c>
      <c r="V578" t="s">
        <v>1686</v>
      </c>
      <c r="W578" t="s">
        <v>777</v>
      </c>
      <c r="X578" t="s">
        <v>61</v>
      </c>
      <c r="Y578" t="s">
        <v>1587</v>
      </c>
    </row>
    <row r="579" spans="1:25" ht="16" x14ac:dyDescent="0.2">
      <c r="A579" t="s">
        <v>1568</v>
      </c>
      <c r="B579" t="s">
        <v>788</v>
      </c>
      <c r="C579" t="s">
        <v>1568</v>
      </c>
      <c r="D579" t="s">
        <v>1568</v>
      </c>
      <c r="E579" t="s">
        <v>55</v>
      </c>
      <c r="F579" t="s">
        <v>1690</v>
      </c>
      <c r="G579" t="s">
        <v>778</v>
      </c>
      <c r="H579" t="s">
        <v>1568</v>
      </c>
      <c r="I579" t="s">
        <v>779</v>
      </c>
      <c r="J579" t="s">
        <v>1568</v>
      </c>
      <c r="K579" t="s">
        <v>1568</v>
      </c>
      <c r="L579" t="s">
        <v>1568</v>
      </c>
      <c r="M579" t="s">
        <v>1568</v>
      </c>
      <c r="N579" t="s">
        <v>1568</v>
      </c>
      <c r="O579" t="s">
        <v>1568</v>
      </c>
      <c r="P579" t="s">
        <v>1568</v>
      </c>
      <c r="Q579" t="s">
        <v>1568</v>
      </c>
      <c r="R579" t="s">
        <v>1568</v>
      </c>
      <c r="S579" t="s">
        <v>1568</v>
      </c>
      <c r="T579" t="s">
        <v>1568</v>
      </c>
      <c r="U579" t="s">
        <v>1568</v>
      </c>
      <c r="V579" t="s">
        <v>1592</v>
      </c>
      <c r="W579" t="s">
        <v>780</v>
      </c>
      <c r="X579" t="s">
        <v>61</v>
      </c>
      <c r="Y579" t="s">
        <v>1587</v>
      </c>
    </row>
    <row r="580" spans="1:25" ht="16" x14ac:dyDescent="0.2">
      <c r="A580" t="s">
        <v>1568</v>
      </c>
      <c r="B580" t="s">
        <v>789</v>
      </c>
      <c r="C580" t="s">
        <v>1568</v>
      </c>
      <c r="D580" t="s">
        <v>1568</v>
      </c>
      <c r="E580" t="s">
        <v>47</v>
      </c>
      <c r="F580" t="s">
        <v>1659</v>
      </c>
      <c r="G580" t="s">
        <v>790</v>
      </c>
      <c r="H580" t="s">
        <v>1568</v>
      </c>
      <c r="I580" t="s">
        <v>791</v>
      </c>
      <c r="J580" t="s">
        <v>1568</v>
      </c>
      <c r="K580" t="s">
        <v>1568</v>
      </c>
      <c r="L580" t="s">
        <v>1568</v>
      </c>
      <c r="M580" t="s">
        <v>1568</v>
      </c>
      <c r="N580" t="s">
        <v>1568</v>
      </c>
      <c r="O580" t="s">
        <v>1568</v>
      </c>
      <c r="P580" t="s">
        <v>1568</v>
      </c>
      <c r="Q580" t="s">
        <v>1568</v>
      </c>
      <c r="R580" t="s">
        <v>1568</v>
      </c>
      <c r="S580" t="s">
        <v>1568</v>
      </c>
      <c r="T580" t="s">
        <v>1568</v>
      </c>
      <c r="U580" t="s">
        <v>1568</v>
      </c>
      <c r="V580" t="s">
        <v>1665</v>
      </c>
      <c r="W580" t="s">
        <v>792</v>
      </c>
      <c r="X580" t="s">
        <v>30</v>
      </c>
      <c r="Y580" t="s">
        <v>1572</v>
      </c>
    </row>
    <row r="581" spans="1:25" ht="16" x14ac:dyDescent="0.2">
      <c r="A581" t="s">
        <v>1568</v>
      </c>
      <c r="B581" t="s">
        <v>789</v>
      </c>
      <c r="C581" t="s">
        <v>1568</v>
      </c>
      <c r="D581" t="s">
        <v>1568</v>
      </c>
      <c r="E581" t="s">
        <v>51</v>
      </c>
      <c r="F581" t="s">
        <v>1659</v>
      </c>
      <c r="G581" t="s">
        <v>793</v>
      </c>
      <c r="H581" t="s">
        <v>1568</v>
      </c>
      <c r="I581" t="s">
        <v>794</v>
      </c>
      <c r="J581" t="s">
        <v>1568</v>
      </c>
      <c r="K581" t="s">
        <v>1568</v>
      </c>
      <c r="L581" t="s">
        <v>1568</v>
      </c>
      <c r="M581" t="s">
        <v>1568</v>
      </c>
      <c r="N581" t="s">
        <v>1568</v>
      </c>
      <c r="O581" t="s">
        <v>1568</v>
      </c>
      <c r="P581" t="s">
        <v>1568</v>
      </c>
      <c r="Q581" t="s">
        <v>1568</v>
      </c>
      <c r="R581" t="s">
        <v>1568</v>
      </c>
      <c r="S581" t="s">
        <v>1568</v>
      </c>
      <c r="T581" t="s">
        <v>1568</v>
      </c>
      <c r="U581" t="s">
        <v>1568</v>
      </c>
      <c r="V581" t="s">
        <v>1665</v>
      </c>
      <c r="W581" t="s">
        <v>795</v>
      </c>
      <c r="X581" t="s">
        <v>30</v>
      </c>
      <c r="Y581" t="s">
        <v>1572</v>
      </c>
    </row>
    <row r="582" spans="1:25" ht="16" x14ac:dyDescent="0.2">
      <c r="A582" t="s">
        <v>1568</v>
      </c>
      <c r="B582" t="s">
        <v>796</v>
      </c>
      <c r="C582" t="s">
        <v>1568</v>
      </c>
      <c r="D582" t="s">
        <v>1568</v>
      </c>
      <c r="E582" t="s">
        <v>36</v>
      </c>
      <c r="F582" t="s">
        <v>1659</v>
      </c>
      <c r="G582" t="s">
        <v>798</v>
      </c>
      <c r="H582" t="s">
        <v>1568</v>
      </c>
      <c r="I582" t="s">
        <v>799</v>
      </c>
      <c r="J582" t="s">
        <v>1568</v>
      </c>
      <c r="K582" t="s">
        <v>1568</v>
      </c>
      <c r="L582" t="s">
        <v>1568</v>
      </c>
      <c r="M582" t="s">
        <v>1568</v>
      </c>
      <c r="N582" t="s">
        <v>1568</v>
      </c>
      <c r="O582" t="s">
        <v>1568</v>
      </c>
      <c r="P582" t="s">
        <v>1568</v>
      </c>
      <c r="Q582" t="s">
        <v>1568</v>
      </c>
      <c r="R582" t="s">
        <v>1568</v>
      </c>
      <c r="S582" t="s">
        <v>1568</v>
      </c>
      <c r="T582" t="s">
        <v>1568</v>
      </c>
      <c r="U582" t="s">
        <v>1568</v>
      </c>
      <c r="V582" t="s">
        <v>51</v>
      </c>
      <c r="W582" t="s">
        <v>800</v>
      </c>
      <c r="X582" t="s">
        <v>30</v>
      </c>
      <c r="Y582" t="s">
        <v>1572</v>
      </c>
    </row>
    <row r="583" spans="1:25" ht="16" x14ac:dyDescent="0.2">
      <c r="A583" t="s">
        <v>1568</v>
      </c>
      <c r="B583" t="s">
        <v>796</v>
      </c>
      <c r="C583" t="s">
        <v>1568</v>
      </c>
      <c r="D583" t="s">
        <v>1568</v>
      </c>
      <c r="E583" t="s">
        <v>43</v>
      </c>
      <c r="F583" t="s">
        <v>1659</v>
      </c>
      <c r="G583" t="s">
        <v>801</v>
      </c>
      <c r="H583" t="s">
        <v>1568</v>
      </c>
      <c r="I583" t="s">
        <v>802</v>
      </c>
      <c r="J583" t="s">
        <v>1568</v>
      </c>
      <c r="K583" t="s">
        <v>1568</v>
      </c>
      <c r="L583" t="s">
        <v>1568</v>
      </c>
      <c r="M583" t="s">
        <v>1568</v>
      </c>
      <c r="N583" t="s">
        <v>1568</v>
      </c>
      <c r="O583" t="s">
        <v>1568</v>
      </c>
      <c r="P583" t="s">
        <v>1568</v>
      </c>
      <c r="Q583" t="s">
        <v>1568</v>
      </c>
      <c r="R583" t="s">
        <v>1568</v>
      </c>
      <c r="S583" t="s">
        <v>1568</v>
      </c>
      <c r="T583" t="s">
        <v>1568</v>
      </c>
      <c r="U583" t="s">
        <v>1568</v>
      </c>
      <c r="V583" t="s">
        <v>43</v>
      </c>
      <c r="W583" t="s">
        <v>803</v>
      </c>
      <c r="X583" t="s">
        <v>30</v>
      </c>
      <c r="Y583" t="s">
        <v>1572</v>
      </c>
    </row>
    <row r="584" spans="1:25" ht="16" x14ac:dyDescent="0.2">
      <c r="A584" t="s">
        <v>1568</v>
      </c>
      <c r="B584" t="s">
        <v>796</v>
      </c>
      <c r="C584" t="s">
        <v>1568</v>
      </c>
      <c r="D584" t="s">
        <v>1568</v>
      </c>
      <c r="E584" t="s">
        <v>47</v>
      </c>
      <c r="F584" t="s">
        <v>1659</v>
      </c>
      <c r="G584" t="s">
        <v>804</v>
      </c>
      <c r="H584" t="s">
        <v>1568</v>
      </c>
      <c r="I584" t="s">
        <v>805</v>
      </c>
      <c r="J584" t="s">
        <v>1568</v>
      </c>
      <c r="K584" t="s">
        <v>1568</v>
      </c>
      <c r="L584" t="s">
        <v>1568</v>
      </c>
      <c r="M584" t="s">
        <v>1568</v>
      </c>
      <c r="N584" t="s">
        <v>1568</v>
      </c>
      <c r="O584" t="s">
        <v>1568</v>
      </c>
      <c r="P584" t="s">
        <v>1568</v>
      </c>
      <c r="Q584" t="s">
        <v>1568</v>
      </c>
      <c r="R584" t="s">
        <v>1568</v>
      </c>
      <c r="S584" t="s">
        <v>1568</v>
      </c>
      <c r="T584" t="s">
        <v>1568</v>
      </c>
      <c r="U584" t="s">
        <v>1568</v>
      </c>
      <c r="V584" t="s">
        <v>1665</v>
      </c>
      <c r="W584" t="s">
        <v>806</v>
      </c>
      <c r="X584" t="s">
        <v>30</v>
      </c>
      <c r="Y584" t="s">
        <v>1572</v>
      </c>
    </row>
    <row r="585" spans="1:25" ht="16" x14ac:dyDescent="0.2">
      <c r="A585" t="s">
        <v>1568</v>
      </c>
      <c r="B585" t="s">
        <v>796</v>
      </c>
      <c r="C585" t="s">
        <v>1568</v>
      </c>
      <c r="D585" t="s">
        <v>1568</v>
      </c>
      <c r="E585" t="s">
        <v>51</v>
      </c>
      <c r="F585" t="s">
        <v>1659</v>
      </c>
      <c r="G585" t="s">
        <v>807</v>
      </c>
      <c r="H585" t="s">
        <v>1568</v>
      </c>
      <c r="I585" t="s">
        <v>808</v>
      </c>
      <c r="J585" t="s">
        <v>1568</v>
      </c>
      <c r="K585" t="s">
        <v>1568</v>
      </c>
      <c r="L585" t="s">
        <v>1568</v>
      </c>
      <c r="M585" t="s">
        <v>1568</v>
      </c>
      <c r="N585" t="s">
        <v>1568</v>
      </c>
      <c r="O585" t="s">
        <v>1568</v>
      </c>
      <c r="P585" t="s">
        <v>1568</v>
      </c>
      <c r="Q585" t="s">
        <v>1568</v>
      </c>
      <c r="R585" t="s">
        <v>1568</v>
      </c>
      <c r="S585" t="s">
        <v>1568</v>
      </c>
      <c r="T585" t="s">
        <v>1568</v>
      </c>
      <c r="U585" t="s">
        <v>1568</v>
      </c>
      <c r="V585" t="s">
        <v>43</v>
      </c>
      <c r="W585" t="s">
        <v>809</v>
      </c>
      <c r="X585" t="s">
        <v>30</v>
      </c>
      <c r="Y585" t="s">
        <v>1572</v>
      </c>
    </row>
    <row r="586" spans="1:25" ht="16" x14ac:dyDescent="0.2">
      <c r="A586" t="s">
        <v>1568</v>
      </c>
      <c r="B586" t="s">
        <v>796</v>
      </c>
      <c r="C586" t="s">
        <v>1568</v>
      </c>
      <c r="D586" t="s">
        <v>1568</v>
      </c>
      <c r="E586" t="s">
        <v>55</v>
      </c>
      <c r="F586" t="s">
        <v>1659</v>
      </c>
      <c r="G586" t="s">
        <v>810</v>
      </c>
      <c r="H586" t="s">
        <v>1568</v>
      </c>
      <c r="I586" t="s">
        <v>811</v>
      </c>
      <c r="J586" t="s">
        <v>1568</v>
      </c>
      <c r="K586" t="s">
        <v>1568</v>
      </c>
      <c r="L586" t="s">
        <v>1568</v>
      </c>
      <c r="M586" t="s">
        <v>1568</v>
      </c>
      <c r="N586" t="s">
        <v>1568</v>
      </c>
      <c r="O586" t="s">
        <v>1568</v>
      </c>
      <c r="P586" t="s">
        <v>1568</v>
      </c>
      <c r="Q586" t="s">
        <v>1568</v>
      </c>
      <c r="R586" t="s">
        <v>1568</v>
      </c>
      <c r="S586" t="s">
        <v>1568</v>
      </c>
      <c r="T586" t="s">
        <v>1568</v>
      </c>
      <c r="U586" t="s">
        <v>1568</v>
      </c>
      <c r="V586" t="s">
        <v>55</v>
      </c>
      <c r="W586" t="s">
        <v>812</v>
      </c>
      <c r="X586" t="s">
        <v>30</v>
      </c>
      <c r="Y586" t="s">
        <v>1572</v>
      </c>
    </row>
    <row r="587" spans="1:25" ht="16" x14ac:dyDescent="0.2">
      <c r="A587" t="s">
        <v>1568</v>
      </c>
      <c r="B587" t="s">
        <v>813</v>
      </c>
      <c r="C587" t="s">
        <v>1568</v>
      </c>
      <c r="D587" t="s">
        <v>1568</v>
      </c>
      <c r="E587" t="s">
        <v>36</v>
      </c>
      <c r="F587" t="s">
        <v>1659</v>
      </c>
      <c r="G587" t="s">
        <v>814</v>
      </c>
      <c r="H587" t="s">
        <v>1568</v>
      </c>
      <c r="I587" t="s">
        <v>815</v>
      </c>
      <c r="J587" t="s">
        <v>1568</v>
      </c>
      <c r="K587" t="s">
        <v>1568</v>
      </c>
      <c r="L587" t="s">
        <v>1568</v>
      </c>
      <c r="M587" t="s">
        <v>1568</v>
      </c>
      <c r="N587" t="s">
        <v>1568</v>
      </c>
      <c r="O587" t="s">
        <v>1568</v>
      </c>
      <c r="P587" t="s">
        <v>1568</v>
      </c>
      <c r="Q587" t="s">
        <v>1568</v>
      </c>
      <c r="R587" t="s">
        <v>1568</v>
      </c>
      <c r="S587" t="s">
        <v>1568</v>
      </c>
      <c r="T587" t="s">
        <v>1568</v>
      </c>
      <c r="U587" t="s">
        <v>1568</v>
      </c>
      <c r="V587" t="s">
        <v>1691</v>
      </c>
      <c r="W587" t="s">
        <v>816</v>
      </c>
      <c r="X587" t="s">
        <v>30</v>
      </c>
      <c r="Y587" t="s">
        <v>1572</v>
      </c>
    </row>
    <row r="588" spans="1:25" ht="16" x14ac:dyDescent="0.2">
      <c r="A588" t="s">
        <v>1568</v>
      </c>
      <c r="B588" t="s">
        <v>813</v>
      </c>
      <c r="C588" t="s">
        <v>1568</v>
      </c>
      <c r="D588" t="s">
        <v>1568</v>
      </c>
      <c r="E588" t="s">
        <v>43</v>
      </c>
      <c r="F588" t="s">
        <v>1659</v>
      </c>
      <c r="G588" t="s">
        <v>817</v>
      </c>
      <c r="H588" t="s">
        <v>1568</v>
      </c>
      <c r="I588" t="s">
        <v>818</v>
      </c>
      <c r="J588" t="s">
        <v>1568</v>
      </c>
      <c r="K588" t="s">
        <v>1568</v>
      </c>
      <c r="L588" t="s">
        <v>1568</v>
      </c>
      <c r="M588" t="s">
        <v>1568</v>
      </c>
      <c r="N588" t="s">
        <v>1568</v>
      </c>
      <c r="O588" t="s">
        <v>1568</v>
      </c>
      <c r="P588" t="s">
        <v>1568</v>
      </c>
      <c r="Q588" t="s">
        <v>1568</v>
      </c>
      <c r="R588" t="s">
        <v>1568</v>
      </c>
      <c r="S588" t="s">
        <v>1568</v>
      </c>
      <c r="T588" t="s">
        <v>1568</v>
      </c>
      <c r="U588" t="s">
        <v>1568</v>
      </c>
      <c r="V588" t="s">
        <v>1692</v>
      </c>
      <c r="W588" t="s">
        <v>819</v>
      </c>
      <c r="X588" t="s">
        <v>30</v>
      </c>
      <c r="Y588" t="s">
        <v>1572</v>
      </c>
    </row>
    <row r="589" spans="1:25" ht="16" x14ac:dyDescent="0.2">
      <c r="A589" t="s">
        <v>1568</v>
      </c>
      <c r="B589" t="s">
        <v>813</v>
      </c>
      <c r="C589" t="s">
        <v>1568</v>
      </c>
      <c r="D589" t="s">
        <v>1568</v>
      </c>
      <c r="E589" t="s">
        <v>47</v>
      </c>
      <c r="F589" t="s">
        <v>1659</v>
      </c>
      <c r="G589" t="s">
        <v>820</v>
      </c>
      <c r="H589" t="s">
        <v>1568</v>
      </c>
      <c r="I589" t="s">
        <v>821</v>
      </c>
      <c r="J589" t="s">
        <v>1568</v>
      </c>
      <c r="K589" t="s">
        <v>1568</v>
      </c>
      <c r="L589" t="s">
        <v>1568</v>
      </c>
      <c r="M589" t="s">
        <v>1568</v>
      </c>
      <c r="N589" t="s">
        <v>1568</v>
      </c>
      <c r="O589" t="s">
        <v>1568</v>
      </c>
      <c r="P589" t="s">
        <v>1568</v>
      </c>
      <c r="Q589" t="s">
        <v>1568</v>
      </c>
      <c r="R589" t="s">
        <v>1568</v>
      </c>
      <c r="S589" t="s">
        <v>1568</v>
      </c>
      <c r="T589" t="s">
        <v>1568</v>
      </c>
      <c r="U589" t="s">
        <v>1568</v>
      </c>
      <c r="V589" t="s">
        <v>1693</v>
      </c>
      <c r="W589" t="s">
        <v>822</v>
      </c>
      <c r="X589" t="s">
        <v>30</v>
      </c>
      <c r="Y589" t="s">
        <v>1572</v>
      </c>
    </row>
    <row r="590" spans="1:25" ht="16" x14ac:dyDescent="0.2">
      <c r="A590" t="s">
        <v>1568</v>
      </c>
      <c r="B590" t="s">
        <v>813</v>
      </c>
      <c r="C590" t="s">
        <v>1568</v>
      </c>
      <c r="D590" t="s">
        <v>1568</v>
      </c>
      <c r="E590" t="s">
        <v>51</v>
      </c>
      <c r="F590" t="s">
        <v>1659</v>
      </c>
      <c r="G590" t="s">
        <v>823</v>
      </c>
      <c r="H590" t="s">
        <v>1568</v>
      </c>
      <c r="I590" t="s">
        <v>824</v>
      </c>
      <c r="J590" t="s">
        <v>1568</v>
      </c>
      <c r="K590" t="s">
        <v>1568</v>
      </c>
      <c r="L590" t="s">
        <v>1568</v>
      </c>
      <c r="M590" t="s">
        <v>1568</v>
      </c>
      <c r="N590" t="s">
        <v>1568</v>
      </c>
      <c r="O590" t="s">
        <v>1568</v>
      </c>
      <c r="P590" t="s">
        <v>1568</v>
      </c>
      <c r="Q590" t="s">
        <v>1568</v>
      </c>
      <c r="R590" t="s">
        <v>1568</v>
      </c>
      <c r="S590" t="s">
        <v>1568</v>
      </c>
      <c r="T590" t="s">
        <v>1568</v>
      </c>
      <c r="U590" t="s">
        <v>1568</v>
      </c>
      <c r="V590" t="s">
        <v>1694</v>
      </c>
      <c r="W590" t="s">
        <v>825</v>
      </c>
      <c r="X590" t="s">
        <v>30</v>
      </c>
      <c r="Y590" t="s">
        <v>1572</v>
      </c>
    </row>
    <row r="591" spans="1:25" ht="16" x14ac:dyDescent="0.2">
      <c r="A591" t="s">
        <v>1568</v>
      </c>
      <c r="B591" t="s">
        <v>813</v>
      </c>
      <c r="C591" t="s">
        <v>1568</v>
      </c>
      <c r="D591" t="s">
        <v>1568</v>
      </c>
      <c r="E591" t="s">
        <v>55</v>
      </c>
      <c r="F591" t="s">
        <v>1659</v>
      </c>
      <c r="G591" t="s">
        <v>826</v>
      </c>
      <c r="H591" t="s">
        <v>1568</v>
      </c>
      <c r="I591" t="s">
        <v>827</v>
      </c>
      <c r="J591" t="s">
        <v>1568</v>
      </c>
      <c r="K591" t="s">
        <v>1568</v>
      </c>
      <c r="L591" t="s">
        <v>1568</v>
      </c>
      <c r="M591" t="s">
        <v>1568</v>
      </c>
      <c r="N591" t="s">
        <v>1568</v>
      </c>
      <c r="O591" t="s">
        <v>1568</v>
      </c>
      <c r="P591" t="s">
        <v>1568</v>
      </c>
      <c r="Q591" t="s">
        <v>1568</v>
      </c>
      <c r="R591" t="s">
        <v>1568</v>
      </c>
      <c r="S591" t="s">
        <v>1568</v>
      </c>
      <c r="T591" t="s">
        <v>1568</v>
      </c>
      <c r="U591" t="s">
        <v>1568</v>
      </c>
      <c r="V591" t="s">
        <v>1592</v>
      </c>
      <c r="W591" t="s">
        <v>828</v>
      </c>
      <c r="X591" t="s">
        <v>30</v>
      </c>
      <c r="Y591" t="s">
        <v>1572</v>
      </c>
    </row>
    <row r="592" spans="1:25" ht="16" x14ac:dyDescent="0.2">
      <c r="A592" t="s">
        <v>1568</v>
      </c>
      <c r="B592" t="s">
        <v>829</v>
      </c>
      <c r="C592" t="s">
        <v>1568</v>
      </c>
      <c r="D592" t="s">
        <v>1568</v>
      </c>
      <c r="E592" t="s">
        <v>36</v>
      </c>
      <c r="F592" t="s">
        <v>1659</v>
      </c>
      <c r="G592" t="s">
        <v>830</v>
      </c>
      <c r="H592" t="s">
        <v>1568</v>
      </c>
      <c r="I592" t="s">
        <v>831</v>
      </c>
      <c r="J592" t="s">
        <v>1568</v>
      </c>
      <c r="K592" t="s">
        <v>1568</v>
      </c>
      <c r="L592" t="s">
        <v>1568</v>
      </c>
      <c r="M592" t="s">
        <v>1568</v>
      </c>
      <c r="N592" t="s">
        <v>1568</v>
      </c>
      <c r="O592" t="s">
        <v>1568</v>
      </c>
      <c r="P592" t="s">
        <v>1568</v>
      </c>
      <c r="Q592" t="s">
        <v>1568</v>
      </c>
      <c r="R592" t="s">
        <v>1568</v>
      </c>
      <c r="S592" t="s">
        <v>1568</v>
      </c>
      <c r="T592" t="s">
        <v>1568</v>
      </c>
      <c r="U592" t="s">
        <v>1568</v>
      </c>
      <c r="V592" t="s">
        <v>1695</v>
      </c>
      <c r="W592" t="s">
        <v>832</v>
      </c>
      <c r="X592" t="s">
        <v>30</v>
      </c>
      <c r="Y592" t="s">
        <v>1572</v>
      </c>
    </row>
    <row r="593" spans="1:25" ht="16" x14ac:dyDescent="0.2">
      <c r="A593" t="s">
        <v>1568</v>
      </c>
      <c r="B593" t="s">
        <v>829</v>
      </c>
      <c r="C593" t="s">
        <v>1568</v>
      </c>
      <c r="D593" t="s">
        <v>1568</v>
      </c>
      <c r="E593" t="s">
        <v>43</v>
      </c>
      <c r="F593" t="s">
        <v>1659</v>
      </c>
      <c r="G593" t="s">
        <v>833</v>
      </c>
      <c r="H593" t="s">
        <v>1568</v>
      </c>
      <c r="I593" t="s">
        <v>834</v>
      </c>
      <c r="J593" t="s">
        <v>1568</v>
      </c>
      <c r="K593" t="s">
        <v>1568</v>
      </c>
      <c r="L593" t="s">
        <v>1568</v>
      </c>
      <c r="M593" t="s">
        <v>1568</v>
      </c>
      <c r="N593" t="s">
        <v>1568</v>
      </c>
      <c r="O593" t="s">
        <v>1568</v>
      </c>
      <c r="P593" t="s">
        <v>1568</v>
      </c>
      <c r="Q593" t="s">
        <v>1568</v>
      </c>
      <c r="R593" t="s">
        <v>1568</v>
      </c>
      <c r="S593" t="s">
        <v>1568</v>
      </c>
      <c r="T593" t="s">
        <v>1568</v>
      </c>
      <c r="U593" t="s">
        <v>1568</v>
      </c>
      <c r="V593" t="s">
        <v>1665</v>
      </c>
      <c r="W593" t="s">
        <v>835</v>
      </c>
      <c r="X593" t="s">
        <v>30</v>
      </c>
      <c r="Y593" t="s">
        <v>1572</v>
      </c>
    </row>
    <row r="594" spans="1:25" ht="16" x14ac:dyDescent="0.2">
      <c r="A594" t="s">
        <v>1568</v>
      </c>
      <c r="B594" t="s">
        <v>829</v>
      </c>
      <c r="C594" t="s">
        <v>1568</v>
      </c>
      <c r="D594" t="s">
        <v>1568</v>
      </c>
      <c r="E594" t="s">
        <v>47</v>
      </c>
      <c r="F594" t="s">
        <v>1659</v>
      </c>
      <c r="G594" t="s">
        <v>836</v>
      </c>
      <c r="H594" t="s">
        <v>1568</v>
      </c>
      <c r="I594" t="s">
        <v>837</v>
      </c>
      <c r="J594" t="s">
        <v>1568</v>
      </c>
      <c r="K594" t="s">
        <v>1568</v>
      </c>
      <c r="L594" t="s">
        <v>1568</v>
      </c>
      <c r="M594" t="s">
        <v>1568</v>
      </c>
      <c r="N594" t="s">
        <v>1568</v>
      </c>
      <c r="O594" t="s">
        <v>1568</v>
      </c>
      <c r="P594" t="s">
        <v>1568</v>
      </c>
      <c r="Q594" t="s">
        <v>1568</v>
      </c>
      <c r="R594" t="s">
        <v>1568</v>
      </c>
      <c r="S594" t="s">
        <v>1568</v>
      </c>
      <c r="T594" t="s">
        <v>1568</v>
      </c>
      <c r="U594" t="s">
        <v>1568</v>
      </c>
      <c r="V594" t="s">
        <v>47</v>
      </c>
      <c r="W594" t="s">
        <v>838</v>
      </c>
      <c r="X594" t="s">
        <v>30</v>
      </c>
      <c r="Y594" t="s">
        <v>1572</v>
      </c>
    </row>
    <row r="595" spans="1:25" ht="16" x14ac:dyDescent="0.2">
      <c r="A595" t="s">
        <v>1568</v>
      </c>
      <c r="B595" t="s">
        <v>829</v>
      </c>
      <c r="C595" t="s">
        <v>1568</v>
      </c>
      <c r="D595" t="s">
        <v>1568</v>
      </c>
      <c r="E595" t="s">
        <v>51</v>
      </c>
      <c r="F595" t="s">
        <v>1659</v>
      </c>
      <c r="G595" t="s">
        <v>839</v>
      </c>
      <c r="H595" t="s">
        <v>1568</v>
      </c>
      <c r="I595" t="s">
        <v>840</v>
      </c>
      <c r="J595" t="s">
        <v>1568</v>
      </c>
      <c r="K595" t="s">
        <v>1568</v>
      </c>
      <c r="L595" t="s">
        <v>1568</v>
      </c>
      <c r="M595" t="s">
        <v>1568</v>
      </c>
      <c r="N595" t="s">
        <v>1568</v>
      </c>
      <c r="O595" t="s">
        <v>1568</v>
      </c>
      <c r="P595" t="s">
        <v>1568</v>
      </c>
      <c r="Q595" t="s">
        <v>1568</v>
      </c>
      <c r="R595" t="s">
        <v>1568</v>
      </c>
      <c r="S595" t="s">
        <v>1568</v>
      </c>
      <c r="T595" t="s">
        <v>1568</v>
      </c>
      <c r="U595" t="s">
        <v>1568</v>
      </c>
      <c r="V595" t="s">
        <v>1665</v>
      </c>
      <c r="W595" t="s">
        <v>841</v>
      </c>
      <c r="X595" t="s">
        <v>30</v>
      </c>
      <c r="Y595" t="s">
        <v>1572</v>
      </c>
    </row>
    <row r="596" spans="1:25" ht="16" x14ac:dyDescent="0.2">
      <c r="A596" t="s">
        <v>1568</v>
      </c>
      <c r="B596" t="s">
        <v>829</v>
      </c>
      <c r="C596" t="s">
        <v>1568</v>
      </c>
      <c r="D596" t="s">
        <v>1568</v>
      </c>
      <c r="E596" t="s">
        <v>55</v>
      </c>
      <c r="F596" t="s">
        <v>1659</v>
      </c>
      <c r="G596" t="s">
        <v>842</v>
      </c>
      <c r="H596" t="s">
        <v>1568</v>
      </c>
      <c r="I596" t="s">
        <v>843</v>
      </c>
      <c r="J596" t="s">
        <v>1568</v>
      </c>
      <c r="K596" t="s">
        <v>1568</v>
      </c>
      <c r="L596" t="s">
        <v>1568</v>
      </c>
      <c r="M596" t="s">
        <v>1568</v>
      </c>
      <c r="N596" t="s">
        <v>1568</v>
      </c>
      <c r="O596" t="s">
        <v>1568</v>
      </c>
      <c r="P596" t="s">
        <v>1568</v>
      </c>
      <c r="Q596" t="s">
        <v>1568</v>
      </c>
      <c r="R596" t="s">
        <v>1568</v>
      </c>
      <c r="S596" t="s">
        <v>1568</v>
      </c>
      <c r="T596" t="s">
        <v>1568</v>
      </c>
      <c r="U596" t="s">
        <v>1568</v>
      </c>
      <c r="V596" t="s">
        <v>1696</v>
      </c>
      <c r="W596" t="s">
        <v>844</v>
      </c>
      <c r="X596" t="s">
        <v>30</v>
      </c>
      <c r="Y596" t="s">
        <v>1572</v>
      </c>
    </row>
    <row r="597" spans="1:25" ht="16" x14ac:dyDescent="0.2">
      <c r="A597" t="s">
        <v>1568</v>
      </c>
      <c r="B597" t="s">
        <v>845</v>
      </c>
      <c r="C597" t="s">
        <v>1568</v>
      </c>
      <c r="D597" t="s">
        <v>1568</v>
      </c>
      <c r="E597" t="s">
        <v>36</v>
      </c>
      <c r="F597" t="s">
        <v>1659</v>
      </c>
      <c r="G597" t="s">
        <v>846</v>
      </c>
      <c r="H597" t="s">
        <v>1568</v>
      </c>
      <c r="I597" t="s">
        <v>847</v>
      </c>
      <c r="J597" t="s">
        <v>1568</v>
      </c>
      <c r="K597" t="s">
        <v>1568</v>
      </c>
      <c r="L597" t="s">
        <v>1568</v>
      </c>
      <c r="M597" t="s">
        <v>1568</v>
      </c>
      <c r="N597" t="s">
        <v>1568</v>
      </c>
      <c r="O597" t="s">
        <v>1568</v>
      </c>
      <c r="P597" t="s">
        <v>1568</v>
      </c>
      <c r="Q597" t="s">
        <v>1568</v>
      </c>
      <c r="R597" t="s">
        <v>1568</v>
      </c>
      <c r="S597" t="s">
        <v>1568</v>
      </c>
      <c r="T597" t="s">
        <v>1568</v>
      </c>
      <c r="U597" t="s">
        <v>1568</v>
      </c>
      <c r="V597" t="s">
        <v>1665</v>
      </c>
      <c r="W597" t="s">
        <v>848</v>
      </c>
      <c r="X597" t="s">
        <v>30</v>
      </c>
      <c r="Y597" t="s">
        <v>1572</v>
      </c>
    </row>
    <row r="598" spans="1:25" ht="16" x14ac:dyDescent="0.2">
      <c r="A598" t="s">
        <v>1568</v>
      </c>
      <c r="B598" t="s">
        <v>845</v>
      </c>
      <c r="C598" t="s">
        <v>1568</v>
      </c>
      <c r="D598" t="s">
        <v>1568</v>
      </c>
      <c r="E598" t="s">
        <v>43</v>
      </c>
      <c r="F598" t="s">
        <v>1659</v>
      </c>
      <c r="G598" t="s">
        <v>849</v>
      </c>
      <c r="H598" t="s">
        <v>1568</v>
      </c>
      <c r="I598" t="s">
        <v>850</v>
      </c>
      <c r="J598" t="s">
        <v>1568</v>
      </c>
      <c r="K598" t="s">
        <v>1568</v>
      </c>
      <c r="L598" t="s">
        <v>1568</v>
      </c>
      <c r="M598" t="s">
        <v>1568</v>
      </c>
      <c r="N598" t="s">
        <v>1568</v>
      </c>
      <c r="O598" t="s">
        <v>1568</v>
      </c>
      <c r="P598" t="s">
        <v>1568</v>
      </c>
      <c r="Q598" t="s">
        <v>1568</v>
      </c>
      <c r="R598" t="s">
        <v>1568</v>
      </c>
      <c r="S598" t="s">
        <v>1568</v>
      </c>
      <c r="T598" t="s">
        <v>1568</v>
      </c>
      <c r="U598" t="s">
        <v>1568</v>
      </c>
      <c r="V598" t="s">
        <v>1665</v>
      </c>
      <c r="W598" t="s">
        <v>851</v>
      </c>
      <c r="X598" t="s">
        <v>30</v>
      </c>
      <c r="Y598" t="s">
        <v>1572</v>
      </c>
    </row>
    <row r="599" spans="1:25" ht="16" x14ac:dyDescent="0.2">
      <c r="A599" t="s">
        <v>1568</v>
      </c>
      <c r="B599" t="s">
        <v>845</v>
      </c>
      <c r="C599" t="s">
        <v>1568</v>
      </c>
      <c r="D599" t="s">
        <v>1568</v>
      </c>
      <c r="E599" t="s">
        <v>47</v>
      </c>
      <c r="F599" t="s">
        <v>1659</v>
      </c>
      <c r="G599" t="s">
        <v>852</v>
      </c>
      <c r="H599" t="s">
        <v>1568</v>
      </c>
      <c r="I599" t="s">
        <v>853</v>
      </c>
      <c r="J599" t="s">
        <v>1568</v>
      </c>
      <c r="K599" t="s">
        <v>1568</v>
      </c>
      <c r="L599" t="s">
        <v>1568</v>
      </c>
      <c r="M599" t="s">
        <v>1568</v>
      </c>
      <c r="N599" t="s">
        <v>1568</v>
      </c>
      <c r="O599" t="s">
        <v>1568</v>
      </c>
      <c r="P599" t="s">
        <v>1568</v>
      </c>
      <c r="Q599" t="s">
        <v>1568</v>
      </c>
      <c r="R599" t="s">
        <v>1568</v>
      </c>
      <c r="S599" t="s">
        <v>1568</v>
      </c>
      <c r="T599" t="s">
        <v>1568</v>
      </c>
      <c r="U599" t="s">
        <v>1568</v>
      </c>
      <c r="V599" t="s">
        <v>1665</v>
      </c>
      <c r="W599" t="s">
        <v>854</v>
      </c>
      <c r="X599" t="s">
        <v>30</v>
      </c>
      <c r="Y599" t="s">
        <v>1572</v>
      </c>
    </row>
    <row r="600" spans="1:25" ht="16" x14ac:dyDescent="0.2">
      <c r="A600" t="s">
        <v>1568</v>
      </c>
      <c r="B600" t="s">
        <v>845</v>
      </c>
      <c r="C600" t="s">
        <v>1568</v>
      </c>
      <c r="D600" t="s">
        <v>1568</v>
      </c>
      <c r="E600" t="s">
        <v>51</v>
      </c>
      <c r="F600" t="s">
        <v>1659</v>
      </c>
      <c r="G600" t="s">
        <v>855</v>
      </c>
      <c r="H600" t="s">
        <v>1568</v>
      </c>
      <c r="I600" t="s">
        <v>856</v>
      </c>
      <c r="J600" t="s">
        <v>1568</v>
      </c>
      <c r="K600" t="s">
        <v>1568</v>
      </c>
      <c r="L600" t="s">
        <v>1568</v>
      </c>
      <c r="M600" t="s">
        <v>1568</v>
      </c>
      <c r="N600" t="s">
        <v>1568</v>
      </c>
      <c r="O600" t="s">
        <v>1568</v>
      </c>
      <c r="P600" t="s">
        <v>1568</v>
      </c>
      <c r="Q600" t="s">
        <v>1568</v>
      </c>
      <c r="R600" t="s">
        <v>1568</v>
      </c>
      <c r="S600" t="s">
        <v>1568</v>
      </c>
      <c r="T600" t="s">
        <v>1568</v>
      </c>
      <c r="U600" t="s">
        <v>1568</v>
      </c>
      <c r="V600" t="s">
        <v>1665</v>
      </c>
      <c r="W600" t="s">
        <v>857</v>
      </c>
      <c r="X600" t="s">
        <v>30</v>
      </c>
      <c r="Y600" t="s">
        <v>1572</v>
      </c>
    </row>
    <row r="601" spans="1:25" ht="16" x14ac:dyDescent="0.2">
      <c r="A601" t="s">
        <v>1568</v>
      </c>
      <c r="B601" t="s">
        <v>845</v>
      </c>
      <c r="C601" t="s">
        <v>1568</v>
      </c>
      <c r="D601" t="s">
        <v>1568</v>
      </c>
      <c r="E601" t="s">
        <v>55</v>
      </c>
      <c r="F601" t="s">
        <v>1659</v>
      </c>
      <c r="G601" t="s">
        <v>858</v>
      </c>
      <c r="H601" t="s">
        <v>1568</v>
      </c>
      <c r="I601" t="s">
        <v>859</v>
      </c>
      <c r="J601" t="s">
        <v>1568</v>
      </c>
      <c r="K601" t="s">
        <v>1568</v>
      </c>
      <c r="L601" t="s">
        <v>1568</v>
      </c>
      <c r="M601" t="s">
        <v>1568</v>
      </c>
      <c r="N601" t="s">
        <v>1568</v>
      </c>
      <c r="O601" t="s">
        <v>1568</v>
      </c>
      <c r="P601" t="s">
        <v>1568</v>
      </c>
      <c r="Q601" t="s">
        <v>1568</v>
      </c>
      <c r="R601" t="s">
        <v>1568</v>
      </c>
      <c r="S601" t="s">
        <v>1568</v>
      </c>
      <c r="T601" t="s">
        <v>1568</v>
      </c>
      <c r="U601" t="s">
        <v>1568</v>
      </c>
      <c r="V601" t="s">
        <v>1665</v>
      </c>
      <c r="W601" t="s">
        <v>860</v>
      </c>
      <c r="X601" t="s">
        <v>30</v>
      </c>
      <c r="Y601" t="s">
        <v>1572</v>
      </c>
    </row>
    <row r="602" spans="1:25" ht="16" x14ac:dyDescent="0.2">
      <c r="A602" t="s">
        <v>1568</v>
      </c>
      <c r="B602" t="s">
        <v>861</v>
      </c>
      <c r="C602" t="s">
        <v>1568</v>
      </c>
      <c r="D602" t="s">
        <v>1568</v>
      </c>
      <c r="E602" t="s">
        <v>36</v>
      </c>
      <c r="F602" t="s">
        <v>1659</v>
      </c>
      <c r="G602" t="s">
        <v>798</v>
      </c>
      <c r="H602" t="s">
        <v>1568</v>
      </c>
      <c r="I602" t="s">
        <v>799</v>
      </c>
      <c r="J602" t="s">
        <v>1568</v>
      </c>
      <c r="K602" t="s">
        <v>1568</v>
      </c>
      <c r="L602" t="s">
        <v>1568</v>
      </c>
      <c r="M602" t="s">
        <v>1568</v>
      </c>
      <c r="N602" t="s">
        <v>1568</v>
      </c>
      <c r="O602" t="s">
        <v>1568</v>
      </c>
      <c r="P602" t="s">
        <v>1568</v>
      </c>
      <c r="Q602" t="s">
        <v>1568</v>
      </c>
      <c r="R602" t="s">
        <v>1568</v>
      </c>
      <c r="S602" t="s">
        <v>1568</v>
      </c>
      <c r="T602" t="s">
        <v>1568</v>
      </c>
      <c r="U602" t="s">
        <v>1568</v>
      </c>
      <c r="V602" t="s">
        <v>1665</v>
      </c>
      <c r="W602" t="s">
        <v>800</v>
      </c>
      <c r="X602" t="s">
        <v>59</v>
      </c>
      <c r="Y602" t="s">
        <v>1581</v>
      </c>
    </row>
    <row r="603" spans="1:25" ht="16" x14ac:dyDescent="0.2">
      <c r="A603" t="s">
        <v>1568</v>
      </c>
      <c r="B603" t="s">
        <v>861</v>
      </c>
      <c r="C603" t="s">
        <v>1568</v>
      </c>
      <c r="D603" t="s">
        <v>1568</v>
      </c>
      <c r="E603" t="s">
        <v>43</v>
      </c>
      <c r="F603" t="s">
        <v>1659</v>
      </c>
      <c r="G603" t="s">
        <v>801</v>
      </c>
      <c r="H603" t="s">
        <v>1568</v>
      </c>
      <c r="I603" t="s">
        <v>802</v>
      </c>
      <c r="J603" t="s">
        <v>1568</v>
      </c>
      <c r="K603" t="s">
        <v>1568</v>
      </c>
      <c r="L603" t="s">
        <v>1568</v>
      </c>
      <c r="M603" t="s">
        <v>1568</v>
      </c>
      <c r="N603" t="s">
        <v>1568</v>
      </c>
      <c r="O603" t="s">
        <v>1568</v>
      </c>
      <c r="P603" t="s">
        <v>1568</v>
      </c>
      <c r="Q603" t="s">
        <v>1568</v>
      </c>
      <c r="R603" t="s">
        <v>1568</v>
      </c>
      <c r="S603" t="s">
        <v>1568</v>
      </c>
      <c r="T603" t="s">
        <v>1568</v>
      </c>
      <c r="U603" t="s">
        <v>1568</v>
      </c>
      <c r="V603" t="s">
        <v>1665</v>
      </c>
      <c r="W603" t="s">
        <v>803</v>
      </c>
      <c r="X603" t="s">
        <v>59</v>
      </c>
      <c r="Y603" t="s">
        <v>1581</v>
      </c>
    </row>
    <row r="604" spans="1:25" ht="16" x14ac:dyDescent="0.2">
      <c r="A604" t="s">
        <v>1568</v>
      </c>
      <c r="B604" t="s">
        <v>861</v>
      </c>
      <c r="C604" t="s">
        <v>1568</v>
      </c>
      <c r="D604" t="s">
        <v>1568</v>
      </c>
      <c r="E604" t="s">
        <v>47</v>
      </c>
      <c r="F604" t="s">
        <v>1659</v>
      </c>
      <c r="G604" t="s">
        <v>804</v>
      </c>
      <c r="H604" t="s">
        <v>1568</v>
      </c>
      <c r="I604" t="s">
        <v>805</v>
      </c>
      <c r="J604" t="s">
        <v>1568</v>
      </c>
      <c r="K604" t="s">
        <v>1568</v>
      </c>
      <c r="L604" t="s">
        <v>1568</v>
      </c>
      <c r="M604" t="s">
        <v>1568</v>
      </c>
      <c r="N604" t="s">
        <v>1568</v>
      </c>
      <c r="O604" t="s">
        <v>1568</v>
      </c>
      <c r="P604" t="s">
        <v>1568</v>
      </c>
      <c r="Q604" t="s">
        <v>1568</v>
      </c>
      <c r="R604" t="s">
        <v>1568</v>
      </c>
      <c r="S604" t="s">
        <v>1568</v>
      </c>
      <c r="T604" t="s">
        <v>1568</v>
      </c>
      <c r="U604" t="s">
        <v>1568</v>
      </c>
      <c r="V604" t="s">
        <v>1665</v>
      </c>
      <c r="W604" t="s">
        <v>806</v>
      </c>
      <c r="X604" t="s">
        <v>59</v>
      </c>
      <c r="Y604" t="s">
        <v>1581</v>
      </c>
    </row>
    <row r="605" spans="1:25" ht="16" x14ac:dyDescent="0.2">
      <c r="A605" t="s">
        <v>1568</v>
      </c>
      <c r="B605" t="s">
        <v>861</v>
      </c>
      <c r="C605" t="s">
        <v>1568</v>
      </c>
      <c r="D605" t="s">
        <v>1568</v>
      </c>
      <c r="E605" t="s">
        <v>51</v>
      </c>
      <c r="F605" t="s">
        <v>1659</v>
      </c>
      <c r="G605" t="s">
        <v>807</v>
      </c>
      <c r="H605" t="s">
        <v>1568</v>
      </c>
      <c r="I605" t="s">
        <v>808</v>
      </c>
      <c r="J605" t="s">
        <v>1568</v>
      </c>
      <c r="K605" t="s">
        <v>1568</v>
      </c>
      <c r="L605" t="s">
        <v>1568</v>
      </c>
      <c r="M605" t="s">
        <v>1568</v>
      </c>
      <c r="N605" t="s">
        <v>1568</v>
      </c>
      <c r="O605" t="s">
        <v>1568</v>
      </c>
      <c r="P605" t="s">
        <v>1568</v>
      </c>
      <c r="Q605" t="s">
        <v>1568</v>
      </c>
      <c r="R605" t="s">
        <v>1568</v>
      </c>
      <c r="S605" t="s">
        <v>1568</v>
      </c>
      <c r="T605" t="s">
        <v>1568</v>
      </c>
      <c r="U605" t="s">
        <v>1568</v>
      </c>
      <c r="V605" t="s">
        <v>1665</v>
      </c>
      <c r="W605" t="s">
        <v>809</v>
      </c>
      <c r="X605" t="s">
        <v>59</v>
      </c>
      <c r="Y605" t="s">
        <v>1581</v>
      </c>
    </row>
    <row r="606" spans="1:25" ht="16" x14ac:dyDescent="0.2">
      <c r="A606" t="s">
        <v>1568</v>
      </c>
      <c r="B606" t="s">
        <v>861</v>
      </c>
      <c r="C606" t="s">
        <v>1568</v>
      </c>
      <c r="D606" t="s">
        <v>1568</v>
      </c>
      <c r="E606" t="s">
        <v>55</v>
      </c>
      <c r="F606" t="s">
        <v>1659</v>
      </c>
      <c r="G606" t="s">
        <v>810</v>
      </c>
      <c r="H606" t="s">
        <v>1568</v>
      </c>
      <c r="I606" t="s">
        <v>811</v>
      </c>
      <c r="J606" t="s">
        <v>1568</v>
      </c>
      <c r="K606" t="s">
        <v>1568</v>
      </c>
      <c r="L606" t="s">
        <v>1568</v>
      </c>
      <c r="M606" t="s">
        <v>1568</v>
      </c>
      <c r="N606" t="s">
        <v>1568</v>
      </c>
      <c r="O606" t="s">
        <v>1568</v>
      </c>
      <c r="P606" t="s">
        <v>1568</v>
      </c>
      <c r="Q606" t="s">
        <v>1568</v>
      </c>
      <c r="R606" t="s">
        <v>1568</v>
      </c>
      <c r="S606" t="s">
        <v>1568</v>
      </c>
      <c r="T606" t="s">
        <v>1568</v>
      </c>
      <c r="U606" t="s">
        <v>1568</v>
      </c>
      <c r="V606" t="s">
        <v>1665</v>
      </c>
      <c r="W606" t="s">
        <v>812</v>
      </c>
      <c r="X606" t="s">
        <v>59</v>
      </c>
      <c r="Y606" t="s">
        <v>1581</v>
      </c>
    </row>
    <row r="607" spans="1:25" ht="16" x14ac:dyDescent="0.2">
      <c r="A607" t="s">
        <v>1568</v>
      </c>
      <c r="B607" t="s">
        <v>862</v>
      </c>
      <c r="C607" t="s">
        <v>1568</v>
      </c>
      <c r="D607" t="s">
        <v>1568</v>
      </c>
      <c r="E607" t="s">
        <v>36</v>
      </c>
      <c r="F607" t="s">
        <v>1659</v>
      </c>
      <c r="G607" t="s">
        <v>814</v>
      </c>
      <c r="H607" t="s">
        <v>1568</v>
      </c>
      <c r="I607" t="s">
        <v>815</v>
      </c>
      <c r="J607" t="s">
        <v>1568</v>
      </c>
      <c r="K607" t="s">
        <v>1568</v>
      </c>
      <c r="L607" t="s">
        <v>1568</v>
      </c>
      <c r="M607" t="s">
        <v>1568</v>
      </c>
      <c r="N607" t="s">
        <v>1568</v>
      </c>
      <c r="O607" t="s">
        <v>1568</v>
      </c>
      <c r="P607" t="s">
        <v>1568</v>
      </c>
      <c r="Q607" t="s">
        <v>1568</v>
      </c>
      <c r="R607" t="s">
        <v>1568</v>
      </c>
      <c r="S607" t="s">
        <v>1568</v>
      </c>
      <c r="T607" t="s">
        <v>1568</v>
      </c>
      <c r="U607" t="s">
        <v>1568</v>
      </c>
      <c r="V607" t="s">
        <v>1662</v>
      </c>
      <c r="W607" t="s">
        <v>816</v>
      </c>
      <c r="X607" t="s">
        <v>59</v>
      </c>
      <c r="Y607" t="s">
        <v>1581</v>
      </c>
    </row>
    <row r="608" spans="1:25" ht="16" x14ac:dyDescent="0.2">
      <c r="A608" t="s">
        <v>1568</v>
      </c>
      <c r="B608" t="s">
        <v>862</v>
      </c>
      <c r="C608" t="s">
        <v>1568</v>
      </c>
      <c r="D608" t="s">
        <v>1568</v>
      </c>
      <c r="E608" t="s">
        <v>43</v>
      </c>
      <c r="F608" t="s">
        <v>1659</v>
      </c>
      <c r="G608" t="s">
        <v>817</v>
      </c>
      <c r="H608" t="s">
        <v>1568</v>
      </c>
      <c r="I608" t="s">
        <v>818</v>
      </c>
      <c r="J608" t="s">
        <v>1568</v>
      </c>
      <c r="K608" t="s">
        <v>1568</v>
      </c>
      <c r="L608" t="s">
        <v>1568</v>
      </c>
      <c r="M608" t="s">
        <v>1568</v>
      </c>
      <c r="N608" t="s">
        <v>1568</v>
      </c>
      <c r="O608" t="s">
        <v>1568</v>
      </c>
      <c r="P608" t="s">
        <v>1568</v>
      </c>
      <c r="Q608" t="s">
        <v>1568</v>
      </c>
      <c r="R608" t="s">
        <v>1568</v>
      </c>
      <c r="S608" t="s">
        <v>1568</v>
      </c>
      <c r="T608" t="s">
        <v>1568</v>
      </c>
      <c r="U608" t="s">
        <v>1568</v>
      </c>
      <c r="V608" t="s">
        <v>1697</v>
      </c>
      <c r="W608" t="s">
        <v>819</v>
      </c>
      <c r="X608" t="s">
        <v>59</v>
      </c>
      <c r="Y608" t="s">
        <v>1581</v>
      </c>
    </row>
    <row r="609" spans="1:25" ht="16" x14ac:dyDescent="0.2">
      <c r="A609" t="s">
        <v>1568</v>
      </c>
      <c r="B609" t="s">
        <v>862</v>
      </c>
      <c r="C609" t="s">
        <v>1568</v>
      </c>
      <c r="D609" t="s">
        <v>1568</v>
      </c>
      <c r="E609" t="s">
        <v>47</v>
      </c>
      <c r="F609" t="s">
        <v>1659</v>
      </c>
      <c r="G609" t="s">
        <v>820</v>
      </c>
      <c r="H609" t="s">
        <v>1568</v>
      </c>
      <c r="I609" t="s">
        <v>821</v>
      </c>
      <c r="J609" t="s">
        <v>1568</v>
      </c>
      <c r="K609" t="s">
        <v>1568</v>
      </c>
      <c r="L609" t="s">
        <v>1568</v>
      </c>
      <c r="M609" t="s">
        <v>1568</v>
      </c>
      <c r="N609" t="s">
        <v>1568</v>
      </c>
      <c r="O609" t="s">
        <v>1568</v>
      </c>
      <c r="P609" t="s">
        <v>1568</v>
      </c>
      <c r="Q609" t="s">
        <v>1568</v>
      </c>
      <c r="R609" t="s">
        <v>1568</v>
      </c>
      <c r="S609" t="s">
        <v>1568</v>
      </c>
      <c r="T609" t="s">
        <v>1568</v>
      </c>
      <c r="U609" t="s">
        <v>1568</v>
      </c>
      <c r="V609" t="s">
        <v>1698</v>
      </c>
      <c r="W609" t="s">
        <v>822</v>
      </c>
      <c r="X609" t="s">
        <v>59</v>
      </c>
      <c r="Y609" t="s">
        <v>1581</v>
      </c>
    </row>
    <row r="610" spans="1:25" ht="16" x14ac:dyDescent="0.2">
      <c r="A610" t="s">
        <v>1568</v>
      </c>
      <c r="B610" t="s">
        <v>862</v>
      </c>
      <c r="C610" t="s">
        <v>1568</v>
      </c>
      <c r="D610" t="s">
        <v>1568</v>
      </c>
      <c r="E610" t="s">
        <v>51</v>
      </c>
      <c r="F610" t="s">
        <v>1659</v>
      </c>
      <c r="G610" t="s">
        <v>823</v>
      </c>
      <c r="H610" t="s">
        <v>1568</v>
      </c>
      <c r="I610" t="s">
        <v>824</v>
      </c>
      <c r="J610" t="s">
        <v>1568</v>
      </c>
      <c r="K610" t="s">
        <v>1568</v>
      </c>
      <c r="L610" t="s">
        <v>1568</v>
      </c>
      <c r="M610" t="s">
        <v>1568</v>
      </c>
      <c r="N610" t="s">
        <v>1568</v>
      </c>
      <c r="O610" t="s">
        <v>1568</v>
      </c>
      <c r="P610" t="s">
        <v>1568</v>
      </c>
      <c r="Q610" t="s">
        <v>1568</v>
      </c>
      <c r="R610" t="s">
        <v>1568</v>
      </c>
      <c r="S610" t="s">
        <v>1568</v>
      </c>
      <c r="T610" t="s">
        <v>1568</v>
      </c>
      <c r="U610" t="s">
        <v>1568</v>
      </c>
      <c r="V610" t="s">
        <v>1699</v>
      </c>
      <c r="W610" t="s">
        <v>825</v>
      </c>
      <c r="X610" t="s">
        <v>59</v>
      </c>
      <c r="Y610" t="s">
        <v>1581</v>
      </c>
    </row>
    <row r="611" spans="1:25" ht="16" x14ac:dyDescent="0.2">
      <c r="A611" t="s">
        <v>1568</v>
      </c>
      <c r="B611" t="s">
        <v>862</v>
      </c>
      <c r="C611" t="s">
        <v>1568</v>
      </c>
      <c r="D611" t="s">
        <v>1568</v>
      </c>
      <c r="E611" t="s">
        <v>55</v>
      </c>
      <c r="F611" t="s">
        <v>1659</v>
      </c>
      <c r="G611" t="s">
        <v>826</v>
      </c>
      <c r="H611" t="s">
        <v>1568</v>
      </c>
      <c r="I611" t="s">
        <v>827</v>
      </c>
      <c r="J611" t="s">
        <v>1568</v>
      </c>
      <c r="K611" t="s">
        <v>1568</v>
      </c>
      <c r="L611" t="s">
        <v>1568</v>
      </c>
      <c r="M611" t="s">
        <v>1568</v>
      </c>
      <c r="N611" t="s">
        <v>1568</v>
      </c>
      <c r="O611" t="s">
        <v>1568</v>
      </c>
      <c r="P611" t="s">
        <v>1568</v>
      </c>
      <c r="Q611" t="s">
        <v>1568</v>
      </c>
      <c r="R611" t="s">
        <v>1568</v>
      </c>
      <c r="S611" t="s">
        <v>1568</v>
      </c>
      <c r="T611" t="s">
        <v>1568</v>
      </c>
      <c r="U611" t="s">
        <v>1568</v>
      </c>
      <c r="V611" t="s">
        <v>1592</v>
      </c>
      <c r="W611" t="s">
        <v>828</v>
      </c>
      <c r="X611" t="s">
        <v>59</v>
      </c>
      <c r="Y611" t="s">
        <v>1581</v>
      </c>
    </row>
    <row r="612" spans="1:25" ht="16" x14ac:dyDescent="0.2">
      <c r="A612" t="s">
        <v>1568</v>
      </c>
      <c r="B612" t="s">
        <v>863</v>
      </c>
      <c r="C612" t="s">
        <v>1568</v>
      </c>
      <c r="D612" t="s">
        <v>1568</v>
      </c>
      <c r="E612" t="s">
        <v>36</v>
      </c>
      <c r="F612" t="s">
        <v>1659</v>
      </c>
      <c r="G612" t="s">
        <v>830</v>
      </c>
      <c r="H612" t="s">
        <v>1568</v>
      </c>
      <c r="I612" t="s">
        <v>831</v>
      </c>
      <c r="J612" t="s">
        <v>1568</v>
      </c>
      <c r="K612" t="s">
        <v>1568</v>
      </c>
      <c r="L612" t="s">
        <v>1568</v>
      </c>
      <c r="M612" t="s">
        <v>1568</v>
      </c>
      <c r="N612" t="s">
        <v>1568</v>
      </c>
      <c r="O612" t="s">
        <v>1568</v>
      </c>
      <c r="P612" t="s">
        <v>1568</v>
      </c>
      <c r="Q612" t="s">
        <v>1568</v>
      </c>
      <c r="R612" t="s">
        <v>1568</v>
      </c>
      <c r="S612" t="s">
        <v>1568</v>
      </c>
      <c r="T612" t="s">
        <v>1568</v>
      </c>
      <c r="U612" t="s">
        <v>1568</v>
      </c>
      <c r="V612" t="s">
        <v>1665</v>
      </c>
      <c r="W612" t="s">
        <v>832</v>
      </c>
      <c r="X612" t="s">
        <v>59</v>
      </c>
      <c r="Y612" t="s">
        <v>1581</v>
      </c>
    </row>
    <row r="613" spans="1:25" ht="16" x14ac:dyDescent="0.2">
      <c r="A613" t="s">
        <v>1568</v>
      </c>
      <c r="B613" t="s">
        <v>863</v>
      </c>
      <c r="C613" t="s">
        <v>1568</v>
      </c>
      <c r="D613" t="s">
        <v>1568</v>
      </c>
      <c r="E613" t="s">
        <v>43</v>
      </c>
      <c r="F613" t="s">
        <v>1659</v>
      </c>
      <c r="G613" t="s">
        <v>833</v>
      </c>
      <c r="H613" t="s">
        <v>1568</v>
      </c>
      <c r="I613" t="s">
        <v>834</v>
      </c>
      <c r="J613" t="s">
        <v>1568</v>
      </c>
      <c r="K613" t="s">
        <v>1568</v>
      </c>
      <c r="L613" t="s">
        <v>1568</v>
      </c>
      <c r="M613" t="s">
        <v>1568</v>
      </c>
      <c r="N613" t="s">
        <v>1568</v>
      </c>
      <c r="O613" t="s">
        <v>1568</v>
      </c>
      <c r="P613" t="s">
        <v>1568</v>
      </c>
      <c r="Q613" t="s">
        <v>1568</v>
      </c>
      <c r="R613" t="s">
        <v>1568</v>
      </c>
      <c r="S613" t="s">
        <v>1568</v>
      </c>
      <c r="T613" t="s">
        <v>1568</v>
      </c>
      <c r="U613" t="s">
        <v>1568</v>
      </c>
      <c r="V613" t="s">
        <v>1665</v>
      </c>
      <c r="W613" t="s">
        <v>835</v>
      </c>
      <c r="X613" t="s">
        <v>59</v>
      </c>
      <c r="Y613" t="s">
        <v>1581</v>
      </c>
    </row>
    <row r="614" spans="1:25" ht="16" x14ac:dyDescent="0.2">
      <c r="A614" t="s">
        <v>1568</v>
      </c>
      <c r="B614" t="s">
        <v>863</v>
      </c>
      <c r="C614" t="s">
        <v>1568</v>
      </c>
      <c r="D614" t="s">
        <v>1568</v>
      </c>
      <c r="E614" t="s">
        <v>47</v>
      </c>
      <c r="F614" t="s">
        <v>1659</v>
      </c>
      <c r="G614" t="s">
        <v>836</v>
      </c>
      <c r="H614" t="s">
        <v>1568</v>
      </c>
      <c r="I614" t="s">
        <v>837</v>
      </c>
      <c r="J614" t="s">
        <v>1568</v>
      </c>
      <c r="K614" t="s">
        <v>1568</v>
      </c>
      <c r="L614" t="s">
        <v>1568</v>
      </c>
      <c r="M614" t="s">
        <v>1568</v>
      </c>
      <c r="N614" t="s">
        <v>1568</v>
      </c>
      <c r="O614" t="s">
        <v>1568</v>
      </c>
      <c r="P614" t="s">
        <v>1568</v>
      </c>
      <c r="Q614" t="s">
        <v>1568</v>
      </c>
      <c r="R614" t="s">
        <v>1568</v>
      </c>
      <c r="S614" t="s">
        <v>1568</v>
      </c>
      <c r="T614" t="s">
        <v>1568</v>
      </c>
      <c r="U614" t="s">
        <v>1568</v>
      </c>
      <c r="V614" t="s">
        <v>1665</v>
      </c>
      <c r="W614" t="s">
        <v>838</v>
      </c>
      <c r="X614" t="s">
        <v>59</v>
      </c>
      <c r="Y614" t="s">
        <v>1581</v>
      </c>
    </row>
    <row r="615" spans="1:25" ht="16" x14ac:dyDescent="0.2">
      <c r="A615" t="s">
        <v>1568</v>
      </c>
      <c r="B615" t="s">
        <v>863</v>
      </c>
      <c r="C615" t="s">
        <v>1568</v>
      </c>
      <c r="D615" t="s">
        <v>1568</v>
      </c>
      <c r="E615" t="s">
        <v>51</v>
      </c>
      <c r="F615" t="s">
        <v>1659</v>
      </c>
      <c r="G615" t="s">
        <v>839</v>
      </c>
      <c r="H615" t="s">
        <v>1568</v>
      </c>
      <c r="I615" t="s">
        <v>840</v>
      </c>
      <c r="J615" t="s">
        <v>1568</v>
      </c>
      <c r="K615" t="s">
        <v>1568</v>
      </c>
      <c r="L615" t="s">
        <v>1568</v>
      </c>
      <c r="M615" t="s">
        <v>1568</v>
      </c>
      <c r="N615" t="s">
        <v>1568</v>
      </c>
      <c r="O615" t="s">
        <v>1568</v>
      </c>
      <c r="P615" t="s">
        <v>1568</v>
      </c>
      <c r="Q615" t="s">
        <v>1568</v>
      </c>
      <c r="R615" t="s">
        <v>1568</v>
      </c>
      <c r="S615" t="s">
        <v>1568</v>
      </c>
      <c r="T615" t="s">
        <v>1568</v>
      </c>
      <c r="U615" t="s">
        <v>1568</v>
      </c>
      <c r="V615" t="s">
        <v>1665</v>
      </c>
      <c r="W615" t="s">
        <v>841</v>
      </c>
      <c r="X615" t="s">
        <v>59</v>
      </c>
      <c r="Y615" t="s">
        <v>1581</v>
      </c>
    </row>
    <row r="616" spans="1:25" ht="16" x14ac:dyDescent="0.2">
      <c r="A616" t="s">
        <v>1568</v>
      </c>
      <c r="B616" t="s">
        <v>863</v>
      </c>
      <c r="C616" t="s">
        <v>1568</v>
      </c>
      <c r="D616" t="s">
        <v>1568</v>
      </c>
      <c r="E616" t="s">
        <v>55</v>
      </c>
      <c r="F616" t="s">
        <v>1659</v>
      </c>
      <c r="G616" t="s">
        <v>842</v>
      </c>
      <c r="H616" t="s">
        <v>1568</v>
      </c>
      <c r="I616" t="s">
        <v>843</v>
      </c>
      <c r="J616" t="s">
        <v>1568</v>
      </c>
      <c r="K616" t="s">
        <v>1568</v>
      </c>
      <c r="L616" t="s">
        <v>1568</v>
      </c>
      <c r="M616" t="s">
        <v>1568</v>
      </c>
      <c r="N616" t="s">
        <v>1568</v>
      </c>
      <c r="O616" t="s">
        <v>1568</v>
      </c>
      <c r="P616" t="s">
        <v>1568</v>
      </c>
      <c r="Q616" t="s">
        <v>1568</v>
      </c>
      <c r="R616" t="s">
        <v>1568</v>
      </c>
      <c r="S616" t="s">
        <v>1568</v>
      </c>
      <c r="T616" t="s">
        <v>1568</v>
      </c>
      <c r="U616" t="s">
        <v>1568</v>
      </c>
      <c r="V616" t="s">
        <v>1665</v>
      </c>
      <c r="W616" t="s">
        <v>844</v>
      </c>
      <c r="X616" t="s">
        <v>59</v>
      </c>
      <c r="Y616" t="s">
        <v>1581</v>
      </c>
    </row>
    <row r="617" spans="1:25" ht="16" x14ac:dyDescent="0.2">
      <c r="A617" t="s">
        <v>1568</v>
      </c>
      <c r="B617" t="s">
        <v>874</v>
      </c>
      <c r="C617" t="s">
        <v>1568</v>
      </c>
      <c r="D617" t="s">
        <v>1568</v>
      </c>
      <c r="E617" t="s">
        <v>36</v>
      </c>
      <c r="F617" t="s">
        <v>1659</v>
      </c>
      <c r="G617" t="s">
        <v>846</v>
      </c>
      <c r="H617" t="s">
        <v>1568</v>
      </c>
      <c r="I617" t="s">
        <v>847</v>
      </c>
      <c r="J617" t="s">
        <v>1568</v>
      </c>
      <c r="K617" t="s">
        <v>1568</v>
      </c>
      <c r="L617" t="s">
        <v>1568</v>
      </c>
      <c r="M617" t="s">
        <v>1568</v>
      </c>
      <c r="N617" t="s">
        <v>1568</v>
      </c>
      <c r="O617" t="s">
        <v>1568</v>
      </c>
      <c r="P617" t="s">
        <v>1568</v>
      </c>
      <c r="Q617" t="s">
        <v>1568</v>
      </c>
      <c r="R617" t="s">
        <v>1568</v>
      </c>
      <c r="S617" t="s">
        <v>1568</v>
      </c>
      <c r="T617" t="s">
        <v>1568</v>
      </c>
      <c r="U617" t="s">
        <v>1568</v>
      </c>
      <c r="V617" t="s">
        <v>1665</v>
      </c>
      <c r="W617" t="s">
        <v>848</v>
      </c>
      <c r="X617" t="s">
        <v>59</v>
      </c>
      <c r="Y617" t="s">
        <v>1581</v>
      </c>
    </row>
    <row r="618" spans="1:25" ht="16" x14ac:dyDescent="0.2">
      <c r="A618" t="s">
        <v>1568</v>
      </c>
      <c r="B618" t="s">
        <v>874</v>
      </c>
      <c r="C618" t="s">
        <v>1568</v>
      </c>
      <c r="D618" t="s">
        <v>1568</v>
      </c>
      <c r="E618" t="s">
        <v>43</v>
      </c>
      <c r="F618" t="s">
        <v>1659</v>
      </c>
      <c r="G618" t="s">
        <v>849</v>
      </c>
      <c r="H618" t="s">
        <v>1568</v>
      </c>
      <c r="I618" t="s">
        <v>850</v>
      </c>
      <c r="J618" t="s">
        <v>1568</v>
      </c>
      <c r="K618" t="s">
        <v>1568</v>
      </c>
      <c r="L618" t="s">
        <v>1568</v>
      </c>
      <c r="M618" t="s">
        <v>1568</v>
      </c>
      <c r="N618" t="s">
        <v>1568</v>
      </c>
      <c r="O618" t="s">
        <v>1568</v>
      </c>
      <c r="P618" t="s">
        <v>1568</v>
      </c>
      <c r="Q618" t="s">
        <v>1568</v>
      </c>
      <c r="R618" t="s">
        <v>1568</v>
      </c>
      <c r="S618" t="s">
        <v>1568</v>
      </c>
      <c r="T618" t="s">
        <v>1568</v>
      </c>
      <c r="U618" t="s">
        <v>1568</v>
      </c>
      <c r="V618" t="s">
        <v>1665</v>
      </c>
      <c r="W618" t="s">
        <v>851</v>
      </c>
      <c r="X618" t="s">
        <v>59</v>
      </c>
      <c r="Y618" t="s">
        <v>1581</v>
      </c>
    </row>
    <row r="619" spans="1:25" ht="16" x14ac:dyDescent="0.2">
      <c r="A619" t="s">
        <v>1568</v>
      </c>
      <c r="B619" t="s">
        <v>874</v>
      </c>
      <c r="C619" t="s">
        <v>1568</v>
      </c>
      <c r="D619" t="s">
        <v>1568</v>
      </c>
      <c r="E619" t="s">
        <v>47</v>
      </c>
      <c r="F619" t="s">
        <v>1659</v>
      </c>
      <c r="G619" t="s">
        <v>852</v>
      </c>
      <c r="H619" t="s">
        <v>1568</v>
      </c>
      <c r="I619" t="s">
        <v>853</v>
      </c>
      <c r="J619" t="s">
        <v>1568</v>
      </c>
      <c r="K619" t="s">
        <v>1568</v>
      </c>
      <c r="L619" t="s">
        <v>1568</v>
      </c>
      <c r="M619" t="s">
        <v>1568</v>
      </c>
      <c r="N619" t="s">
        <v>1568</v>
      </c>
      <c r="O619" t="s">
        <v>1568</v>
      </c>
      <c r="P619" t="s">
        <v>1568</v>
      </c>
      <c r="Q619" t="s">
        <v>1568</v>
      </c>
      <c r="R619" t="s">
        <v>1568</v>
      </c>
      <c r="S619" t="s">
        <v>1568</v>
      </c>
      <c r="T619" t="s">
        <v>1568</v>
      </c>
      <c r="U619" t="s">
        <v>1568</v>
      </c>
      <c r="V619" t="s">
        <v>1665</v>
      </c>
      <c r="W619" t="s">
        <v>854</v>
      </c>
      <c r="X619" t="s">
        <v>59</v>
      </c>
      <c r="Y619" t="s">
        <v>1581</v>
      </c>
    </row>
    <row r="620" spans="1:25" ht="16" x14ac:dyDescent="0.2">
      <c r="A620" t="s">
        <v>1568</v>
      </c>
      <c r="B620" t="s">
        <v>874</v>
      </c>
      <c r="C620" t="s">
        <v>1568</v>
      </c>
      <c r="D620" t="s">
        <v>1568</v>
      </c>
      <c r="E620" t="s">
        <v>51</v>
      </c>
      <c r="F620" t="s">
        <v>1659</v>
      </c>
      <c r="G620" t="s">
        <v>855</v>
      </c>
      <c r="H620" t="s">
        <v>1568</v>
      </c>
      <c r="I620" t="s">
        <v>856</v>
      </c>
      <c r="J620" t="s">
        <v>1568</v>
      </c>
      <c r="K620" t="s">
        <v>1568</v>
      </c>
      <c r="L620" t="s">
        <v>1568</v>
      </c>
      <c r="M620" t="s">
        <v>1568</v>
      </c>
      <c r="N620" t="s">
        <v>1568</v>
      </c>
      <c r="O620" t="s">
        <v>1568</v>
      </c>
      <c r="P620" t="s">
        <v>1568</v>
      </c>
      <c r="Q620" t="s">
        <v>1568</v>
      </c>
      <c r="R620" t="s">
        <v>1568</v>
      </c>
      <c r="S620" t="s">
        <v>1568</v>
      </c>
      <c r="T620" t="s">
        <v>1568</v>
      </c>
      <c r="U620" t="s">
        <v>1568</v>
      </c>
      <c r="V620" t="s">
        <v>1665</v>
      </c>
      <c r="W620" t="s">
        <v>857</v>
      </c>
      <c r="X620" t="s">
        <v>59</v>
      </c>
      <c r="Y620" t="s">
        <v>1581</v>
      </c>
    </row>
    <row r="621" spans="1:25" ht="16" x14ac:dyDescent="0.2">
      <c r="A621" t="s">
        <v>1568</v>
      </c>
      <c r="B621" t="s">
        <v>874</v>
      </c>
      <c r="C621" t="s">
        <v>1568</v>
      </c>
      <c r="D621" t="s">
        <v>1568</v>
      </c>
      <c r="E621" t="s">
        <v>55</v>
      </c>
      <c r="F621" t="s">
        <v>1659</v>
      </c>
      <c r="G621" t="s">
        <v>858</v>
      </c>
      <c r="H621" t="s">
        <v>1568</v>
      </c>
      <c r="I621" t="s">
        <v>859</v>
      </c>
      <c r="J621" t="s">
        <v>1568</v>
      </c>
      <c r="K621" t="s">
        <v>1568</v>
      </c>
      <c r="L621" t="s">
        <v>1568</v>
      </c>
      <c r="M621" t="s">
        <v>1568</v>
      </c>
      <c r="N621" t="s">
        <v>1568</v>
      </c>
      <c r="O621" t="s">
        <v>1568</v>
      </c>
      <c r="P621" t="s">
        <v>1568</v>
      </c>
      <c r="Q621" t="s">
        <v>1568</v>
      </c>
      <c r="R621" t="s">
        <v>1568</v>
      </c>
      <c r="S621" t="s">
        <v>1568</v>
      </c>
      <c r="T621" t="s">
        <v>1568</v>
      </c>
      <c r="U621" t="s">
        <v>1568</v>
      </c>
      <c r="V621" t="s">
        <v>1665</v>
      </c>
      <c r="W621" t="s">
        <v>860</v>
      </c>
      <c r="X621" t="s">
        <v>59</v>
      </c>
      <c r="Y621" t="s">
        <v>1581</v>
      </c>
    </row>
    <row r="622" spans="1:25" ht="16" x14ac:dyDescent="0.2">
      <c r="A622" t="s">
        <v>1568</v>
      </c>
      <c r="B622" t="s">
        <v>875</v>
      </c>
      <c r="C622" t="s">
        <v>1568</v>
      </c>
      <c r="D622" t="s">
        <v>1568</v>
      </c>
      <c r="E622" t="s">
        <v>36</v>
      </c>
      <c r="F622" t="s">
        <v>1659</v>
      </c>
      <c r="G622" t="s">
        <v>798</v>
      </c>
      <c r="H622" t="s">
        <v>1568</v>
      </c>
      <c r="I622" t="s">
        <v>799</v>
      </c>
      <c r="J622" t="s">
        <v>1568</v>
      </c>
      <c r="K622" t="s">
        <v>1568</v>
      </c>
      <c r="L622" t="s">
        <v>1568</v>
      </c>
      <c r="M622" t="s">
        <v>1568</v>
      </c>
      <c r="N622" t="s">
        <v>1568</v>
      </c>
      <c r="O622" t="s">
        <v>1568</v>
      </c>
      <c r="P622" t="s">
        <v>1568</v>
      </c>
      <c r="Q622" t="s">
        <v>1568</v>
      </c>
      <c r="R622" t="s">
        <v>1568</v>
      </c>
      <c r="S622" t="s">
        <v>1568</v>
      </c>
      <c r="T622" t="s">
        <v>1568</v>
      </c>
      <c r="U622" t="s">
        <v>1568</v>
      </c>
      <c r="V622" t="s">
        <v>1665</v>
      </c>
      <c r="W622" t="s">
        <v>800</v>
      </c>
      <c r="X622" t="s">
        <v>61</v>
      </c>
      <c r="Y622" t="s">
        <v>1587</v>
      </c>
    </row>
    <row r="623" spans="1:25" ht="16" x14ac:dyDescent="0.2">
      <c r="A623" t="s">
        <v>1568</v>
      </c>
      <c r="B623" t="s">
        <v>875</v>
      </c>
      <c r="C623" t="s">
        <v>1568</v>
      </c>
      <c r="D623" t="s">
        <v>1568</v>
      </c>
      <c r="E623" t="s">
        <v>43</v>
      </c>
      <c r="F623" t="s">
        <v>1659</v>
      </c>
      <c r="G623" t="s">
        <v>801</v>
      </c>
      <c r="H623" t="s">
        <v>1568</v>
      </c>
      <c r="I623" t="s">
        <v>802</v>
      </c>
      <c r="J623" t="s">
        <v>1568</v>
      </c>
      <c r="K623" t="s">
        <v>1568</v>
      </c>
      <c r="L623" t="s">
        <v>1568</v>
      </c>
      <c r="M623" t="s">
        <v>1568</v>
      </c>
      <c r="N623" t="s">
        <v>1568</v>
      </c>
      <c r="O623" t="s">
        <v>1568</v>
      </c>
      <c r="P623" t="s">
        <v>1568</v>
      </c>
      <c r="Q623" t="s">
        <v>1568</v>
      </c>
      <c r="R623" t="s">
        <v>1568</v>
      </c>
      <c r="S623" t="s">
        <v>1568</v>
      </c>
      <c r="T623" t="s">
        <v>1568</v>
      </c>
      <c r="U623" t="s">
        <v>1568</v>
      </c>
      <c r="V623" t="s">
        <v>1665</v>
      </c>
      <c r="W623" t="s">
        <v>803</v>
      </c>
      <c r="X623" t="s">
        <v>61</v>
      </c>
      <c r="Y623" t="s">
        <v>1587</v>
      </c>
    </row>
    <row r="624" spans="1:25" ht="16" x14ac:dyDescent="0.2">
      <c r="A624" t="s">
        <v>1568</v>
      </c>
      <c r="B624" t="s">
        <v>875</v>
      </c>
      <c r="C624" t="s">
        <v>1568</v>
      </c>
      <c r="D624" t="s">
        <v>1568</v>
      </c>
      <c r="E624" t="s">
        <v>47</v>
      </c>
      <c r="F624" t="s">
        <v>1659</v>
      </c>
      <c r="G624" t="s">
        <v>804</v>
      </c>
      <c r="H624" t="s">
        <v>1568</v>
      </c>
      <c r="I624" t="s">
        <v>805</v>
      </c>
      <c r="J624" t="s">
        <v>1568</v>
      </c>
      <c r="K624" t="s">
        <v>1568</v>
      </c>
      <c r="L624" t="s">
        <v>1568</v>
      </c>
      <c r="M624" t="s">
        <v>1568</v>
      </c>
      <c r="N624" t="s">
        <v>1568</v>
      </c>
      <c r="O624" t="s">
        <v>1568</v>
      </c>
      <c r="P624" t="s">
        <v>1568</v>
      </c>
      <c r="Q624" t="s">
        <v>1568</v>
      </c>
      <c r="R624" t="s">
        <v>1568</v>
      </c>
      <c r="S624" t="s">
        <v>1568</v>
      </c>
      <c r="T624" t="s">
        <v>1568</v>
      </c>
      <c r="U624" t="s">
        <v>1568</v>
      </c>
      <c r="V624" t="s">
        <v>1665</v>
      </c>
      <c r="W624" t="s">
        <v>806</v>
      </c>
      <c r="X624" t="s">
        <v>61</v>
      </c>
      <c r="Y624" t="s">
        <v>1587</v>
      </c>
    </row>
    <row r="625" spans="1:25" ht="16" x14ac:dyDescent="0.2">
      <c r="A625" t="s">
        <v>1568</v>
      </c>
      <c r="B625" t="s">
        <v>875</v>
      </c>
      <c r="C625" t="s">
        <v>1568</v>
      </c>
      <c r="D625" t="s">
        <v>1568</v>
      </c>
      <c r="E625" t="s">
        <v>51</v>
      </c>
      <c r="F625" t="s">
        <v>1659</v>
      </c>
      <c r="G625" t="s">
        <v>807</v>
      </c>
      <c r="H625" t="s">
        <v>1568</v>
      </c>
      <c r="I625" t="s">
        <v>808</v>
      </c>
      <c r="J625" t="s">
        <v>1568</v>
      </c>
      <c r="K625" t="s">
        <v>1568</v>
      </c>
      <c r="L625" t="s">
        <v>1568</v>
      </c>
      <c r="M625" t="s">
        <v>1568</v>
      </c>
      <c r="N625" t="s">
        <v>1568</v>
      </c>
      <c r="O625" t="s">
        <v>1568</v>
      </c>
      <c r="P625" t="s">
        <v>1568</v>
      </c>
      <c r="Q625" t="s">
        <v>1568</v>
      </c>
      <c r="R625" t="s">
        <v>1568</v>
      </c>
      <c r="S625" t="s">
        <v>1568</v>
      </c>
      <c r="T625" t="s">
        <v>1568</v>
      </c>
      <c r="U625" t="s">
        <v>1568</v>
      </c>
      <c r="V625" t="s">
        <v>1665</v>
      </c>
      <c r="W625" t="s">
        <v>809</v>
      </c>
      <c r="X625" t="s">
        <v>61</v>
      </c>
      <c r="Y625" t="s">
        <v>1587</v>
      </c>
    </row>
    <row r="626" spans="1:25" ht="16" x14ac:dyDescent="0.2">
      <c r="A626" t="s">
        <v>1568</v>
      </c>
      <c r="B626" t="s">
        <v>875</v>
      </c>
      <c r="C626" t="s">
        <v>1568</v>
      </c>
      <c r="D626" t="s">
        <v>1568</v>
      </c>
      <c r="E626" t="s">
        <v>55</v>
      </c>
      <c r="F626" t="s">
        <v>1659</v>
      </c>
      <c r="G626" t="s">
        <v>810</v>
      </c>
      <c r="H626" t="s">
        <v>1568</v>
      </c>
      <c r="I626" t="s">
        <v>811</v>
      </c>
      <c r="J626" t="s">
        <v>1568</v>
      </c>
      <c r="K626" t="s">
        <v>1568</v>
      </c>
      <c r="L626" t="s">
        <v>1568</v>
      </c>
      <c r="M626" t="s">
        <v>1568</v>
      </c>
      <c r="N626" t="s">
        <v>1568</v>
      </c>
      <c r="O626" t="s">
        <v>1568</v>
      </c>
      <c r="P626" t="s">
        <v>1568</v>
      </c>
      <c r="Q626" t="s">
        <v>1568</v>
      </c>
      <c r="R626" t="s">
        <v>1568</v>
      </c>
      <c r="S626" t="s">
        <v>1568</v>
      </c>
      <c r="T626" t="s">
        <v>1568</v>
      </c>
      <c r="U626" t="s">
        <v>1568</v>
      </c>
      <c r="V626" t="s">
        <v>1665</v>
      </c>
      <c r="W626" t="s">
        <v>812</v>
      </c>
      <c r="X626" t="s">
        <v>61</v>
      </c>
      <c r="Y626" t="s">
        <v>1587</v>
      </c>
    </row>
    <row r="627" spans="1:25" ht="16" x14ac:dyDescent="0.2">
      <c r="A627" t="s">
        <v>1568</v>
      </c>
      <c r="B627" t="s">
        <v>876</v>
      </c>
      <c r="C627" t="s">
        <v>1568</v>
      </c>
      <c r="D627" t="s">
        <v>1568</v>
      </c>
      <c r="E627" t="s">
        <v>36</v>
      </c>
      <c r="F627" t="s">
        <v>1659</v>
      </c>
      <c r="G627" t="s">
        <v>814</v>
      </c>
      <c r="H627" t="s">
        <v>1568</v>
      </c>
      <c r="I627" t="s">
        <v>815</v>
      </c>
      <c r="J627" t="s">
        <v>1568</v>
      </c>
      <c r="K627" t="s">
        <v>1568</v>
      </c>
      <c r="L627" t="s">
        <v>1568</v>
      </c>
      <c r="M627" t="s">
        <v>1568</v>
      </c>
      <c r="N627" t="s">
        <v>1568</v>
      </c>
      <c r="O627" t="s">
        <v>1568</v>
      </c>
      <c r="P627" t="s">
        <v>1568</v>
      </c>
      <c r="Q627" t="s">
        <v>1568</v>
      </c>
      <c r="R627" t="s">
        <v>1568</v>
      </c>
      <c r="S627" t="s">
        <v>1568</v>
      </c>
      <c r="T627" t="s">
        <v>1568</v>
      </c>
      <c r="U627" t="s">
        <v>1568</v>
      </c>
      <c r="V627" t="s">
        <v>1644</v>
      </c>
      <c r="W627" t="s">
        <v>816</v>
      </c>
      <c r="X627" t="s">
        <v>61</v>
      </c>
      <c r="Y627" t="s">
        <v>1587</v>
      </c>
    </row>
    <row r="628" spans="1:25" ht="16" x14ac:dyDescent="0.2">
      <c r="A628" t="s">
        <v>1568</v>
      </c>
      <c r="B628" t="s">
        <v>876</v>
      </c>
      <c r="C628" t="s">
        <v>1568</v>
      </c>
      <c r="D628" t="s">
        <v>1568</v>
      </c>
      <c r="E628" t="s">
        <v>43</v>
      </c>
      <c r="F628" t="s">
        <v>1659</v>
      </c>
      <c r="G628" t="s">
        <v>817</v>
      </c>
      <c r="H628" t="s">
        <v>1568</v>
      </c>
      <c r="I628" t="s">
        <v>818</v>
      </c>
      <c r="J628" t="s">
        <v>1568</v>
      </c>
      <c r="K628" t="s">
        <v>1568</v>
      </c>
      <c r="L628" t="s">
        <v>1568</v>
      </c>
      <c r="M628" t="s">
        <v>1568</v>
      </c>
      <c r="N628" t="s">
        <v>1568</v>
      </c>
      <c r="O628" t="s">
        <v>1568</v>
      </c>
      <c r="P628" t="s">
        <v>1568</v>
      </c>
      <c r="Q628" t="s">
        <v>1568</v>
      </c>
      <c r="R628" t="s">
        <v>1568</v>
      </c>
      <c r="S628" t="s">
        <v>1568</v>
      </c>
      <c r="T628" t="s">
        <v>1568</v>
      </c>
      <c r="U628" t="s">
        <v>1568</v>
      </c>
      <c r="V628" t="s">
        <v>1700</v>
      </c>
      <c r="W628" t="s">
        <v>819</v>
      </c>
      <c r="X628" t="s">
        <v>61</v>
      </c>
      <c r="Y628" t="s">
        <v>1587</v>
      </c>
    </row>
    <row r="629" spans="1:25" ht="16" x14ac:dyDescent="0.2">
      <c r="A629" t="s">
        <v>1568</v>
      </c>
      <c r="B629" t="s">
        <v>876</v>
      </c>
      <c r="C629" t="s">
        <v>1568</v>
      </c>
      <c r="D629" t="s">
        <v>1568</v>
      </c>
      <c r="E629" t="s">
        <v>47</v>
      </c>
      <c r="F629" t="s">
        <v>1659</v>
      </c>
      <c r="G629" t="s">
        <v>820</v>
      </c>
      <c r="H629" t="s">
        <v>1568</v>
      </c>
      <c r="I629" t="s">
        <v>821</v>
      </c>
      <c r="J629" t="s">
        <v>1568</v>
      </c>
      <c r="K629" t="s">
        <v>1568</v>
      </c>
      <c r="L629" t="s">
        <v>1568</v>
      </c>
      <c r="M629" t="s">
        <v>1568</v>
      </c>
      <c r="N629" t="s">
        <v>1568</v>
      </c>
      <c r="O629" t="s">
        <v>1568</v>
      </c>
      <c r="P629" t="s">
        <v>1568</v>
      </c>
      <c r="Q629" t="s">
        <v>1568</v>
      </c>
      <c r="R629" t="s">
        <v>1568</v>
      </c>
      <c r="S629" t="s">
        <v>1568</v>
      </c>
      <c r="T629" t="s">
        <v>1568</v>
      </c>
      <c r="U629" t="s">
        <v>1568</v>
      </c>
      <c r="V629" t="s">
        <v>1701</v>
      </c>
      <c r="W629" t="s">
        <v>822</v>
      </c>
      <c r="X629" t="s">
        <v>61</v>
      </c>
      <c r="Y629" t="s">
        <v>1587</v>
      </c>
    </row>
    <row r="630" spans="1:25" ht="16" x14ac:dyDescent="0.2">
      <c r="A630" t="s">
        <v>1568</v>
      </c>
      <c r="B630" t="s">
        <v>876</v>
      </c>
      <c r="C630" t="s">
        <v>1568</v>
      </c>
      <c r="D630" t="s">
        <v>1568</v>
      </c>
      <c r="E630" t="s">
        <v>51</v>
      </c>
      <c r="F630" t="s">
        <v>1659</v>
      </c>
      <c r="G630" t="s">
        <v>823</v>
      </c>
      <c r="H630" t="s">
        <v>1568</v>
      </c>
      <c r="I630" t="s">
        <v>824</v>
      </c>
      <c r="J630" t="s">
        <v>1568</v>
      </c>
      <c r="K630" t="s">
        <v>1568</v>
      </c>
      <c r="L630" t="s">
        <v>1568</v>
      </c>
      <c r="M630" t="s">
        <v>1568</v>
      </c>
      <c r="N630" t="s">
        <v>1568</v>
      </c>
      <c r="O630" t="s">
        <v>1568</v>
      </c>
      <c r="P630" t="s">
        <v>1568</v>
      </c>
      <c r="Q630" t="s">
        <v>1568</v>
      </c>
      <c r="R630" t="s">
        <v>1568</v>
      </c>
      <c r="S630" t="s">
        <v>1568</v>
      </c>
      <c r="T630" t="s">
        <v>1568</v>
      </c>
      <c r="U630" t="s">
        <v>1568</v>
      </c>
      <c r="V630" t="s">
        <v>1702</v>
      </c>
      <c r="W630" t="s">
        <v>825</v>
      </c>
      <c r="X630" t="s">
        <v>61</v>
      </c>
      <c r="Y630" t="s">
        <v>1587</v>
      </c>
    </row>
    <row r="631" spans="1:25" ht="16" x14ac:dyDescent="0.2">
      <c r="A631" t="s">
        <v>1568</v>
      </c>
      <c r="B631" t="s">
        <v>876</v>
      </c>
      <c r="C631" t="s">
        <v>1568</v>
      </c>
      <c r="D631" t="s">
        <v>1568</v>
      </c>
      <c r="E631" t="s">
        <v>55</v>
      </c>
      <c r="F631" t="s">
        <v>1659</v>
      </c>
      <c r="G631" t="s">
        <v>826</v>
      </c>
      <c r="H631" t="s">
        <v>1568</v>
      </c>
      <c r="I631" t="s">
        <v>827</v>
      </c>
      <c r="J631" t="s">
        <v>1568</v>
      </c>
      <c r="K631" t="s">
        <v>1568</v>
      </c>
      <c r="L631" t="s">
        <v>1568</v>
      </c>
      <c r="M631" t="s">
        <v>1568</v>
      </c>
      <c r="N631" t="s">
        <v>1568</v>
      </c>
      <c r="O631" t="s">
        <v>1568</v>
      </c>
      <c r="P631" t="s">
        <v>1568</v>
      </c>
      <c r="Q631" t="s">
        <v>1568</v>
      </c>
      <c r="R631" t="s">
        <v>1568</v>
      </c>
      <c r="S631" t="s">
        <v>1568</v>
      </c>
      <c r="T631" t="s">
        <v>1568</v>
      </c>
      <c r="U631" t="s">
        <v>1568</v>
      </c>
      <c r="V631" t="s">
        <v>1592</v>
      </c>
      <c r="W631" t="s">
        <v>828</v>
      </c>
      <c r="X631" t="s">
        <v>61</v>
      </c>
      <c r="Y631" t="s">
        <v>1587</v>
      </c>
    </row>
    <row r="632" spans="1:25" ht="16" x14ac:dyDescent="0.2">
      <c r="A632" t="s">
        <v>1568</v>
      </c>
      <c r="B632" t="s">
        <v>877</v>
      </c>
      <c r="C632" t="s">
        <v>1568</v>
      </c>
      <c r="D632" t="s">
        <v>1568</v>
      </c>
      <c r="E632" t="s">
        <v>36</v>
      </c>
      <c r="F632" t="s">
        <v>1659</v>
      </c>
      <c r="G632" t="s">
        <v>830</v>
      </c>
      <c r="H632" t="s">
        <v>1568</v>
      </c>
      <c r="I632" t="s">
        <v>831</v>
      </c>
      <c r="J632" t="s">
        <v>1568</v>
      </c>
      <c r="K632" t="s">
        <v>1568</v>
      </c>
      <c r="L632" t="s">
        <v>1568</v>
      </c>
      <c r="M632" t="s">
        <v>1568</v>
      </c>
      <c r="N632" t="s">
        <v>1568</v>
      </c>
      <c r="O632" t="s">
        <v>1568</v>
      </c>
      <c r="P632" t="s">
        <v>1568</v>
      </c>
      <c r="Q632" t="s">
        <v>1568</v>
      </c>
      <c r="R632" t="s">
        <v>1568</v>
      </c>
      <c r="S632" t="s">
        <v>1568</v>
      </c>
      <c r="T632" t="s">
        <v>1568</v>
      </c>
      <c r="U632" t="s">
        <v>1568</v>
      </c>
      <c r="V632" t="s">
        <v>1665</v>
      </c>
      <c r="W632" t="s">
        <v>832</v>
      </c>
      <c r="X632" t="s">
        <v>61</v>
      </c>
      <c r="Y632" t="s">
        <v>1587</v>
      </c>
    </row>
    <row r="633" spans="1:25" ht="16" x14ac:dyDescent="0.2">
      <c r="A633" t="s">
        <v>1568</v>
      </c>
      <c r="B633" t="s">
        <v>877</v>
      </c>
      <c r="C633" t="s">
        <v>1568</v>
      </c>
      <c r="D633" t="s">
        <v>1568</v>
      </c>
      <c r="E633" t="s">
        <v>43</v>
      </c>
      <c r="F633" t="s">
        <v>1659</v>
      </c>
      <c r="G633" t="s">
        <v>833</v>
      </c>
      <c r="H633" t="s">
        <v>1568</v>
      </c>
      <c r="I633" t="s">
        <v>834</v>
      </c>
      <c r="J633" t="s">
        <v>1568</v>
      </c>
      <c r="K633" t="s">
        <v>1568</v>
      </c>
      <c r="L633" t="s">
        <v>1568</v>
      </c>
      <c r="M633" t="s">
        <v>1568</v>
      </c>
      <c r="N633" t="s">
        <v>1568</v>
      </c>
      <c r="O633" t="s">
        <v>1568</v>
      </c>
      <c r="P633" t="s">
        <v>1568</v>
      </c>
      <c r="Q633" t="s">
        <v>1568</v>
      </c>
      <c r="R633" t="s">
        <v>1568</v>
      </c>
      <c r="S633" t="s">
        <v>1568</v>
      </c>
      <c r="T633" t="s">
        <v>1568</v>
      </c>
      <c r="U633" t="s">
        <v>1568</v>
      </c>
      <c r="V633" t="s">
        <v>1665</v>
      </c>
      <c r="W633" t="s">
        <v>835</v>
      </c>
      <c r="X633" t="s">
        <v>61</v>
      </c>
      <c r="Y633" t="s">
        <v>1587</v>
      </c>
    </row>
    <row r="634" spans="1:25" ht="16" x14ac:dyDescent="0.2">
      <c r="A634" t="s">
        <v>1568</v>
      </c>
      <c r="B634" t="s">
        <v>877</v>
      </c>
      <c r="C634" t="s">
        <v>1568</v>
      </c>
      <c r="D634" t="s">
        <v>1568</v>
      </c>
      <c r="E634" t="s">
        <v>47</v>
      </c>
      <c r="F634" t="s">
        <v>1659</v>
      </c>
      <c r="G634" t="s">
        <v>836</v>
      </c>
      <c r="H634" t="s">
        <v>1568</v>
      </c>
      <c r="I634" t="s">
        <v>837</v>
      </c>
      <c r="J634" t="s">
        <v>1568</v>
      </c>
      <c r="K634" t="s">
        <v>1568</v>
      </c>
      <c r="L634" t="s">
        <v>1568</v>
      </c>
      <c r="M634" t="s">
        <v>1568</v>
      </c>
      <c r="N634" t="s">
        <v>1568</v>
      </c>
      <c r="O634" t="s">
        <v>1568</v>
      </c>
      <c r="P634" t="s">
        <v>1568</v>
      </c>
      <c r="Q634" t="s">
        <v>1568</v>
      </c>
      <c r="R634" t="s">
        <v>1568</v>
      </c>
      <c r="S634" t="s">
        <v>1568</v>
      </c>
      <c r="T634" t="s">
        <v>1568</v>
      </c>
      <c r="U634" t="s">
        <v>1568</v>
      </c>
      <c r="V634" t="s">
        <v>1665</v>
      </c>
      <c r="W634" t="s">
        <v>838</v>
      </c>
      <c r="X634" t="s">
        <v>61</v>
      </c>
      <c r="Y634" t="s">
        <v>1587</v>
      </c>
    </row>
    <row r="635" spans="1:25" ht="16" x14ac:dyDescent="0.2">
      <c r="A635" t="s">
        <v>1568</v>
      </c>
      <c r="B635" t="s">
        <v>877</v>
      </c>
      <c r="C635" t="s">
        <v>1568</v>
      </c>
      <c r="D635" t="s">
        <v>1568</v>
      </c>
      <c r="E635" t="s">
        <v>51</v>
      </c>
      <c r="F635" t="s">
        <v>1659</v>
      </c>
      <c r="G635" t="s">
        <v>839</v>
      </c>
      <c r="H635" t="s">
        <v>1568</v>
      </c>
      <c r="I635" t="s">
        <v>840</v>
      </c>
      <c r="J635" t="s">
        <v>1568</v>
      </c>
      <c r="K635" t="s">
        <v>1568</v>
      </c>
      <c r="L635" t="s">
        <v>1568</v>
      </c>
      <c r="M635" t="s">
        <v>1568</v>
      </c>
      <c r="N635" t="s">
        <v>1568</v>
      </c>
      <c r="O635" t="s">
        <v>1568</v>
      </c>
      <c r="P635" t="s">
        <v>1568</v>
      </c>
      <c r="Q635" t="s">
        <v>1568</v>
      </c>
      <c r="R635" t="s">
        <v>1568</v>
      </c>
      <c r="S635" t="s">
        <v>1568</v>
      </c>
      <c r="T635" t="s">
        <v>1568</v>
      </c>
      <c r="U635" t="s">
        <v>1568</v>
      </c>
      <c r="V635" t="s">
        <v>1665</v>
      </c>
      <c r="W635" t="s">
        <v>841</v>
      </c>
      <c r="X635" t="s">
        <v>61</v>
      </c>
      <c r="Y635" t="s">
        <v>1587</v>
      </c>
    </row>
    <row r="636" spans="1:25" ht="16" x14ac:dyDescent="0.2">
      <c r="A636" t="s">
        <v>1568</v>
      </c>
      <c r="B636" t="s">
        <v>877</v>
      </c>
      <c r="C636" t="s">
        <v>1568</v>
      </c>
      <c r="D636" t="s">
        <v>1568</v>
      </c>
      <c r="E636" t="s">
        <v>55</v>
      </c>
      <c r="F636" t="s">
        <v>1659</v>
      </c>
      <c r="G636" t="s">
        <v>842</v>
      </c>
      <c r="H636" t="s">
        <v>1568</v>
      </c>
      <c r="I636" t="s">
        <v>843</v>
      </c>
      <c r="J636" t="s">
        <v>1568</v>
      </c>
      <c r="K636" t="s">
        <v>1568</v>
      </c>
      <c r="L636" t="s">
        <v>1568</v>
      </c>
      <c r="M636" t="s">
        <v>1568</v>
      </c>
      <c r="N636" t="s">
        <v>1568</v>
      </c>
      <c r="O636" t="s">
        <v>1568</v>
      </c>
      <c r="P636" t="s">
        <v>1568</v>
      </c>
      <c r="Q636" t="s">
        <v>1568</v>
      </c>
      <c r="R636" t="s">
        <v>1568</v>
      </c>
      <c r="S636" t="s">
        <v>1568</v>
      </c>
      <c r="T636" t="s">
        <v>1568</v>
      </c>
      <c r="U636" t="s">
        <v>1568</v>
      </c>
      <c r="V636" t="s">
        <v>1665</v>
      </c>
      <c r="W636" t="s">
        <v>844</v>
      </c>
      <c r="X636" t="s">
        <v>61</v>
      </c>
      <c r="Y636" t="s">
        <v>1587</v>
      </c>
    </row>
    <row r="637" spans="1:25" ht="16" x14ac:dyDescent="0.2">
      <c r="A637" t="s">
        <v>1568</v>
      </c>
      <c r="B637" t="s">
        <v>878</v>
      </c>
      <c r="C637" t="s">
        <v>1568</v>
      </c>
      <c r="D637" t="s">
        <v>1568</v>
      </c>
      <c r="E637" t="s">
        <v>36</v>
      </c>
      <c r="F637" t="s">
        <v>1659</v>
      </c>
      <c r="G637" t="s">
        <v>846</v>
      </c>
      <c r="H637" t="s">
        <v>1568</v>
      </c>
      <c r="I637" t="s">
        <v>847</v>
      </c>
      <c r="J637" t="s">
        <v>1568</v>
      </c>
      <c r="K637" t="s">
        <v>1568</v>
      </c>
      <c r="L637" t="s">
        <v>1568</v>
      </c>
      <c r="M637" t="s">
        <v>1568</v>
      </c>
      <c r="N637" t="s">
        <v>1568</v>
      </c>
      <c r="O637" t="s">
        <v>1568</v>
      </c>
      <c r="P637" t="s">
        <v>1568</v>
      </c>
      <c r="Q637" t="s">
        <v>1568</v>
      </c>
      <c r="R637" t="s">
        <v>1568</v>
      </c>
      <c r="S637" t="s">
        <v>1568</v>
      </c>
      <c r="T637" t="s">
        <v>1568</v>
      </c>
      <c r="U637" t="s">
        <v>1568</v>
      </c>
      <c r="V637" t="s">
        <v>1665</v>
      </c>
      <c r="W637" t="s">
        <v>848</v>
      </c>
      <c r="X637" t="s">
        <v>61</v>
      </c>
      <c r="Y637" t="s">
        <v>1587</v>
      </c>
    </row>
    <row r="638" spans="1:25" ht="16" x14ac:dyDescent="0.2">
      <c r="A638" t="s">
        <v>1568</v>
      </c>
      <c r="B638" t="s">
        <v>878</v>
      </c>
      <c r="C638" t="s">
        <v>1568</v>
      </c>
      <c r="D638" t="s">
        <v>1568</v>
      </c>
      <c r="E638" t="s">
        <v>43</v>
      </c>
      <c r="F638" t="s">
        <v>1659</v>
      </c>
      <c r="G638" t="s">
        <v>849</v>
      </c>
      <c r="H638" t="s">
        <v>1568</v>
      </c>
      <c r="I638" t="s">
        <v>850</v>
      </c>
      <c r="J638" t="s">
        <v>1568</v>
      </c>
      <c r="K638" t="s">
        <v>1568</v>
      </c>
      <c r="L638" t="s">
        <v>1568</v>
      </c>
      <c r="M638" t="s">
        <v>1568</v>
      </c>
      <c r="N638" t="s">
        <v>1568</v>
      </c>
      <c r="O638" t="s">
        <v>1568</v>
      </c>
      <c r="P638" t="s">
        <v>1568</v>
      </c>
      <c r="Q638" t="s">
        <v>1568</v>
      </c>
      <c r="R638" t="s">
        <v>1568</v>
      </c>
      <c r="S638" t="s">
        <v>1568</v>
      </c>
      <c r="T638" t="s">
        <v>1568</v>
      </c>
      <c r="U638" t="s">
        <v>1568</v>
      </c>
      <c r="V638" t="s">
        <v>1665</v>
      </c>
      <c r="W638" t="s">
        <v>851</v>
      </c>
      <c r="X638" t="s">
        <v>61</v>
      </c>
      <c r="Y638" t="s">
        <v>1587</v>
      </c>
    </row>
    <row r="639" spans="1:25" ht="16" x14ac:dyDescent="0.2">
      <c r="A639" t="s">
        <v>1568</v>
      </c>
      <c r="B639" t="s">
        <v>878</v>
      </c>
      <c r="C639" t="s">
        <v>1568</v>
      </c>
      <c r="D639" t="s">
        <v>1568</v>
      </c>
      <c r="E639" t="s">
        <v>47</v>
      </c>
      <c r="F639" t="s">
        <v>1659</v>
      </c>
      <c r="G639" t="s">
        <v>852</v>
      </c>
      <c r="H639" t="s">
        <v>1568</v>
      </c>
      <c r="I639" t="s">
        <v>853</v>
      </c>
      <c r="J639" t="s">
        <v>1568</v>
      </c>
      <c r="K639" t="s">
        <v>1568</v>
      </c>
      <c r="L639" t="s">
        <v>1568</v>
      </c>
      <c r="M639" t="s">
        <v>1568</v>
      </c>
      <c r="N639" t="s">
        <v>1568</v>
      </c>
      <c r="O639" t="s">
        <v>1568</v>
      </c>
      <c r="P639" t="s">
        <v>1568</v>
      </c>
      <c r="Q639" t="s">
        <v>1568</v>
      </c>
      <c r="R639" t="s">
        <v>1568</v>
      </c>
      <c r="S639" t="s">
        <v>1568</v>
      </c>
      <c r="T639" t="s">
        <v>1568</v>
      </c>
      <c r="U639" t="s">
        <v>1568</v>
      </c>
      <c r="V639" t="s">
        <v>1665</v>
      </c>
      <c r="W639" t="s">
        <v>854</v>
      </c>
      <c r="X639" t="s">
        <v>61</v>
      </c>
      <c r="Y639" t="s">
        <v>1587</v>
      </c>
    </row>
    <row r="640" spans="1:25" ht="16" x14ac:dyDescent="0.2">
      <c r="A640" t="s">
        <v>1568</v>
      </c>
      <c r="B640" t="s">
        <v>878</v>
      </c>
      <c r="C640" t="s">
        <v>1568</v>
      </c>
      <c r="D640" t="s">
        <v>1568</v>
      </c>
      <c r="E640" t="s">
        <v>51</v>
      </c>
      <c r="F640" t="s">
        <v>1659</v>
      </c>
      <c r="G640" t="s">
        <v>855</v>
      </c>
      <c r="H640" t="s">
        <v>1568</v>
      </c>
      <c r="I640" t="s">
        <v>856</v>
      </c>
      <c r="J640" t="s">
        <v>1568</v>
      </c>
      <c r="K640" t="s">
        <v>1568</v>
      </c>
      <c r="L640" t="s">
        <v>1568</v>
      </c>
      <c r="M640" t="s">
        <v>1568</v>
      </c>
      <c r="N640" t="s">
        <v>1568</v>
      </c>
      <c r="O640" t="s">
        <v>1568</v>
      </c>
      <c r="P640" t="s">
        <v>1568</v>
      </c>
      <c r="Q640" t="s">
        <v>1568</v>
      </c>
      <c r="R640" t="s">
        <v>1568</v>
      </c>
      <c r="S640" t="s">
        <v>1568</v>
      </c>
      <c r="T640" t="s">
        <v>1568</v>
      </c>
      <c r="U640" t="s">
        <v>1568</v>
      </c>
      <c r="V640" t="s">
        <v>1665</v>
      </c>
      <c r="W640" t="s">
        <v>857</v>
      </c>
      <c r="X640" t="s">
        <v>61</v>
      </c>
      <c r="Y640" t="s">
        <v>1587</v>
      </c>
    </row>
    <row r="641" spans="1:25" ht="16" x14ac:dyDescent="0.2">
      <c r="A641" t="s">
        <v>1568</v>
      </c>
      <c r="B641" t="s">
        <v>878</v>
      </c>
      <c r="C641" t="s">
        <v>1568</v>
      </c>
      <c r="D641" t="s">
        <v>1568</v>
      </c>
      <c r="E641" t="s">
        <v>55</v>
      </c>
      <c r="F641" t="s">
        <v>1659</v>
      </c>
      <c r="G641" t="s">
        <v>858</v>
      </c>
      <c r="H641" t="s">
        <v>1568</v>
      </c>
      <c r="I641" t="s">
        <v>859</v>
      </c>
      <c r="J641" t="s">
        <v>1568</v>
      </c>
      <c r="K641" t="s">
        <v>1568</v>
      </c>
      <c r="L641" t="s">
        <v>1568</v>
      </c>
      <c r="M641" t="s">
        <v>1568</v>
      </c>
      <c r="N641" t="s">
        <v>1568</v>
      </c>
      <c r="O641" t="s">
        <v>1568</v>
      </c>
      <c r="P641" t="s">
        <v>1568</v>
      </c>
      <c r="Q641" t="s">
        <v>1568</v>
      </c>
      <c r="R641" t="s">
        <v>1568</v>
      </c>
      <c r="S641" t="s">
        <v>1568</v>
      </c>
      <c r="T641" t="s">
        <v>1568</v>
      </c>
      <c r="U641" t="s">
        <v>1568</v>
      </c>
      <c r="V641" t="s">
        <v>1665</v>
      </c>
      <c r="W641" t="s">
        <v>860</v>
      </c>
      <c r="X641" t="s">
        <v>61</v>
      </c>
      <c r="Y641" t="s">
        <v>1587</v>
      </c>
    </row>
    <row r="642" spans="1:25" ht="16" x14ac:dyDescent="0.2">
      <c r="A642" t="s">
        <v>1568</v>
      </c>
      <c r="B642" t="s">
        <v>879</v>
      </c>
      <c r="C642" t="s">
        <v>1568</v>
      </c>
      <c r="D642" t="s">
        <v>1568</v>
      </c>
      <c r="E642" t="s">
        <v>36</v>
      </c>
      <c r="F642" t="s">
        <v>1659</v>
      </c>
      <c r="G642" t="s">
        <v>881</v>
      </c>
      <c r="H642" t="s">
        <v>1568</v>
      </c>
      <c r="I642" t="s">
        <v>882</v>
      </c>
      <c r="J642" t="s">
        <v>1568</v>
      </c>
      <c r="K642" t="s">
        <v>1568</v>
      </c>
      <c r="L642" t="s">
        <v>1568</v>
      </c>
      <c r="M642" t="s">
        <v>1568</v>
      </c>
      <c r="N642" t="s">
        <v>1568</v>
      </c>
      <c r="O642" t="s">
        <v>1568</v>
      </c>
      <c r="P642" t="s">
        <v>1568</v>
      </c>
      <c r="Q642" t="s">
        <v>1568</v>
      </c>
      <c r="R642" t="s">
        <v>1568</v>
      </c>
      <c r="S642" t="s">
        <v>1568</v>
      </c>
      <c r="T642" t="s">
        <v>1568</v>
      </c>
      <c r="U642" t="s">
        <v>1568</v>
      </c>
      <c r="V642" t="s">
        <v>1665</v>
      </c>
      <c r="W642" t="s">
        <v>883</v>
      </c>
      <c r="X642" t="s">
        <v>30</v>
      </c>
      <c r="Y642" t="s">
        <v>1572</v>
      </c>
    </row>
    <row r="643" spans="1:25" ht="16" x14ac:dyDescent="0.2">
      <c r="A643" t="s">
        <v>1568</v>
      </c>
      <c r="B643" t="s">
        <v>879</v>
      </c>
      <c r="C643" t="s">
        <v>1568</v>
      </c>
      <c r="D643" t="s">
        <v>1568</v>
      </c>
      <c r="E643" t="s">
        <v>43</v>
      </c>
      <c r="F643" t="s">
        <v>1659</v>
      </c>
      <c r="G643" t="s">
        <v>798</v>
      </c>
      <c r="H643" t="s">
        <v>1568</v>
      </c>
      <c r="I643" t="s">
        <v>799</v>
      </c>
      <c r="J643" t="s">
        <v>1568</v>
      </c>
      <c r="K643" t="s">
        <v>1568</v>
      </c>
      <c r="L643" t="s">
        <v>1568</v>
      </c>
      <c r="M643" t="s">
        <v>1568</v>
      </c>
      <c r="N643" t="s">
        <v>1568</v>
      </c>
      <c r="O643" t="s">
        <v>1568</v>
      </c>
      <c r="P643" t="s">
        <v>1568</v>
      </c>
      <c r="Q643" t="s">
        <v>1568</v>
      </c>
      <c r="R643" t="s">
        <v>1568</v>
      </c>
      <c r="S643" t="s">
        <v>1568</v>
      </c>
      <c r="T643" t="s">
        <v>1568</v>
      </c>
      <c r="U643" t="s">
        <v>1703</v>
      </c>
      <c r="V643" t="s">
        <v>1704</v>
      </c>
      <c r="W643" t="s">
        <v>800</v>
      </c>
      <c r="X643" t="s">
        <v>30</v>
      </c>
      <c r="Y643" t="s">
        <v>1572</v>
      </c>
    </row>
    <row r="644" spans="1:25" ht="16" x14ac:dyDescent="0.2">
      <c r="A644" t="s">
        <v>1568</v>
      </c>
      <c r="B644" t="s">
        <v>879</v>
      </c>
      <c r="C644" t="s">
        <v>1568</v>
      </c>
      <c r="D644" t="s">
        <v>1568</v>
      </c>
      <c r="E644" t="s">
        <v>47</v>
      </c>
      <c r="F644" t="s">
        <v>1659</v>
      </c>
      <c r="G644" t="s">
        <v>801</v>
      </c>
      <c r="H644" t="s">
        <v>1568</v>
      </c>
      <c r="I644" t="s">
        <v>802</v>
      </c>
      <c r="J644" t="s">
        <v>1568</v>
      </c>
      <c r="K644" t="s">
        <v>1568</v>
      </c>
      <c r="L644" t="s">
        <v>1568</v>
      </c>
      <c r="M644" t="s">
        <v>1568</v>
      </c>
      <c r="N644" t="s">
        <v>1568</v>
      </c>
      <c r="O644" t="s">
        <v>1568</v>
      </c>
      <c r="P644" t="s">
        <v>1568</v>
      </c>
      <c r="Q644" t="s">
        <v>1568</v>
      </c>
      <c r="R644" t="s">
        <v>1568</v>
      </c>
      <c r="S644" t="s">
        <v>1568</v>
      </c>
      <c r="T644" t="s">
        <v>1568</v>
      </c>
      <c r="U644" t="s">
        <v>1703</v>
      </c>
      <c r="V644" t="s">
        <v>1704</v>
      </c>
      <c r="W644" t="s">
        <v>803</v>
      </c>
      <c r="X644" t="s">
        <v>30</v>
      </c>
      <c r="Y644" t="s">
        <v>1572</v>
      </c>
    </row>
    <row r="645" spans="1:25" ht="16" x14ac:dyDescent="0.2">
      <c r="A645" t="s">
        <v>1568</v>
      </c>
      <c r="B645" t="s">
        <v>879</v>
      </c>
      <c r="C645" t="s">
        <v>1568</v>
      </c>
      <c r="D645" t="s">
        <v>1568</v>
      </c>
      <c r="E645" t="s">
        <v>51</v>
      </c>
      <c r="F645" t="s">
        <v>1659</v>
      </c>
      <c r="G645" t="s">
        <v>804</v>
      </c>
      <c r="H645" t="s">
        <v>1568</v>
      </c>
      <c r="I645" t="s">
        <v>805</v>
      </c>
      <c r="J645" t="s">
        <v>1568</v>
      </c>
      <c r="K645" t="s">
        <v>1568</v>
      </c>
      <c r="L645" t="s">
        <v>1568</v>
      </c>
      <c r="M645" t="s">
        <v>1568</v>
      </c>
      <c r="N645" t="s">
        <v>1568</v>
      </c>
      <c r="O645" t="s">
        <v>1568</v>
      </c>
      <c r="P645" t="s">
        <v>1568</v>
      </c>
      <c r="Q645" t="s">
        <v>1568</v>
      </c>
      <c r="R645" t="s">
        <v>1568</v>
      </c>
      <c r="S645" t="s">
        <v>1568</v>
      </c>
      <c r="T645" t="s">
        <v>1568</v>
      </c>
      <c r="U645" t="s">
        <v>1703</v>
      </c>
      <c r="V645" t="s">
        <v>1704</v>
      </c>
      <c r="W645" t="s">
        <v>806</v>
      </c>
      <c r="X645" t="s">
        <v>30</v>
      </c>
      <c r="Y645" t="s">
        <v>1572</v>
      </c>
    </row>
    <row r="646" spans="1:25" ht="16" x14ac:dyDescent="0.2">
      <c r="A646" t="s">
        <v>1568</v>
      </c>
      <c r="B646" t="s">
        <v>879</v>
      </c>
      <c r="C646" t="s">
        <v>1568</v>
      </c>
      <c r="D646" t="s">
        <v>1568</v>
      </c>
      <c r="E646" t="s">
        <v>55</v>
      </c>
      <c r="F646" t="s">
        <v>1659</v>
      </c>
      <c r="G646" t="s">
        <v>807</v>
      </c>
      <c r="H646" t="s">
        <v>1568</v>
      </c>
      <c r="I646" t="s">
        <v>808</v>
      </c>
      <c r="J646" t="s">
        <v>1568</v>
      </c>
      <c r="K646" t="s">
        <v>1568</v>
      </c>
      <c r="L646" t="s">
        <v>1568</v>
      </c>
      <c r="M646" t="s">
        <v>1568</v>
      </c>
      <c r="N646" t="s">
        <v>1568</v>
      </c>
      <c r="O646" t="s">
        <v>1568</v>
      </c>
      <c r="P646" t="s">
        <v>1568</v>
      </c>
      <c r="Q646" t="s">
        <v>1568</v>
      </c>
      <c r="R646" t="s">
        <v>1568</v>
      </c>
      <c r="S646" t="s">
        <v>1568</v>
      </c>
      <c r="T646" t="s">
        <v>1568</v>
      </c>
      <c r="U646" t="s">
        <v>1703</v>
      </c>
      <c r="V646" t="s">
        <v>1704</v>
      </c>
      <c r="W646" t="s">
        <v>809</v>
      </c>
      <c r="X646" t="s">
        <v>30</v>
      </c>
      <c r="Y646" t="s">
        <v>1572</v>
      </c>
    </row>
    <row r="647" spans="1:25" ht="16" x14ac:dyDescent="0.2">
      <c r="A647" t="s">
        <v>1568</v>
      </c>
      <c r="B647" t="s">
        <v>879</v>
      </c>
      <c r="C647" t="s">
        <v>1568</v>
      </c>
      <c r="D647" t="s">
        <v>1568</v>
      </c>
      <c r="E647" t="s">
        <v>884</v>
      </c>
      <c r="F647" t="s">
        <v>1659</v>
      </c>
      <c r="G647" t="s">
        <v>810</v>
      </c>
      <c r="H647" t="s">
        <v>1568</v>
      </c>
      <c r="I647" t="s">
        <v>811</v>
      </c>
      <c r="J647" t="s">
        <v>1568</v>
      </c>
      <c r="K647" t="s">
        <v>1568</v>
      </c>
      <c r="L647" t="s">
        <v>1568</v>
      </c>
      <c r="M647" t="s">
        <v>1568</v>
      </c>
      <c r="N647" t="s">
        <v>1568</v>
      </c>
      <c r="O647" t="s">
        <v>1568</v>
      </c>
      <c r="P647" t="s">
        <v>1568</v>
      </c>
      <c r="Q647" t="s">
        <v>1568</v>
      </c>
      <c r="R647" t="s">
        <v>1568</v>
      </c>
      <c r="S647" t="s">
        <v>1568</v>
      </c>
      <c r="T647" t="s">
        <v>1568</v>
      </c>
      <c r="U647" t="s">
        <v>1703</v>
      </c>
      <c r="V647" t="s">
        <v>1704</v>
      </c>
      <c r="W647" t="s">
        <v>812</v>
      </c>
      <c r="X647" t="s">
        <v>30</v>
      </c>
      <c r="Y647" t="s">
        <v>1572</v>
      </c>
    </row>
    <row r="648" spans="1:25" ht="16" x14ac:dyDescent="0.2">
      <c r="A648" t="s">
        <v>1568</v>
      </c>
      <c r="B648" t="s">
        <v>885</v>
      </c>
      <c r="C648" t="s">
        <v>1568</v>
      </c>
      <c r="D648" t="s">
        <v>1568</v>
      </c>
      <c r="E648" t="s">
        <v>36</v>
      </c>
      <c r="F648" t="s">
        <v>1659</v>
      </c>
      <c r="G648" t="s">
        <v>886</v>
      </c>
      <c r="H648" t="s">
        <v>1568</v>
      </c>
      <c r="I648" t="s">
        <v>887</v>
      </c>
      <c r="J648" t="s">
        <v>1568</v>
      </c>
      <c r="K648" t="s">
        <v>1568</v>
      </c>
      <c r="L648" t="s">
        <v>1568</v>
      </c>
      <c r="M648" t="s">
        <v>1568</v>
      </c>
      <c r="N648" t="s">
        <v>1568</v>
      </c>
      <c r="O648" t="s">
        <v>1568</v>
      </c>
      <c r="P648" t="s">
        <v>1568</v>
      </c>
      <c r="Q648" t="s">
        <v>1568</v>
      </c>
      <c r="R648" t="s">
        <v>1568</v>
      </c>
      <c r="S648" t="s">
        <v>1568</v>
      </c>
      <c r="T648" t="s">
        <v>1568</v>
      </c>
      <c r="U648" t="s">
        <v>1568</v>
      </c>
      <c r="V648" t="s">
        <v>1704</v>
      </c>
      <c r="W648" t="s">
        <v>888</v>
      </c>
      <c r="X648" t="s">
        <v>30</v>
      </c>
      <c r="Y648" t="s">
        <v>1572</v>
      </c>
    </row>
    <row r="649" spans="1:25" ht="16" x14ac:dyDescent="0.2">
      <c r="A649" t="s">
        <v>1568</v>
      </c>
      <c r="B649" t="s">
        <v>885</v>
      </c>
      <c r="C649" t="s">
        <v>1568</v>
      </c>
      <c r="D649" t="s">
        <v>1568</v>
      </c>
      <c r="E649" t="s">
        <v>43</v>
      </c>
      <c r="F649" t="s">
        <v>1659</v>
      </c>
      <c r="G649" t="s">
        <v>814</v>
      </c>
      <c r="H649" t="s">
        <v>1568</v>
      </c>
      <c r="I649" t="s">
        <v>815</v>
      </c>
      <c r="J649" t="s">
        <v>1568</v>
      </c>
      <c r="K649" t="s">
        <v>1568</v>
      </c>
      <c r="L649" t="s">
        <v>1568</v>
      </c>
      <c r="M649" t="s">
        <v>1568</v>
      </c>
      <c r="N649" t="s">
        <v>1568</v>
      </c>
      <c r="O649" t="s">
        <v>1568</v>
      </c>
      <c r="P649" t="s">
        <v>1568</v>
      </c>
      <c r="Q649" t="s">
        <v>1568</v>
      </c>
      <c r="R649" t="s">
        <v>1568</v>
      </c>
      <c r="S649" t="s">
        <v>1568</v>
      </c>
      <c r="T649" t="s">
        <v>1568</v>
      </c>
      <c r="U649" t="s">
        <v>1703</v>
      </c>
      <c r="V649" t="s">
        <v>1704</v>
      </c>
      <c r="W649" t="s">
        <v>816</v>
      </c>
      <c r="X649" t="s">
        <v>30</v>
      </c>
      <c r="Y649" t="s">
        <v>1572</v>
      </c>
    </row>
    <row r="650" spans="1:25" ht="16" x14ac:dyDescent="0.2">
      <c r="A650" t="s">
        <v>1568</v>
      </c>
      <c r="B650" t="s">
        <v>885</v>
      </c>
      <c r="C650" t="s">
        <v>1568</v>
      </c>
      <c r="D650" t="s">
        <v>1568</v>
      </c>
      <c r="E650" t="s">
        <v>47</v>
      </c>
      <c r="F650" t="s">
        <v>1659</v>
      </c>
      <c r="G650" t="s">
        <v>817</v>
      </c>
      <c r="H650" t="s">
        <v>1568</v>
      </c>
      <c r="I650" t="s">
        <v>818</v>
      </c>
      <c r="J650" t="s">
        <v>1568</v>
      </c>
      <c r="K650" t="s">
        <v>1568</v>
      </c>
      <c r="L650" t="s">
        <v>1568</v>
      </c>
      <c r="M650" t="s">
        <v>1568</v>
      </c>
      <c r="N650" t="s">
        <v>1568</v>
      </c>
      <c r="O650" t="s">
        <v>1568</v>
      </c>
      <c r="P650" t="s">
        <v>1568</v>
      </c>
      <c r="Q650" t="s">
        <v>1568</v>
      </c>
      <c r="R650" t="s">
        <v>1568</v>
      </c>
      <c r="S650" t="s">
        <v>1568</v>
      </c>
      <c r="T650" t="s">
        <v>1568</v>
      </c>
      <c r="U650" t="s">
        <v>1703</v>
      </c>
      <c r="V650" t="s">
        <v>1704</v>
      </c>
      <c r="W650" t="s">
        <v>819</v>
      </c>
      <c r="X650" t="s">
        <v>30</v>
      </c>
      <c r="Y650" t="s">
        <v>1572</v>
      </c>
    </row>
    <row r="651" spans="1:25" ht="16" x14ac:dyDescent="0.2">
      <c r="A651" t="s">
        <v>1568</v>
      </c>
      <c r="B651" t="s">
        <v>885</v>
      </c>
      <c r="C651" t="s">
        <v>1568</v>
      </c>
      <c r="D651" t="s">
        <v>1568</v>
      </c>
      <c r="E651" t="s">
        <v>51</v>
      </c>
      <c r="F651" t="s">
        <v>1659</v>
      </c>
      <c r="G651" t="s">
        <v>820</v>
      </c>
      <c r="H651" t="s">
        <v>1568</v>
      </c>
      <c r="I651" t="s">
        <v>821</v>
      </c>
      <c r="J651" t="s">
        <v>1568</v>
      </c>
      <c r="K651" t="s">
        <v>1568</v>
      </c>
      <c r="L651" t="s">
        <v>1568</v>
      </c>
      <c r="M651" t="s">
        <v>1568</v>
      </c>
      <c r="N651" t="s">
        <v>1568</v>
      </c>
      <c r="O651" t="s">
        <v>1568</v>
      </c>
      <c r="P651" t="s">
        <v>1568</v>
      </c>
      <c r="Q651" t="s">
        <v>1568</v>
      </c>
      <c r="R651" t="s">
        <v>1568</v>
      </c>
      <c r="S651" t="s">
        <v>1568</v>
      </c>
      <c r="T651" t="s">
        <v>1568</v>
      </c>
      <c r="U651" t="s">
        <v>1703</v>
      </c>
      <c r="V651" t="s">
        <v>1704</v>
      </c>
      <c r="W651" t="s">
        <v>822</v>
      </c>
      <c r="X651" t="s">
        <v>30</v>
      </c>
      <c r="Y651" t="s">
        <v>1572</v>
      </c>
    </row>
    <row r="652" spans="1:25" ht="16" x14ac:dyDescent="0.2">
      <c r="A652" t="s">
        <v>1568</v>
      </c>
      <c r="B652" t="s">
        <v>885</v>
      </c>
      <c r="C652" t="s">
        <v>1568</v>
      </c>
      <c r="D652" t="s">
        <v>1568</v>
      </c>
      <c r="E652" t="s">
        <v>55</v>
      </c>
      <c r="F652" t="s">
        <v>1659</v>
      </c>
      <c r="G652" t="s">
        <v>823</v>
      </c>
      <c r="H652" t="s">
        <v>1568</v>
      </c>
      <c r="I652" t="s">
        <v>824</v>
      </c>
      <c r="J652" t="s">
        <v>1568</v>
      </c>
      <c r="K652" t="s">
        <v>1568</v>
      </c>
      <c r="L652" t="s">
        <v>1568</v>
      </c>
      <c r="M652" t="s">
        <v>1568</v>
      </c>
      <c r="N652" t="s">
        <v>1568</v>
      </c>
      <c r="O652" t="s">
        <v>1568</v>
      </c>
      <c r="P652" t="s">
        <v>1568</v>
      </c>
      <c r="Q652" t="s">
        <v>1568</v>
      </c>
      <c r="R652" t="s">
        <v>1568</v>
      </c>
      <c r="S652" t="s">
        <v>1568</v>
      </c>
      <c r="T652" t="s">
        <v>1568</v>
      </c>
      <c r="U652" t="s">
        <v>1703</v>
      </c>
      <c r="V652" t="s">
        <v>1704</v>
      </c>
      <c r="W652" t="s">
        <v>825</v>
      </c>
      <c r="X652" t="s">
        <v>30</v>
      </c>
      <c r="Y652" t="s">
        <v>1572</v>
      </c>
    </row>
    <row r="653" spans="1:25" ht="16" x14ac:dyDescent="0.2">
      <c r="A653" t="s">
        <v>1568</v>
      </c>
      <c r="B653" t="s">
        <v>885</v>
      </c>
      <c r="C653" t="s">
        <v>1568</v>
      </c>
      <c r="D653" t="s">
        <v>1568</v>
      </c>
      <c r="E653" t="s">
        <v>884</v>
      </c>
      <c r="F653" t="s">
        <v>1659</v>
      </c>
      <c r="G653" t="s">
        <v>826</v>
      </c>
      <c r="H653" t="s">
        <v>1568</v>
      </c>
      <c r="I653" t="s">
        <v>827</v>
      </c>
      <c r="J653" t="s">
        <v>1568</v>
      </c>
      <c r="K653" t="s">
        <v>1568</v>
      </c>
      <c r="L653" t="s">
        <v>1568</v>
      </c>
      <c r="M653" t="s">
        <v>1568</v>
      </c>
      <c r="N653" t="s">
        <v>1568</v>
      </c>
      <c r="O653" t="s">
        <v>1568</v>
      </c>
      <c r="P653" t="s">
        <v>1568</v>
      </c>
      <c r="Q653" t="s">
        <v>1568</v>
      </c>
      <c r="R653" t="s">
        <v>1568</v>
      </c>
      <c r="S653" t="s">
        <v>1568</v>
      </c>
      <c r="T653" t="s">
        <v>1568</v>
      </c>
      <c r="U653" t="s">
        <v>1703</v>
      </c>
      <c r="V653" t="s">
        <v>1704</v>
      </c>
      <c r="W653" t="s">
        <v>828</v>
      </c>
      <c r="X653" t="s">
        <v>30</v>
      </c>
      <c r="Y653" t="s">
        <v>1572</v>
      </c>
    </row>
    <row r="654" spans="1:25" ht="16" x14ac:dyDescent="0.2">
      <c r="A654" t="s">
        <v>1568</v>
      </c>
      <c r="B654" t="s">
        <v>889</v>
      </c>
      <c r="C654" t="s">
        <v>1568</v>
      </c>
      <c r="D654" t="s">
        <v>1568</v>
      </c>
      <c r="E654" t="s">
        <v>36</v>
      </c>
      <c r="F654" t="s">
        <v>1659</v>
      </c>
      <c r="G654" t="s">
        <v>890</v>
      </c>
      <c r="H654" t="s">
        <v>1568</v>
      </c>
      <c r="I654" t="s">
        <v>891</v>
      </c>
      <c r="J654" t="s">
        <v>1568</v>
      </c>
      <c r="K654" t="s">
        <v>1568</v>
      </c>
      <c r="L654" t="s">
        <v>1568</v>
      </c>
      <c r="M654" t="s">
        <v>1568</v>
      </c>
      <c r="N654" t="s">
        <v>1568</v>
      </c>
      <c r="O654" t="s">
        <v>1568</v>
      </c>
      <c r="P654" t="s">
        <v>1568</v>
      </c>
      <c r="Q654" t="s">
        <v>1568</v>
      </c>
      <c r="R654" t="s">
        <v>1568</v>
      </c>
      <c r="S654" t="s">
        <v>1568</v>
      </c>
      <c r="T654" t="s">
        <v>1568</v>
      </c>
      <c r="U654" t="s">
        <v>1568</v>
      </c>
      <c r="V654" t="s">
        <v>1665</v>
      </c>
      <c r="W654" t="s">
        <v>892</v>
      </c>
      <c r="X654" t="s">
        <v>30</v>
      </c>
      <c r="Y654" t="s">
        <v>1572</v>
      </c>
    </row>
    <row r="655" spans="1:25" ht="16" x14ac:dyDescent="0.2">
      <c r="A655" t="s">
        <v>1568</v>
      </c>
      <c r="B655" t="s">
        <v>893</v>
      </c>
      <c r="C655" t="s">
        <v>1568</v>
      </c>
      <c r="D655" t="s">
        <v>1568</v>
      </c>
      <c r="E655" t="s">
        <v>36</v>
      </c>
      <c r="F655" t="s">
        <v>1659</v>
      </c>
      <c r="G655" t="s">
        <v>894</v>
      </c>
      <c r="H655" t="s">
        <v>1568</v>
      </c>
      <c r="I655" t="s">
        <v>895</v>
      </c>
      <c r="J655" t="s">
        <v>1568</v>
      </c>
      <c r="K655" t="s">
        <v>1568</v>
      </c>
      <c r="L655" t="s">
        <v>1568</v>
      </c>
      <c r="M655" t="s">
        <v>1568</v>
      </c>
      <c r="N655" t="s">
        <v>1568</v>
      </c>
      <c r="O655" t="s">
        <v>1568</v>
      </c>
      <c r="P655" t="s">
        <v>1568</v>
      </c>
      <c r="Q655" t="s">
        <v>1568</v>
      </c>
      <c r="R655" t="s">
        <v>1568</v>
      </c>
      <c r="S655" t="s">
        <v>1568</v>
      </c>
      <c r="T655" t="s">
        <v>1568</v>
      </c>
      <c r="U655" t="s">
        <v>1568</v>
      </c>
      <c r="V655" t="s">
        <v>1665</v>
      </c>
      <c r="W655" t="s">
        <v>896</v>
      </c>
      <c r="X655" t="s">
        <v>30</v>
      </c>
      <c r="Y655" t="s">
        <v>1572</v>
      </c>
    </row>
    <row r="656" spans="1:25" ht="16" x14ac:dyDescent="0.2">
      <c r="A656" t="s">
        <v>1568</v>
      </c>
      <c r="B656" t="s">
        <v>897</v>
      </c>
      <c r="C656" t="s">
        <v>1568</v>
      </c>
      <c r="D656" t="s">
        <v>1568</v>
      </c>
      <c r="E656" t="s">
        <v>36</v>
      </c>
      <c r="F656" t="s">
        <v>1659</v>
      </c>
      <c r="G656" t="s">
        <v>894</v>
      </c>
      <c r="H656" t="s">
        <v>1568</v>
      </c>
      <c r="I656" t="s">
        <v>895</v>
      </c>
      <c r="J656" t="s">
        <v>1568</v>
      </c>
      <c r="K656" t="s">
        <v>1568</v>
      </c>
      <c r="L656" t="s">
        <v>1568</v>
      </c>
      <c r="M656" t="s">
        <v>1568</v>
      </c>
      <c r="N656" t="s">
        <v>1568</v>
      </c>
      <c r="O656" t="s">
        <v>1568</v>
      </c>
      <c r="P656" t="s">
        <v>1568</v>
      </c>
      <c r="Q656" t="s">
        <v>1568</v>
      </c>
      <c r="R656" t="s">
        <v>1568</v>
      </c>
      <c r="S656" t="s">
        <v>1568</v>
      </c>
      <c r="T656" t="s">
        <v>1568</v>
      </c>
      <c r="U656" t="s">
        <v>1568</v>
      </c>
      <c r="V656" t="s">
        <v>1665</v>
      </c>
      <c r="W656" t="s">
        <v>896</v>
      </c>
      <c r="X656" t="s">
        <v>59</v>
      </c>
      <c r="Y656" t="s">
        <v>1581</v>
      </c>
    </row>
    <row r="657" spans="1:25" ht="16" x14ac:dyDescent="0.2">
      <c r="A657" t="s">
        <v>1568</v>
      </c>
      <c r="B657" t="s">
        <v>898</v>
      </c>
      <c r="C657" t="s">
        <v>1568</v>
      </c>
      <c r="D657" t="s">
        <v>1568</v>
      </c>
      <c r="E657" t="s">
        <v>36</v>
      </c>
      <c r="F657" t="s">
        <v>1659</v>
      </c>
      <c r="G657" t="s">
        <v>890</v>
      </c>
      <c r="H657" t="s">
        <v>1568</v>
      </c>
      <c r="I657" t="s">
        <v>891</v>
      </c>
      <c r="J657" t="s">
        <v>1568</v>
      </c>
      <c r="K657" t="s">
        <v>1568</v>
      </c>
      <c r="L657" t="s">
        <v>1568</v>
      </c>
      <c r="M657" t="s">
        <v>1568</v>
      </c>
      <c r="N657" t="s">
        <v>1568</v>
      </c>
      <c r="O657" t="s">
        <v>1568</v>
      </c>
      <c r="P657" t="s">
        <v>1568</v>
      </c>
      <c r="Q657" t="s">
        <v>1568</v>
      </c>
      <c r="R657" t="s">
        <v>1568</v>
      </c>
      <c r="S657" t="s">
        <v>1568</v>
      </c>
      <c r="T657" t="s">
        <v>1568</v>
      </c>
      <c r="U657" t="s">
        <v>1568</v>
      </c>
      <c r="V657" t="s">
        <v>1665</v>
      </c>
      <c r="W657" t="s">
        <v>892</v>
      </c>
      <c r="X657" t="s">
        <v>59</v>
      </c>
      <c r="Y657" t="s">
        <v>1581</v>
      </c>
    </row>
    <row r="658" spans="1:25" ht="16" x14ac:dyDescent="0.2">
      <c r="A658" t="s">
        <v>1568</v>
      </c>
      <c r="B658" t="s">
        <v>899</v>
      </c>
      <c r="C658" t="s">
        <v>1568</v>
      </c>
      <c r="D658" t="s">
        <v>1568</v>
      </c>
      <c r="E658" t="s">
        <v>36</v>
      </c>
      <c r="F658" t="s">
        <v>1659</v>
      </c>
      <c r="G658" t="s">
        <v>886</v>
      </c>
      <c r="H658" t="s">
        <v>1568</v>
      </c>
      <c r="I658" t="s">
        <v>887</v>
      </c>
      <c r="J658" t="s">
        <v>1568</v>
      </c>
      <c r="K658" t="s">
        <v>1568</v>
      </c>
      <c r="L658" t="s">
        <v>1568</v>
      </c>
      <c r="M658" t="s">
        <v>1568</v>
      </c>
      <c r="N658" t="s">
        <v>1568</v>
      </c>
      <c r="O658" t="s">
        <v>1568</v>
      </c>
      <c r="P658" t="s">
        <v>1568</v>
      </c>
      <c r="Q658" t="s">
        <v>1568</v>
      </c>
      <c r="R658" t="s">
        <v>1568</v>
      </c>
      <c r="S658" t="s">
        <v>1568</v>
      </c>
      <c r="T658" t="s">
        <v>1568</v>
      </c>
      <c r="U658" t="s">
        <v>1568</v>
      </c>
      <c r="V658" t="s">
        <v>1705</v>
      </c>
      <c r="W658" t="s">
        <v>888</v>
      </c>
      <c r="X658" t="s">
        <v>59</v>
      </c>
      <c r="Y658" t="s">
        <v>1581</v>
      </c>
    </row>
    <row r="659" spans="1:25" ht="16" x14ac:dyDescent="0.2">
      <c r="A659" t="s">
        <v>1568</v>
      </c>
      <c r="B659" t="s">
        <v>899</v>
      </c>
      <c r="C659" t="s">
        <v>1568</v>
      </c>
      <c r="D659" t="s">
        <v>1568</v>
      </c>
      <c r="E659" t="s">
        <v>43</v>
      </c>
      <c r="F659" t="s">
        <v>1659</v>
      </c>
      <c r="G659" t="s">
        <v>814</v>
      </c>
      <c r="H659" t="s">
        <v>1568</v>
      </c>
      <c r="I659" t="s">
        <v>815</v>
      </c>
      <c r="J659" t="s">
        <v>1568</v>
      </c>
      <c r="K659" t="s">
        <v>1568</v>
      </c>
      <c r="L659" t="s">
        <v>1568</v>
      </c>
      <c r="M659" t="s">
        <v>1568</v>
      </c>
      <c r="N659" t="s">
        <v>1568</v>
      </c>
      <c r="O659" t="s">
        <v>1568</v>
      </c>
      <c r="P659" t="s">
        <v>1568</v>
      </c>
      <c r="Q659" t="s">
        <v>1568</v>
      </c>
      <c r="R659" t="s">
        <v>1568</v>
      </c>
      <c r="S659" t="s">
        <v>1568</v>
      </c>
      <c r="T659" t="s">
        <v>1568</v>
      </c>
      <c r="U659" t="s">
        <v>1703</v>
      </c>
      <c r="V659" t="s">
        <v>1705</v>
      </c>
      <c r="W659" t="s">
        <v>816</v>
      </c>
      <c r="X659" t="s">
        <v>59</v>
      </c>
      <c r="Y659" t="s">
        <v>1581</v>
      </c>
    </row>
    <row r="660" spans="1:25" ht="16" x14ac:dyDescent="0.2">
      <c r="A660" t="s">
        <v>1568</v>
      </c>
      <c r="B660" t="s">
        <v>899</v>
      </c>
      <c r="C660" t="s">
        <v>1568</v>
      </c>
      <c r="D660" t="s">
        <v>1568</v>
      </c>
      <c r="E660" t="s">
        <v>47</v>
      </c>
      <c r="F660" t="s">
        <v>1659</v>
      </c>
      <c r="G660" t="s">
        <v>817</v>
      </c>
      <c r="H660" t="s">
        <v>1568</v>
      </c>
      <c r="I660" t="s">
        <v>818</v>
      </c>
      <c r="J660" t="s">
        <v>1568</v>
      </c>
      <c r="K660" t="s">
        <v>1568</v>
      </c>
      <c r="L660" t="s">
        <v>1568</v>
      </c>
      <c r="M660" t="s">
        <v>1568</v>
      </c>
      <c r="N660" t="s">
        <v>1568</v>
      </c>
      <c r="O660" t="s">
        <v>1568</v>
      </c>
      <c r="P660" t="s">
        <v>1568</v>
      </c>
      <c r="Q660" t="s">
        <v>1568</v>
      </c>
      <c r="R660" t="s">
        <v>1568</v>
      </c>
      <c r="S660" t="s">
        <v>1568</v>
      </c>
      <c r="T660" t="s">
        <v>1568</v>
      </c>
      <c r="U660" t="s">
        <v>1703</v>
      </c>
      <c r="V660" t="s">
        <v>1705</v>
      </c>
      <c r="W660" t="s">
        <v>819</v>
      </c>
      <c r="X660" t="s">
        <v>59</v>
      </c>
      <c r="Y660" t="s">
        <v>1581</v>
      </c>
    </row>
    <row r="661" spans="1:25" ht="16" x14ac:dyDescent="0.2">
      <c r="A661" t="s">
        <v>1568</v>
      </c>
      <c r="B661" t="s">
        <v>899</v>
      </c>
      <c r="C661" t="s">
        <v>1568</v>
      </c>
      <c r="D661" t="s">
        <v>1568</v>
      </c>
      <c r="E661" t="s">
        <v>51</v>
      </c>
      <c r="F661" t="s">
        <v>1659</v>
      </c>
      <c r="G661" t="s">
        <v>820</v>
      </c>
      <c r="H661" t="s">
        <v>1568</v>
      </c>
      <c r="I661" t="s">
        <v>821</v>
      </c>
      <c r="J661" t="s">
        <v>1568</v>
      </c>
      <c r="K661" t="s">
        <v>1568</v>
      </c>
      <c r="L661" t="s">
        <v>1568</v>
      </c>
      <c r="M661" t="s">
        <v>1568</v>
      </c>
      <c r="N661" t="s">
        <v>1568</v>
      </c>
      <c r="O661" t="s">
        <v>1568</v>
      </c>
      <c r="P661" t="s">
        <v>1568</v>
      </c>
      <c r="Q661" t="s">
        <v>1568</v>
      </c>
      <c r="R661" t="s">
        <v>1568</v>
      </c>
      <c r="S661" t="s">
        <v>1568</v>
      </c>
      <c r="T661" t="s">
        <v>1568</v>
      </c>
      <c r="U661" t="s">
        <v>1703</v>
      </c>
      <c r="V661" t="s">
        <v>1705</v>
      </c>
      <c r="W661" t="s">
        <v>822</v>
      </c>
      <c r="X661" t="s">
        <v>59</v>
      </c>
      <c r="Y661" t="s">
        <v>1581</v>
      </c>
    </row>
    <row r="662" spans="1:25" ht="16" x14ac:dyDescent="0.2">
      <c r="A662" t="s">
        <v>1568</v>
      </c>
      <c r="B662" t="s">
        <v>899</v>
      </c>
      <c r="C662" t="s">
        <v>1568</v>
      </c>
      <c r="D662" t="s">
        <v>1568</v>
      </c>
      <c r="E662" t="s">
        <v>884</v>
      </c>
      <c r="F662" t="s">
        <v>1659</v>
      </c>
      <c r="G662" t="s">
        <v>826</v>
      </c>
      <c r="H662" t="s">
        <v>1568</v>
      </c>
      <c r="I662" t="s">
        <v>827</v>
      </c>
      <c r="J662" t="s">
        <v>1568</v>
      </c>
      <c r="K662" t="s">
        <v>1568</v>
      </c>
      <c r="L662" t="s">
        <v>1568</v>
      </c>
      <c r="M662" t="s">
        <v>1568</v>
      </c>
      <c r="N662" t="s">
        <v>1568</v>
      </c>
      <c r="O662" t="s">
        <v>1568</v>
      </c>
      <c r="P662" t="s">
        <v>1568</v>
      </c>
      <c r="Q662" t="s">
        <v>1568</v>
      </c>
      <c r="R662" t="s">
        <v>1568</v>
      </c>
      <c r="S662" t="s">
        <v>1568</v>
      </c>
      <c r="T662" t="s">
        <v>1568</v>
      </c>
      <c r="U662" t="s">
        <v>1703</v>
      </c>
      <c r="V662" t="s">
        <v>1705</v>
      </c>
      <c r="W662" t="s">
        <v>828</v>
      </c>
      <c r="X662" t="s">
        <v>59</v>
      </c>
      <c r="Y662" t="s">
        <v>1581</v>
      </c>
    </row>
    <row r="663" spans="1:25" ht="16" x14ac:dyDescent="0.2">
      <c r="A663" t="s">
        <v>1568</v>
      </c>
      <c r="B663" t="s">
        <v>899</v>
      </c>
      <c r="C663" t="s">
        <v>1568</v>
      </c>
      <c r="D663" t="s">
        <v>1568</v>
      </c>
      <c r="E663" t="s">
        <v>55</v>
      </c>
      <c r="F663" t="s">
        <v>1659</v>
      </c>
      <c r="G663" t="s">
        <v>823</v>
      </c>
      <c r="H663" t="s">
        <v>1568</v>
      </c>
      <c r="I663" t="s">
        <v>824</v>
      </c>
      <c r="J663" t="s">
        <v>1568</v>
      </c>
      <c r="K663" t="s">
        <v>1568</v>
      </c>
      <c r="L663" t="s">
        <v>1568</v>
      </c>
      <c r="M663" t="s">
        <v>1568</v>
      </c>
      <c r="N663" t="s">
        <v>1568</v>
      </c>
      <c r="O663" t="s">
        <v>1568</v>
      </c>
      <c r="P663" t="s">
        <v>1568</v>
      </c>
      <c r="Q663" t="s">
        <v>1568</v>
      </c>
      <c r="R663" t="s">
        <v>1568</v>
      </c>
      <c r="S663" t="s">
        <v>1568</v>
      </c>
      <c r="T663" t="s">
        <v>1568</v>
      </c>
      <c r="U663" t="s">
        <v>1703</v>
      </c>
      <c r="V663" t="s">
        <v>1705</v>
      </c>
      <c r="W663" t="s">
        <v>825</v>
      </c>
      <c r="X663" t="s">
        <v>59</v>
      </c>
      <c r="Y663" t="s">
        <v>1581</v>
      </c>
    </row>
    <row r="664" spans="1:25" ht="16" x14ac:dyDescent="0.2">
      <c r="A664" t="s">
        <v>1568</v>
      </c>
      <c r="B664" t="s">
        <v>900</v>
      </c>
      <c r="C664" t="s">
        <v>1568</v>
      </c>
      <c r="D664" t="s">
        <v>1568</v>
      </c>
      <c r="E664" t="s">
        <v>36</v>
      </c>
      <c r="F664" t="s">
        <v>1659</v>
      </c>
      <c r="G664" t="s">
        <v>881</v>
      </c>
      <c r="H664" t="s">
        <v>1568</v>
      </c>
      <c r="I664" t="s">
        <v>882</v>
      </c>
      <c r="J664" t="s">
        <v>1568</v>
      </c>
      <c r="K664" t="s">
        <v>1568</v>
      </c>
      <c r="L664" t="s">
        <v>1568</v>
      </c>
      <c r="M664" t="s">
        <v>1568</v>
      </c>
      <c r="N664" t="s">
        <v>1568</v>
      </c>
      <c r="O664" t="s">
        <v>1568</v>
      </c>
      <c r="P664" t="s">
        <v>1568</v>
      </c>
      <c r="Q664" t="s">
        <v>1568</v>
      </c>
      <c r="R664" t="s">
        <v>1568</v>
      </c>
      <c r="S664" t="s">
        <v>1568</v>
      </c>
      <c r="T664" t="s">
        <v>1568</v>
      </c>
      <c r="U664" t="s">
        <v>1568</v>
      </c>
      <c r="V664" t="s">
        <v>1665</v>
      </c>
      <c r="W664" t="s">
        <v>883</v>
      </c>
      <c r="X664" t="s">
        <v>59</v>
      </c>
      <c r="Y664" t="s">
        <v>1581</v>
      </c>
    </row>
    <row r="665" spans="1:25" ht="16" x14ac:dyDescent="0.2">
      <c r="A665" t="s">
        <v>1568</v>
      </c>
      <c r="B665" t="s">
        <v>900</v>
      </c>
      <c r="C665" t="s">
        <v>1568</v>
      </c>
      <c r="D665" t="s">
        <v>1568</v>
      </c>
      <c r="E665" t="s">
        <v>43</v>
      </c>
      <c r="F665" t="s">
        <v>1659</v>
      </c>
      <c r="G665" t="s">
        <v>798</v>
      </c>
      <c r="H665" t="s">
        <v>1568</v>
      </c>
      <c r="I665" t="s">
        <v>799</v>
      </c>
      <c r="J665" t="s">
        <v>1568</v>
      </c>
      <c r="K665" t="s">
        <v>1568</v>
      </c>
      <c r="L665" t="s">
        <v>1568</v>
      </c>
      <c r="M665" t="s">
        <v>1568</v>
      </c>
      <c r="N665" t="s">
        <v>1568</v>
      </c>
      <c r="O665" t="s">
        <v>1568</v>
      </c>
      <c r="P665" t="s">
        <v>1568</v>
      </c>
      <c r="Q665" t="s">
        <v>1568</v>
      </c>
      <c r="R665" t="s">
        <v>1568</v>
      </c>
      <c r="S665" t="s">
        <v>1568</v>
      </c>
      <c r="T665" t="s">
        <v>1568</v>
      </c>
      <c r="U665" t="s">
        <v>1703</v>
      </c>
      <c r="V665" t="s">
        <v>1705</v>
      </c>
      <c r="W665" t="s">
        <v>800</v>
      </c>
      <c r="X665" t="s">
        <v>59</v>
      </c>
      <c r="Y665" t="s">
        <v>1581</v>
      </c>
    </row>
    <row r="666" spans="1:25" ht="16" x14ac:dyDescent="0.2">
      <c r="A666" t="s">
        <v>1568</v>
      </c>
      <c r="B666" t="s">
        <v>900</v>
      </c>
      <c r="C666" t="s">
        <v>1568</v>
      </c>
      <c r="D666" t="s">
        <v>1568</v>
      </c>
      <c r="E666" t="s">
        <v>47</v>
      </c>
      <c r="F666" t="s">
        <v>1659</v>
      </c>
      <c r="G666" t="s">
        <v>801</v>
      </c>
      <c r="H666" t="s">
        <v>1568</v>
      </c>
      <c r="I666" t="s">
        <v>802</v>
      </c>
      <c r="J666" t="s">
        <v>1568</v>
      </c>
      <c r="K666" t="s">
        <v>1568</v>
      </c>
      <c r="L666" t="s">
        <v>1568</v>
      </c>
      <c r="M666" t="s">
        <v>1568</v>
      </c>
      <c r="N666" t="s">
        <v>1568</v>
      </c>
      <c r="O666" t="s">
        <v>1568</v>
      </c>
      <c r="P666" t="s">
        <v>1568</v>
      </c>
      <c r="Q666" t="s">
        <v>1568</v>
      </c>
      <c r="R666" t="s">
        <v>1568</v>
      </c>
      <c r="S666" t="s">
        <v>1568</v>
      </c>
      <c r="T666" t="s">
        <v>1568</v>
      </c>
      <c r="U666" t="s">
        <v>1703</v>
      </c>
      <c r="V666" t="s">
        <v>1705</v>
      </c>
      <c r="W666" t="s">
        <v>803</v>
      </c>
      <c r="X666" t="s">
        <v>59</v>
      </c>
      <c r="Y666" t="s">
        <v>1581</v>
      </c>
    </row>
    <row r="667" spans="1:25" ht="16" x14ac:dyDescent="0.2">
      <c r="A667" t="s">
        <v>1568</v>
      </c>
      <c r="B667" t="s">
        <v>900</v>
      </c>
      <c r="C667" t="s">
        <v>1568</v>
      </c>
      <c r="D667" t="s">
        <v>1568</v>
      </c>
      <c r="E667" t="s">
        <v>51</v>
      </c>
      <c r="F667" t="s">
        <v>1659</v>
      </c>
      <c r="G667" t="s">
        <v>804</v>
      </c>
      <c r="H667" t="s">
        <v>1568</v>
      </c>
      <c r="I667" t="s">
        <v>805</v>
      </c>
      <c r="J667" t="s">
        <v>1568</v>
      </c>
      <c r="K667" t="s">
        <v>1568</v>
      </c>
      <c r="L667" t="s">
        <v>1568</v>
      </c>
      <c r="M667" t="s">
        <v>1568</v>
      </c>
      <c r="N667" t="s">
        <v>1568</v>
      </c>
      <c r="O667" t="s">
        <v>1568</v>
      </c>
      <c r="P667" t="s">
        <v>1568</v>
      </c>
      <c r="Q667" t="s">
        <v>1568</v>
      </c>
      <c r="R667" t="s">
        <v>1568</v>
      </c>
      <c r="S667" t="s">
        <v>1568</v>
      </c>
      <c r="T667" t="s">
        <v>1568</v>
      </c>
      <c r="U667" t="s">
        <v>1703</v>
      </c>
      <c r="V667" t="s">
        <v>1705</v>
      </c>
      <c r="W667" t="s">
        <v>806</v>
      </c>
      <c r="X667" t="s">
        <v>59</v>
      </c>
      <c r="Y667" t="s">
        <v>1581</v>
      </c>
    </row>
    <row r="668" spans="1:25" ht="16" x14ac:dyDescent="0.2">
      <c r="A668" t="s">
        <v>1568</v>
      </c>
      <c r="B668" t="s">
        <v>900</v>
      </c>
      <c r="C668" t="s">
        <v>1568</v>
      </c>
      <c r="D668" t="s">
        <v>1568</v>
      </c>
      <c r="E668" t="s">
        <v>55</v>
      </c>
      <c r="F668" t="s">
        <v>1659</v>
      </c>
      <c r="G668" t="s">
        <v>807</v>
      </c>
      <c r="H668" t="s">
        <v>1568</v>
      </c>
      <c r="I668" t="s">
        <v>808</v>
      </c>
      <c r="J668" t="s">
        <v>1568</v>
      </c>
      <c r="K668" t="s">
        <v>1568</v>
      </c>
      <c r="L668" t="s">
        <v>1568</v>
      </c>
      <c r="M668" t="s">
        <v>1568</v>
      </c>
      <c r="N668" t="s">
        <v>1568</v>
      </c>
      <c r="O668" t="s">
        <v>1568</v>
      </c>
      <c r="P668" t="s">
        <v>1568</v>
      </c>
      <c r="Q668" t="s">
        <v>1568</v>
      </c>
      <c r="R668" t="s">
        <v>1568</v>
      </c>
      <c r="S668" t="s">
        <v>1568</v>
      </c>
      <c r="T668" t="s">
        <v>1568</v>
      </c>
      <c r="U668" t="s">
        <v>1703</v>
      </c>
      <c r="V668" t="s">
        <v>1705</v>
      </c>
      <c r="W668" t="s">
        <v>809</v>
      </c>
      <c r="X668" t="s">
        <v>59</v>
      </c>
      <c r="Y668" t="s">
        <v>1581</v>
      </c>
    </row>
    <row r="669" spans="1:25" ht="16" x14ac:dyDescent="0.2">
      <c r="A669" t="s">
        <v>1568</v>
      </c>
      <c r="B669" t="s">
        <v>900</v>
      </c>
      <c r="C669" t="s">
        <v>1568</v>
      </c>
      <c r="D669" t="s">
        <v>1568</v>
      </c>
      <c r="E669" t="s">
        <v>884</v>
      </c>
      <c r="F669" t="s">
        <v>1659</v>
      </c>
      <c r="G669" t="s">
        <v>810</v>
      </c>
      <c r="H669" t="s">
        <v>1568</v>
      </c>
      <c r="I669" t="s">
        <v>811</v>
      </c>
      <c r="J669" t="s">
        <v>1568</v>
      </c>
      <c r="K669" t="s">
        <v>1568</v>
      </c>
      <c r="L669" t="s">
        <v>1568</v>
      </c>
      <c r="M669" t="s">
        <v>1568</v>
      </c>
      <c r="N669" t="s">
        <v>1568</v>
      </c>
      <c r="O669" t="s">
        <v>1568</v>
      </c>
      <c r="P669" t="s">
        <v>1568</v>
      </c>
      <c r="Q669" t="s">
        <v>1568</v>
      </c>
      <c r="R669" t="s">
        <v>1568</v>
      </c>
      <c r="S669" t="s">
        <v>1568</v>
      </c>
      <c r="T669" t="s">
        <v>1568</v>
      </c>
      <c r="U669" t="s">
        <v>1703</v>
      </c>
      <c r="V669" t="s">
        <v>1705</v>
      </c>
      <c r="W669" t="s">
        <v>812</v>
      </c>
      <c r="X669" t="s">
        <v>59</v>
      </c>
      <c r="Y669" t="s">
        <v>1581</v>
      </c>
    </row>
    <row r="670" spans="1:25" ht="16" x14ac:dyDescent="0.2">
      <c r="A670" t="s">
        <v>1568</v>
      </c>
      <c r="B670" t="s">
        <v>901</v>
      </c>
      <c r="C670" t="s">
        <v>1568</v>
      </c>
      <c r="D670" t="s">
        <v>1568</v>
      </c>
      <c r="E670" t="s">
        <v>36</v>
      </c>
      <c r="F670" t="s">
        <v>1659</v>
      </c>
      <c r="G670" t="s">
        <v>890</v>
      </c>
      <c r="H670" t="s">
        <v>1568</v>
      </c>
      <c r="I670" t="s">
        <v>891</v>
      </c>
      <c r="J670" t="s">
        <v>1568</v>
      </c>
      <c r="K670" t="s">
        <v>1568</v>
      </c>
      <c r="L670" t="s">
        <v>1568</v>
      </c>
      <c r="M670" t="s">
        <v>1568</v>
      </c>
      <c r="N670" t="s">
        <v>1568</v>
      </c>
      <c r="O670" t="s">
        <v>1568</v>
      </c>
      <c r="P670" t="s">
        <v>1568</v>
      </c>
      <c r="Q670" t="s">
        <v>1568</v>
      </c>
      <c r="R670" t="s">
        <v>1568</v>
      </c>
      <c r="S670" t="s">
        <v>1568</v>
      </c>
      <c r="T670" t="s">
        <v>1568</v>
      </c>
      <c r="U670" t="s">
        <v>1568</v>
      </c>
      <c r="V670" t="s">
        <v>1665</v>
      </c>
      <c r="W670" t="s">
        <v>892</v>
      </c>
      <c r="X670" t="s">
        <v>61</v>
      </c>
      <c r="Y670" t="s">
        <v>1587</v>
      </c>
    </row>
    <row r="671" spans="1:25" ht="16" x14ac:dyDescent="0.2">
      <c r="A671" t="s">
        <v>1568</v>
      </c>
      <c r="B671" t="s">
        <v>902</v>
      </c>
      <c r="C671" t="s">
        <v>1568</v>
      </c>
      <c r="D671" t="s">
        <v>1568</v>
      </c>
      <c r="E671" t="s">
        <v>36</v>
      </c>
      <c r="F671" t="s">
        <v>1659</v>
      </c>
      <c r="G671" t="s">
        <v>894</v>
      </c>
      <c r="H671" t="s">
        <v>1568</v>
      </c>
      <c r="I671" t="s">
        <v>895</v>
      </c>
      <c r="J671" t="s">
        <v>1568</v>
      </c>
      <c r="K671" t="s">
        <v>1568</v>
      </c>
      <c r="L671" t="s">
        <v>1568</v>
      </c>
      <c r="M671" t="s">
        <v>1568</v>
      </c>
      <c r="N671" t="s">
        <v>1568</v>
      </c>
      <c r="O671" t="s">
        <v>1568</v>
      </c>
      <c r="P671" t="s">
        <v>1568</v>
      </c>
      <c r="Q671" t="s">
        <v>1568</v>
      </c>
      <c r="R671" t="s">
        <v>1568</v>
      </c>
      <c r="S671" t="s">
        <v>1568</v>
      </c>
      <c r="T671" t="s">
        <v>1568</v>
      </c>
      <c r="U671" t="s">
        <v>1568</v>
      </c>
      <c r="V671" t="s">
        <v>1665</v>
      </c>
      <c r="W671" t="s">
        <v>896</v>
      </c>
      <c r="X671" t="s">
        <v>61</v>
      </c>
      <c r="Y671" t="s">
        <v>1587</v>
      </c>
    </row>
    <row r="672" spans="1:25" ht="16" x14ac:dyDescent="0.2">
      <c r="A672" t="s">
        <v>1568</v>
      </c>
      <c r="B672" t="s">
        <v>907</v>
      </c>
      <c r="C672" t="s">
        <v>1568</v>
      </c>
      <c r="D672" t="s">
        <v>1568</v>
      </c>
      <c r="E672" t="s">
        <v>36</v>
      </c>
      <c r="F672" t="s">
        <v>1659</v>
      </c>
      <c r="G672" t="s">
        <v>886</v>
      </c>
      <c r="H672" t="s">
        <v>1568</v>
      </c>
      <c r="I672" t="s">
        <v>887</v>
      </c>
      <c r="J672" t="s">
        <v>1568</v>
      </c>
      <c r="K672" t="s">
        <v>1568</v>
      </c>
      <c r="L672" t="s">
        <v>1568</v>
      </c>
      <c r="M672" t="s">
        <v>1568</v>
      </c>
      <c r="N672" t="s">
        <v>1568</v>
      </c>
      <c r="O672" t="s">
        <v>1568</v>
      </c>
      <c r="P672" t="s">
        <v>1568</v>
      </c>
      <c r="Q672" t="s">
        <v>1568</v>
      </c>
      <c r="R672" t="s">
        <v>1568</v>
      </c>
      <c r="S672" t="s">
        <v>1568</v>
      </c>
      <c r="T672" t="s">
        <v>1568</v>
      </c>
      <c r="U672" t="s">
        <v>1568</v>
      </c>
      <c r="V672" t="s">
        <v>1706</v>
      </c>
      <c r="W672" t="s">
        <v>888</v>
      </c>
      <c r="X672" t="s">
        <v>61</v>
      </c>
      <c r="Y672" t="s">
        <v>1587</v>
      </c>
    </row>
    <row r="673" spans="1:25" ht="16" x14ac:dyDescent="0.2">
      <c r="A673" t="s">
        <v>1568</v>
      </c>
      <c r="B673" t="s">
        <v>907</v>
      </c>
      <c r="C673" t="s">
        <v>1568</v>
      </c>
      <c r="D673" t="s">
        <v>1568</v>
      </c>
      <c r="E673" t="s">
        <v>43</v>
      </c>
      <c r="F673" t="s">
        <v>1659</v>
      </c>
      <c r="G673" t="s">
        <v>814</v>
      </c>
      <c r="H673" t="s">
        <v>1568</v>
      </c>
      <c r="I673" t="s">
        <v>815</v>
      </c>
      <c r="J673" t="s">
        <v>1568</v>
      </c>
      <c r="K673" t="s">
        <v>1568</v>
      </c>
      <c r="L673" t="s">
        <v>1568</v>
      </c>
      <c r="M673" t="s">
        <v>1568</v>
      </c>
      <c r="N673" t="s">
        <v>1568</v>
      </c>
      <c r="O673" t="s">
        <v>1568</v>
      </c>
      <c r="P673" t="s">
        <v>1568</v>
      </c>
      <c r="Q673" t="s">
        <v>1568</v>
      </c>
      <c r="R673" t="s">
        <v>1568</v>
      </c>
      <c r="S673" t="s">
        <v>1568</v>
      </c>
      <c r="T673" t="s">
        <v>1568</v>
      </c>
      <c r="U673" t="s">
        <v>1703</v>
      </c>
      <c r="V673" t="s">
        <v>1706</v>
      </c>
      <c r="W673" t="s">
        <v>816</v>
      </c>
      <c r="X673" t="s">
        <v>61</v>
      </c>
      <c r="Y673" t="s">
        <v>1587</v>
      </c>
    </row>
    <row r="674" spans="1:25" ht="16" x14ac:dyDescent="0.2">
      <c r="A674" t="s">
        <v>1568</v>
      </c>
      <c r="B674" t="s">
        <v>907</v>
      </c>
      <c r="C674" t="s">
        <v>1568</v>
      </c>
      <c r="D674" t="s">
        <v>1568</v>
      </c>
      <c r="E674" t="s">
        <v>47</v>
      </c>
      <c r="F674" t="s">
        <v>1659</v>
      </c>
      <c r="G674" t="s">
        <v>817</v>
      </c>
      <c r="H674" t="s">
        <v>1568</v>
      </c>
      <c r="I674" t="s">
        <v>818</v>
      </c>
      <c r="J674" t="s">
        <v>1568</v>
      </c>
      <c r="K674" t="s">
        <v>1568</v>
      </c>
      <c r="L674" t="s">
        <v>1568</v>
      </c>
      <c r="M674" t="s">
        <v>1568</v>
      </c>
      <c r="N674" t="s">
        <v>1568</v>
      </c>
      <c r="O674" t="s">
        <v>1568</v>
      </c>
      <c r="P674" t="s">
        <v>1568</v>
      </c>
      <c r="Q674" t="s">
        <v>1568</v>
      </c>
      <c r="R674" t="s">
        <v>1568</v>
      </c>
      <c r="S674" t="s">
        <v>1568</v>
      </c>
      <c r="T674" t="s">
        <v>1568</v>
      </c>
      <c r="U674" t="s">
        <v>1703</v>
      </c>
      <c r="V674" t="s">
        <v>1706</v>
      </c>
      <c r="W674" t="s">
        <v>819</v>
      </c>
      <c r="X674" t="s">
        <v>61</v>
      </c>
      <c r="Y674" t="s">
        <v>1587</v>
      </c>
    </row>
    <row r="675" spans="1:25" ht="16" x14ac:dyDescent="0.2">
      <c r="A675" t="s">
        <v>1568</v>
      </c>
      <c r="B675" t="s">
        <v>907</v>
      </c>
      <c r="C675" t="s">
        <v>1568</v>
      </c>
      <c r="D675" t="s">
        <v>1568</v>
      </c>
      <c r="E675" t="s">
        <v>51</v>
      </c>
      <c r="F675" t="s">
        <v>1659</v>
      </c>
      <c r="G675" t="s">
        <v>820</v>
      </c>
      <c r="H675" t="s">
        <v>1568</v>
      </c>
      <c r="I675" t="s">
        <v>821</v>
      </c>
      <c r="J675" t="s">
        <v>1568</v>
      </c>
      <c r="K675" t="s">
        <v>1568</v>
      </c>
      <c r="L675" t="s">
        <v>1568</v>
      </c>
      <c r="M675" t="s">
        <v>1568</v>
      </c>
      <c r="N675" t="s">
        <v>1568</v>
      </c>
      <c r="O675" t="s">
        <v>1568</v>
      </c>
      <c r="P675" t="s">
        <v>1568</v>
      </c>
      <c r="Q675" t="s">
        <v>1568</v>
      </c>
      <c r="R675" t="s">
        <v>1568</v>
      </c>
      <c r="S675" t="s">
        <v>1568</v>
      </c>
      <c r="T675" t="s">
        <v>1568</v>
      </c>
      <c r="U675" t="s">
        <v>1703</v>
      </c>
      <c r="V675" t="s">
        <v>1706</v>
      </c>
      <c r="W675" t="s">
        <v>822</v>
      </c>
      <c r="X675" t="s">
        <v>61</v>
      </c>
      <c r="Y675" t="s">
        <v>1587</v>
      </c>
    </row>
    <row r="676" spans="1:25" ht="16" x14ac:dyDescent="0.2">
      <c r="A676" t="s">
        <v>1568</v>
      </c>
      <c r="B676" t="s">
        <v>907</v>
      </c>
      <c r="C676" t="s">
        <v>1568</v>
      </c>
      <c r="D676" t="s">
        <v>1568</v>
      </c>
      <c r="E676" t="s">
        <v>55</v>
      </c>
      <c r="F676" t="s">
        <v>1659</v>
      </c>
      <c r="G676" t="s">
        <v>823</v>
      </c>
      <c r="H676" t="s">
        <v>1568</v>
      </c>
      <c r="I676" t="s">
        <v>824</v>
      </c>
      <c r="J676" t="s">
        <v>1568</v>
      </c>
      <c r="K676" t="s">
        <v>1568</v>
      </c>
      <c r="L676" t="s">
        <v>1568</v>
      </c>
      <c r="M676" t="s">
        <v>1568</v>
      </c>
      <c r="N676" t="s">
        <v>1568</v>
      </c>
      <c r="O676" t="s">
        <v>1568</v>
      </c>
      <c r="P676" t="s">
        <v>1568</v>
      </c>
      <c r="Q676" t="s">
        <v>1568</v>
      </c>
      <c r="R676" t="s">
        <v>1568</v>
      </c>
      <c r="S676" t="s">
        <v>1568</v>
      </c>
      <c r="T676" t="s">
        <v>1568</v>
      </c>
      <c r="U676" t="s">
        <v>1703</v>
      </c>
      <c r="V676" t="s">
        <v>1706</v>
      </c>
      <c r="W676" t="s">
        <v>825</v>
      </c>
      <c r="X676" t="s">
        <v>61</v>
      </c>
      <c r="Y676" t="s">
        <v>1587</v>
      </c>
    </row>
    <row r="677" spans="1:25" ht="16" x14ac:dyDescent="0.2">
      <c r="A677" t="s">
        <v>1568</v>
      </c>
      <c r="B677" t="s">
        <v>907</v>
      </c>
      <c r="C677" t="s">
        <v>1568</v>
      </c>
      <c r="D677" t="s">
        <v>1568</v>
      </c>
      <c r="E677" t="s">
        <v>884</v>
      </c>
      <c r="F677" t="s">
        <v>1659</v>
      </c>
      <c r="G677" t="s">
        <v>826</v>
      </c>
      <c r="H677" t="s">
        <v>1568</v>
      </c>
      <c r="I677" t="s">
        <v>827</v>
      </c>
      <c r="J677" t="s">
        <v>1568</v>
      </c>
      <c r="K677" t="s">
        <v>1568</v>
      </c>
      <c r="L677" t="s">
        <v>1568</v>
      </c>
      <c r="M677" t="s">
        <v>1568</v>
      </c>
      <c r="N677" t="s">
        <v>1568</v>
      </c>
      <c r="O677" t="s">
        <v>1568</v>
      </c>
      <c r="P677" t="s">
        <v>1568</v>
      </c>
      <c r="Q677" t="s">
        <v>1568</v>
      </c>
      <c r="R677" t="s">
        <v>1568</v>
      </c>
      <c r="S677" t="s">
        <v>1568</v>
      </c>
      <c r="T677" t="s">
        <v>1568</v>
      </c>
      <c r="U677" t="s">
        <v>1703</v>
      </c>
      <c r="V677" t="s">
        <v>1706</v>
      </c>
      <c r="W677" t="s">
        <v>828</v>
      </c>
      <c r="X677" t="s">
        <v>61</v>
      </c>
      <c r="Y677" t="s">
        <v>1587</v>
      </c>
    </row>
    <row r="678" spans="1:25" ht="16" x14ac:dyDescent="0.2">
      <c r="A678" t="s">
        <v>1568</v>
      </c>
      <c r="B678" t="s">
        <v>908</v>
      </c>
      <c r="C678" t="s">
        <v>1568</v>
      </c>
      <c r="D678" t="s">
        <v>1568</v>
      </c>
      <c r="E678" t="s">
        <v>36</v>
      </c>
      <c r="F678" t="s">
        <v>1659</v>
      </c>
      <c r="G678" t="s">
        <v>881</v>
      </c>
      <c r="H678" t="s">
        <v>1568</v>
      </c>
      <c r="I678" t="s">
        <v>882</v>
      </c>
      <c r="J678" t="s">
        <v>1568</v>
      </c>
      <c r="K678" t="s">
        <v>1568</v>
      </c>
      <c r="L678" t="s">
        <v>1568</v>
      </c>
      <c r="M678" t="s">
        <v>1568</v>
      </c>
      <c r="N678" t="s">
        <v>1568</v>
      </c>
      <c r="O678" t="s">
        <v>1568</v>
      </c>
      <c r="P678" t="s">
        <v>1568</v>
      </c>
      <c r="Q678" t="s">
        <v>1568</v>
      </c>
      <c r="R678" t="s">
        <v>1568</v>
      </c>
      <c r="S678" t="s">
        <v>1568</v>
      </c>
      <c r="T678" t="s">
        <v>1568</v>
      </c>
      <c r="U678" t="s">
        <v>1568</v>
      </c>
      <c r="V678" t="s">
        <v>1665</v>
      </c>
      <c r="W678" t="s">
        <v>883</v>
      </c>
      <c r="X678" t="s">
        <v>61</v>
      </c>
      <c r="Y678" t="s">
        <v>1587</v>
      </c>
    </row>
    <row r="679" spans="1:25" ht="16" x14ac:dyDescent="0.2">
      <c r="A679" t="s">
        <v>1568</v>
      </c>
      <c r="B679" t="s">
        <v>908</v>
      </c>
      <c r="C679" t="s">
        <v>1568</v>
      </c>
      <c r="D679" t="s">
        <v>1568</v>
      </c>
      <c r="E679" t="s">
        <v>43</v>
      </c>
      <c r="F679" t="s">
        <v>1659</v>
      </c>
      <c r="G679" t="s">
        <v>798</v>
      </c>
      <c r="H679" t="s">
        <v>1568</v>
      </c>
      <c r="I679" t="s">
        <v>799</v>
      </c>
      <c r="J679" t="s">
        <v>1568</v>
      </c>
      <c r="K679" t="s">
        <v>1568</v>
      </c>
      <c r="L679" t="s">
        <v>1568</v>
      </c>
      <c r="M679" t="s">
        <v>1568</v>
      </c>
      <c r="N679" t="s">
        <v>1568</v>
      </c>
      <c r="O679" t="s">
        <v>1568</v>
      </c>
      <c r="P679" t="s">
        <v>1568</v>
      </c>
      <c r="Q679" t="s">
        <v>1568</v>
      </c>
      <c r="R679" t="s">
        <v>1568</v>
      </c>
      <c r="S679" t="s">
        <v>1568</v>
      </c>
      <c r="T679" t="s">
        <v>1568</v>
      </c>
      <c r="U679" t="s">
        <v>1703</v>
      </c>
      <c r="V679" t="s">
        <v>1706</v>
      </c>
      <c r="W679" t="s">
        <v>800</v>
      </c>
      <c r="X679" t="s">
        <v>61</v>
      </c>
      <c r="Y679" t="s">
        <v>1587</v>
      </c>
    </row>
    <row r="680" spans="1:25" ht="16" x14ac:dyDescent="0.2">
      <c r="A680" t="s">
        <v>1568</v>
      </c>
      <c r="B680" t="s">
        <v>908</v>
      </c>
      <c r="C680" t="s">
        <v>1568</v>
      </c>
      <c r="D680" t="s">
        <v>1568</v>
      </c>
      <c r="E680" t="s">
        <v>47</v>
      </c>
      <c r="F680" t="s">
        <v>1659</v>
      </c>
      <c r="G680" t="s">
        <v>801</v>
      </c>
      <c r="H680" t="s">
        <v>1568</v>
      </c>
      <c r="I680" t="s">
        <v>802</v>
      </c>
      <c r="J680" t="s">
        <v>1568</v>
      </c>
      <c r="K680" t="s">
        <v>1568</v>
      </c>
      <c r="L680" t="s">
        <v>1568</v>
      </c>
      <c r="M680" t="s">
        <v>1568</v>
      </c>
      <c r="N680" t="s">
        <v>1568</v>
      </c>
      <c r="O680" t="s">
        <v>1568</v>
      </c>
      <c r="P680" t="s">
        <v>1568</v>
      </c>
      <c r="Q680" t="s">
        <v>1568</v>
      </c>
      <c r="R680" t="s">
        <v>1568</v>
      </c>
      <c r="S680" t="s">
        <v>1568</v>
      </c>
      <c r="T680" t="s">
        <v>1568</v>
      </c>
      <c r="U680" t="s">
        <v>1703</v>
      </c>
      <c r="V680" t="s">
        <v>1706</v>
      </c>
      <c r="W680" t="s">
        <v>803</v>
      </c>
      <c r="X680" t="s">
        <v>61</v>
      </c>
      <c r="Y680" t="s">
        <v>1587</v>
      </c>
    </row>
    <row r="681" spans="1:25" ht="16" x14ac:dyDescent="0.2">
      <c r="A681" t="s">
        <v>1568</v>
      </c>
      <c r="B681" t="s">
        <v>908</v>
      </c>
      <c r="C681" t="s">
        <v>1568</v>
      </c>
      <c r="D681" t="s">
        <v>1568</v>
      </c>
      <c r="E681" t="s">
        <v>51</v>
      </c>
      <c r="F681" t="s">
        <v>1659</v>
      </c>
      <c r="G681" t="s">
        <v>804</v>
      </c>
      <c r="H681" t="s">
        <v>1568</v>
      </c>
      <c r="I681" t="s">
        <v>805</v>
      </c>
      <c r="J681" t="s">
        <v>1568</v>
      </c>
      <c r="K681" t="s">
        <v>1568</v>
      </c>
      <c r="L681" t="s">
        <v>1568</v>
      </c>
      <c r="M681" t="s">
        <v>1568</v>
      </c>
      <c r="N681" t="s">
        <v>1568</v>
      </c>
      <c r="O681" t="s">
        <v>1568</v>
      </c>
      <c r="P681" t="s">
        <v>1568</v>
      </c>
      <c r="Q681" t="s">
        <v>1568</v>
      </c>
      <c r="R681" t="s">
        <v>1568</v>
      </c>
      <c r="S681" t="s">
        <v>1568</v>
      </c>
      <c r="T681" t="s">
        <v>1568</v>
      </c>
      <c r="U681" t="s">
        <v>1703</v>
      </c>
      <c r="V681" t="s">
        <v>1706</v>
      </c>
      <c r="W681" t="s">
        <v>806</v>
      </c>
      <c r="X681" t="s">
        <v>61</v>
      </c>
      <c r="Y681" t="s">
        <v>1587</v>
      </c>
    </row>
    <row r="682" spans="1:25" ht="16" x14ac:dyDescent="0.2">
      <c r="A682" t="s">
        <v>1568</v>
      </c>
      <c r="B682" t="s">
        <v>908</v>
      </c>
      <c r="C682" t="s">
        <v>1568</v>
      </c>
      <c r="D682" t="s">
        <v>1568</v>
      </c>
      <c r="E682" t="s">
        <v>55</v>
      </c>
      <c r="F682" t="s">
        <v>1659</v>
      </c>
      <c r="G682" t="s">
        <v>807</v>
      </c>
      <c r="H682" t="s">
        <v>1568</v>
      </c>
      <c r="I682" t="s">
        <v>808</v>
      </c>
      <c r="J682" t="s">
        <v>1568</v>
      </c>
      <c r="K682" t="s">
        <v>1568</v>
      </c>
      <c r="L682" t="s">
        <v>1568</v>
      </c>
      <c r="M682" t="s">
        <v>1568</v>
      </c>
      <c r="N682" t="s">
        <v>1568</v>
      </c>
      <c r="O682" t="s">
        <v>1568</v>
      </c>
      <c r="P682" t="s">
        <v>1568</v>
      </c>
      <c r="Q682" t="s">
        <v>1568</v>
      </c>
      <c r="R682" t="s">
        <v>1568</v>
      </c>
      <c r="S682" t="s">
        <v>1568</v>
      </c>
      <c r="T682" t="s">
        <v>1568</v>
      </c>
      <c r="U682" t="s">
        <v>1703</v>
      </c>
      <c r="V682" t="s">
        <v>1706</v>
      </c>
      <c r="W682" t="s">
        <v>809</v>
      </c>
      <c r="X682" t="s">
        <v>61</v>
      </c>
      <c r="Y682" t="s">
        <v>1587</v>
      </c>
    </row>
    <row r="683" spans="1:25" ht="16" x14ac:dyDescent="0.2">
      <c r="A683" t="s">
        <v>1568</v>
      </c>
      <c r="B683" t="s">
        <v>908</v>
      </c>
      <c r="C683" t="s">
        <v>1568</v>
      </c>
      <c r="D683" t="s">
        <v>1568</v>
      </c>
      <c r="E683" t="s">
        <v>884</v>
      </c>
      <c r="F683" t="s">
        <v>1659</v>
      </c>
      <c r="G683" t="s">
        <v>810</v>
      </c>
      <c r="H683" t="s">
        <v>1568</v>
      </c>
      <c r="I683" t="s">
        <v>811</v>
      </c>
      <c r="J683" t="s">
        <v>1568</v>
      </c>
      <c r="K683" t="s">
        <v>1568</v>
      </c>
      <c r="L683" t="s">
        <v>1568</v>
      </c>
      <c r="M683" t="s">
        <v>1568</v>
      </c>
      <c r="N683" t="s">
        <v>1568</v>
      </c>
      <c r="O683" t="s">
        <v>1568</v>
      </c>
      <c r="P683" t="s">
        <v>1568</v>
      </c>
      <c r="Q683" t="s">
        <v>1568</v>
      </c>
      <c r="R683" t="s">
        <v>1568</v>
      </c>
      <c r="S683" t="s">
        <v>1568</v>
      </c>
      <c r="T683" t="s">
        <v>1568</v>
      </c>
      <c r="U683" t="s">
        <v>1703</v>
      </c>
      <c r="V683" t="s">
        <v>1706</v>
      </c>
      <c r="W683" t="s">
        <v>812</v>
      </c>
      <c r="X683" t="s">
        <v>61</v>
      </c>
      <c r="Y683" t="s">
        <v>1587</v>
      </c>
    </row>
    <row r="684" spans="1:25" ht="16" x14ac:dyDescent="0.2">
      <c r="A684" t="s">
        <v>1568</v>
      </c>
      <c r="B684" t="s">
        <v>909</v>
      </c>
      <c r="C684" t="s">
        <v>1568</v>
      </c>
      <c r="D684" t="s">
        <v>1568</v>
      </c>
      <c r="E684" t="s">
        <v>36</v>
      </c>
      <c r="F684" t="s">
        <v>1707</v>
      </c>
      <c r="G684" t="s">
        <v>911</v>
      </c>
      <c r="H684" t="s">
        <v>1568</v>
      </c>
      <c r="I684" t="s">
        <v>912</v>
      </c>
      <c r="J684" t="s">
        <v>1568</v>
      </c>
      <c r="K684" t="s">
        <v>1568</v>
      </c>
      <c r="L684" t="s">
        <v>1568</v>
      </c>
      <c r="M684" t="s">
        <v>1568</v>
      </c>
      <c r="N684" t="s">
        <v>1568</v>
      </c>
      <c r="O684" t="s">
        <v>1568</v>
      </c>
      <c r="P684" t="s">
        <v>1568</v>
      </c>
      <c r="Q684" t="s">
        <v>1568</v>
      </c>
      <c r="R684" t="s">
        <v>1568</v>
      </c>
      <c r="S684" t="s">
        <v>1568</v>
      </c>
      <c r="T684" t="s">
        <v>1568</v>
      </c>
      <c r="U684" t="s">
        <v>1568</v>
      </c>
      <c r="V684" t="s">
        <v>1708</v>
      </c>
      <c r="W684" t="s">
        <v>913</v>
      </c>
      <c r="X684" t="s">
        <v>30</v>
      </c>
      <c r="Y684" t="s">
        <v>1572</v>
      </c>
    </row>
    <row r="685" spans="1:25" ht="16" x14ac:dyDescent="0.2">
      <c r="A685" t="s">
        <v>1568</v>
      </c>
      <c r="B685" t="s">
        <v>909</v>
      </c>
      <c r="C685" t="s">
        <v>1568</v>
      </c>
      <c r="D685" t="s">
        <v>1568</v>
      </c>
      <c r="E685" t="s">
        <v>43</v>
      </c>
      <c r="F685" t="s">
        <v>1707</v>
      </c>
      <c r="G685" t="s">
        <v>914</v>
      </c>
      <c r="H685" t="s">
        <v>1568</v>
      </c>
      <c r="I685" t="s">
        <v>915</v>
      </c>
      <c r="J685" t="s">
        <v>1568</v>
      </c>
      <c r="K685" t="s">
        <v>1568</v>
      </c>
      <c r="L685" t="s">
        <v>1568</v>
      </c>
      <c r="M685" t="s">
        <v>1568</v>
      </c>
      <c r="N685" t="s">
        <v>1568</v>
      </c>
      <c r="O685" t="s">
        <v>1568</v>
      </c>
      <c r="P685" t="s">
        <v>1568</v>
      </c>
      <c r="Q685" t="s">
        <v>1568</v>
      </c>
      <c r="R685" t="s">
        <v>1568</v>
      </c>
      <c r="S685" t="s">
        <v>1568</v>
      </c>
      <c r="T685" t="s">
        <v>1568</v>
      </c>
      <c r="U685" t="s">
        <v>1568</v>
      </c>
      <c r="V685" t="s">
        <v>1677</v>
      </c>
      <c r="W685" t="s">
        <v>916</v>
      </c>
      <c r="X685" t="s">
        <v>30</v>
      </c>
      <c r="Y685" t="s">
        <v>1572</v>
      </c>
    </row>
    <row r="686" spans="1:25" ht="16" x14ac:dyDescent="0.2">
      <c r="A686" t="s">
        <v>1568</v>
      </c>
      <c r="B686" t="s">
        <v>909</v>
      </c>
      <c r="C686" t="s">
        <v>1568</v>
      </c>
      <c r="D686" t="s">
        <v>1568</v>
      </c>
      <c r="E686" t="s">
        <v>47</v>
      </c>
      <c r="F686" t="s">
        <v>1707</v>
      </c>
      <c r="G686" t="s">
        <v>917</v>
      </c>
      <c r="H686" t="s">
        <v>1568</v>
      </c>
      <c r="I686" t="s">
        <v>918</v>
      </c>
      <c r="J686" t="s">
        <v>1568</v>
      </c>
      <c r="K686" t="s">
        <v>1568</v>
      </c>
      <c r="L686" t="s">
        <v>1568</v>
      </c>
      <c r="M686" t="s">
        <v>1568</v>
      </c>
      <c r="N686" t="s">
        <v>1568</v>
      </c>
      <c r="O686" t="s">
        <v>1568</v>
      </c>
      <c r="P686" t="s">
        <v>1568</v>
      </c>
      <c r="Q686" t="s">
        <v>1568</v>
      </c>
      <c r="R686" t="s">
        <v>1568</v>
      </c>
      <c r="S686" t="s">
        <v>1568</v>
      </c>
      <c r="T686" t="s">
        <v>1568</v>
      </c>
      <c r="U686" t="s">
        <v>1568</v>
      </c>
      <c r="V686" t="s">
        <v>1709</v>
      </c>
      <c r="W686" t="s">
        <v>919</v>
      </c>
      <c r="X686" t="s">
        <v>30</v>
      </c>
      <c r="Y686" t="s">
        <v>1572</v>
      </c>
    </row>
    <row r="687" spans="1:25" ht="16" x14ac:dyDescent="0.2">
      <c r="A687" t="s">
        <v>1568</v>
      </c>
      <c r="B687" t="s">
        <v>909</v>
      </c>
      <c r="C687" t="s">
        <v>1568</v>
      </c>
      <c r="D687" t="s">
        <v>1568</v>
      </c>
      <c r="E687" t="s">
        <v>51</v>
      </c>
      <c r="F687" t="s">
        <v>1707</v>
      </c>
      <c r="G687" t="s">
        <v>920</v>
      </c>
      <c r="H687" t="s">
        <v>1568</v>
      </c>
      <c r="I687" t="s">
        <v>921</v>
      </c>
      <c r="J687" t="s">
        <v>1568</v>
      </c>
      <c r="K687" t="s">
        <v>1568</v>
      </c>
      <c r="L687" t="s">
        <v>1568</v>
      </c>
      <c r="M687" t="s">
        <v>1568</v>
      </c>
      <c r="N687" t="s">
        <v>1568</v>
      </c>
      <c r="O687" t="s">
        <v>1568</v>
      </c>
      <c r="P687" t="s">
        <v>1568</v>
      </c>
      <c r="Q687" t="s">
        <v>1568</v>
      </c>
      <c r="R687" t="s">
        <v>1568</v>
      </c>
      <c r="S687" t="s">
        <v>1568</v>
      </c>
      <c r="T687" t="s">
        <v>1568</v>
      </c>
      <c r="U687" t="s">
        <v>1568</v>
      </c>
      <c r="V687" t="s">
        <v>1710</v>
      </c>
      <c r="W687" t="s">
        <v>922</v>
      </c>
      <c r="X687" t="s">
        <v>30</v>
      </c>
      <c r="Y687" t="s">
        <v>1572</v>
      </c>
    </row>
    <row r="688" spans="1:25" ht="16" x14ac:dyDescent="0.2">
      <c r="A688" t="s">
        <v>1568</v>
      </c>
      <c r="B688" t="s">
        <v>909</v>
      </c>
      <c r="C688" t="s">
        <v>1568</v>
      </c>
      <c r="D688" t="s">
        <v>1568</v>
      </c>
      <c r="E688" t="s">
        <v>55</v>
      </c>
      <c r="F688" t="s">
        <v>1707</v>
      </c>
      <c r="G688" t="s">
        <v>923</v>
      </c>
      <c r="H688" t="s">
        <v>1568</v>
      </c>
      <c r="I688" t="s">
        <v>924</v>
      </c>
      <c r="J688" t="s">
        <v>1568</v>
      </c>
      <c r="K688" t="s">
        <v>1568</v>
      </c>
      <c r="L688" t="s">
        <v>1568</v>
      </c>
      <c r="M688" t="s">
        <v>1568</v>
      </c>
      <c r="N688" t="s">
        <v>1568</v>
      </c>
      <c r="O688" t="s">
        <v>1568</v>
      </c>
      <c r="P688" t="s">
        <v>1568</v>
      </c>
      <c r="Q688" t="s">
        <v>1568</v>
      </c>
      <c r="R688" t="s">
        <v>1568</v>
      </c>
      <c r="S688" t="s">
        <v>1568</v>
      </c>
      <c r="T688" t="s">
        <v>1568</v>
      </c>
      <c r="U688" t="s">
        <v>1568</v>
      </c>
      <c r="V688" t="s">
        <v>1711</v>
      </c>
      <c r="W688" t="s">
        <v>925</v>
      </c>
      <c r="X688" t="s">
        <v>30</v>
      </c>
      <c r="Y688" t="s">
        <v>1572</v>
      </c>
    </row>
    <row r="689" spans="1:25" ht="16" x14ac:dyDescent="0.2">
      <c r="A689" t="s">
        <v>1568</v>
      </c>
      <c r="B689" t="s">
        <v>926</v>
      </c>
      <c r="C689" t="s">
        <v>1568</v>
      </c>
      <c r="D689" t="s">
        <v>1568</v>
      </c>
      <c r="E689" t="s">
        <v>36</v>
      </c>
      <c r="F689" t="s">
        <v>1707</v>
      </c>
      <c r="G689" t="s">
        <v>911</v>
      </c>
      <c r="H689" t="s">
        <v>1568</v>
      </c>
      <c r="I689" t="s">
        <v>912</v>
      </c>
      <c r="J689" t="s">
        <v>1568</v>
      </c>
      <c r="K689" t="s">
        <v>1568</v>
      </c>
      <c r="L689" t="s">
        <v>1568</v>
      </c>
      <c r="M689" t="s">
        <v>1568</v>
      </c>
      <c r="N689" t="s">
        <v>1568</v>
      </c>
      <c r="O689" t="s">
        <v>1568</v>
      </c>
      <c r="P689" t="s">
        <v>1568</v>
      </c>
      <c r="Q689" t="s">
        <v>1568</v>
      </c>
      <c r="R689" t="s">
        <v>1568</v>
      </c>
      <c r="S689" t="s">
        <v>1568</v>
      </c>
      <c r="T689" t="s">
        <v>1568</v>
      </c>
      <c r="U689" t="s">
        <v>1568</v>
      </c>
      <c r="V689" t="s">
        <v>1712</v>
      </c>
      <c r="W689" t="s">
        <v>913</v>
      </c>
      <c r="X689" t="s">
        <v>59</v>
      </c>
      <c r="Y689" t="s">
        <v>1581</v>
      </c>
    </row>
    <row r="690" spans="1:25" ht="16" x14ac:dyDescent="0.2">
      <c r="A690" t="s">
        <v>1568</v>
      </c>
      <c r="B690" t="s">
        <v>926</v>
      </c>
      <c r="C690" t="s">
        <v>1568</v>
      </c>
      <c r="D690" t="s">
        <v>1568</v>
      </c>
      <c r="E690" t="s">
        <v>43</v>
      </c>
      <c r="F690" t="s">
        <v>1707</v>
      </c>
      <c r="G690" t="s">
        <v>914</v>
      </c>
      <c r="H690" t="s">
        <v>1568</v>
      </c>
      <c r="I690" t="s">
        <v>915</v>
      </c>
      <c r="J690" t="s">
        <v>1568</v>
      </c>
      <c r="K690" t="s">
        <v>1568</v>
      </c>
      <c r="L690" t="s">
        <v>1568</v>
      </c>
      <c r="M690" t="s">
        <v>1568</v>
      </c>
      <c r="N690" t="s">
        <v>1568</v>
      </c>
      <c r="O690" t="s">
        <v>1568</v>
      </c>
      <c r="P690" t="s">
        <v>1568</v>
      </c>
      <c r="Q690" t="s">
        <v>1568</v>
      </c>
      <c r="R690" t="s">
        <v>1568</v>
      </c>
      <c r="S690" t="s">
        <v>1568</v>
      </c>
      <c r="T690" t="s">
        <v>1568</v>
      </c>
      <c r="U690" t="s">
        <v>1568</v>
      </c>
      <c r="V690" t="s">
        <v>1713</v>
      </c>
      <c r="W690" t="s">
        <v>916</v>
      </c>
      <c r="X690" t="s">
        <v>59</v>
      </c>
      <c r="Y690" t="s">
        <v>1581</v>
      </c>
    </row>
    <row r="691" spans="1:25" ht="16" x14ac:dyDescent="0.2">
      <c r="A691" t="s">
        <v>1568</v>
      </c>
      <c r="B691" t="s">
        <v>926</v>
      </c>
      <c r="C691" t="s">
        <v>1568</v>
      </c>
      <c r="D691" t="s">
        <v>1568</v>
      </c>
      <c r="E691" t="s">
        <v>47</v>
      </c>
      <c r="F691" t="s">
        <v>1707</v>
      </c>
      <c r="G691" t="s">
        <v>917</v>
      </c>
      <c r="H691" t="s">
        <v>1568</v>
      </c>
      <c r="I691" t="s">
        <v>918</v>
      </c>
      <c r="J691" t="s">
        <v>1568</v>
      </c>
      <c r="K691" t="s">
        <v>1568</v>
      </c>
      <c r="L691" t="s">
        <v>1568</v>
      </c>
      <c r="M691" t="s">
        <v>1568</v>
      </c>
      <c r="N691" t="s">
        <v>1568</v>
      </c>
      <c r="O691" t="s">
        <v>1568</v>
      </c>
      <c r="P691" t="s">
        <v>1568</v>
      </c>
      <c r="Q691" t="s">
        <v>1568</v>
      </c>
      <c r="R691" t="s">
        <v>1568</v>
      </c>
      <c r="S691" t="s">
        <v>1568</v>
      </c>
      <c r="T691" t="s">
        <v>1568</v>
      </c>
      <c r="U691" t="s">
        <v>1568</v>
      </c>
      <c r="V691" t="s">
        <v>1709</v>
      </c>
      <c r="W691" t="s">
        <v>919</v>
      </c>
      <c r="X691" t="s">
        <v>59</v>
      </c>
      <c r="Y691" t="s">
        <v>1581</v>
      </c>
    </row>
    <row r="692" spans="1:25" ht="16" x14ac:dyDescent="0.2">
      <c r="A692" t="s">
        <v>1568</v>
      </c>
      <c r="B692" t="s">
        <v>926</v>
      </c>
      <c r="C692" t="s">
        <v>1568</v>
      </c>
      <c r="D692" t="s">
        <v>1568</v>
      </c>
      <c r="E692" t="s">
        <v>51</v>
      </c>
      <c r="F692" t="s">
        <v>1707</v>
      </c>
      <c r="G692" t="s">
        <v>920</v>
      </c>
      <c r="H692" t="s">
        <v>1568</v>
      </c>
      <c r="I692" t="s">
        <v>921</v>
      </c>
      <c r="J692" t="s">
        <v>1568</v>
      </c>
      <c r="K692" t="s">
        <v>1568</v>
      </c>
      <c r="L692" t="s">
        <v>1568</v>
      </c>
      <c r="M692" t="s">
        <v>1568</v>
      </c>
      <c r="N692" t="s">
        <v>1568</v>
      </c>
      <c r="O692" t="s">
        <v>1568</v>
      </c>
      <c r="P692" t="s">
        <v>1568</v>
      </c>
      <c r="Q692" t="s">
        <v>1568</v>
      </c>
      <c r="R692" t="s">
        <v>1568</v>
      </c>
      <c r="S692" t="s">
        <v>1568</v>
      </c>
      <c r="T692" t="s">
        <v>1568</v>
      </c>
      <c r="U692" t="s">
        <v>1568</v>
      </c>
      <c r="V692" t="s">
        <v>1714</v>
      </c>
      <c r="W692" t="s">
        <v>922</v>
      </c>
      <c r="X692" t="s">
        <v>59</v>
      </c>
      <c r="Y692" t="s">
        <v>1581</v>
      </c>
    </row>
    <row r="693" spans="1:25" ht="16" x14ac:dyDescent="0.2">
      <c r="A693" t="s">
        <v>1568</v>
      </c>
      <c r="B693" t="s">
        <v>926</v>
      </c>
      <c r="C693" t="s">
        <v>1568</v>
      </c>
      <c r="D693" t="s">
        <v>1568</v>
      </c>
      <c r="E693" t="s">
        <v>55</v>
      </c>
      <c r="F693" t="s">
        <v>1707</v>
      </c>
      <c r="G693" t="s">
        <v>923</v>
      </c>
      <c r="H693" t="s">
        <v>1568</v>
      </c>
      <c r="I693" t="s">
        <v>924</v>
      </c>
      <c r="J693" t="s">
        <v>1568</v>
      </c>
      <c r="K693" t="s">
        <v>1568</v>
      </c>
      <c r="L693" t="s">
        <v>1568</v>
      </c>
      <c r="M693" t="s">
        <v>1568</v>
      </c>
      <c r="N693" t="s">
        <v>1568</v>
      </c>
      <c r="O693" t="s">
        <v>1568</v>
      </c>
      <c r="P693" t="s">
        <v>1568</v>
      </c>
      <c r="Q693" t="s">
        <v>1568</v>
      </c>
      <c r="R693" t="s">
        <v>1568</v>
      </c>
      <c r="S693" t="s">
        <v>1568</v>
      </c>
      <c r="T693" t="s">
        <v>1568</v>
      </c>
      <c r="U693" t="s">
        <v>1568</v>
      </c>
      <c r="V693" t="s">
        <v>1715</v>
      </c>
      <c r="W693" t="s">
        <v>925</v>
      </c>
      <c r="X693" t="s">
        <v>59</v>
      </c>
      <c r="Y693" t="s">
        <v>1581</v>
      </c>
    </row>
    <row r="694" spans="1:25" ht="16" x14ac:dyDescent="0.2">
      <c r="A694" t="s">
        <v>1568</v>
      </c>
      <c r="B694" t="s">
        <v>927</v>
      </c>
      <c r="C694" t="s">
        <v>1568</v>
      </c>
      <c r="D694" t="s">
        <v>1568</v>
      </c>
      <c r="E694" t="s">
        <v>36</v>
      </c>
      <c r="F694" t="s">
        <v>1707</v>
      </c>
      <c r="G694" t="s">
        <v>911</v>
      </c>
      <c r="H694" t="s">
        <v>1568</v>
      </c>
      <c r="I694" t="s">
        <v>912</v>
      </c>
      <c r="J694" t="s">
        <v>1568</v>
      </c>
      <c r="K694" t="s">
        <v>1568</v>
      </c>
      <c r="L694" t="s">
        <v>1568</v>
      </c>
      <c r="M694" t="s">
        <v>1568</v>
      </c>
      <c r="N694" t="s">
        <v>1568</v>
      </c>
      <c r="O694" t="s">
        <v>1568</v>
      </c>
      <c r="P694" t="s">
        <v>1568</v>
      </c>
      <c r="Q694" t="s">
        <v>1568</v>
      </c>
      <c r="R694" t="s">
        <v>1568</v>
      </c>
      <c r="S694" t="s">
        <v>1568</v>
      </c>
      <c r="T694" t="s">
        <v>1568</v>
      </c>
      <c r="U694" t="s">
        <v>1568</v>
      </c>
      <c r="V694" t="s">
        <v>1712</v>
      </c>
      <c r="W694" t="s">
        <v>913</v>
      </c>
      <c r="X694" t="s">
        <v>61</v>
      </c>
      <c r="Y694" t="s">
        <v>1587</v>
      </c>
    </row>
    <row r="695" spans="1:25" ht="16" x14ac:dyDescent="0.2">
      <c r="A695" t="s">
        <v>1568</v>
      </c>
      <c r="B695" t="s">
        <v>927</v>
      </c>
      <c r="C695" t="s">
        <v>1568</v>
      </c>
      <c r="D695" t="s">
        <v>1568</v>
      </c>
      <c r="E695" t="s">
        <v>43</v>
      </c>
      <c r="F695" t="s">
        <v>1707</v>
      </c>
      <c r="G695" t="s">
        <v>914</v>
      </c>
      <c r="H695" t="s">
        <v>1568</v>
      </c>
      <c r="I695" t="s">
        <v>915</v>
      </c>
      <c r="J695" t="s">
        <v>1568</v>
      </c>
      <c r="K695" t="s">
        <v>1568</v>
      </c>
      <c r="L695" t="s">
        <v>1568</v>
      </c>
      <c r="M695" t="s">
        <v>1568</v>
      </c>
      <c r="N695" t="s">
        <v>1568</v>
      </c>
      <c r="O695" t="s">
        <v>1568</v>
      </c>
      <c r="P695" t="s">
        <v>1568</v>
      </c>
      <c r="Q695" t="s">
        <v>1568</v>
      </c>
      <c r="R695" t="s">
        <v>1568</v>
      </c>
      <c r="S695" t="s">
        <v>1568</v>
      </c>
      <c r="T695" t="s">
        <v>1568</v>
      </c>
      <c r="U695" t="s">
        <v>1568</v>
      </c>
      <c r="V695" t="s">
        <v>1713</v>
      </c>
      <c r="W695" t="s">
        <v>916</v>
      </c>
      <c r="X695" t="s">
        <v>61</v>
      </c>
      <c r="Y695" t="s">
        <v>1587</v>
      </c>
    </row>
    <row r="696" spans="1:25" ht="16" x14ac:dyDescent="0.2">
      <c r="A696" t="s">
        <v>1568</v>
      </c>
      <c r="B696" t="s">
        <v>927</v>
      </c>
      <c r="C696" t="s">
        <v>1568</v>
      </c>
      <c r="D696" t="s">
        <v>1568</v>
      </c>
      <c r="E696" t="s">
        <v>47</v>
      </c>
      <c r="F696" t="s">
        <v>1707</v>
      </c>
      <c r="G696" t="s">
        <v>917</v>
      </c>
      <c r="H696" t="s">
        <v>1568</v>
      </c>
      <c r="I696" t="s">
        <v>918</v>
      </c>
      <c r="J696" t="s">
        <v>1568</v>
      </c>
      <c r="K696" t="s">
        <v>1568</v>
      </c>
      <c r="L696" t="s">
        <v>1568</v>
      </c>
      <c r="M696" t="s">
        <v>1568</v>
      </c>
      <c r="N696" t="s">
        <v>1568</v>
      </c>
      <c r="O696" t="s">
        <v>1568</v>
      </c>
      <c r="P696" t="s">
        <v>1568</v>
      </c>
      <c r="Q696" t="s">
        <v>1568</v>
      </c>
      <c r="R696" t="s">
        <v>1568</v>
      </c>
      <c r="S696" t="s">
        <v>1568</v>
      </c>
      <c r="T696" t="s">
        <v>1568</v>
      </c>
      <c r="U696" t="s">
        <v>1568</v>
      </c>
      <c r="V696" t="s">
        <v>1709</v>
      </c>
      <c r="W696" t="s">
        <v>919</v>
      </c>
      <c r="X696" t="s">
        <v>61</v>
      </c>
      <c r="Y696" t="s">
        <v>1587</v>
      </c>
    </row>
    <row r="697" spans="1:25" ht="16" x14ac:dyDescent="0.2">
      <c r="A697" t="s">
        <v>1568</v>
      </c>
      <c r="B697" t="s">
        <v>927</v>
      </c>
      <c r="C697" t="s">
        <v>1568</v>
      </c>
      <c r="D697" t="s">
        <v>1568</v>
      </c>
      <c r="E697" t="s">
        <v>51</v>
      </c>
      <c r="F697" t="s">
        <v>1707</v>
      </c>
      <c r="G697" t="s">
        <v>920</v>
      </c>
      <c r="H697" t="s">
        <v>1568</v>
      </c>
      <c r="I697" t="s">
        <v>921</v>
      </c>
      <c r="J697" t="s">
        <v>1568</v>
      </c>
      <c r="K697" t="s">
        <v>1568</v>
      </c>
      <c r="L697" t="s">
        <v>1568</v>
      </c>
      <c r="M697" t="s">
        <v>1568</v>
      </c>
      <c r="N697" t="s">
        <v>1568</v>
      </c>
      <c r="O697" t="s">
        <v>1568</v>
      </c>
      <c r="P697" t="s">
        <v>1568</v>
      </c>
      <c r="Q697" t="s">
        <v>1568</v>
      </c>
      <c r="R697" t="s">
        <v>1568</v>
      </c>
      <c r="S697" t="s">
        <v>1568</v>
      </c>
      <c r="T697" t="s">
        <v>1568</v>
      </c>
      <c r="U697" t="s">
        <v>1568</v>
      </c>
      <c r="V697" t="s">
        <v>1714</v>
      </c>
      <c r="W697" t="s">
        <v>922</v>
      </c>
      <c r="X697" t="s">
        <v>61</v>
      </c>
      <c r="Y697" t="s">
        <v>1587</v>
      </c>
    </row>
    <row r="698" spans="1:25" ht="16" x14ac:dyDescent="0.2">
      <c r="A698" t="s">
        <v>1568</v>
      </c>
      <c r="B698" t="s">
        <v>927</v>
      </c>
      <c r="C698" t="s">
        <v>1568</v>
      </c>
      <c r="D698" t="s">
        <v>1568</v>
      </c>
      <c r="E698" t="s">
        <v>55</v>
      </c>
      <c r="F698" t="s">
        <v>1707</v>
      </c>
      <c r="G698" t="s">
        <v>923</v>
      </c>
      <c r="H698" t="s">
        <v>1568</v>
      </c>
      <c r="I698" t="s">
        <v>924</v>
      </c>
      <c r="J698" t="s">
        <v>1568</v>
      </c>
      <c r="K698" t="s">
        <v>1568</v>
      </c>
      <c r="L698" t="s">
        <v>1568</v>
      </c>
      <c r="M698" t="s">
        <v>1568</v>
      </c>
      <c r="N698" t="s">
        <v>1568</v>
      </c>
      <c r="O698" t="s">
        <v>1568</v>
      </c>
      <c r="P698" t="s">
        <v>1568</v>
      </c>
      <c r="Q698" t="s">
        <v>1568</v>
      </c>
      <c r="R698" t="s">
        <v>1568</v>
      </c>
      <c r="S698" t="s">
        <v>1568</v>
      </c>
      <c r="T698" t="s">
        <v>1568</v>
      </c>
      <c r="U698" t="s">
        <v>1568</v>
      </c>
      <c r="V698" t="s">
        <v>1716</v>
      </c>
      <c r="W698" t="s">
        <v>925</v>
      </c>
      <c r="X698" t="s">
        <v>61</v>
      </c>
      <c r="Y698" t="s">
        <v>1587</v>
      </c>
    </row>
    <row r="699" spans="1:25" ht="16" x14ac:dyDescent="0.2">
      <c r="A699" t="s">
        <v>1568</v>
      </c>
      <c r="B699" t="s">
        <v>928</v>
      </c>
      <c r="C699" t="s">
        <v>1568</v>
      </c>
      <c r="D699" t="s">
        <v>1568</v>
      </c>
      <c r="E699" t="s">
        <v>51</v>
      </c>
      <c r="F699" t="s">
        <v>1659</v>
      </c>
      <c r="G699" t="s">
        <v>589</v>
      </c>
      <c r="H699" t="s">
        <v>1568</v>
      </c>
      <c r="I699" t="s">
        <v>590</v>
      </c>
      <c r="J699" t="s">
        <v>1568</v>
      </c>
      <c r="K699" t="s">
        <v>1568</v>
      </c>
      <c r="L699" t="s">
        <v>1568</v>
      </c>
      <c r="M699" t="s">
        <v>1568</v>
      </c>
      <c r="N699" t="s">
        <v>1568</v>
      </c>
      <c r="O699" t="s">
        <v>1568</v>
      </c>
      <c r="P699" t="s">
        <v>1568</v>
      </c>
      <c r="Q699" t="s">
        <v>1568</v>
      </c>
      <c r="R699" t="s">
        <v>1568</v>
      </c>
      <c r="S699" t="s">
        <v>1568</v>
      </c>
      <c r="T699" t="s">
        <v>1568</v>
      </c>
      <c r="U699" t="s">
        <v>1568</v>
      </c>
      <c r="V699" t="s">
        <v>1665</v>
      </c>
      <c r="W699" t="s">
        <v>591</v>
      </c>
      <c r="X699" t="s">
        <v>30</v>
      </c>
      <c r="Y699" t="s">
        <v>1572</v>
      </c>
    </row>
    <row r="700" spans="1:25" ht="16" x14ac:dyDescent="0.2">
      <c r="A700" t="s">
        <v>1568</v>
      </c>
      <c r="B700" t="s">
        <v>929</v>
      </c>
      <c r="C700" t="s">
        <v>1568</v>
      </c>
      <c r="D700" t="s">
        <v>1568</v>
      </c>
      <c r="E700" t="s">
        <v>51</v>
      </c>
      <c r="F700" t="s">
        <v>1659</v>
      </c>
      <c r="G700" t="s">
        <v>589</v>
      </c>
      <c r="H700" t="s">
        <v>1568</v>
      </c>
      <c r="I700" t="s">
        <v>590</v>
      </c>
      <c r="J700" t="s">
        <v>1568</v>
      </c>
      <c r="K700" t="s">
        <v>1568</v>
      </c>
      <c r="L700" t="s">
        <v>1568</v>
      </c>
      <c r="M700" t="s">
        <v>1568</v>
      </c>
      <c r="N700" t="s">
        <v>1568</v>
      </c>
      <c r="O700" t="s">
        <v>1568</v>
      </c>
      <c r="P700" t="s">
        <v>1568</v>
      </c>
      <c r="Q700" t="s">
        <v>1568</v>
      </c>
      <c r="R700" t="s">
        <v>1568</v>
      </c>
      <c r="S700" t="s">
        <v>1568</v>
      </c>
      <c r="T700" t="s">
        <v>1568</v>
      </c>
      <c r="U700" t="s">
        <v>1568</v>
      </c>
      <c r="V700" t="s">
        <v>1665</v>
      </c>
      <c r="W700" t="s">
        <v>591</v>
      </c>
      <c r="X700" t="s">
        <v>59</v>
      </c>
      <c r="Y700" t="s">
        <v>1581</v>
      </c>
    </row>
    <row r="701" spans="1:25" ht="16" x14ac:dyDescent="0.2">
      <c r="A701" t="s">
        <v>1568</v>
      </c>
      <c r="B701" t="s">
        <v>930</v>
      </c>
      <c r="C701" t="s">
        <v>1568</v>
      </c>
      <c r="D701" t="s">
        <v>1568</v>
      </c>
      <c r="E701" t="s">
        <v>36</v>
      </c>
      <c r="F701" t="s">
        <v>1659</v>
      </c>
      <c r="G701" t="s">
        <v>580</v>
      </c>
      <c r="H701" t="s">
        <v>1568</v>
      </c>
      <c r="I701" t="s">
        <v>581</v>
      </c>
      <c r="J701" t="s">
        <v>1568</v>
      </c>
      <c r="K701" t="s">
        <v>1568</v>
      </c>
      <c r="L701" t="s">
        <v>1568</v>
      </c>
      <c r="M701" t="s">
        <v>1568</v>
      </c>
      <c r="N701" t="s">
        <v>1568</v>
      </c>
      <c r="O701" t="s">
        <v>1568</v>
      </c>
      <c r="P701" t="s">
        <v>1568</v>
      </c>
      <c r="Q701" t="s">
        <v>1568</v>
      </c>
      <c r="R701" t="s">
        <v>1568</v>
      </c>
      <c r="S701" t="s">
        <v>1568</v>
      </c>
      <c r="T701" t="s">
        <v>1568</v>
      </c>
      <c r="U701" t="s">
        <v>1568</v>
      </c>
      <c r="V701" t="s">
        <v>1665</v>
      </c>
      <c r="W701" t="s">
        <v>582</v>
      </c>
      <c r="X701" t="s">
        <v>61</v>
      </c>
      <c r="Y701" t="s">
        <v>1587</v>
      </c>
    </row>
    <row r="702" spans="1:25" ht="16" x14ac:dyDescent="0.2">
      <c r="A702" t="s">
        <v>1568</v>
      </c>
      <c r="B702" t="s">
        <v>930</v>
      </c>
      <c r="C702" t="s">
        <v>1568</v>
      </c>
      <c r="D702" t="s">
        <v>1568</v>
      </c>
      <c r="E702" t="s">
        <v>43</v>
      </c>
      <c r="F702" t="s">
        <v>1659</v>
      </c>
      <c r="G702" t="s">
        <v>583</v>
      </c>
      <c r="H702" t="s">
        <v>1568</v>
      </c>
      <c r="I702" t="s">
        <v>584</v>
      </c>
      <c r="J702" t="s">
        <v>1568</v>
      </c>
      <c r="K702" t="s">
        <v>1568</v>
      </c>
      <c r="L702" t="s">
        <v>1568</v>
      </c>
      <c r="M702" t="s">
        <v>1568</v>
      </c>
      <c r="N702" t="s">
        <v>1568</v>
      </c>
      <c r="O702" t="s">
        <v>1568</v>
      </c>
      <c r="P702" t="s">
        <v>1568</v>
      </c>
      <c r="Q702" t="s">
        <v>1568</v>
      </c>
      <c r="R702" t="s">
        <v>1568</v>
      </c>
      <c r="S702" t="s">
        <v>1568</v>
      </c>
      <c r="T702" t="s">
        <v>1568</v>
      </c>
      <c r="U702" t="s">
        <v>1568</v>
      </c>
      <c r="V702" t="s">
        <v>1665</v>
      </c>
      <c r="W702" t="s">
        <v>585</v>
      </c>
      <c r="X702" t="s">
        <v>61</v>
      </c>
      <c r="Y702" t="s">
        <v>1587</v>
      </c>
    </row>
    <row r="703" spans="1:25" ht="16" x14ac:dyDescent="0.2">
      <c r="A703" t="s">
        <v>1568</v>
      </c>
      <c r="B703" t="s">
        <v>930</v>
      </c>
      <c r="C703" t="s">
        <v>1568</v>
      </c>
      <c r="D703" t="s">
        <v>1568</v>
      </c>
      <c r="E703" t="s">
        <v>47</v>
      </c>
      <c r="F703" t="s">
        <v>1659</v>
      </c>
      <c r="G703" t="s">
        <v>586</v>
      </c>
      <c r="H703" t="s">
        <v>1568</v>
      </c>
      <c r="I703" t="s">
        <v>587</v>
      </c>
      <c r="J703" t="s">
        <v>1568</v>
      </c>
      <c r="K703" t="s">
        <v>1568</v>
      </c>
      <c r="L703" t="s">
        <v>1568</v>
      </c>
      <c r="M703" t="s">
        <v>1568</v>
      </c>
      <c r="N703" t="s">
        <v>1568</v>
      </c>
      <c r="O703" t="s">
        <v>1568</v>
      </c>
      <c r="P703" t="s">
        <v>1568</v>
      </c>
      <c r="Q703" t="s">
        <v>1568</v>
      </c>
      <c r="R703" t="s">
        <v>1568</v>
      </c>
      <c r="S703" t="s">
        <v>1568</v>
      </c>
      <c r="T703" t="s">
        <v>1568</v>
      </c>
      <c r="U703" t="s">
        <v>1568</v>
      </c>
      <c r="V703" t="s">
        <v>1665</v>
      </c>
      <c r="W703" t="s">
        <v>588</v>
      </c>
      <c r="X703" t="s">
        <v>61</v>
      </c>
      <c r="Y703" t="s">
        <v>1587</v>
      </c>
    </row>
    <row r="704" spans="1:25" ht="16" x14ac:dyDescent="0.2">
      <c r="A704" t="s">
        <v>1568</v>
      </c>
      <c r="B704" t="s">
        <v>930</v>
      </c>
      <c r="C704" t="s">
        <v>1568</v>
      </c>
      <c r="D704" t="s">
        <v>1568</v>
      </c>
      <c r="E704" t="s">
        <v>51</v>
      </c>
      <c r="F704" t="s">
        <v>1659</v>
      </c>
      <c r="G704" t="s">
        <v>589</v>
      </c>
      <c r="H704" t="s">
        <v>1568</v>
      </c>
      <c r="I704" t="s">
        <v>590</v>
      </c>
      <c r="J704" t="s">
        <v>1568</v>
      </c>
      <c r="K704" t="s">
        <v>1568</v>
      </c>
      <c r="L704" t="s">
        <v>1568</v>
      </c>
      <c r="M704" t="s">
        <v>1568</v>
      </c>
      <c r="N704" t="s">
        <v>1568</v>
      </c>
      <c r="O704" t="s">
        <v>1568</v>
      </c>
      <c r="P704" t="s">
        <v>1568</v>
      </c>
      <c r="Q704" t="s">
        <v>1568</v>
      </c>
      <c r="R704" t="s">
        <v>1568</v>
      </c>
      <c r="S704" t="s">
        <v>1568</v>
      </c>
      <c r="T704" t="s">
        <v>1568</v>
      </c>
      <c r="U704" t="s">
        <v>1568</v>
      </c>
      <c r="V704" t="s">
        <v>1665</v>
      </c>
      <c r="W704" t="s">
        <v>591</v>
      </c>
      <c r="X704" t="s">
        <v>61</v>
      </c>
      <c r="Y704" t="s">
        <v>1587</v>
      </c>
    </row>
    <row r="705" spans="1:25" ht="16" x14ac:dyDescent="0.2">
      <c r="A705" t="s">
        <v>1568</v>
      </c>
      <c r="B705" t="s">
        <v>930</v>
      </c>
      <c r="C705" t="s">
        <v>1568</v>
      </c>
      <c r="D705" t="s">
        <v>1568</v>
      </c>
      <c r="E705" t="s">
        <v>55</v>
      </c>
      <c r="F705" t="s">
        <v>1659</v>
      </c>
      <c r="G705" t="s">
        <v>592</v>
      </c>
      <c r="H705" t="s">
        <v>1568</v>
      </c>
      <c r="I705" t="s">
        <v>593</v>
      </c>
      <c r="J705" t="s">
        <v>1568</v>
      </c>
      <c r="K705" t="s">
        <v>1568</v>
      </c>
      <c r="L705" t="s">
        <v>1568</v>
      </c>
      <c r="M705" t="s">
        <v>1568</v>
      </c>
      <c r="N705" t="s">
        <v>1568</v>
      </c>
      <c r="O705" t="s">
        <v>1568</v>
      </c>
      <c r="P705" t="s">
        <v>1568</v>
      </c>
      <c r="Q705" t="s">
        <v>1568</v>
      </c>
      <c r="R705" t="s">
        <v>1568</v>
      </c>
      <c r="S705" t="s">
        <v>1568</v>
      </c>
      <c r="T705" t="s">
        <v>1568</v>
      </c>
      <c r="U705" t="s">
        <v>1568</v>
      </c>
      <c r="V705" t="s">
        <v>1665</v>
      </c>
      <c r="W705" t="s">
        <v>594</v>
      </c>
      <c r="X705" t="s">
        <v>61</v>
      </c>
      <c r="Y705" t="s">
        <v>1587</v>
      </c>
    </row>
    <row r="706" spans="1:25" ht="16" x14ac:dyDescent="0.2">
      <c r="A706" t="s">
        <v>1568</v>
      </c>
      <c r="B706" t="s">
        <v>931</v>
      </c>
      <c r="C706" t="s">
        <v>1568</v>
      </c>
      <c r="D706" t="s">
        <v>1568</v>
      </c>
      <c r="E706" t="s">
        <v>36</v>
      </c>
      <c r="F706" t="s">
        <v>1666</v>
      </c>
      <c r="G706" t="s">
        <v>932</v>
      </c>
      <c r="H706" t="s">
        <v>1568</v>
      </c>
      <c r="I706" t="s">
        <v>933</v>
      </c>
      <c r="J706" t="s">
        <v>1568</v>
      </c>
      <c r="K706" t="s">
        <v>1568</v>
      </c>
      <c r="L706" t="s">
        <v>1568</v>
      </c>
      <c r="M706" t="s">
        <v>1568</v>
      </c>
      <c r="N706" t="s">
        <v>1568</v>
      </c>
      <c r="O706" t="s">
        <v>1568</v>
      </c>
      <c r="P706" t="s">
        <v>1568</v>
      </c>
      <c r="Q706" t="s">
        <v>1568</v>
      </c>
      <c r="R706" t="s">
        <v>1568</v>
      </c>
      <c r="S706" t="s">
        <v>1568</v>
      </c>
      <c r="T706" t="s">
        <v>1568</v>
      </c>
      <c r="U706" t="s">
        <v>1568</v>
      </c>
      <c r="V706" t="s">
        <v>1717</v>
      </c>
      <c r="W706" t="s">
        <v>934</v>
      </c>
      <c r="X706" t="s">
        <v>30</v>
      </c>
      <c r="Y706" t="s">
        <v>1572</v>
      </c>
    </row>
    <row r="707" spans="1:25" ht="16" x14ac:dyDescent="0.2">
      <c r="A707" t="s">
        <v>1568</v>
      </c>
      <c r="B707" t="s">
        <v>935</v>
      </c>
      <c r="C707" t="s">
        <v>1568</v>
      </c>
      <c r="D707" t="s">
        <v>1568</v>
      </c>
      <c r="E707" t="s">
        <v>36</v>
      </c>
      <c r="F707" t="s">
        <v>1678</v>
      </c>
      <c r="G707" t="s">
        <v>936</v>
      </c>
      <c r="H707" t="s">
        <v>1568</v>
      </c>
      <c r="I707" t="s">
        <v>937</v>
      </c>
      <c r="J707" t="s">
        <v>1568</v>
      </c>
      <c r="K707" t="s">
        <v>1568</v>
      </c>
      <c r="L707" t="s">
        <v>1568</v>
      </c>
      <c r="M707" t="s">
        <v>1568</v>
      </c>
      <c r="N707" t="s">
        <v>1568</v>
      </c>
      <c r="O707" t="s">
        <v>1568</v>
      </c>
      <c r="P707" t="s">
        <v>1568</v>
      </c>
      <c r="Q707" t="s">
        <v>1568</v>
      </c>
      <c r="R707" t="s">
        <v>1568</v>
      </c>
      <c r="S707" t="s">
        <v>1568</v>
      </c>
      <c r="T707" t="s">
        <v>1568</v>
      </c>
      <c r="U707" t="s">
        <v>1568</v>
      </c>
      <c r="V707" t="s">
        <v>1718</v>
      </c>
      <c r="W707" t="s">
        <v>938</v>
      </c>
      <c r="X707" t="s">
        <v>30</v>
      </c>
      <c r="Y707" t="s">
        <v>1572</v>
      </c>
    </row>
    <row r="708" spans="1:25" ht="16" x14ac:dyDescent="0.2">
      <c r="A708" t="s">
        <v>1568</v>
      </c>
      <c r="B708" t="s">
        <v>939</v>
      </c>
      <c r="C708" t="s">
        <v>1568</v>
      </c>
      <c r="D708" t="s">
        <v>1568</v>
      </c>
      <c r="E708" t="s">
        <v>36</v>
      </c>
      <c r="F708" t="s">
        <v>1684</v>
      </c>
      <c r="G708" t="s">
        <v>940</v>
      </c>
      <c r="H708" t="s">
        <v>1568</v>
      </c>
      <c r="I708" t="s">
        <v>941</v>
      </c>
      <c r="J708" t="s">
        <v>1568</v>
      </c>
      <c r="K708" t="s">
        <v>1568</v>
      </c>
      <c r="L708" t="s">
        <v>1568</v>
      </c>
      <c r="M708" t="s">
        <v>1568</v>
      </c>
      <c r="N708" t="s">
        <v>1568</v>
      </c>
      <c r="O708" t="s">
        <v>1568</v>
      </c>
      <c r="P708" t="s">
        <v>1568</v>
      </c>
      <c r="Q708" t="s">
        <v>1568</v>
      </c>
      <c r="R708" t="s">
        <v>1568</v>
      </c>
      <c r="S708" t="s">
        <v>1568</v>
      </c>
      <c r="T708" t="s">
        <v>1568</v>
      </c>
      <c r="U708" t="s">
        <v>1568</v>
      </c>
      <c r="V708" t="s">
        <v>1718</v>
      </c>
      <c r="W708" t="s">
        <v>942</v>
      </c>
      <c r="X708" t="s">
        <v>30</v>
      </c>
      <c r="Y708" t="s">
        <v>1572</v>
      </c>
    </row>
    <row r="709" spans="1:25" ht="16" x14ac:dyDescent="0.2">
      <c r="A709" t="s">
        <v>1568</v>
      </c>
      <c r="B709" t="s">
        <v>943</v>
      </c>
      <c r="C709" t="s">
        <v>1568</v>
      </c>
      <c r="D709" t="s">
        <v>1568</v>
      </c>
      <c r="E709" t="s">
        <v>36</v>
      </c>
      <c r="F709" t="s">
        <v>1683</v>
      </c>
      <c r="G709" t="s">
        <v>944</v>
      </c>
      <c r="H709" t="s">
        <v>1568</v>
      </c>
      <c r="I709" t="s">
        <v>945</v>
      </c>
      <c r="J709" t="s">
        <v>1568</v>
      </c>
      <c r="K709" t="s">
        <v>1568</v>
      </c>
      <c r="L709" t="s">
        <v>1568</v>
      </c>
      <c r="M709" t="s">
        <v>1568</v>
      </c>
      <c r="N709" t="s">
        <v>1568</v>
      </c>
      <c r="O709" t="s">
        <v>1568</v>
      </c>
      <c r="P709" t="s">
        <v>1568</v>
      </c>
      <c r="Q709" t="s">
        <v>1568</v>
      </c>
      <c r="R709" t="s">
        <v>1568</v>
      </c>
      <c r="S709" t="s">
        <v>1568</v>
      </c>
      <c r="T709" t="s">
        <v>1568</v>
      </c>
      <c r="U709" t="s">
        <v>1568</v>
      </c>
      <c r="V709" t="s">
        <v>1718</v>
      </c>
      <c r="W709" t="s">
        <v>946</v>
      </c>
      <c r="X709" t="s">
        <v>30</v>
      </c>
      <c r="Y709" t="s">
        <v>1572</v>
      </c>
    </row>
    <row r="710" spans="1:25" ht="16" x14ac:dyDescent="0.2">
      <c r="A710" t="s">
        <v>1568</v>
      </c>
      <c r="B710" t="s">
        <v>947</v>
      </c>
      <c r="C710" t="s">
        <v>1568</v>
      </c>
      <c r="D710" t="s">
        <v>1568</v>
      </c>
      <c r="E710" t="s">
        <v>36</v>
      </c>
      <c r="F710" t="s">
        <v>1682</v>
      </c>
      <c r="G710" t="s">
        <v>948</v>
      </c>
      <c r="H710" t="s">
        <v>1568</v>
      </c>
      <c r="I710" t="s">
        <v>949</v>
      </c>
      <c r="J710" t="s">
        <v>1568</v>
      </c>
      <c r="K710" t="s">
        <v>1568</v>
      </c>
      <c r="L710" t="s">
        <v>1568</v>
      </c>
      <c r="M710" t="s">
        <v>1568</v>
      </c>
      <c r="N710" t="s">
        <v>1568</v>
      </c>
      <c r="O710" t="s">
        <v>1568</v>
      </c>
      <c r="P710" t="s">
        <v>1568</v>
      </c>
      <c r="Q710" t="s">
        <v>1568</v>
      </c>
      <c r="R710" t="s">
        <v>1568</v>
      </c>
      <c r="S710" t="s">
        <v>1568</v>
      </c>
      <c r="T710" t="s">
        <v>1568</v>
      </c>
      <c r="U710" t="s">
        <v>1568</v>
      </c>
      <c r="V710" t="s">
        <v>1718</v>
      </c>
      <c r="W710" t="s">
        <v>950</v>
      </c>
      <c r="X710" t="s">
        <v>30</v>
      </c>
      <c r="Y710" t="s">
        <v>1572</v>
      </c>
    </row>
    <row r="711" spans="1:25" ht="16" x14ac:dyDescent="0.2">
      <c r="A711" t="s">
        <v>1568</v>
      </c>
      <c r="B711" t="s">
        <v>951</v>
      </c>
      <c r="C711" t="s">
        <v>1568</v>
      </c>
      <c r="D711" t="s">
        <v>1568</v>
      </c>
      <c r="E711" t="s">
        <v>36</v>
      </c>
      <c r="F711" t="s">
        <v>1666</v>
      </c>
      <c r="G711" t="s">
        <v>932</v>
      </c>
      <c r="H711" t="s">
        <v>1568</v>
      </c>
      <c r="I711" t="s">
        <v>933</v>
      </c>
      <c r="J711" t="s">
        <v>1568</v>
      </c>
      <c r="K711" t="s">
        <v>1568</v>
      </c>
      <c r="L711" t="s">
        <v>1568</v>
      </c>
      <c r="M711" t="s">
        <v>1568</v>
      </c>
      <c r="N711" t="s">
        <v>1568</v>
      </c>
      <c r="O711" t="s">
        <v>1568</v>
      </c>
      <c r="P711" t="s">
        <v>1568</v>
      </c>
      <c r="Q711" t="s">
        <v>1568</v>
      </c>
      <c r="R711" t="s">
        <v>1568</v>
      </c>
      <c r="S711" t="s">
        <v>1568</v>
      </c>
      <c r="T711" t="s">
        <v>1568</v>
      </c>
      <c r="U711" t="s">
        <v>1568</v>
      </c>
      <c r="V711" t="s">
        <v>1614</v>
      </c>
      <c r="W711" t="s">
        <v>934</v>
      </c>
      <c r="X711" t="s">
        <v>59</v>
      </c>
      <c r="Y711" t="s">
        <v>1581</v>
      </c>
    </row>
    <row r="712" spans="1:25" ht="16" x14ac:dyDescent="0.2">
      <c r="A712" t="s">
        <v>1568</v>
      </c>
      <c r="B712" t="s">
        <v>952</v>
      </c>
      <c r="C712" t="s">
        <v>1568</v>
      </c>
      <c r="D712" t="s">
        <v>1568</v>
      </c>
      <c r="E712" t="s">
        <v>36</v>
      </c>
      <c r="F712" t="s">
        <v>1687</v>
      </c>
      <c r="G712" t="s">
        <v>953</v>
      </c>
      <c r="H712" t="s">
        <v>1568</v>
      </c>
      <c r="I712" t="s">
        <v>954</v>
      </c>
      <c r="J712" t="s">
        <v>1568</v>
      </c>
      <c r="K712" t="s">
        <v>1568</v>
      </c>
      <c r="L712" t="s">
        <v>1568</v>
      </c>
      <c r="M712" t="s">
        <v>1568</v>
      </c>
      <c r="N712" t="s">
        <v>1568</v>
      </c>
      <c r="O712" t="s">
        <v>1568</v>
      </c>
      <c r="P712" t="s">
        <v>1568</v>
      </c>
      <c r="Q712" t="s">
        <v>1568</v>
      </c>
      <c r="R712" t="s">
        <v>1568</v>
      </c>
      <c r="S712" t="s">
        <v>1568</v>
      </c>
      <c r="T712" t="s">
        <v>1568</v>
      </c>
      <c r="U712" t="s">
        <v>1568</v>
      </c>
      <c r="V712" t="s">
        <v>1719</v>
      </c>
      <c r="W712" t="s">
        <v>955</v>
      </c>
      <c r="X712" t="s">
        <v>59</v>
      </c>
      <c r="Y712" t="s">
        <v>1581</v>
      </c>
    </row>
    <row r="713" spans="1:25" ht="16" x14ac:dyDescent="0.2">
      <c r="A713" t="s">
        <v>1568</v>
      </c>
      <c r="B713" t="s">
        <v>956</v>
      </c>
      <c r="C713" t="s">
        <v>1568</v>
      </c>
      <c r="D713" t="s">
        <v>1568</v>
      </c>
      <c r="E713" t="s">
        <v>36</v>
      </c>
      <c r="F713" t="s">
        <v>1682</v>
      </c>
      <c r="G713" t="s">
        <v>948</v>
      </c>
      <c r="H713" t="s">
        <v>1568</v>
      </c>
      <c r="I713" t="s">
        <v>949</v>
      </c>
      <c r="J713" t="s">
        <v>1568</v>
      </c>
      <c r="K713" t="s">
        <v>1568</v>
      </c>
      <c r="L713" t="s">
        <v>1568</v>
      </c>
      <c r="M713" t="s">
        <v>1568</v>
      </c>
      <c r="N713" t="s">
        <v>1568</v>
      </c>
      <c r="O713" t="s">
        <v>1568</v>
      </c>
      <c r="P713" t="s">
        <v>1568</v>
      </c>
      <c r="Q713" t="s">
        <v>1568</v>
      </c>
      <c r="R713" t="s">
        <v>1568</v>
      </c>
      <c r="S713" t="s">
        <v>1568</v>
      </c>
      <c r="T713" t="s">
        <v>1568</v>
      </c>
      <c r="U713" t="s">
        <v>1568</v>
      </c>
      <c r="V713" t="s">
        <v>1719</v>
      </c>
      <c r="W713" t="s">
        <v>950</v>
      </c>
      <c r="X713" t="s">
        <v>59</v>
      </c>
      <c r="Y713" t="s">
        <v>1581</v>
      </c>
    </row>
    <row r="714" spans="1:25" ht="16" x14ac:dyDescent="0.2">
      <c r="A714" t="s">
        <v>1568</v>
      </c>
      <c r="B714" t="s">
        <v>957</v>
      </c>
      <c r="C714" t="s">
        <v>1568</v>
      </c>
      <c r="D714" t="s">
        <v>1568</v>
      </c>
      <c r="E714" t="s">
        <v>36</v>
      </c>
      <c r="F714" t="s">
        <v>1689</v>
      </c>
      <c r="G714" t="s">
        <v>958</v>
      </c>
      <c r="H714" t="s">
        <v>1568</v>
      </c>
      <c r="I714" t="s">
        <v>959</v>
      </c>
      <c r="J714" t="s">
        <v>1568</v>
      </c>
      <c r="K714" t="s">
        <v>1568</v>
      </c>
      <c r="L714" t="s">
        <v>1568</v>
      </c>
      <c r="M714" t="s">
        <v>1568</v>
      </c>
      <c r="N714" t="s">
        <v>1568</v>
      </c>
      <c r="O714" t="s">
        <v>1568</v>
      </c>
      <c r="P714" t="s">
        <v>1568</v>
      </c>
      <c r="Q714" t="s">
        <v>1568</v>
      </c>
      <c r="R714" t="s">
        <v>1568</v>
      </c>
      <c r="S714" t="s">
        <v>1568</v>
      </c>
      <c r="T714" t="s">
        <v>1568</v>
      </c>
      <c r="U714" t="s">
        <v>1568</v>
      </c>
      <c r="V714" t="s">
        <v>1719</v>
      </c>
      <c r="W714" t="s">
        <v>960</v>
      </c>
      <c r="X714" t="s">
        <v>59</v>
      </c>
      <c r="Y714" t="s">
        <v>1581</v>
      </c>
    </row>
    <row r="715" spans="1:25" ht="16" x14ac:dyDescent="0.2">
      <c r="A715" t="s">
        <v>1568</v>
      </c>
      <c r="B715" t="s">
        <v>961</v>
      </c>
      <c r="C715" t="s">
        <v>1568</v>
      </c>
      <c r="D715" t="s">
        <v>1568</v>
      </c>
      <c r="E715" t="s">
        <v>36</v>
      </c>
      <c r="F715" t="s">
        <v>1684</v>
      </c>
      <c r="G715" t="s">
        <v>940</v>
      </c>
      <c r="H715" t="s">
        <v>1568</v>
      </c>
      <c r="I715" t="s">
        <v>941</v>
      </c>
      <c r="J715" t="s">
        <v>1568</v>
      </c>
      <c r="K715" t="s">
        <v>1568</v>
      </c>
      <c r="L715" t="s">
        <v>1568</v>
      </c>
      <c r="M715" t="s">
        <v>1568</v>
      </c>
      <c r="N715" t="s">
        <v>1568</v>
      </c>
      <c r="O715" t="s">
        <v>1568</v>
      </c>
      <c r="P715" t="s">
        <v>1568</v>
      </c>
      <c r="Q715" t="s">
        <v>1568</v>
      </c>
      <c r="R715" t="s">
        <v>1568</v>
      </c>
      <c r="S715" t="s">
        <v>1568</v>
      </c>
      <c r="T715" t="s">
        <v>1568</v>
      </c>
      <c r="U715" t="s">
        <v>1568</v>
      </c>
      <c r="V715" t="s">
        <v>1719</v>
      </c>
      <c r="W715" t="s">
        <v>942</v>
      </c>
      <c r="X715" t="s">
        <v>59</v>
      </c>
      <c r="Y715" t="s">
        <v>1581</v>
      </c>
    </row>
    <row r="716" spans="1:25" ht="16" x14ac:dyDescent="0.2">
      <c r="A716" t="s">
        <v>1568</v>
      </c>
      <c r="B716" t="s">
        <v>962</v>
      </c>
      <c r="C716" t="s">
        <v>1568</v>
      </c>
      <c r="D716" t="s">
        <v>1568</v>
      </c>
      <c r="E716" t="s">
        <v>36</v>
      </c>
      <c r="F716" t="s">
        <v>1688</v>
      </c>
      <c r="G716" t="s">
        <v>963</v>
      </c>
      <c r="H716" t="s">
        <v>1568</v>
      </c>
      <c r="I716" t="s">
        <v>964</v>
      </c>
      <c r="J716" t="s">
        <v>1568</v>
      </c>
      <c r="K716" t="s">
        <v>1568</v>
      </c>
      <c r="L716" t="s">
        <v>1568</v>
      </c>
      <c r="M716" t="s">
        <v>1568</v>
      </c>
      <c r="N716" t="s">
        <v>1568</v>
      </c>
      <c r="O716" t="s">
        <v>1568</v>
      </c>
      <c r="P716" t="s">
        <v>1568</v>
      </c>
      <c r="Q716" t="s">
        <v>1568</v>
      </c>
      <c r="R716" t="s">
        <v>1568</v>
      </c>
      <c r="S716" t="s">
        <v>1568</v>
      </c>
      <c r="T716" t="s">
        <v>1568</v>
      </c>
      <c r="U716" t="s">
        <v>1568</v>
      </c>
      <c r="V716" t="s">
        <v>1719</v>
      </c>
      <c r="W716" t="s">
        <v>965</v>
      </c>
      <c r="X716" t="s">
        <v>59</v>
      </c>
      <c r="Y716" t="s">
        <v>1581</v>
      </c>
    </row>
    <row r="717" spans="1:25" ht="16" x14ac:dyDescent="0.2">
      <c r="A717" t="s">
        <v>1568</v>
      </c>
      <c r="B717" t="s">
        <v>966</v>
      </c>
      <c r="C717" t="s">
        <v>1568</v>
      </c>
      <c r="D717" t="s">
        <v>1568</v>
      </c>
      <c r="E717" t="s">
        <v>36</v>
      </c>
      <c r="F717" t="s">
        <v>1674</v>
      </c>
      <c r="G717" t="s">
        <v>967</v>
      </c>
      <c r="H717" t="s">
        <v>1568</v>
      </c>
      <c r="I717" t="s">
        <v>968</v>
      </c>
      <c r="J717" t="s">
        <v>1568</v>
      </c>
      <c r="K717" t="s">
        <v>1568</v>
      </c>
      <c r="L717" t="s">
        <v>1568</v>
      </c>
      <c r="M717" t="s">
        <v>1568</v>
      </c>
      <c r="N717" t="s">
        <v>1568</v>
      </c>
      <c r="O717" t="s">
        <v>1568</v>
      </c>
      <c r="P717" t="s">
        <v>1568</v>
      </c>
      <c r="Q717" t="s">
        <v>1568</v>
      </c>
      <c r="R717" t="s">
        <v>1568</v>
      </c>
      <c r="S717" t="s">
        <v>1568</v>
      </c>
      <c r="T717" t="s">
        <v>1568</v>
      </c>
      <c r="U717" t="s">
        <v>1568</v>
      </c>
      <c r="V717" t="s">
        <v>1646</v>
      </c>
      <c r="W717" t="s">
        <v>969</v>
      </c>
      <c r="X717" t="s">
        <v>61</v>
      </c>
      <c r="Y717" t="s">
        <v>1587</v>
      </c>
    </row>
    <row r="718" spans="1:25" ht="16" x14ac:dyDescent="0.2">
      <c r="A718" t="s">
        <v>1568</v>
      </c>
      <c r="B718" t="s">
        <v>970</v>
      </c>
      <c r="C718" t="s">
        <v>1568</v>
      </c>
      <c r="D718" t="s">
        <v>1568</v>
      </c>
      <c r="E718" t="s">
        <v>36</v>
      </c>
      <c r="F718" t="s">
        <v>1684</v>
      </c>
      <c r="G718" t="s">
        <v>940</v>
      </c>
      <c r="H718" t="s">
        <v>1568</v>
      </c>
      <c r="I718" t="s">
        <v>941</v>
      </c>
      <c r="J718" t="s">
        <v>1568</v>
      </c>
      <c r="K718" t="s">
        <v>1568</v>
      </c>
      <c r="L718" t="s">
        <v>1568</v>
      </c>
      <c r="M718" t="s">
        <v>1568</v>
      </c>
      <c r="N718" t="s">
        <v>1568</v>
      </c>
      <c r="O718" t="s">
        <v>1568</v>
      </c>
      <c r="P718" t="s">
        <v>1568</v>
      </c>
      <c r="Q718" t="s">
        <v>1568</v>
      </c>
      <c r="R718" t="s">
        <v>1568</v>
      </c>
      <c r="S718" t="s">
        <v>1568</v>
      </c>
      <c r="T718" t="s">
        <v>1568</v>
      </c>
      <c r="U718" t="s">
        <v>1568</v>
      </c>
      <c r="V718" t="s">
        <v>1646</v>
      </c>
      <c r="W718" t="s">
        <v>942</v>
      </c>
      <c r="X718" t="s">
        <v>61</v>
      </c>
      <c r="Y718" t="s">
        <v>1587</v>
      </c>
    </row>
    <row r="719" spans="1:25" ht="16" x14ac:dyDescent="0.2">
      <c r="A719" t="s">
        <v>1568</v>
      </c>
      <c r="B719" t="s">
        <v>971</v>
      </c>
      <c r="C719" t="s">
        <v>1568</v>
      </c>
      <c r="D719" t="s">
        <v>1568</v>
      </c>
      <c r="E719" t="s">
        <v>36</v>
      </c>
      <c r="F719" t="s">
        <v>1679</v>
      </c>
      <c r="G719" t="s">
        <v>972</v>
      </c>
      <c r="H719" t="s">
        <v>1568</v>
      </c>
      <c r="I719" t="s">
        <v>973</v>
      </c>
      <c r="J719" t="s">
        <v>1568</v>
      </c>
      <c r="K719" t="s">
        <v>1568</v>
      </c>
      <c r="L719" t="s">
        <v>1568</v>
      </c>
      <c r="M719" t="s">
        <v>1568</v>
      </c>
      <c r="N719" t="s">
        <v>1568</v>
      </c>
      <c r="O719" t="s">
        <v>1568</v>
      </c>
      <c r="P719" t="s">
        <v>1568</v>
      </c>
      <c r="Q719" t="s">
        <v>1568</v>
      </c>
      <c r="R719" t="s">
        <v>1568</v>
      </c>
      <c r="S719" t="s">
        <v>1568</v>
      </c>
      <c r="T719" t="s">
        <v>1568</v>
      </c>
      <c r="U719" t="s">
        <v>1568</v>
      </c>
      <c r="V719" t="s">
        <v>1646</v>
      </c>
      <c r="W719" t="s">
        <v>974</v>
      </c>
      <c r="X719" t="s">
        <v>61</v>
      </c>
      <c r="Y719" t="s">
        <v>1587</v>
      </c>
    </row>
    <row r="720" spans="1:25" ht="16" x14ac:dyDescent="0.2">
      <c r="A720" t="s">
        <v>1568</v>
      </c>
      <c r="B720" t="s">
        <v>975</v>
      </c>
      <c r="C720" t="s">
        <v>1568</v>
      </c>
      <c r="D720" t="s">
        <v>1568</v>
      </c>
      <c r="E720" t="s">
        <v>36</v>
      </c>
      <c r="F720" t="s">
        <v>1678</v>
      </c>
      <c r="G720" t="s">
        <v>936</v>
      </c>
      <c r="H720" t="s">
        <v>1568</v>
      </c>
      <c r="I720" t="s">
        <v>937</v>
      </c>
      <c r="J720" t="s">
        <v>1568</v>
      </c>
      <c r="K720" t="s">
        <v>1568</v>
      </c>
      <c r="L720" t="s">
        <v>1568</v>
      </c>
      <c r="M720" t="s">
        <v>1568</v>
      </c>
      <c r="N720" t="s">
        <v>1568</v>
      </c>
      <c r="O720" t="s">
        <v>1568</v>
      </c>
      <c r="P720" t="s">
        <v>1568</v>
      </c>
      <c r="Q720" t="s">
        <v>1568</v>
      </c>
      <c r="R720" t="s">
        <v>1568</v>
      </c>
      <c r="S720" t="s">
        <v>1568</v>
      </c>
      <c r="T720" t="s">
        <v>1568</v>
      </c>
      <c r="U720" t="s">
        <v>1568</v>
      </c>
      <c r="V720" t="s">
        <v>1646</v>
      </c>
      <c r="W720" t="s">
        <v>938</v>
      </c>
      <c r="X720" t="s">
        <v>61</v>
      </c>
      <c r="Y720" t="s">
        <v>1587</v>
      </c>
    </row>
    <row r="721" spans="1:25" ht="16" x14ac:dyDescent="0.2">
      <c r="A721" t="s">
        <v>1568</v>
      </c>
      <c r="B721" t="s">
        <v>976</v>
      </c>
      <c r="C721" t="s">
        <v>1568</v>
      </c>
      <c r="D721" t="s">
        <v>1568</v>
      </c>
      <c r="E721" t="s">
        <v>36</v>
      </c>
      <c r="F721" t="s">
        <v>1674</v>
      </c>
      <c r="G721" t="s">
        <v>967</v>
      </c>
      <c r="H721" t="s">
        <v>1568</v>
      </c>
      <c r="I721" t="s">
        <v>968</v>
      </c>
      <c r="J721" t="s">
        <v>1568</v>
      </c>
      <c r="K721" t="s">
        <v>1568</v>
      </c>
      <c r="L721" t="s">
        <v>1568</v>
      </c>
      <c r="M721" t="s">
        <v>1568</v>
      </c>
      <c r="N721" t="s">
        <v>1568</v>
      </c>
      <c r="O721" t="s">
        <v>1568</v>
      </c>
      <c r="P721" t="s">
        <v>1568</v>
      </c>
      <c r="Q721" t="s">
        <v>1568</v>
      </c>
      <c r="R721" t="s">
        <v>1568</v>
      </c>
      <c r="S721" t="s">
        <v>1568</v>
      </c>
      <c r="T721" t="s">
        <v>1568</v>
      </c>
      <c r="U721" t="s">
        <v>1568</v>
      </c>
      <c r="V721" t="s">
        <v>1718</v>
      </c>
      <c r="W721" t="s">
        <v>969</v>
      </c>
      <c r="X721" t="s">
        <v>30</v>
      </c>
      <c r="Y721" t="s">
        <v>1572</v>
      </c>
    </row>
    <row r="722" spans="1:25" ht="16" x14ac:dyDescent="0.2">
      <c r="A722" t="s">
        <v>1568</v>
      </c>
      <c r="B722" t="s">
        <v>977</v>
      </c>
      <c r="C722" t="s">
        <v>1568</v>
      </c>
      <c r="D722" t="s">
        <v>1568</v>
      </c>
      <c r="E722" t="s">
        <v>36</v>
      </c>
      <c r="F722" t="s">
        <v>1674</v>
      </c>
      <c r="G722" t="s">
        <v>967</v>
      </c>
      <c r="H722" t="s">
        <v>1568</v>
      </c>
      <c r="I722" t="s">
        <v>968</v>
      </c>
      <c r="J722" t="s">
        <v>1568</v>
      </c>
      <c r="K722" t="s">
        <v>1568</v>
      </c>
      <c r="L722" t="s">
        <v>1568</v>
      </c>
      <c r="M722" t="s">
        <v>1568</v>
      </c>
      <c r="N722" t="s">
        <v>1568</v>
      </c>
      <c r="O722" t="s">
        <v>1568</v>
      </c>
      <c r="P722" t="s">
        <v>1568</v>
      </c>
      <c r="Q722" t="s">
        <v>1568</v>
      </c>
      <c r="R722" t="s">
        <v>1568</v>
      </c>
      <c r="S722" t="s">
        <v>1568</v>
      </c>
      <c r="T722" t="s">
        <v>1568</v>
      </c>
      <c r="U722" t="s">
        <v>1568</v>
      </c>
      <c r="V722" t="s">
        <v>1719</v>
      </c>
      <c r="W722" t="s">
        <v>969</v>
      </c>
      <c r="X722" t="s">
        <v>59</v>
      </c>
      <c r="Y722" t="s">
        <v>1581</v>
      </c>
    </row>
    <row r="723" spans="1:25" ht="16" x14ac:dyDescent="0.2">
      <c r="A723" t="s">
        <v>1568</v>
      </c>
      <c r="B723" t="s">
        <v>978</v>
      </c>
      <c r="C723" t="s">
        <v>1568</v>
      </c>
      <c r="D723" t="s">
        <v>1568</v>
      </c>
      <c r="E723" t="s">
        <v>36</v>
      </c>
      <c r="F723" t="s">
        <v>1687</v>
      </c>
      <c r="G723" t="s">
        <v>953</v>
      </c>
      <c r="H723" t="s">
        <v>1568</v>
      </c>
      <c r="I723" t="s">
        <v>954</v>
      </c>
      <c r="J723" t="s">
        <v>1568</v>
      </c>
      <c r="K723" t="s">
        <v>1568</v>
      </c>
      <c r="L723" t="s">
        <v>1568</v>
      </c>
      <c r="M723" t="s">
        <v>1568</v>
      </c>
      <c r="N723" t="s">
        <v>1568</v>
      </c>
      <c r="O723" t="s">
        <v>1568</v>
      </c>
      <c r="P723" t="s">
        <v>1568</v>
      </c>
      <c r="Q723" t="s">
        <v>1568</v>
      </c>
      <c r="R723" t="s">
        <v>1568</v>
      </c>
      <c r="S723" t="s">
        <v>1568</v>
      </c>
      <c r="T723" t="s">
        <v>1568</v>
      </c>
      <c r="U723" t="s">
        <v>1568</v>
      </c>
      <c r="V723" t="s">
        <v>1718</v>
      </c>
      <c r="W723" t="s">
        <v>955</v>
      </c>
      <c r="X723" t="s">
        <v>30</v>
      </c>
      <c r="Y723" t="s">
        <v>1572</v>
      </c>
    </row>
    <row r="724" spans="1:25" ht="16" x14ac:dyDescent="0.2">
      <c r="A724" t="s">
        <v>1568</v>
      </c>
      <c r="B724" t="s">
        <v>979</v>
      </c>
      <c r="C724" t="s">
        <v>1568</v>
      </c>
      <c r="D724" t="s">
        <v>1568</v>
      </c>
      <c r="E724" t="s">
        <v>36</v>
      </c>
      <c r="F724" t="s">
        <v>1679</v>
      </c>
      <c r="G724" t="s">
        <v>972</v>
      </c>
      <c r="H724" t="s">
        <v>1568</v>
      </c>
      <c r="I724" t="s">
        <v>973</v>
      </c>
      <c r="J724" t="s">
        <v>1568</v>
      </c>
      <c r="K724" t="s">
        <v>1568</v>
      </c>
      <c r="L724" t="s">
        <v>1568</v>
      </c>
      <c r="M724" t="s">
        <v>1568</v>
      </c>
      <c r="N724" t="s">
        <v>1568</v>
      </c>
      <c r="O724" t="s">
        <v>1568</v>
      </c>
      <c r="P724" t="s">
        <v>1568</v>
      </c>
      <c r="Q724" t="s">
        <v>1568</v>
      </c>
      <c r="R724" t="s">
        <v>1568</v>
      </c>
      <c r="S724" t="s">
        <v>1568</v>
      </c>
      <c r="T724" t="s">
        <v>1568</v>
      </c>
      <c r="U724" t="s">
        <v>1568</v>
      </c>
      <c r="V724" t="s">
        <v>1718</v>
      </c>
      <c r="W724" t="s">
        <v>974</v>
      </c>
      <c r="X724" t="s">
        <v>30</v>
      </c>
      <c r="Y724" t="s">
        <v>1572</v>
      </c>
    </row>
    <row r="725" spans="1:25" ht="16" x14ac:dyDescent="0.2">
      <c r="A725" t="s">
        <v>1568</v>
      </c>
      <c r="B725" t="s">
        <v>980</v>
      </c>
      <c r="C725" t="s">
        <v>1568</v>
      </c>
      <c r="D725" t="s">
        <v>1568</v>
      </c>
      <c r="E725" t="s">
        <v>36</v>
      </c>
      <c r="F725" t="s">
        <v>1688</v>
      </c>
      <c r="G725" t="s">
        <v>963</v>
      </c>
      <c r="H725" t="s">
        <v>1568</v>
      </c>
      <c r="I725" t="s">
        <v>964</v>
      </c>
      <c r="J725" t="s">
        <v>1568</v>
      </c>
      <c r="K725" t="s">
        <v>1568</v>
      </c>
      <c r="L725" t="s">
        <v>1568</v>
      </c>
      <c r="M725" t="s">
        <v>1568</v>
      </c>
      <c r="N725" t="s">
        <v>1568</v>
      </c>
      <c r="O725" t="s">
        <v>1568</v>
      </c>
      <c r="P725" t="s">
        <v>1568</v>
      </c>
      <c r="Q725" t="s">
        <v>1568</v>
      </c>
      <c r="R725" t="s">
        <v>1568</v>
      </c>
      <c r="S725" t="s">
        <v>1568</v>
      </c>
      <c r="T725" t="s">
        <v>1568</v>
      </c>
      <c r="U725" t="s">
        <v>1568</v>
      </c>
      <c r="V725" t="s">
        <v>1718</v>
      </c>
      <c r="W725" t="s">
        <v>965</v>
      </c>
      <c r="X725" t="s">
        <v>30</v>
      </c>
      <c r="Y725" t="s">
        <v>1572</v>
      </c>
    </row>
    <row r="726" spans="1:25" ht="16" x14ac:dyDescent="0.2">
      <c r="A726" t="s">
        <v>1568</v>
      </c>
      <c r="B726" t="s">
        <v>981</v>
      </c>
      <c r="C726" t="s">
        <v>1568</v>
      </c>
      <c r="D726" t="s">
        <v>1568</v>
      </c>
      <c r="E726" t="s">
        <v>36</v>
      </c>
      <c r="F726" t="s">
        <v>1689</v>
      </c>
      <c r="G726" t="s">
        <v>958</v>
      </c>
      <c r="H726" t="s">
        <v>1568</v>
      </c>
      <c r="I726" t="s">
        <v>959</v>
      </c>
      <c r="J726" t="s">
        <v>1568</v>
      </c>
      <c r="K726" t="s">
        <v>1568</v>
      </c>
      <c r="L726" t="s">
        <v>1568</v>
      </c>
      <c r="M726" t="s">
        <v>1568</v>
      </c>
      <c r="N726" t="s">
        <v>1568</v>
      </c>
      <c r="O726" t="s">
        <v>1568</v>
      </c>
      <c r="P726" t="s">
        <v>1568</v>
      </c>
      <c r="Q726" t="s">
        <v>1568</v>
      </c>
      <c r="R726" t="s">
        <v>1568</v>
      </c>
      <c r="S726" t="s">
        <v>1568</v>
      </c>
      <c r="T726" t="s">
        <v>1568</v>
      </c>
      <c r="U726" t="s">
        <v>1568</v>
      </c>
      <c r="V726" t="s">
        <v>1718</v>
      </c>
      <c r="W726" t="s">
        <v>960</v>
      </c>
      <c r="X726" t="s">
        <v>30</v>
      </c>
      <c r="Y726" t="s">
        <v>1572</v>
      </c>
    </row>
    <row r="727" spans="1:25" ht="16" x14ac:dyDescent="0.2">
      <c r="A727" t="s">
        <v>1568</v>
      </c>
      <c r="B727" t="s">
        <v>982</v>
      </c>
      <c r="C727" t="s">
        <v>1568</v>
      </c>
      <c r="D727" t="s">
        <v>1568</v>
      </c>
      <c r="E727" t="s">
        <v>36</v>
      </c>
      <c r="F727" t="s">
        <v>1690</v>
      </c>
      <c r="G727" t="s">
        <v>983</v>
      </c>
      <c r="H727" t="s">
        <v>1568</v>
      </c>
      <c r="I727" t="s">
        <v>984</v>
      </c>
      <c r="J727" t="s">
        <v>1568</v>
      </c>
      <c r="K727" t="s">
        <v>1568</v>
      </c>
      <c r="L727" t="s">
        <v>1568</v>
      </c>
      <c r="M727" t="s">
        <v>1568</v>
      </c>
      <c r="N727" t="s">
        <v>1568</v>
      </c>
      <c r="O727" t="s">
        <v>1568</v>
      </c>
      <c r="P727" t="s">
        <v>1568</v>
      </c>
      <c r="Q727" t="s">
        <v>1568</v>
      </c>
      <c r="R727" t="s">
        <v>1568</v>
      </c>
      <c r="S727" t="s">
        <v>1568</v>
      </c>
      <c r="T727" t="s">
        <v>1568</v>
      </c>
      <c r="U727" t="s">
        <v>1568</v>
      </c>
      <c r="V727" t="s">
        <v>1718</v>
      </c>
      <c r="W727" t="s">
        <v>985</v>
      </c>
      <c r="X727" t="s">
        <v>30</v>
      </c>
      <c r="Y727" t="s">
        <v>1572</v>
      </c>
    </row>
    <row r="728" spans="1:25" ht="16" x14ac:dyDescent="0.2">
      <c r="A728" t="s">
        <v>1568</v>
      </c>
      <c r="B728" t="s">
        <v>986</v>
      </c>
      <c r="C728" t="s">
        <v>1568</v>
      </c>
      <c r="D728" t="s">
        <v>1568</v>
      </c>
      <c r="E728" t="s">
        <v>36</v>
      </c>
      <c r="F728" t="s">
        <v>1678</v>
      </c>
      <c r="G728" t="s">
        <v>936</v>
      </c>
      <c r="H728" t="s">
        <v>1568</v>
      </c>
      <c r="I728" t="s">
        <v>937</v>
      </c>
      <c r="J728" t="s">
        <v>1568</v>
      </c>
      <c r="K728" t="s">
        <v>1568</v>
      </c>
      <c r="L728" t="s">
        <v>1568</v>
      </c>
      <c r="M728" t="s">
        <v>1568</v>
      </c>
      <c r="N728" t="s">
        <v>1568</v>
      </c>
      <c r="O728" t="s">
        <v>1568</v>
      </c>
      <c r="P728" t="s">
        <v>1568</v>
      </c>
      <c r="Q728" t="s">
        <v>1568</v>
      </c>
      <c r="R728" t="s">
        <v>1568</v>
      </c>
      <c r="S728" t="s">
        <v>1568</v>
      </c>
      <c r="T728" t="s">
        <v>1568</v>
      </c>
      <c r="U728" t="s">
        <v>1568</v>
      </c>
      <c r="V728" t="s">
        <v>1719</v>
      </c>
      <c r="W728" t="s">
        <v>938</v>
      </c>
      <c r="X728" t="s">
        <v>59</v>
      </c>
      <c r="Y728" t="s">
        <v>1581</v>
      </c>
    </row>
    <row r="729" spans="1:25" ht="16" x14ac:dyDescent="0.2">
      <c r="A729" t="s">
        <v>1568</v>
      </c>
      <c r="B729" t="s">
        <v>987</v>
      </c>
      <c r="C729" t="s">
        <v>1568</v>
      </c>
      <c r="D729" t="s">
        <v>1568</v>
      </c>
      <c r="E729" t="s">
        <v>36</v>
      </c>
      <c r="F729" t="s">
        <v>1679</v>
      </c>
      <c r="G729" t="s">
        <v>972</v>
      </c>
      <c r="H729" t="s">
        <v>1568</v>
      </c>
      <c r="I729" t="s">
        <v>973</v>
      </c>
      <c r="J729" t="s">
        <v>1568</v>
      </c>
      <c r="K729" t="s">
        <v>1568</v>
      </c>
      <c r="L729" t="s">
        <v>1568</v>
      </c>
      <c r="M729" t="s">
        <v>1568</v>
      </c>
      <c r="N729" t="s">
        <v>1568</v>
      </c>
      <c r="O729" t="s">
        <v>1568</v>
      </c>
      <c r="P729" t="s">
        <v>1568</v>
      </c>
      <c r="Q729" t="s">
        <v>1568</v>
      </c>
      <c r="R729" t="s">
        <v>1568</v>
      </c>
      <c r="S729" t="s">
        <v>1568</v>
      </c>
      <c r="T729" t="s">
        <v>1568</v>
      </c>
      <c r="U729" t="s">
        <v>1568</v>
      </c>
      <c r="V729" t="s">
        <v>1719</v>
      </c>
      <c r="W729" t="s">
        <v>974</v>
      </c>
      <c r="X729" t="s">
        <v>59</v>
      </c>
      <c r="Y729" t="s">
        <v>1581</v>
      </c>
    </row>
    <row r="730" spans="1:25" ht="16" x14ac:dyDescent="0.2">
      <c r="A730" t="s">
        <v>1568</v>
      </c>
      <c r="B730" t="s">
        <v>988</v>
      </c>
      <c r="C730" t="s">
        <v>1568</v>
      </c>
      <c r="D730" t="s">
        <v>1568</v>
      </c>
      <c r="E730" t="s">
        <v>36</v>
      </c>
      <c r="F730" t="s">
        <v>1666</v>
      </c>
      <c r="G730" t="s">
        <v>932</v>
      </c>
      <c r="H730" t="s">
        <v>1568</v>
      </c>
      <c r="I730" t="s">
        <v>933</v>
      </c>
      <c r="J730" t="s">
        <v>1568</v>
      </c>
      <c r="K730" t="s">
        <v>1568</v>
      </c>
      <c r="L730" t="s">
        <v>1568</v>
      </c>
      <c r="M730" t="s">
        <v>1568</v>
      </c>
      <c r="N730" t="s">
        <v>1568</v>
      </c>
      <c r="O730" t="s">
        <v>1568</v>
      </c>
      <c r="P730" t="s">
        <v>1568</v>
      </c>
      <c r="Q730" t="s">
        <v>1568</v>
      </c>
      <c r="R730" t="s">
        <v>1568</v>
      </c>
      <c r="S730" t="s">
        <v>1568</v>
      </c>
      <c r="T730" t="s">
        <v>1568</v>
      </c>
      <c r="U730" t="s">
        <v>1568</v>
      </c>
      <c r="V730" t="s">
        <v>1720</v>
      </c>
      <c r="W730" t="s">
        <v>934</v>
      </c>
      <c r="X730" t="s">
        <v>61</v>
      </c>
      <c r="Y730" t="s">
        <v>1587</v>
      </c>
    </row>
    <row r="731" spans="1:25" ht="16" x14ac:dyDescent="0.2">
      <c r="A731" t="s">
        <v>1568</v>
      </c>
      <c r="B731" t="s">
        <v>989</v>
      </c>
      <c r="C731" t="s">
        <v>1568</v>
      </c>
      <c r="D731" t="s">
        <v>1568</v>
      </c>
      <c r="E731" t="s">
        <v>36</v>
      </c>
      <c r="F731" t="s">
        <v>1683</v>
      </c>
      <c r="G731" t="s">
        <v>944</v>
      </c>
      <c r="H731" t="s">
        <v>1568</v>
      </c>
      <c r="I731" t="s">
        <v>945</v>
      </c>
      <c r="J731" t="s">
        <v>1568</v>
      </c>
      <c r="K731" t="s">
        <v>1568</v>
      </c>
      <c r="L731" t="s">
        <v>1568</v>
      </c>
      <c r="M731" t="s">
        <v>1568</v>
      </c>
      <c r="N731" t="s">
        <v>1568</v>
      </c>
      <c r="O731" t="s">
        <v>1568</v>
      </c>
      <c r="P731" t="s">
        <v>1568</v>
      </c>
      <c r="Q731" t="s">
        <v>1568</v>
      </c>
      <c r="R731" t="s">
        <v>1568</v>
      </c>
      <c r="S731" t="s">
        <v>1568</v>
      </c>
      <c r="T731" t="s">
        <v>1568</v>
      </c>
      <c r="U731" t="s">
        <v>1568</v>
      </c>
      <c r="V731" t="s">
        <v>1719</v>
      </c>
      <c r="W731" t="s">
        <v>946</v>
      </c>
      <c r="X731" t="s">
        <v>59</v>
      </c>
      <c r="Y731" t="s">
        <v>1581</v>
      </c>
    </row>
    <row r="732" spans="1:25" ht="16" x14ac:dyDescent="0.2">
      <c r="A732" t="s">
        <v>1568</v>
      </c>
      <c r="B732" t="s">
        <v>990</v>
      </c>
      <c r="C732" t="s">
        <v>1568</v>
      </c>
      <c r="D732" t="s">
        <v>1568</v>
      </c>
      <c r="E732" t="s">
        <v>36</v>
      </c>
      <c r="F732" t="s">
        <v>1690</v>
      </c>
      <c r="G732" t="s">
        <v>983</v>
      </c>
      <c r="H732" t="s">
        <v>1568</v>
      </c>
      <c r="I732" t="s">
        <v>984</v>
      </c>
      <c r="J732" t="s">
        <v>1568</v>
      </c>
      <c r="K732" t="s">
        <v>1568</v>
      </c>
      <c r="L732" t="s">
        <v>1568</v>
      </c>
      <c r="M732" t="s">
        <v>1568</v>
      </c>
      <c r="N732" t="s">
        <v>1568</v>
      </c>
      <c r="O732" t="s">
        <v>1568</v>
      </c>
      <c r="P732" t="s">
        <v>1568</v>
      </c>
      <c r="Q732" t="s">
        <v>1568</v>
      </c>
      <c r="R732" t="s">
        <v>1568</v>
      </c>
      <c r="S732" t="s">
        <v>1568</v>
      </c>
      <c r="T732" t="s">
        <v>1568</v>
      </c>
      <c r="U732" t="s">
        <v>1568</v>
      </c>
      <c r="V732" t="s">
        <v>1719</v>
      </c>
      <c r="W732" t="s">
        <v>985</v>
      </c>
      <c r="X732" t="s">
        <v>59</v>
      </c>
      <c r="Y732" t="s">
        <v>1581</v>
      </c>
    </row>
    <row r="733" spans="1:25" ht="16" x14ac:dyDescent="0.2">
      <c r="A733" t="s">
        <v>1568</v>
      </c>
      <c r="B733" t="s">
        <v>991</v>
      </c>
      <c r="C733" t="s">
        <v>1568</v>
      </c>
      <c r="D733" t="s">
        <v>1568</v>
      </c>
      <c r="E733" t="s">
        <v>36</v>
      </c>
      <c r="F733" t="s">
        <v>1687</v>
      </c>
      <c r="G733" t="s">
        <v>953</v>
      </c>
      <c r="H733" t="s">
        <v>1568</v>
      </c>
      <c r="I733" t="s">
        <v>954</v>
      </c>
      <c r="J733" t="s">
        <v>1568</v>
      </c>
      <c r="K733" t="s">
        <v>1568</v>
      </c>
      <c r="L733" t="s">
        <v>1568</v>
      </c>
      <c r="M733" t="s">
        <v>1568</v>
      </c>
      <c r="N733" t="s">
        <v>1568</v>
      </c>
      <c r="O733" t="s">
        <v>1568</v>
      </c>
      <c r="P733" t="s">
        <v>1568</v>
      </c>
      <c r="Q733" t="s">
        <v>1568</v>
      </c>
      <c r="R733" t="s">
        <v>1568</v>
      </c>
      <c r="S733" t="s">
        <v>1568</v>
      </c>
      <c r="T733" t="s">
        <v>1568</v>
      </c>
      <c r="U733" t="s">
        <v>1568</v>
      </c>
      <c r="V733" t="s">
        <v>1646</v>
      </c>
      <c r="W733" t="s">
        <v>955</v>
      </c>
      <c r="X733" t="s">
        <v>61</v>
      </c>
      <c r="Y733" t="s">
        <v>1587</v>
      </c>
    </row>
    <row r="734" spans="1:25" ht="16" x14ac:dyDescent="0.2">
      <c r="A734" t="s">
        <v>1568</v>
      </c>
      <c r="B734" t="s">
        <v>992</v>
      </c>
      <c r="C734" t="s">
        <v>1568</v>
      </c>
      <c r="D734" t="s">
        <v>1568</v>
      </c>
      <c r="E734" t="s">
        <v>36</v>
      </c>
      <c r="F734" t="s">
        <v>1690</v>
      </c>
      <c r="G734" t="s">
        <v>983</v>
      </c>
      <c r="H734" t="s">
        <v>1568</v>
      </c>
      <c r="I734" t="s">
        <v>984</v>
      </c>
      <c r="J734" t="s">
        <v>1568</v>
      </c>
      <c r="K734" t="s">
        <v>1568</v>
      </c>
      <c r="L734" t="s">
        <v>1568</v>
      </c>
      <c r="M734" t="s">
        <v>1568</v>
      </c>
      <c r="N734" t="s">
        <v>1568</v>
      </c>
      <c r="O734" t="s">
        <v>1568</v>
      </c>
      <c r="P734" t="s">
        <v>1568</v>
      </c>
      <c r="Q734" t="s">
        <v>1568</v>
      </c>
      <c r="R734" t="s">
        <v>1568</v>
      </c>
      <c r="S734" t="s">
        <v>1568</v>
      </c>
      <c r="T734" t="s">
        <v>1568</v>
      </c>
      <c r="U734" t="s">
        <v>1568</v>
      </c>
      <c r="V734" t="s">
        <v>1646</v>
      </c>
      <c r="W734" t="s">
        <v>985</v>
      </c>
      <c r="X734" t="s">
        <v>61</v>
      </c>
      <c r="Y734" t="s">
        <v>1587</v>
      </c>
    </row>
    <row r="735" spans="1:25" ht="16" x14ac:dyDescent="0.2">
      <c r="A735" t="s">
        <v>1568</v>
      </c>
      <c r="B735" t="s">
        <v>993</v>
      </c>
      <c r="C735" t="s">
        <v>1568</v>
      </c>
      <c r="D735" t="s">
        <v>1568</v>
      </c>
      <c r="E735" t="s">
        <v>36</v>
      </c>
      <c r="F735" t="s">
        <v>1682</v>
      </c>
      <c r="G735" t="s">
        <v>948</v>
      </c>
      <c r="H735" t="s">
        <v>1568</v>
      </c>
      <c r="I735" t="s">
        <v>949</v>
      </c>
      <c r="J735" t="s">
        <v>1568</v>
      </c>
      <c r="K735" t="s">
        <v>1568</v>
      </c>
      <c r="L735" t="s">
        <v>1568</v>
      </c>
      <c r="M735" t="s">
        <v>1568</v>
      </c>
      <c r="N735" t="s">
        <v>1568</v>
      </c>
      <c r="O735" t="s">
        <v>1568</v>
      </c>
      <c r="P735" t="s">
        <v>1568</v>
      </c>
      <c r="Q735" t="s">
        <v>1568</v>
      </c>
      <c r="R735" t="s">
        <v>1568</v>
      </c>
      <c r="S735" t="s">
        <v>1568</v>
      </c>
      <c r="T735" t="s">
        <v>1568</v>
      </c>
      <c r="U735" t="s">
        <v>1568</v>
      </c>
      <c r="V735" t="s">
        <v>1646</v>
      </c>
      <c r="W735" t="s">
        <v>950</v>
      </c>
      <c r="X735" t="s">
        <v>61</v>
      </c>
      <c r="Y735" t="s">
        <v>1587</v>
      </c>
    </row>
    <row r="736" spans="1:25" ht="16" x14ac:dyDescent="0.2">
      <c r="A736" t="s">
        <v>1568</v>
      </c>
      <c r="B736" t="s">
        <v>994</v>
      </c>
      <c r="C736" t="s">
        <v>1568</v>
      </c>
      <c r="D736" t="s">
        <v>1568</v>
      </c>
      <c r="E736" t="s">
        <v>36</v>
      </c>
      <c r="F736" t="s">
        <v>1688</v>
      </c>
      <c r="G736" t="s">
        <v>963</v>
      </c>
      <c r="H736" t="s">
        <v>1568</v>
      </c>
      <c r="I736" t="s">
        <v>964</v>
      </c>
      <c r="J736" t="s">
        <v>1568</v>
      </c>
      <c r="K736" t="s">
        <v>1568</v>
      </c>
      <c r="L736" t="s">
        <v>1568</v>
      </c>
      <c r="M736" t="s">
        <v>1568</v>
      </c>
      <c r="N736" t="s">
        <v>1568</v>
      </c>
      <c r="O736" t="s">
        <v>1568</v>
      </c>
      <c r="P736" t="s">
        <v>1568</v>
      </c>
      <c r="Q736" t="s">
        <v>1568</v>
      </c>
      <c r="R736" t="s">
        <v>1568</v>
      </c>
      <c r="S736" t="s">
        <v>1568</v>
      </c>
      <c r="T736" t="s">
        <v>1568</v>
      </c>
      <c r="U736" t="s">
        <v>1568</v>
      </c>
      <c r="V736" t="s">
        <v>1646</v>
      </c>
      <c r="W736" t="s">
        <v>965</v>
      </c>
      <c r="X736" t="s">
        <v>61</v>
      </c>
      <c r="Y736" t="s">
        <v>1587</v>
      </c>
    </row>
    <row r="737" spans="1:25" ht="16" x14ac:dyDescent="0.2">
      <c r="A737" t="s">
        <v>1568</v>
      </c>
      <c r="B737" t="s">
        <v>995</v>
      </c>
      <c r="C737" t="s">
        <v>1568</v>
      </c>
      <c r="D737" t="s">
        <v>1568</v>
      </c>
      <c r="E737" t="s">
        <v>36</v>
      </c>
      <c r="F737" t="s">
        <v>1683</v>
      </c>
      <c r="G737" t="s">
        <v>944</v>
      </c>
      <c r="H737" t="s">
        <v>1568</v>
      </c>
      <c r="I737" t="s">
        <v>945</v>
      </c>
      <c r="J737" t="s">
        <v>1568</v>
      </c>
      <c r="K737" t="s">
        <v>1568</v>
      </c>
      <c r="L737" t="s">
        <v>1568</v>
      </c>
      <c r="M737" t="s">
        <v>1568</v>
      </c>
      <c r="N737" t="s">
        <v>1568</v>
      </c>
      <c r="O737" t="s">
        <v>1568</v>
      </c>
      <c r="P737" t="s">
        <v>1568</v>
      </c>
      <c r="Q737" t="s">
        <v>1568</v>
      </c>
      <c r="R737" t="s">
        <v>1568</v>
      </c>
      <c r="S737" t="s">
        <v>1568</v>
      </c>
      <c r="T737" t="s">
        <v>1568</v>
      </c>
      <c r="U737" t="s">
        <v>1568</v>
      </c>
      <c r="V737" t="s">
        <v>1646</v>
      </c>
      <c r="W737" t="s">
        <v>946</v>
      </c>
      <c r="X737" t="s">
        <v>61</v>
      </c>
      <c r="Y737" t="s">
        <v>1587</v>
      </c>
    </row>
    <row r="738" spans="1:25" ht="16" x14ac:dyDescent="0.2">
      <c r="A738" t="s">
        <v>1568</v>
      </c>
      <c r="B738" t="s">
        <v>996</v>
      </c>
      <c r="C738" t="s">
        <v>1568</v>
      </c>
      <c r="D738" t="s">
        <v>1568</v>
      </c>
      <c r="E738" t="s">
        <v>36</v>
      </c>
      <c r="F738" t="s">
        <v>1689</v>
      </c>
      <c r="G738" t="s">
        <v>958</v>
      </c>
      <c r="H738" t="s">
        <v>1568</v>
      </c>
      <c r="I738" t="s">
        <v>959</v>
      </c>
      <c r="J738" t="s">
        <v>1568</v>
      </c>
      <c r="K738" t="s">
        <v>1568</v>
      </c>
      <c r="L738" t="s">
        <v>1568</v>
      </c>
      <c r="M738" t="s">
        <v>1568</v>
      </c>
      <c r="N738" t="s">
        <v>1568</v>
      </c>
      <c r="O738" t="s">
        <v>1568</v>
      </c>
      <c r="P738" t="s">
        <v>1568</v>
      </c>
      <c r="Q738" t="s">
        <v>1568</v>
      </c>
      <c r="R738" t="s">
        <v>1568</v>
      </c>
      <c r="S738" t="s">
        <v>1568</v>
      </c>
      <c r="T738" t="s">
        <v>1568</v>
      </c>
      <c r="U738" t="s">
        <v>1568</v>
      </c>
      <c r="V738" t="s">
        <v>1646</v>
      </c>
      <c r="W738" t="s">
        <v>960</v>
      </c>
      <c r="X738" t="s">
        <v>61</v>
      </c>
      <c r="Y738" t="s">
        <v>1587</v>
      </c>
    </row>
    <row r="739" spans="1:25" ht="16" x14ac:dyDescent="0.2">
      <c r="A739" t="s">
        <v>1568</v>
      </c>
      <c r="B739" t="s">
        <v>997</v>
      </c>
      <c r="C739" t="s">
        <v>1568</v>
      </c>
      <c r="D739" t="s">
        <v>1568</v>
      </c>
      <c r="E739" t="s">
        <v>43</v>
      </c>
      <c r="F739" t="s">
        <v>1721</v>
      </c>
      <c r="G739" t="s">
        <v>999</v>
      </c>
      <c r="H739" t="s">
        <v>1568</v>
      </c>
      <c r="I739" t="s">
        <v>1000</v>
      </c>
      <c r="J739" t="s">
        <v>1568</v>
      </c>
      <c r="K739" t="s">
        <v>1568</v>
      </c>
      <c r="L739" t="s">
        <v>1568</v>
      </c>
      <c r="M739" t="s">
        <v>1568</v>
      </c>
      <c r="N739" t="s">
        <v>1568</v>
      </c>
      <c r="O739" t="s">
        <v>1568</v>
      </c>
      <c r="P739" t="s">
        <v>1568</v>
      </c>
      <c r="Q739" t="s">
        <v>1568</v>
      </c>
      <c r="R739" t="s">
        <v>1568</v>
      </c>
      <c r="S739" t="s">
        <v>1568</v>
      </c>
      <c r="T739" t="s">
        <v>1568</v>
      </c>
      <c r="U739" t="s">
        <v>1568</v>
      </c>
      <c r="V739" t="s">
        <v>1695</v>
      </c>
      <c r="W739" t="s">
        <v>1001</v>
      </c>
      <c r="X739" t="s">
        <v>30</v>
      </c>
      <c r="Y739" t="s">
        <v>1572</v>
      </c>
    </row>
    <row r="740" spans="1:25" ht="16" x14ac:dyDescent="0.2">
      <c r="A740" t="s">
        <v>1568</v>
      </c>
      <c r="B740" t="s">
        <v>997</v>
      </c>
      <c r="C740" t="s">
        <v>1568</v>
      </c>
      <c r="D740" t="s">
        <v>1568</v>
      </c>
      <c r="E740" t="s">
        <v>47</v>
      </c>
      <c r="F740" t="s">
        <v>1721</v>
      </c>
      <c r="G740" t="s">
        <v>1002</v>
      </c>
      <c r="H740" t="s">
        <v>1568</v>
      </c>
      <c r="I740" t="s">
        <v>1003</v>
      </c>
      <c r="J740" t="s">
        <v>1568</v>
      </c>
      <c r="K740" t="s">
        <v>1568</v>
      </c>
      <c r="L740" t="s">
        <v>1568</v>
      </c>
      <c r="M740" t="s">
        <v>1568</v>
      </c>
      <c r="N740" t="s">
        <v>1568</v>
      </c>
      <c r="O740" t="s">
        <v>1568</v>
      </c>
      <c r="P740" t="s">
        <v>1568</v>
      </c>
      <c r="Q740" t="s">
        <v>1568</v>
      </c>
      <c r="R740" t="s">
        <v>1568</v>
      </c>
      <c r="S740" t="s">
        <v>1568</v>
      </c>
      <c r="T740" t="s">
        <v>1568</v>
      </c>
      <c r="U740" t="s">
        <v>1568</v>
      </c>
      <c r="V740" t="s">
        <v>1633</v>
      </c>
      <c r="W740" t="s">
        <v>1004</v>
      </c>
      <c r="X740" t="s">
        <v>30</v>
      </c>
      <c r="Y740" t="s">
        <v>1572</v>
      </c>
    </row>
    <row r="741" spans="1:25" ht="16" x14ac:dyDescent="0.2">
      <c r="A741" t="s">
        <v>1568</v>
      </c>
      <c r="B741" t="s">
        <v>997</v>
      </c>
      <c r="C741" t="s">
        <v>1568</v>
      </c>
      <c r="D741" t="s">
        <v>1568</v>
      </c>
      <c r="E741" t="s">
        <v>51</v>
      </c>
      <c r="F741" t="s">
        <v>1721</v>
      </c>
      <c r="G741" t="s">
        <v>1005</v>
      </c>
      <c r="H741" t="s">
        <v>1568</v>
      </c>
      <c r="I741" t="s">
        <v>1006</v>
      </c>
      <c r="J741" t="s">
        <v>1568</v>
      </c>
      <c r="K741" t="s">
        <v>1568</v>
      </c>
      <c r="L741" t="s">
        <v>1568</v>
      </c>
      <c r="M741" t="s">
        <v>1568</v>
      </c>
      <c r="N741" t="s">
        <v>1568</v>
      </c>
      <c r="O741" t="s">
        <v>1568</v>
      </c>
      <c r="P741" t="s">
        <v>1568</v>
      </c>
      <c r="Q741" t="s">
        <v>1568</v>
      </c>
      <c r="R741" t="s">
        <v>1568</v>
      </c>
      <c r="S741" t="s">
        <v>1568</v>
      </c>
      <c r="T741" t="s">
        <v>1568</v>
      </c>
      <c r="U741" t="s">
        <v>1568</v>
      </c>
      <c r="V741" t="s">
        <v>51</v>
      </c>
      <c r="W741" t="s">
        <v>1007</v>
      </c>
      <c r="X741" t="s">
        <v>30</v>
      </c>
      <c r="Y741" t="s">
        <v>1572</v>
      </c>
    </row>
    <row r="742" spans="1:25" ht="16" x14ac:dyDescent="0.2">
      <c r="A742" t="s">
        <v>1568</v>
      </c>
      <c r="B742" t="s">
        <v>997</v>
      </c>
      <c r="C742" t="s">
        <v>1568</v>
      </c>
      <c r="D742" t="s">
        <v>1568</v>
      </c>
      <c r="E742" t="s">
        <v>55</v>
      </c>
      <c r="F742" t="s">
        <v>1721</v>
      </c>
      <c r="G742" t="s">
        <v>1008</v>
      </c>
      <c r="H742" t="s">
        <v>1568</v>
      </c>
      <c r="I742" t="s">
        <v>1009</v>
      </c>
      <c r="J742" t="s">
        <v>1568</v>
      </c>
      <c r="K742" t="s">
        <v>1568</v>
      </c>
      <c r="L742" t="s">
        <v>1568</v>
      </c>
      <c r="M742" t="s">
        <v>1568</v>
      </c>
      <c r="N742" t="s">
        <v>1568</v>
      </c>
      <c r="O742" t="s">
        <v>1568</v>
      </c>
      <c r="P742" t="s">
        <v>1568</v>
      </c>
      <c r="Q742" t="s">
        <v>1568</v>
      </c>
      <c r="R742" t="s">
        <v>1568</v>
      </c>
      <c r="S742" t="s">
        <v>1568</v>
      </c>
      <c r="T742" t="s">
        <v>1568</v>
      </c>
      <c r="U742" t="s">
        <v>1568</v>
      </c>
      <c r="V742" t="s">
        <v>55</v>
      </c>
      <c r="W742" t="s">
        <v>1010</v>
      </c>
      <c r="X742" t="s">
        <v>30</v>
      </c>
      <c r="Y742" t="s">
        <v>1572</v>
      </c>
    </row>
    <row r="743" spans="1:25" ht="16" x14ac:dyDescent="0.2">
      <c r="A743" t="s">
        <v>1568</v>
      </c>
      <c r="B743" t="s">
        <v>1011</v>
      </c>
      <c r="C743" t="s">
        <v>1568</v>
      </c>
      <c r="D743" t="s">
        <v>1568</v>
      </c>
      <c r="E743" t="s">
        <v>36</v>
      </c>
      <c r="F743" t="s">
        <v>1721</v>
      </c>
      <c r="G743" t="s">
        <v>1012</v>
      </c>
      <c r="H743" t="s">
        <v>1568</v>
      </c>
      <c r="I743" t="s">
        <v>1013</v>
      </c>
      <c r="J743" t="s">
        <v>1568</v>
      </c>
      <c r="K743" t="s">
        <v>1568</v>
      </c>
      <c r="L743" t="s">
        <v>1568</v>
      </c>
      <c r="M743" t="s">
        <v>1568</v>
      </c>
      <c r="N743" t="s">
        <v>1568</v>
      </c>
      <c r="O743" t="s">
        <v>1568</v>
      </c>
      <c r="P743" t="s">
        <v>1568</v>
      </c>
      <c r="Q743" t="s">
        <v>1568</v>
      </c>
      <c r="R743" t="s">
        <v>1568</v>
      </c>
      <c r="S743" t="s">
        <v>1568</v>
      </c>
      <c r="T743" t="s">
        <v>1568</v>
      </c>
      <c r="U743" t="s">
        <v>1568</v>
      </c>
      <c r="V743" t="s">
        <v>1665</v>
      </c>
      <c r="W743" t="s">
        <v>1014</v>
      </c>
      <c r="X743" t="s">
        <v>59</v>
      </c>
      <c r="Y743" t="s">
        <v>1581</v>
      </c>
    </row>
    <row r="744" spans="1:25" ht="16" x14ac:dyDescent="0.2">
      <c r="A744" t="s">
        <v>1568</v>
      </c>
      <c r="B744" t="s">
        <v>1015</v>
      </c>
      <c r="C744" t="s">
        <v>1568</v>
      </c>
      <c r="D744" t="s">
        <v>1568</v>
      </c>
      <c r="E744" t="s">
        <v>36</v>
      </c>
      <c r="F744" t="s">
        <v>1721</v>
      </c>
      <c r="G744" t="s">
        <v>1012</v>
      </c>
      <c r="H744" t="s">
        <v>1568</v>
      </c>
      <c r="I744" t="s">
        <v>1013</v>
      </c>
      <c r="J744" t="s">
        <v>1568</v>
      </c>
      <c r="K744" t="s">
        <v>1568</v>
      </c>
      <c r="L744" t="s">
        <v>1568</v>
      </c>
      <c r="M744" t="s">
        <v>1568</v>
      </c>
      <c r="N744" t="s">
        <v>1568</v>
      </c>
      <c r="O744" t="s">
        <v>1568</v>
      </c>
      <c r="P744" t="s">
        <v>1568</v>
      </c>
      <c r="Q744" t="s">
        <v>1568</v>
      </c>
      <c r="R744" t="s">
        <v>1568</v>
      </c>
      <c r="S744" t="s">
        <v>1568</v>
      </c>
      <c r="T744" t="s">
        <v>1568</v>
      </c>
      <c r="U744" t="s">
        <v>1568</v>
      </c>
      <c r="V744" t="s">
        <v>1665</v>
      </c>
      <c r="W744" t="s">
        <v>1014</v>
      </c>
      <c r="X744" t="s">
        <v>61</v>
      </c>
      <c r="Y744" t="s">
        <v>1587</v>
      </c>
    </row>
    <row r="745" spans="1:25" ht="16" x14ac:dyDescent="0.2">
      <c r="A745" t="s">
        <v>1568</v>
      </c>
      <c r="B745" t="s">
        <v>1015</v>
      </c>
      <c r="C745" t="s">
        <v>1568</v>
      </c>
      <c r="D745" t="s">
        <v>1568</v>
      </c>
      <c r="E745" t="s">
        <v>43</v>
      </c>
      <c r="F745" t="s">
        <v>1721</v>
      </c>
      <c r="G745" t="s">
        <v>999</v>
      </c>
      <c r="H745" t="s">
        <v>1568</v>
      </c>
      <c r="I745" t="s">
        <v>1000</v>
      </c>
      <c r="J745" t="s">
        <v>1568</v>
      </c>
      <c r="K745" t="s">
        <v>1568</v>
      </c>
      <c r="L745" t="s">
        <v>1568</v>
      </c>
      <c r="M745" t="s">
        <v>1568</v>
      </c>
      <c r="N745" t="s">
        <v>1568</v>
      </c>
      <c r="O745" t="s">
        <v>1568</v>
      </c>
      <c r="P745" t="s">
        <v>1568</v>
      </c>
      <c r="Q745" t="s">
        <v>1568</v>
      </c>
      <c r="R745" t="s">
        <v>1568</v>
      </c>
      <c r="S745" t="s">
        <v>1568</v>
      </c>
      <c r="T745" t="s">
        <v>1568</v>
      </c>
      <c r="U745" t="s">
        <v>1568</v>
      </c>
      <c r="V745" t="s">
        <v>1665</v>
      </c>
      <c r="W745" t="s">
        <v>1001</v>
      </c>
      <c r="X745" t="s">
        <v>61</v>
      </c>
      <c r="Y745" t="s">
        <v>1587</v>
      </c>
    </row>
    <row r="746" spans="1:25" ht="16" x14ac:dyDescent="0.2">
      <c r="A746" t="s">
        <v>1568</v>
      </c>
      <c r="B746" t="s">
        <v>1015</v>
      </c>
      <c r="C746" t="s">
        <v>1568</v>
      </c>
      <c r="D746" t="s">
        <v>1568</v>
      </c>
      <c r="E746" t="s">
        <v>47</v>
      </c>
      <c r="F746" t="s">
        <v>1721</v>
      </c>
      <c r="G746" t="s">
        <v>1002</v>
      </c>
      <c r="H746" t="s">
        <v>1568</v>
      </c>
      <c r="I746" t="s">
        <v>1003</v>
      </c>
      <c r="J746" t="s">
        <v>1568</v>
      </c>
      <c r="K746" t="s">
        <v>1568</v>
      </c>
      <c r="L746" t="s">
        <v>1568</v>
      </c>
      <c r="M746" t="s">
        <v>1568</v>
      </c>
      <c r="N746" t="s">
        <v>1568</v>
      </c>
      <c r="O746" t="s">
        <v>1568</v>
      </c>
      <c r="P746" t="s">
        <v>1568</v>
      </c>
      <c r="Q746" t="s">
        <v>1568</v>
      </c>
      <c r="R746" t="s">
        <v>1568</v>
      </c>
      <c r="S746" t="s">
        <v>1568</v>
      </c>
      <c r="T746" t="s">
        <v>1568</v>
      </c>
      <c r="U746" t="s">
        <v>1568</v>
      </c>
      <c r="V746" t="s">
        <v>1665</v>
      </c>
      <c r="W746" t="s">
        <v>1004</v>
      </c>
      <c r="X746" t="s">
        <v>61</v>
      </c>
      <c r="Y746" t="s">
        <v>1587</v>
      </c>
    </row>
    <row r="747" spans="1:25" ht="16" x14ac:dyDescent="0.2">
      <c r="A747" t="s">
        <v>1568</v>
      </c>
      <c r="B747" t="s">
        <v>1015</v>
      </c>
      <c r="C747" t="s">
        <v>1568</v>
      </c>
      <c r="D747" t="s">
        <v>1568</v>
      </c>
      <c r="E747" t="s">
        <v>51</v>
      </c>
      <c r="F747" t="s">
        <v>1721</v>
      </c>
      <c r="G747" t="s">
        <v>1005</v>
      </c>
      <c r="H747" t="s">
        <v>1568</v>
      </c>
      <c r="I747" t="s">
        <v>1006</v>
      </c>
      <c r="J747" t="s">
        <v>1568</v>
      </c>
      <c r="K747" t="s">
        <v>1568</v>
      </c>
      <c r="L747" t="s">
        <v>1568</v>
      </c>
      <c r="M747" t="s">
        <v>1568</v>
      </c>
      <c r="N747" t="s">
        <v>1568</v>
      </c>
      <c r="O747" t="s">
        <v>1568</v>
      </c>
      <c r="P747" t="s">
        <v>1568</v>
      </c>
      <c r="Q747" t="s">
        <v>1568</v>
      </c>
      <c r="R747" t="s">
        <v>1568</v>
      </c>
      <c r="S747" t="s">
        <v>1568</v>
      </c>
      <c r="T747" t="s">
        <v>1568</v>
      </c>
      <c r="U747" t="s">
        <v>1568</v>
      </c>
      <c r="V747" t="s">
        <v>1665</v>
      </c>
      <c r="W747" t="s">
        <v>1007</v>
      </c>
      <c r="X747" t="s">
        <v>61</v>
      </c>
      <c r="Y747" t="s">
        <v>1587</v>
      </c>
    </row>
    <row r="748" spans="1:25" ht="16" x14ac:dyDescent="0.2">
      <c r="A748" t="s">
        <v>1568</v>
      </c>
      <c r="B748" t="s">
        <v>1015</v>
      </c>
      <c r="C748" t="s">
        <v>1568</v>
      </c>
      <c r="D748" t="s">
        <v>1568</v>
      </c>
      <c r="E748" t="s">
        <v>55</v>
      </c>
      <c r="F748" t="s">
        <v>1721</v>
      </c>
      <c r="G748" t="s">
        <v>1008</v>
      </c>
      <c r="H748" t="s">
        <v>1568</v>
      </c>
      <c r="I748" t="s">
        <v>1009</v>
      </c>
      <c r="J748" t="s">
        <v>1568</v>
      </c>
      <c r="K748" t="s">
        <v>1568</v>
      </c>
      <c r="L748" t="s">
        <v>1568</v>
      </c>
      <c r="M748" t="s">
        <v>1568</v>
      </c>
      <c r="N748" t="s">
        <v>1568</v>
      </c>
      <c r="O748" t="s">
        <v>1568</v>
      </c>
      <c r="P748" t="s">
        <v>1568</v>
      </c>
      <c r="Q748" t="s">
        <v>1568</v>
      </c>
      <c r="R748" t="s">
        <v>1568</v>
      </c>
      <c r="S748" t="s">
        <v>1568</v>
      </c>
      <c r="T748" t="s">
        <v>1568</v>
      </c>
      <c r="U748" t="s">
        <v>1568</v>
      </c>
      <c r="V748" t="s">
        <v>1665</v>
      </c>
      <c r="W748" t="s">
        <v>1010</v>
      </c>
      <c r="X748" t="s">
        <v>61</v>
      </c>
      <c r="Y748" t="s">
        <v>1587</v>
      </c>
    </row>
    <row r="749" spans="1:25" ht="16" x14ac:dyDescent="0.2">
      <c r="A749" t="s">
        <v>1568</v>
      </c>
      <c r="B749" t="s">
        <v>1212</v>
      </c>
      <c r="C749" t="s">
        <v>1568</v>
      </c>
      <c r="D749" t="s">
        <v>1568</v>
      </c>
      <c r="E749" t="s">
        <v>36</v>
      </c>
      <c r="F749" t="s">
        <v>1722</v>
      </c>
      <c r="G749" t="s">
        <v>1214</v>
      </c>
      <c r="H749" t="s">
        <v>1568</v>
      </c>
      <c r="I749" t="s">
        <v>1215</v>
      </c>
      <c r="J749" t="s">
        <v>1568</v>
      </c>
      <c r="K749" t="s">
        <v>1568</v>
      </c>
      <c r="L749" t="s">
        <v>1568</v>
      </c>
      <c r="M749" t="s">
        <v>1568</v>
      </c>
      <c r="N749" t="s">
        <v>1568</v>
      </c>
      <c r="O749" t="s">
        <v>1568</v>
      </c>
      <c r="P749" t="s">
        <v>1568</v>
      </c>
      <c r="Q749" t="s">
        <v>1568</v>
      </c>
      <c r="R749" t="s">
        <v>1568</v>
      </c>
      <c r="S749" t="s">
        <v>1568</v>
      </c>
      <c r="T749" t="s">
        <v>1568</v>
      </c>
      <c r="U749" t="s">
        <v>1568</v>
      </c>
      <c r="V749" t="s">
        <v>1592</v>
      </c>
      <c r="W749" t="s">
        <v>1216</v>
      </c>
      <c r="X749" t="s">
        <v>30</v>
      </c>
      <c r="Y749" t="s">
        <v>1572</v>
      </c>
    </row>
    <row r="750" spans="1:25" ht="16" x14ac:dyDescent="0.2">
      <c r="A750" t="s">
        <v>1568</v>
      </c>
      <c r="B750" t="s">
        <v>1212</v>
      </c>
      <c r="C750" t="s">
        <v>1568</v>
      </c>
      <c r="D750" t="s">
        <v>1568</v>
      </c>
      <c r="E750" t="s">
        <v>43</v>
      </c>
      <c r="F750" t="s">
        <v>1722</v>
      </c>
      <c r="G750" t="s">
        <v>1217</v>
      </c>
      <c r="H750" t="s">
        <v>1568</v>
      </c>
      <c r="I750" t="s">
        <v>1218</v>
      </c>
      <c r="J750" t="s">
        <v>1568</v>
      </c>
      <c r="K750" t="s">
        <v>1568</v>
      </c>
      <c r="L750" t="s">
        <v>1568</v>
      </c>
      <c r="M750" t="s">
        <v>1568</v>
      </c>
      <c r="N750" t="s">
        <v>1568</v>
      </c>
      <c r="O750" t="s">
        <v>1568</v>
      </c>
      <c r="P750" t="s">
        <v>1568</v>
      </c>
      <c r="Q750" t="s">
        <v>1568</v>
      </c>
      <c r="R750" t="s">
        <v>1568</v>
      </c>
      <c r="S750" t="s">
        <v>1568</v>
      </c>
      <c r="T750" t="s">
        <v>1568</v>
      </c>
      <c r="U750" t="s">
        <v>1568</v>
      </c>
      <c r="V750" t="s">
        <v>1632</v>
      </c>
      <c r="W750" t="s">
        <v>1219</v>
      </c>
      <c r="X750" t="s">
        <v>30</v>
      </c>
      <c r="Y750" t="s">
        <v>1572</v>
      </c>
    </row>
    <row r="751" spans="1:25" ht="16" x14ac:dyDescent="0.2">
      <c r="A751" t="s">
        <v>1568</v>
      </c>
      <c r="B751" t="s">
        <v>1212</v>
      </c>
      <c r="C751" t="s">
        <v>1568</v>
      </c>
      <c r="D751" t="s">
        <v>1568</v>
      </c>
      <c r="E751" t="s">
        <v>47</v>
      </c>
      <c r="F751" t="s">
        <v>1722</v>
      </c>
      <c r="G751" t="s">
        <v>1220</v>
      </c>
      <c r="H751" t="s">
        <v>1568</v>
      </c>
      <c r="I751" t="s">
        <v>1221</v>
      </c>
      <c r="J751" t="s">
        <v>1568</v>
      </c>
      <c r="K751" t="s">
        <v>1568</v>
      </c>
      <c r="L751" t="s">
        <v>1568</v>
      </c>
      <c r="M751" t="s">
        <v>1568</v>
      </c>
      <c r="N751" t="s">
        <v>1568</v>
      </c>
      <c r="O751" t="s">
        <v>1568</v>
      </c>
      <c r="P751" t="s">
        <v>1568</v>
      </c>
      <c r="Q751" t="s">
        <v>1568</v>
      </c>
      <c r="R751" t="s">
        <v>1568</v>
      </c>
      <c r="S751" t="s">
        <v>1568</v>
      </c>
      <c r="T751" t="s">
        <v>1568</v>
      </c>
      <c r="U751" t="s">
        <v>1568</v>
      </c>
      <c r="V751" t="s">
        <v>1723</v>
      </c>
      <c r="W751" t="s">
        <v>1222</v>
      </c>
      <c r="X751" t="s">
        <v>30</v>
      </c>
      <c r="Y751" t="s">
        <v>1572</v>
      </c>
    </row>
    <row r="752" spans="1:25" ht="16" x14ac:dyDescent="0.2">
      <c r="A752" t="s">
        <v>1568</v>
      </c>
      <c r="B752" t="s">
        <v>1212</v>
      </c>
      <c r="C752" t="s">
        <v>1568</v>
      </c>
      <c r="D752" t="s">
        <v>1568</v>
      </c>
      <c r="E752" t="s">
        <v>51</v>
      </c>
      <c r="F752" t="s">
        <v>1722</v>
      </c>
      <c r="G752" t="s">
        <v>1223</v>
      </c>
      <c r="H752" t="s">
        <v>1568</v>
      </c>
      <c r="I752" t="s">
        <v>1224</v>
      </c>
      <c r="J752" t="s">
        <v>1568</v>
      </c>
      <c r="K752" t="s">
        <v>1568</v>
      </c>
      <c r="L752" t="s">
        <v>1568</v>
      </c>
      <c r="M752" t="s">
        <v>1568</v>
      </c>
      <c r="N752" t="s">
        <v>1568</v>
      </c>
      <c r="O752" t="s">
        <v>1568</v>
      </c>
      <c r="P752" t="s">
        <v>1568</v>
      </c>
      <c r="Q752" t="s">
        <v>1568</v>
      </c>
      <c r="R752" t="s">
        <v>1568</v>
      </c>
      <c r="S752" t="s">
        <v>1568</v>
      </c>
      <c r="T752" t="s">
        <v>1568</v>
      </c>
      <c r="U752" t="s">
        <v>1568</v>
      </c>
      <c r="V752" t="s">
        <v>1724</v>
      </c>
      <c r="W752" t="s">
        <v>1225</v>
      </c>
      <c r="X752" t="s">
        <v>30</v>
      </c>
      <c r="Y752" t="s">
        <v>1572</v>
      </c>
    </row>
    <row r="753" spans="1:25" ht="16" x14ac:dyDescent="0.2">
      <c r="A753" t="s">
        <v>1568</v>
      </c>
      <c r="B753" t="s">
        <v>1212</v>
      </c>
      <c r="C753" t="s">
        <v>1568</v>
      </c>
      <c r="D753" t="s">
        <v>1568</v>
      </c>
      <c r="E753" t="s">
        <v>55</v>
      </c>
      <c r="F753" t="s">
        <v>1722</v>
      </c>
      <c r="G753" t="s">
        <v>1226</v>
      </c>
      <c r="H753" t="s">
        <v>1568</v>
      </c>
      <c r="I753" t="s">
        <v>1227</v>
      </c>
      <c r="J753" t="s">
        <v>1568</v>
      </c>
      <c r="K753" t="s">
        <v>1568</v>
      </c>
      <c r="L753" t="s">
        <v>1568</v>
      </c>
      <c r="M753" t="s">
        <v>1568</v>
      </c>
      <c r="N753" t="s">
        <v>1568</v>
      </c>
      <c r="O753" t="s">
        <v>1568</v>
      </c>
      <c r="P753" t="s">
        <v>1568</v>
      </c>
      <c r="Q753" t="s">
        <v>1568</v>
      </c>
      <c r="R753" t="s">
        <v>1568</v>
      </c>
      <c r="S753" t="s">
        <v>1568</v>
      </c>
      <c r="T753" t="s">
        <v>1568</v>
      </c>
      <c r="U753" t="s">
        <v>1568</v>
      </c>
      <c r="V753" t="s">
        <v>1723</v>
      </c>
      <c r="W753" t="s">
        <v>1228</v>
      </c>
      <c r="X753" t="s">
        <v>30</v>
      </c>
      <c r="Y753" t="s">
        <v>1572</v>
      </c>
    </row>
    <row r="754" spans="1:25" ht="16" x14ac:dyDescent="0.2">
      <c r="A754" t="s">
        <v>1568</v>
      </c>
      <c r="B754" t="s">
        <v>1229</v>
      </c>
      <c r="C754" t="s">
        <v>1568</v>
      </c>
      <c r="D754" t="s">
        <v>1568</v>
      </c>
      <c r="E754" t="s">
        <v>36</v>
      </c>
      <c r="F754" t="s">
        <v>1725</v>
      </c>
      <c r="G754" t="s">
        <v>1230</v>
      </c>
      <c r="H754" t="s">
        <v>1568</v>
      </c>
      <c r="I754" t="s">
        <v>1231</v>
      </c>
      <c r="J754" t="s">
        <v>1568</v>
      </c>
      <c r="K754" t="s">
        <v>1568</v>
      </c>
      <c r="L754" t="s">
        <v>1568</v>
      </c>
      <c r="M754" t="s">
        <v>1568</v>
      </c>
      <c r="N754" t="s">
        <v>1568</v>
      </c>
      <c r="O754" t="s">
        <v>1568</v>
      </c>
      <c r="P754" t="s">
        <v>1568</v>
      </c>
      <c r="Q754" t="s">
        <v>1568</v>
      </c>
      <c r="R754" t="s">
        <v>1568</v>
      </c>
      <c r="S754" t="s">
        <v>1568</v>
      </c>
      <c r="T754" t="s">
        <v>1568</v>
      </c>
      <c r="U754" t="s">
        <v>1568</v>
      </c>
      <c r="V754" t="s">
        <v>1592</v>
      </c>
      <c r="W754" t="s">
        <v>1232</v>
      </c>
      <c r="X754" t="s">
        <v>30</v>
      </c>
      <c r="Y754" t="s">
        <v>1572</v>
      </c>
    </row>
    <row r="755" spans="1:25" ht="16" x14ac:dyDescent="0.2">
      <c r="A755" t="s">
        <v>1568</v>
      </c>
      <c r="B755" t="s">
        <v>1229</v>
      </c>
      <c r="C755" t="s">
        <v>1568</v>
      </c>
      <c r="D755" t="s">
        <v>1568</v>
      </c>
      <c r="E755" t="s">
        <v>47</v>
      </c>
      <c r="F755" t="s">
        <v>1725</v>
      </c>
      <c r="G755" t="s">
        <v>1233</v>
      </c>
      <c r="H755" t="s">
        <v>1568</v>
      </c>
      <c r="I755" t="s">
        <v>1234</v>
      </c>
      <c r="J755" t="s">
        <v>1568</v>
      </c>
      <c r="K755" t="s">
        <v>1568</v>
      </c>
      <c r="L755" t="s">
        <v>1568</v>
      </c>
      <c r="M755" t="s">
        <v>1568</v>
      </c>
      <c r="N755" t="s">
        <v>1568</v>
      </c>
      <c r="O755" t="s">
        <v>1568</v>
      </c>
      <c r="P755" t="s">
        <v>1568</v>
      </c>
      <c r="Q755" t="s">
        <v>1568</v>
      </c>
      <c r="R755" t="s">
        <v>1568</v>
      </c>
      <c r="S755" t="s">
        <v>1568</v>
      </c>
      <c r="T755" t="s">
        <v>1568</v>
      </c>
      <c r="U755" t="s">
        <v>1568</v>
      </c>
      <c r="V755" t="s">
        <v>1726</v>
      </c>
      <c r="W755" t="s">
        <v>1235</v>
      </c>
      <c r="X755" t="s">
        <v>30</v>
      </c>
      <c r="Y755" t="s">
        <v>1572</v>
      </c>
    </row>
    <row r="756" spans="1:25" ht="16" x14ac:dyDescent="0.2">
      <c r="A756" t="s">
        <v>1568</v>
      </c>
      <c r="B756" t="s">
        <v>1229</v>
      </c>
      <c r="C756" t="s">
        <v>1568</v>
      </c>
      <c r="D756" t="s">
        <v>1568</v>
      </c>
      <c r="E756" t="s">
        <v>51</v>
      </c>
      <c r="F756" t="s">
        <v>1725</v>
      </c>
      <c r="G756" t="s">
        <v>1236</v>
      </c>
      <c r="H756" t="s">
        <v>1568</v>
      </c>
      <c r="I756" t="s">
        <v>1237</v>
      </c>
      <c r="J756" t="s">
        <v>1568</v>
      </c>
      <c r="K756" t="s">
        <v>1568</v>
      </c>
      <c r="L756" t="s">
        <v>1568</v>
      </c>
      <c r="M756" t="s">
        <v>1568</v>
      </c>
      <c r="N756" t="s">
        <v>1568</v>
      </c>
      <c r="O756" t="s">
        <v>1568</v>
      </c>
      <c r="P756" t="s">
        <v>1568</v>
      </c>
      <c r="Q756" t="s">
        <v>1568</v>
      </c>
      <c r="R756" t="s">
        <v>1568</v>
      </c>
      <c r="S756" t="s">
        <v>1568</v>
      </c>
      <c r="T756" t="s">
        <v>1568</v>
      </c>
      <c r="U756" t="s">
        <v>1568</v>
      </c>
      <c r="V756" t="s">
        <v>1712</v>
      </c>
      <c r="W756" t="s">
        <v>1238</v>
      </c>
      <c r="X756" t="s">
        <v>30</v>
      </c>
      <c r="Y756" t="s">
        <v>1572</v>
      </c>
    </row>
    <row r="757" spans="1:25" ht="16" x14ac:dyDescent="0.2">
      <c r="A757" t="s">
        <v>1568</v>
      </c>
      <c r="B757" t="s">
        <v>1229</v>
      </c>
      <c r="C757" t="s">
        <v>1568</v>
      </c>
      <c r="D757" t="s">
        <v>1568</v>
      </c>
      <c r="E757" t="s">
        <v>55</v>
      </c>
      <c r="F757" t="s">
        <v>1725</v>
      </c>
      <c r="G757" t="s">
        <v>1239</v>
      </c>
      <c r="H757" t="s">
        <v>1568</v>
      </c>
      <c r="I757" t="s">
        <v>1240</v>
      </c>
      <c r="J757" t="s">
        <v>1568</v>
      </c>
      <c r="K757" t="s">
        <v>1568</v>
      </c>
      <c r="L757" t="s">
        <v>1568</v>
      </c>
      <c r="M757" t="s">
        <v>1568</v>
      </c>
      <c r="N757" t="s">
        <v>1568</v>
      </c>
      <c r="O757" t="s">
        <v>1568</v>
      </c>
      <c r="P757" t="s">
        <v>1568</v>
      </c>
      <c r="Q757" t="s">
        <v>1568</v>
      </c>
      <c r="R757" t="s">
        <v>1568</v>
      </c>
      <c r="S757" t="s">
        <v>1568</v>
      </c>
      <c r="T757" t="s">
        <v>1568</v>
      </c>
      <c r="U757" t="s">
        <v>1568</v>
      </c>
      <c r="V757" t="s">
        <v>1727</v>
      </c>
      <c r="W757" t="s">
        <v>1241</v>
      </c>
      <c r="X757" t="s">
        <v>30</v>
      </c>
      <c r="Y757" t="s">
        <v>1572</v>
      </c>
    </row>
    <row r="758" spans="1:25" ht="16" x14ac:dyDescent="0.2">
      <c r="A758" t="s">
        <v>1568</v>
      </c>
      <c r="B758" t="s">
        <v>1242</v>
      </c>
      <c r="C758" t="s">
        <v>1568</v>
      </c>
      <c r="D758" t="s">
        <v>1568</v>
      </c>
      <c r="E758" t="s">
        <v>36</v>
      </c>
      <c r="F758" t="s">
        <v>1722</v>
      </c>
      <c r="G758" t="s">
        <v>1214</v>
      </c>
      <c r="H758" t="s">
        <v>1568</v>
      </c>
      <c r="I758" t="s">
        <v>1215</v>
      </c>
      <c r="J758" t="s">
        <v>1568</v>
      </c>
      <c r="K758" t="s">
        <v>1568</v>
      </c>
      <c r="L758" t="s">
        <v>1568</v>
      </c>
      <c r="M758" t="s">
        <v>1568</v>
      </c>
      <c r="N758" t="s">
        <v>1568</v>
      </c>
      <c r="O758" t="s">
        <v>1568</v>
      </c>
      <c r="P758" t="s">
        <v>1568</v>
      </c>
      <c r="Q758" t="s">
        <v>1568</v>
      </c>
      <c r="R758" t="s">
        <v>1568</v>
      </c>
      <c r="S758" t="s">
        <v>1568</v>
      </c>
      <c r="T758" t="s">
        <v>1568</v>
      </c>
      <c r="U758" t="s">
        <v>1568</v>
      </c>
      <c r="V758" t="s">
        <v>1592</v>
      </c>
      <c r="W758" t="s">
        <v>1216</v>
      </c>
      <c r="X758" t="s">
        <v>59</v>
      </c>
      <c r="Y758" t="s">
        <v>1581</v>
      </c>
    </row>
    <row r="759" spans="1:25" ht="16" x14ac:dyDescent="0.2">
      <c r="A759" t="s">
        <v>1568</v>
      </c>
      <c r="B759" t="s">
        <v>1242</v>
      </c>
      <c r="C759" t="s">
        <v>1568</v>
      </c>
      <c r="D759" t="s">
        <v>1568</v>
      </c>
      <c r="E759" t="s">
        <v>55</v>
      </c>
      <c r="F759" t="s">
        <v>1722</v>
      </c>
      <c r="G759" t="s">
        <v>1226</v>
      </c>
      <c r="H759" t="s">
        <v>1568</v>
      </c>
      <c r="I759" t="s">
        <v>1227</v>
      </c>
      <c r="J759" t="s">
        <v>1568</v>
      </c>
      <c r="K759" t="s">
        <v>1568</v>
      </c>
      <c r="L759" t="s">
        <v>1568</v>
      </c>
      <c r="M759" t="s">
        <v>1568</v>
      </c>
      <c r="N759" t="s">
        <v>1568</v>
      </c>
      <c r="O759" t="s">
        <v>1568</v>
      </c>
      <c r="P759" t="s">
        <v>1568</v>
      </c>
      <c r="Q759" t="s">
        <v>1568</v>
      </c>
      <c r="R759" t="s">
        <v>1568</v>
      </c>
      <c r="S759" t="s">
        <v>1568</v>
      </c>
      <c r="T759" t="s">
        <v>1568</v>
      </c>
      <c r="U759" t="s">
        <v>1568</v>
      </c>
      <c r="V759" t="s">
        <v>1728</v>
      </c>
      <c r="W759" t="s">
        <v>1228</v>
      </c>
      <c r="X759" t="s">
        <v>59</v>
      </c>
      <c r="Y759" t="s">
        <v>1581</v>
      </c>
    </row>
    <row r="760" spans="1:25" ht="16" x14ac:dyDescent="0.2">
      <c r="A760" t="s">
        <v>1568</v>
      </c>
      <c r="B760" t="s">
        <v>1243</v>
      </c>
      <c r="C760" t="s">
        <v>1568</v>
      </c>
      <c r="D760" t="s">
        <v>1568</v>
      </c>
      <c r="E760" t="s">
        <v>36</v>
      </c>
      <c r="F760" t="s">
        <v>1725</v>
      </c>
      <c r="G760" t="s">
        <v>1230</v>
      </c>
      <c r="H760" t="s">
        <v>1568</v>
      </c>
      <c r="I760" t="s">
        <v>1231</v>
      </c>
      <c r="J760" t="s">
        <v>1568</v>
      </c>
      <c r="K760" t="s">
        <v>1568</v>
      </c>
      <c r="L760" t="s">
        <v>1568</v>
      </c>
      <c r="M760" t="s">
        <v>1568</v>
      </c>
      <c r="N760" t="s">
        <v>1568</v>
      </c>
      <c r="O760" t="s">
        <v>1568</v>
      </c>
      <c r="P760" t="s">
        <v>1568</v>
      </c>
      <c r="Q760" t="s">
        <v>1568</v>
      </c>
      <c r="R760" t="s">
        <v>1568</v>
      </c>
      <c r="S760" t="s">
        <v>1568</v>
      </c>
      <c r="T760" t="s">
        <v>1568</v>
      </c>
      <c r="U760" t="s">
        <v>1568</v>
      </c>
      <c r="V760" t="s">
        <v>1592</v>
      </c>
      <c r="W760" t="s">
        <v>1232</v>
      </c>
      <c r="X760" t="s">
        <v>59</v>
      </c>
      <c r="Y760" t="s">
        <v>1581</v>
      </c>
    </row>
    <row r="761" spans="1:25" ht="16" x14ac:dyDescent="0.2">
      <c r="A761" t="s">
        <v>1568</v>
      </c>
      <c r="B761" t="s">
        <v>1243</v>
      </c>
      <c r="C761" t="s">
        <v>1568</v>
      </c>
      <c r="D761" t="s">
        <v>1568</v>
      </c>
      <c r="E761" t="s">
        <v>55</v>
      </c>
      <c r="F761" t="s">
        <v>1725</v>
      </c>
      <c r="G761" t="s">
        <v>1239</v>
      </c>
      <c r="H761" t="s">
        <v>1568</v>
      </c>
      <c r="I761" t="s">
        <v>1240</v>
      </c>
      <c r="J761" t="s">
        <v>1568</v>
      </c>
      <c r="K761" t="s">
        <v>1568</v>
      </c>
      <c r="L761" t="s">
        <v>1568</v>
      </c>
      <c r="M761" t="s">
        <v>1568</v>
      </c>
      <c r="N761" t="s">
        <v>1568</v>
      </c>
      <c r="O761" t="s">
        <v>1568</v>
      </c>
      <c r="P761" t="s">
        <v>1568</v>
      </c>
      <c r="Q761" t="s">
        <v>1568</v>
      </c>
      <c r="R761" t="s">
        <v>1568</v>
      </c>
      <c r="S761" t="s">
        <v>1568</v>
      </c>
      <c r="T761" t="s">
        <v>1568</v>
      </c>
      <c r="U761" t="s">
        <v>1568</v>
      </c>
      <c r="V761" t="s">
        <v>1729</v>
      </c>
      <c r="W761" t="s">
        <v>1241</v>
      </c>
      <c r="X761" t="s">
        <v>59</v>
      </c>
      <c r="Y761" t="s">
        <v>1581</v>
      </c>
    </row>
    <row r="762" spans="1:25" ht="16" x14ac:dyDescent="0.2">
      <c r="A762" t="s">
        <v>1568</v>
      </c>
      <c r="B762" t="s">
        <v>1244</v>
      </c>
      <c r="C762" t="s">
        <v>1568</v>
      </c>
      <c r="D762" t="s">
        <v>1568</v>
      </c>
      <c r="E762" t="s">
        <v>36</v>
      </c>
      <c r="F762" t="s">
        <v>1722</v>
      </c>
      <c r="G762" t="s">
        <v>1214</v>
      </c>
      <c r="H762" t="s">
        <v>1568</v>
      </c>
      <c r="I762" t="s">
        <v>1215</v>
      </c>
      <c r="J762" t="s">
        <v>1568</v>
      </c>
      <c r="K762" t="s">
        <v>1568</v>
      </c>
      <c r="L762" t="s">
        <v>1568</v>
      </c>
      <c r="M762" t="s">
        <v>1568</v>
      </c>
      <c r="N762" t="s">
        <v>1568</v>
      </c>
      <c r="O762" t="s">
        <v>1568</v>
      </c>
      <c r="P762" t="s">
        <v>1568</v>
      </c>
      <c r="Q762" t="s">
        <v>1568</v>
      </c>
      <c r="R762" t="s">
        <v>1568</v>
      </c>
      <c r="S762" t="s">
        <v>1568</v>
      </c>
      <c r="T762" t="s">
        <v>1568</v>
      </c>
      <c r="U762" t="s">
        <v>1568</v>
      </c>
      <c r="V762" t="s">
        <v>1592</v>
      </c>
      <c r="W762" t="s">
        <v>1216</v>
      </c>
      <c r="X762" t="s">
        <v>61</v>
      </c>
      <c r="Y762" t="s">
        <v>1587</v>
      </c>
    </row>
    <row r="763" spans="1:25" ht="16" x14ac:dyDescent="0.2">
      <c r="A763" t="s">
        <v>1568</v>
      </c>
      <c r="B763" t="s">
        <v>1244</v>
      </c>
      <c r="C763" t="s">
        <v>1568</v>
      </c>
      <c r="D763" t="s">
        <v>1568</v>
      </c>
      <c r="E763" t="s">
        <v>55</v>
      </c>
      <c r="F763" t="s">
        <v>1722</v>
      </c>
      <c r="G763" t="s">
        <v>1226</v>
      </c>
      <c r="H763" t="s">
        <v>1568</v>
      </c>
      <c r="I763" t="s">
        <v>1227</v>
      </c>
      <c r="J763" t="s">
        <v>1568</v>
      </c>
      <c r="K763" t="s">
        <v>1568</v>
      </c>
      <c r="L763" t="s">
        <v>1568</v>
      </c>
      <c r="M763" t="s">
        <v>1568</v>
      </c>
      <c r="N763" t="s">
        <v>1568</v>
      </c>
      <c r="O763" t="s">
        <v>1568</v>
      </c>
      <c r="P763" t="s">
        <v>1568</v>
      </c>
      <c r="Q763" t="s">
        <v>1568</v>
      </c>
      <c r="R763" t="s">
        <v>1568</v>
      </c>
      <c r="S763" t="s">
        <v>1568</v>
      </c>
      <c r="T763" t="s">
        <v>1568</v>
      </c>
      <c r="U763" t="s">
        <v>1568</v>
      </c>
      <c r="V763" t="s">
        <v>1730</v>
      </c>
      <c r="W763" t="s">
        <v>1228</v>
      </c>
      <c r="X763" t="s">
        <v>61</v>
      </c>
      <c r="Y763" t="s">
        <v>1587</v>
      </c>
    </row>
    <row r="764" spans="1:25" ht="16" x14ac:dyDescent="0.2">
      <c r="A764" t="s">
        <v>1568</v>
      </c>
      <c r="B764" t="s">
        <v>1245</v>
      </c>
      <c r="C764" t="s">
        <v>1568</v>
      </c>
      <c r="D764" t="s">
        <v>1568</v>
      </c>
      <c r="E764" t="s">
        <v>36</v>
      </c>
      <c r="F764" t="s">
        <v>1725</v>
      </c>
      <c r="G764" t="s">
        <v>1230</v>
      </c>
      <c r="H764" t="s">
        <v>1568</v>
      </c>
      <c r="I764" t="s">
        <v>1231</v>
      </c>
      <c r="J764" t="s">
        <v>1568</v>
      </c>
      <c r="K764" t="s">
        <v>1568</v>
      </c>
      <c r="L764" t="s">
        <v>1568</v>
      </c>
      <c r="M764" t="s">
        <v>1568</v>
      </c>
      <c r="N764" t="s">
        <v>1568</v>
      </c>
      <c r="O764" t="s">
        <v>1568</v>
      </c>
      <c r="P764" t="s">
        <v>1568</v>
      </c>
      <c r="Q764" t="s">
        <v>1568</v>
      </c>
      <c r="R764" t="s">
        <v>1568</v>
      </c>
      <c r="S764" t="s">
        <v>1568</v>
      </c>
      <c r="T764" t="s">
        <v>1568</v>
      </c>
      <c r="U764" t="s">
        <v>1568</v>
      </c>
      <c r="V764" t="s">
        <v>1592</v>
      </c>
      <c r="W764" t="s">
        <v>1232</v>
      </c>
      <c r="X764" t="s">
        <v>61</v>
      </c>
      <c r="Y764" t="s">
        <v>1587</v>
      </c>
    </row>
    <row r="765" spans="1:25" ht="16" x14ac:dyDescent="0.2">
      <c r="A765" t="s">
        <v>1568</v>
      </c>
      <c r="B765" t="s">
        <v>1245</v>
      </c>
      <c r="C765" t="s">
        <v>1568</v>
      </c>
      <c r="D765" t="s">
        <v>1568</v>
      </c>
      <c r="E765" t="s">
        <v>55</v>
      </c>
      <c r="F765" t="s">
        <v>1725</v>
      </c>
      <c r="G765" t="s">
        <v>1239</v>
      </c>
      <c r="H765" t="s">
        <v>1568</v>
      </c>
      <c r="I765" t="s">
        <v>1240</v>
      </c>
      <c r="J765" t="s">
        <v>1568</v>
      </c>
      <c r="K765" t="s">
        <v>1568</v>
      </c>
      <c r="L765" t="s">
        <v>1568</v>
      </c>
      <c r="M765" t="s">
        <v>1568</v>
      </c>
      <c r="N765" t="s">
        <v>1568</v>
      </c>
      <c r="O765" t="s">
        <v>1568</v>
      </c>
      <c r="P765" t="s">
        <v>1568</v>
      </c>
      <c r="Q765" t="s">
        <v>1568</v>
      </c>
      <c r="R765" t="s">
        <v>1568</v>
      </c>
      <c r="S765" t="s">
        <v>1568</v>
      </c>
      <c r="T765" t="s">
        <v>1568</v>
      </c>
      <c r="U765" t="s">
        <v>1568</v>
      </c>
      <c r="V765" t="s">
        <v>1731</v>
      </c>
      <c r="W765" t="s">
        <v>1241</v>
      </c>
      <c r="X765" t="s">
        <v>61</v>
      </c>
      <c r="Y765" t="s">
        <v>1587</v>
      </c>
    </row>
    <row r="766" spans="1:25" ht="16" x14ac:dyDescent="0.2">
      <c r="A766" t="s">
        <v>1568</v>
      </c>
      <c r="B766" t="s">
        <v>1016</v>
      </c>
      <c r="C766" t="s">
        <v>1568</v>
      </c>
      <c r="D766" t="s">
        <v>1568</v>
      </c>
      <c r="E766" t="s">
        <v>36</v>
      </c>
      <c r="F766" t="s">
        <v>1732</v>
      </c>
      <c r="G766" t="s">
        <v>1018</v>
      </c>
      <c r="H766" t="s">
        <v>1568</v>
      </c>
      <c r="I766" t="s">
        <v>1019</v>
      </c>
      <c r="J766" t="s">
        <v>1568</v>
      </c>
      <c r="K766" t="s">
        <v>1568</v>
      </c>
      <c r="L766" t="s">
        <v>1568</v>
      </c>
      <c r="M766" t="s">
        <v>1568</v>
      </c>
      <c r="N766" t="s">
        <v>1568</v>
      </c>
      <c r="O766" t="s">
        <v>1568</v>
      </c>
      <c r="P766" t="s">
        <v>1568</v>
      </c>
      <c r="Q766" t="s">
        <v>1568</v>
      </c>
      <c r="R766" t="s">
        <v>1568</v>
      </c>
      <c r="S766" t="s">
        <v>1568</v>
      </c>
      <c r="T766" t="s">
        <v>1568</v>
      </c>
      <c r="U766" t="s">
        <v>1568</v>
      </c>
      <c r="V766" t="s">
        <v>1592</v>
      </c>
      <c r="W766" t="s">
        <v>1020</v>
      </c>
      <c r="X766" t="s">
        <v>30</v>
      </c>
      <c r="Y766" t="s">
        <v>1572</v>
      </c>
    </row>
    <row r="767" spans="1:25" ht="16" x14ac:dyDescent="0.2">
      <c r="A767" t="s">
        <v>1568</v>
      </c>
      <c r="B767" t="s">
        <v>1016</v>
      </c>
      <c r="C767" t="s">
        <v>1568</v>
      </c>
      <c r="D767" t="s">
        <v>1568</v>
      </c>
      <c r="E767" t="s">
        <v>43</v>
      </c>
      <c r="F767" t="s">
        <v>1732</v>
      </c>
      <c r="G767" t="s">
        <v>1021</v>
      </c>
      <c r="H767" t="s">
        <v>1568</v>
      </c>
      <c r="I767" t="s">
        <v>1022</v>
      </c>
      <c r="J767" t="s">
        <v>1568</v>
      </c>
      <c r="K767" t="s">
        <v>1568</v>
      </c>
      <c r="L767" t="s">
        <v>1568</v>
      </c>
      <c r="M767" t="s">
        <v>1568</v>
      </c>
      <c r="N767" t="s">
        <v>1568</v>
      </c>
      <c r="O767" t="s">
        <v>1568</v>
      </c>
      <c r="P767" t="s">
        <v>1568</v>
      </c>
      <c r="Q767" t="s">
        <v>1568</v>
      </c>
      <c r="R767" t="s">
        <v>1568</v>
      </c>
      <c r="S767" t="s">
        <v>1568</v>
      </c>
      <c r="T767" t="s">
        <v>1568</v>
      </c>
      <c r="U767" t="s">
        <v>1568</v>
      </c>
      <c r="V767" t="s">
        <v>1733</v>
      </c>
      <c r="W767" t="s">
        <v>1023</v>
      </c>
      <c r="X767" t="s">
        <v>30</v>
      </c>
      <c r="Y767" t="s">
        <v>1572</v>
      </c>
    </row>
    <row r="768" spans="1:25" ht="16" x14ac:dyDescent="0.2">
      <c r="A768" t="s">
        <v>1568</v>
      </c>
      <c r="B768" t="s">
        <v>1016</v>
      </c>
      <c r="C768" t="s">
        <v>1568</v>
      </c>
      <c r="D768" t="s">
        <v>1568</v>
      </c>
      <c r="E768" t="s">
        <v>47</v>
      </c>
      <c r="F768" t="s">
        <v>1732</v>
      </c>
      <c r="G768" t="s">
        <v>1024</v>
      </c>
      <c r="H768" t="s">
        <v>1568</v>
      </c>
      <c r="I768" t="s">
        <v>1025</v>
      </c>
      <c r="J768" t="s">
        <v>1568</v>
      </c>
      <c r="K768" t="s">
        <v>1568</v>
      </c>
      <c r="L768" t="s">
        <v>1568</v>
      </c>
      <c r="M768" t="s">
        <v>1568</v>
      </c>
      <c r="N768" t="s">
        <v>1568</v>
      </c>
      <c r="O768" t="s">
        <v>1568</v>
      </c>
      <c r="P768" t="s">
        <v>1568</v>
      </c>
      <c r="Q768" t="s">
        <v>1568</v>
      </c>
      <c r="R768" t="s">
        <v>1568</v>
      </c>
      <c r="S768" t="s">
        <v>1568</v>
      </c>
      <c r="T768" t="s">
        <v>1568</v>
      </c>
      <c r="U768" t="s">
        <v>1568</v>
      </c>
      <c r="V768" t="s">
        <v>1734</v>
      </c>
      <c r="W768" t="s">
        <v>1026</v>
      </c>
      <c r="X768" t="s">
        <v>30</v>
      </c>
      <c r="Y768" t="s">
        <v>1572</v>
      </c>
    </row>
    <row r="769" spans="1:25" ht="16" x14ac:dyDescent="0.2">
      <c r="A769" t="s">
        <v>1568</v>
      </c>
      <c r="B769" t="s">
        <v>1016</v>
      </c>
      <c r="C769" t="s">
        <v>1568</v>
      </c>
      <c r="D769" t="s">
        <v>1568</v>
      </c>
      <c r="E769" t="s">
        <v>51</v>
      </c>
      <c r="F769" t="s">
        <v>1732</v>
      </c>
      <c r="G769" t="s">
        <v>1027</v>
      </c>
      <c r="H769" t="s">
        <v>1568</v>
      </c>
      <c r="I769" t="s">
        <v>1028</v>
      </c>
      <c r="J769" t="s">
        <v>1568</v>
      </c>
      <c r="K769" t="s">
        <v>1568</v>
      </c>
      <c r="L769" t="s">
        <v>1568</v>
      </c>
      <c r="M769" t="s">
        <v>1568</v>
      </c>
      <c r="N769" t="s">
        <v>1568</v>
      </c>
      <c r="O769" t="s">
        <v>1568</v>
      </c>
      <c r="P769" t="s">
        <v>1568</v>
      </c>
      <c r="Q769" t="s">
        <v>1568</v>
      </c>
      <c r="R769" t="s">
        <v>1568</v>
      </c>
      <c r="S769" t="s">
        <v>1568</v>
      </c>
      <c r="T769" t="s">
        <v>1568</v>
      </c>
      <c r="U769" t="s">
        <v>1568</v>
      </c>
      <c r="V769" t="s">
        <v>1735</v>
      </c>
      <c r="W769" t="s">
        <v>1029</v>
      </c>
      <c r="X769" t="s">
        <v>30</v>
      </c>
      <c r="Y769" t="s">
        <v>1572</v>
      </c>
    </row>
    <row r="770" spans="1:25" ht="16" x14ac:dyDescent="0.2">
      <c r="A770" t="s">
        <v>1568</v>
      </c>
      <c r="B770" t="s">
        <v>1016</v>
      </c>
      <c r="C770" t="s">
        <v>1568</v>
      </c>
      <c r="D770" t="s">
        <v>1568</v>
      </c>
      <c r="E770" t="s">
        <v>55</v>
      </c>
      <c r="F770" t="s">
        <v>1732</v>
      </c>
      <c r="G770" t="s">
        <v>1030</v>
      </c>
      <c r="H770" t="s">
        <v>1568</v>
      </c>
      <c r="I770" t="s">
        <v>1031</v>
      </c>
      <c r="J770" t="s">
        <v>1568</v>
      </c>
      <c r="K770" t="s">
        <v>1568</v>
      </c>
      <c r="L770" t="s">
        <v>1568</v>
      </c>
      <c r="M770" t="s">
        <v>1568</v>
      </c>
      <c r="N770" t="s">
        <v>1568</v>
      </c>
      <c r="O770" t="s">
        <v>1568</v>
      </c>
      <c r="P770" t="s">
        <v>1568</v>
      </c>
      <c r="Q770" t="s">
        <v>1568</v>
      </c>
      <c r="R770" t="s">
        <v>1568</v>
      </c>
      <c r="S770" t="s">
        <v>1568</v>
      </c>
      <c r="T770" t="s">
        <v>1568</v>
      </c>
      <c r="U770" t="s">
        <v>1568</v>
      </c>
      <c r="V770" t="s">
        <v>1736</v>
      </c>
      <c r="W770" t="s">
        <v>1032</v>
      </c>
      <c r="X770" t="s">
        <v>30</v>
      </c>
      <c r="Y770" t="s">
        <v>1572</v>
      </c>
    </row>
    <row r="771" spans="1:25" ht="16" x14ac:dyDescent="0.2">
      <c r="A771" t="s">
        <v>1568</v>
      </c>
      <c r="B771" t="s">
        <v>1033</v>
      </c>
      <c r="C771" t="s">
        <v>1568</v>
      </c>
      <c r="D771" t="s">
        <v>1568</v>
      </c>
      <c r="E771" t="s">
        <v>43</v>
      </c>
      <c r="F771" t="s">
        <v>1732</v>
      </c>
      <c r="G771" t="s">
        <v>1034</v>
      </c>
      <c r="H771" t="s">
        <v>1568</v>
      </c>
      <c r="I771" t="s">
        <v>1035</v>
      </c>
      <c r="J771" t="s">
        <v>1568</v>
      </c>
      <c r="K771" t="s">
        <v>1568</v>
      </c>
      <c r="L771" t="s">
        <v>1568</v>
      </c>
      <c r="M771" t="s">
        <v>1568</v>
      </c>
      <c r="N771" t="s">
        <v>1568</v>
      </c>
      <c r="O771" t="s">
        <v>1568</v>
      </c>
      <c r="P771" t="s">
        <v>1568</v>
      </c>
      <c r="Q771" t="s">
        <v>1568</v>
      </c>
      <c r="R771" t="s">
        <v>1568</v>
      </c>
      <c r="S771" t="s">
        <v>1568</v>
      </c>
      <c r="T771" t="s">
        <v>1568</v>
      </c>
      <c r="U771" t="s">
        <v>1568</v>
      </c>
      <c r="V771" t="s">
        <v>1691</v>
      </c>
      <c r="W771" t="s">
        <v>1036</v>
      </c>
      <c r="X771" t="s">
        <v>30</v>
      </c>
      <c r="Y771" t="s">
        <v>1572</v>
      </c>
    </row>
    <row r="772" spans="1:25" ht="16" x14ac:dyDescent="0.2">
      <c r="A772" t="s">
        <v>1568</v>
      </c>
      <c r="B772" t="s">
        <v>1033</v>
      </c>
      <c r="C772" t="s">
        <v>1568</v>
      </c>
      <c r="D772" t="s">
        <v>1568</v>
      </c>
      <c r="E772" t="s">
        <v>47</v>
      </c>
      <c r="F772" t="s">
        <v>1732</v>
      </c>
      <c r="G772" t="s">
        <v>1037</v>
      </c>
      <c r="H772" t="s">
        <v>1568</v>
      </c>
      <c r="I772" t="s">
        <v>1038</v>
      </c>
      <c r="J772" t="s">
        <v>1568</v>
      </c>
      <c r="K772" t="s">
        <v>1568</v>
      </c>
      <c r="L772" t="s">
        <v>1568</v>
      </c>
      <c r="M772" t="s">
        <v>1568</v>
      </c>
      <c r="N772" t="s">
        <v>1568</v>
      </c>
      <c r="O772" t="s">
        <v>1568</v>
      </c>
      <c r="P772" t="s">
        <v>1568</v>
      </c>
      <c r="Q772" t="s">
        <v>1568</v>
      </c>
      <c r="R772" t="s">
        <v>1568</v>
      </c>
      <c r="S772" t="s">
        <v>1568</v>
      </c>
      <c r="T772" t="s">
        <v>1568</v>
      </c>
      <c r="U772" t="s">
        <v>1568</v>
      </c>
      <c r="V772" t="s">
        <v>1714</v>
      </c>
      <c r="W772" t="s">
        <v>1039</v>
      </c>
      <c r="X772" t="s">
        <v>30</v>
      </c>
      <c r="Y772" t="s">
        <v>1572</v>
      </c>
    </row>
    <row r="773" spans="1:25" ht="16" x14ac:dyDescent="0.2">
      <c r="A773" t="s">
        <v>1568</v>
      </c>
      <c r="B773" t="s">
        <v>1033</v>
      </c>
      <c r="C773" t="s">
        <v>1568</v>
      </c>
      <c r="D773" t="s">
        <v>1568</v>
      </c>
      <c r="E773" t="s">
        <v>51</v>
      </c>
      <c r="F773" t="s">
        <v>1732</v>
      </c>
      <c r="G773" t="s">
        <v>1040</v>
      </c>
      <c r="H773" t="s">
        <v>1568</v>
      </c>
      <c r="I773" t="s">
        <v>1041</v>
      </c>
      <c r="J773" t="s">
        <v>1568</v>
      </c>
      <c r="K773" t="s">
        <v>1568</v>
      </c>
      <c r="L773" t="s">
        <v>1568</v>
      </c>
      <c r="M773" t="s">
        <v>1568</v>
      </c>
      <c r="N773" t="s">
        <v>1568</v>
      </c>
      <c r="O773" t="s">
        <v>1568</v>
      </c>
      <c r="P773" t="s">
        <v>1568</v>
      </c>
      <c r="Q773" t="s">
        <v>1568</v>
      </c>
      <c r="R773" t="s">
        <v>1568</v>
      </c>
      <c r="S773" t="s">
        <v>1568</v>
      </c>
      <c r="T773" t="s">
        <v>1568</v>
      </c>
      <c r="U773" t="s">
        <v>1568</v>
      </c>
      <c r="V773" t="s">
        <v>1737</v>
      </c>
      <c r="W773" t="s">
        <v>1042</v>
      </c>
      <c r="X773" t="s">
        <v>30</v>
      </c>
      <c r="Y773" t="s">
        <v>1572</v>
      </c>
    </row>
    <row r="774" spans="1:25" ht="16" x14ac:dyDescent="0.2">
      <c r="A774" t="s">
        <v>1568</v>
      </c>
      <c r="B774" t="s">
        <v>1033</v>
      </c>
      <c r="C774" t="s">
        <v>1568</v>
      </c>
      <c r="D774" t="s">
        <v>1568</v>
      </c>
      <c r="E774" t="s">
        <v>55</v>
      </c>
      <c r="F774" t="s">
        <v>1732</v>
      </c>
      <c r="G774" t="s">
        <v>1043</v>
      </c>
      <c r="H774" t="s">
        <v>1568</v>
      </c>
      <c r="I774" t="s">
        <v>1044</v>
      </c>
      <c r="J774" t="s">
        <v>1568</v>
      </c>
      <c r="K774" t="s">
        <v>1568</v>
      </c>
      <c r="L774" t="s">
        <v>1568</v>
      </c>
      <c r="M774" t="s">
        <v>1568</v>
      </c>
      <c r="N774" t="s">
        <v>1568</v>
      </c>
      <c r="O774" t="s">
        <v>1568</v>
      </c>
      <c r="P774" t="s">
        <v>1568</v>
      </c>
      <c r="Q774" t="s">
        <v>1568</v>
      </c>
      <c r="R774" t="s">
        <v>1568</v>
      </c>
      <c r="S774" t="s">
        <v>1568</v>
      </c>
      <c r="T774" t="s">
        <v>1568</v>
      </c>
      <c r="U774" t="s">
        <v>1568</v>
      </c>
      <c r="V774" t="s">
        <v>55</v>
      </c>
      <c r="W774" t="s">
        <v>1045</v>
      </c>
      <c r="X774" t="s">
        <v>30</v>
      </c>
      <c r="Y774" t="s">
        <v>1572</v>
      </c>
    </row>
    <row r="775" spans="1:25" ht="16" x14ac:dyDescent="0.2">
      <c r="A775" t="s">
        <v>1568</v>
      </c>
      <c r="B775" t="s">
        <v>1046</v>
      </c>
      <c r="C775" t="s">
        <v>1568</v>
      </c>
      <c r="D775" t="s">
        <v>1568</v>
      </c>
      <c r="E775" t="s">
        <v>36</v>
      </c>
      <c r="F775" t="s">
        <v>1732</v>
      </c>
      <c r="G775" t="s">
        <v>1047</v>
      </c>
      <c r="H775" t="s">
        <v>1568</v>
      </c>
      <c r="I775" t="s">
        <v>1048</v>
      </c>
      <c r="J775" t="s">
        <v>1568</v>
      </c>
      <c r="K775" t="s">
        <v>1568</v>
      </c>
      <c r="L775" t="s">
        <v>1568</v>
      </c>
      <c r="M775" t="s">
        <v>1568</v>
      </c>
      <c r="N775" t="s">
        <v>1568</v>
      </c>
      <c r="O775" t="s">
        <v>1568</v>
      </c>
      <c r="P775" t="s">
        <v>1568</v>
      </c>
      <c r="Q775" t="s">
        <v>1568</v>
      </c>
      <c r="R775" t="s">
        <v>1568</v>
      </c>
      <c r="S775" t="s">
        <v>1568</v>
      </c>
      <c r="T775" t="s">
        <v>1568</v>
      </c>
      <c r="U775" t="s">
        <v>1568</v>
      </c>
      <c r="V775" t="s">
        <v>1738</v>
      </c>
      <c r="W775" t="s">
        <v>1049</v>
      </c>
      <c r="X775" t="s">
        <v>30</v>
      </c>
      <c r="Y775" t="s">
        <v>1572</v>
      </c>
    </row>
    <row r="776" spans="1:25" ht="16" x14ac:dyDescent="0.2">
      <c r="A776" t="s">
        <v>1568</v>
      </c>
      <c r="B776" t="s">
        <v>1046</v>
      </c>
      <c r="C776" t="s">
        <v>1568</v>
      </c>
      <c r="D776" t="s">
        <v>1568</v>
      </c>
      <c r="E776" t="s">
        <v>43</v>
      </c>
      <c r="F776" t="s">
        <v>1732</v>
      </c>
      <c r="G776" t="s">
        <v>1050</v>
      </c>
      <c r="H776" t="s">
        <v>1568</v>
      </c>
      <c r="I776" t="s">
        <v>1051</v>
      </c>
      <c r="J776" t="s">
        <v>1568</v>
      </c>
      <c r="K776" t="s">
        <v>1568</v>
      </c>
      <c r="L776" t="s">
        <v>1568</v>
      </c>
      <c r="M776" t="s">
        <v>1568</v>
      </c>
      <c r="N776" t="s">
        <v>1568</v>
      </c>
      <c r="O776" t="s">
        <v>1568</v>
      </c>
      <c r="P776" t="s">
        <v>1568</v>
      </c>
      <c r="Q776" t="s">
        <v>1568</v>
      </c>
      <c r="R776" t="s">
        <v>1568</v>
      </c>
      <c r="S776" t="s">
        <v>1568</v>
      </c>
      <c r="T776" t="s">
        <v>1568</v>
      </c>
      <c r="U776" t="s">
        <v>1568</v>
      </c>
      <c r="V776" t="s">
        <v>1665</v>
      </c>
      <c r="W776" t="s">
        <v>1052</v>
      </c>
      <c r="X776" t="s">
        <v>30</v>
      </c>
      <c r="Y776" t="s">
        <v>1572</v>
      </c>
    </row>
    <row r="777" spans="1:25" ht="16" x14ac:dyDescent="0.2">
      <c r="A777" t="s">
        <v>1568</v>
      </c>
      <c r="B777" t="s">
        <v>1046</v>
      </c>
      <c r="C777" t="s">
        <v>1568</v>
      </c>
      <c r="D777" t="s">
        <v>1568</v>
      </c>
      <c r="E777" t="s">
        <v>47</v>
      </c>
      <c r="F777" t="s">
        <v>1732</v>
      </c>
      <c r="G777" t="s">
        <v>1053</v>
      </c>
      <c r="H777" t="s">
        <v>1568</v>
      </c>
      <c r="I777" t="s">
        <v>1054</v>
      </c>
      <c r="J777" t="s">
        <v>1568</v>
      </c>
      <c r="K777" t="s">
        <v>1568</v>
      </c>
      <c r="L777" t="s">
        <v>1568</v>
      </c>
      <c r="M777" t="s">
        <v>1568</v>
      </c>
      <c r="N777" t="s">
        <v>1568</v>
      </c>
      <c r="O777" t="s">
        <v>1568</v>
      </c>
      <c r="P777" t="s">
        <v>1568</v>
      </c>
      <c r="Q777" t="s">
        <v>1568</v>
      </c>
      <c r="R777" t="s">
        <v>1568</v>
      </c>
      <c r="S777" t="s">
        <v>1568</v>
      </c>
      <c r="T777" t="s">
        <v>1568</v>
      </c>
      <c r="U777" t="s">
        <v>1568</v>
      </c>
      <c r="V777" t="s">
        <v>1665</v>
      </c>
      <c r="W777" t="s">
        <v>1055</v>
      </c>
      <c r="X777" t="s">
        <v>30</v>
      </c>
      <c r="Y777" t="s">
        <v>1572</v>
      </c>
    </row>
    <row r="778" spans="1:25" ht="16" x14ac:dyDescent="0.2">
      <c r="A778" t="s">
        <v>1568</v>
      </c>
      <c r="B778" t="s">
        <v>1046</v>
      </c>
      <c r="C778" t="s">
        <v>1568</v>
      </c>
      <c r="D778" t="s">
        <v>1568</v>
      </c>
      <c r="E778" t="s">
        <v>51</v>
      </c>
      <c r="F778" t="s">
        <v>1732</v>
      </c>
      <c r="G778" t="s">
        <v>1056</v>
      </c>
      <c r="H778" t="s">
        <v>1568</v>
      </c>
      <c r="I778" t="s">
        <v>1057</v>
      </c>
      <c r="J778" t="s">
        <v>1568</v>
      </c>
      <c r="K778" t="s">
        <v>1568</v>
      </c>
      <c r="L778" t="s">
        <v>1568</v>
      </c>
      <c r="M778" t="s">
        <v>1568</v>
      </c>
      <c r="N778" t="s">
        <v>1568</v>
      </c>
      <c r="O778" t="s">
        <v>1568</v>
      </c>
      <c r="P778" t="s">
        <v>1568</v>
      </c>
      <c r="Q778" t="s">
        <v>1568</v>
      </c>
      <c r="R778" t="s">
        <v>1568</v>
      </c>
      <c r="S778" t="s">
        <v>1568</v>
      </c>
      <c r="T778" t="s">
        <v>1568</v>
      </c>
      <c r="U778" t="s">
        <v>1568</v>
      </c>
      <c r="V778" t="s">
        <v>1739</v>
      </c>
      <c r="W778" t="s">
        <v>1058</v>
      </c>
      <c r="X778" t="s">
        <v>30</v>
      </c>
      <c r="Y778" t="s">
        <v>1572</v>
      </c>
    </row>
    <row r="779" spans="1:25" ht="16" x14ac:dyDescent="0.2">
      <c r="A779" t="s">
        <v>1568</v>
      </c>
      <c r="B779" t="s">
        <v>1046</v>
      </c>
      <c r="C779" t="s">
        <v>1568</v>
      </c>
      <c r="D779" t="s">
        <v>1568</v>
      </c>
      <c r="E779" t="s">
        <v>55</v>
      </c>
      <c r="F779" t="s">
        <v>1732</v>
      </c>
      <c r="G779" t="s">
        <v>1059</v>
      </c>
      <c r="H779" t="s">
        <v>1568</v>
      </c>
      <c r="I779" t="s">
        <v>1060</v>
      </c>
      <c r="J779" t="s">
        <v>1568</v>
      </c>
      <c r="K779" t="s">
        <v>1568</v>
      </c>
      <c r="L779" t="s">
        <v>1568</v>
      </c>
      <c r="M779" t="s">
        <v>1568</v>
      </c>
      <c r="N779" t="s">
        <v>1568</v>
      </c>
      <c r="O779" t="s">
        <v>1568</v>
      </c>
      <c r="P779" t="s">
        <v>1568</v>
      </c>
      <c r="Q779" t="s">
        <v>1568</v>
      </c>
      <c r="R779" t="s">
        <v>1568</v>
      </c>
      <c r="S779" t="s">
        <v>1568</v>
      </c>
      <c r="T779" t="s">
        <v>1568</v>
      </c>
      <c r="U779" t="s">
        <v>1568</v>
      </c>
      <c r="V779" t="s">
        <v>1665</v>
      </c>
      <c r="W779" t="s">
        <v>1061</v>
      </c>
      <c r="X779" t="s">
        <v>30</v>
      </c>
      <c r="Y779" t="s">
        <v>1572</v>
      </c>
    </row>
    <row r="780" spans="1:25" ht="16" x14ac:dyDescent="0.2">
      <c r="A780" t="s">
        <v>1568</v>
      </c>
      <c r="B780" t="s">
        <v>1062</v>
      </c>
      <c r="C780" t="s">
        <v>1568</v>
      </c>
      <c r="D780" t="s">
        <v>1568</v>
      </c>
      <c r="E780" t="s">
        <v>36</v>
      </c>
      <c r="F780" t="s">
        <v>1732</v>
      </c>
      <c r="G780" t="s">
        <v>1063</v>
      </c>
      <c r="H780" t="s">
        <v>1568</v>
      </c>
      <c r="I780" t="s">
        <v>1064</v>
      </c>
      <c r="J780" t="s">
        <v>1568</v>
      </c>
      <c r="K780" t="s">
        <v>1568</v>
      </c>
      <c r="L780" t="s">
        <v>1568</v>
      </c>
      <c r="M780" t="s">
        <v>1568</v>
      </c>
      <c r="N780" t="s">
        <v>1568</v>
      </c>
      <c r="O780" t="s">
        <v>1568</v>
      </c>
      <c r="P780" t="s">
        <v>1568</v>
      </c>
      <c r="Q780" t="s">
        <v>1568</v>
      </c>
      <c r="R780" t="s">
        <v>1568</v>
      </c>
      <c r="S780" t="s">
        <v>1568</v>
      </c>
      <c r="T780" t="s">
        <v>1568</v>
      </c>
      <c r="U780" t="s">
        <v>1568</v>
      </c>
      <c r="V780" t="s">
        <v>1731</v>
      </c>
      <c r="W780" t="s">
        <v>1065</v>
      </c>
      <c r="X780" t="s">
        <v>30</v>
      </c>
      <c r="Y780" t="s">
        <v>1572</v>
      </c>
    </row>
    <row r="781" spans="1:25" ht="16" x14ac:dyDescent="0.2">
      <c r="A781" t="s">
        <v>1568</v>
      </c>
      <c r="B781" t="s">
        <v>1062</v>
      </c>
      <c r="C781" t="s">
        <v>1568</v>
      </c>
      <c r="D781" t="s">
        <v>1568</v>
      </c>
      <c r="E781" t="s">
        <v>43</v>
      </c>
      <c r="F781" t="s">
        <v>1732</v>
      </c>
      <c r="G781" t="s">
        <v>1066</v>
      </c>
      <c r="H781" t="s">
        <v>1568</v>
      </c>
      <c r="I781" t="s">
        <v>1067</v>
      </c>
      <c r="J781" t="s">
        <v>1568</v>
      </c>
      <c r="K781" t="s">
        <v>1568</v>
      </c>
      <c r="L781" t="s">
        <v>1568</v>
      </c>
      <c r="M781" t="s">
        <v>1568</v>
      </c>
      <c r="N781" t="s">
        <v>1568</v>
      </c>
      <c r="O781" t="s">
        <v>1568</v>
      </c>
      <c r="P781" t="s">
        <v>1568</v>
      </c>
      <c r="Q781" t="s">
        <v>1568</v>
      </c>
      <c r="R781" t="s">
        <v>1568</v>
      </c>
      <c r="S781" t="s">
        <v>1568</v>
      </c>
      <c r="T781" t="s">
        <v>1568</v>
      </c>
      <c r="U781" t="s">
        <v>1568</v>
      </c>
      <c r="V781" t="s">
        <v>1740</v>
      </c>
      <c r="W781" t="s">
        <v>1068</v>
      </c>
      <c r="X781" t="s">
        <v>30</v>
      </c>
      <c r="Y781" t="s">
        <v>1572</v>
      </c>
    </row>
    <row r="782" spans="1:25" ht="16" x14ac:dyDescent="0.2">
      <c r="A782" t="s">
        <v>1568</v>
      </c>
      <c r="B782" t="s">
        <v>1062</v>
      </c>
      <c r="C782" t="s">
        <v>1568</v>
      </c>
      <c r="D782" t="s">
        <v>1568</v>
      </c>
      <c r="E782" t="s">
        <v>47</v>
      </c>
      <c r="F782" t="s">
        <v>1732</v>
      </c>
      <c r="G782" t="s">
        <v>1069</v>
      </c>
      <c r="H782" t="s">
        <v>1568</v>
      </c>
      <c r="I782" t="s">
        <v>1070</v>
      </c>
      <c r="J782" t="s">
        <v>1568</v>
      </c>
      <c r="K782" t="s">
        <v>1568</v>
      </c>
      <c r="L782" t="s">
        <v>1568</v>
      </c>
      <c r="M782" t="s">
        <v>1568</v>
      </c>
      <c r="N782" t="s">
        <v>1568</v>
      </c>
      <c r="O782" t="s">
        <v>1568</v>
      </c>
      <c r="P782" t="s">
        <v>1568</v>
      </c>
      <c r="Q782" t="s">
        <v>1568</v>
      </c>
      <c r="R782" t="s">
        <v>1568</v>
      </c>
      <c r="S782" t="s">
        <v>1568</v>
      </c>
      <c r="T782" t="s">
        <v>1568</v>
      </c>
      <c r="U782" t="s">
        <v>1568</v>
      </c>
      <c r="V782" t="s">
        <v>1741</v>
      </c>
      <c r="W782" t="s">
        <v>1071</v>
      </c>
      <c r="X782" t="s">
        <v>30</v>
      </c>
      <c r="Y782" t="s">
        <v>1572</v>
      </c>
    </row>
    <row r="783" spans="1:25" ht="16" x14ac:dyDescent="0.2">
      <c r="A783" t="s">
        <v>1568</v>
      </c>
      <c r="B783" t="s">
        <v>1062</v>
      </c>
      <c r="C783" t="s">
        <v>1568</v>
      </c>
      <c r="D783" t="s">
        <v>1568</v>
      </c>
      <c r="E783" t="s">
        <v>51</v>
      </c>
      <c r="F783" t="s">
        <v>1732</v>
      </c>
      <c r="G783" t="s">
        <v>1072</v>
      </c>
      <c r="H783" t="s">
        <v>1568</v>
      </c>
      <c r="I783" t="s">
        <v>1073</v>
      </c>
      <c r="J783" t="s">
        <v>1568</v>
      </c>
      <c r="K783" t="s">
        <v>1568</v>
      </c>
      <c r="L783" t="s">
        <v>1568</v>
      </c>
      <c r="M783" t="s">
        <v>1568</v>
      </c>
      <c r="N783" t="s">
        <v>1568</v>
      </c>
      <c r="O783" t="s">
        <v>1568</v>
      </c>
      <c r="P783" t="s">
        <v>1568</v>
      </c>
      <c r="Q783" t="s">
        <v>1568</v>
      </c>
      <c r="R783" t="s">
        <v>1568</v>
      </c>
      <c r="S783" t="s">
        <v>1568</v>
      </c>
      <c r="T783" t="s">
        <v>1568</v>
      </c>
      <c r="U783" t="s">
        <v>1568</v>
      </c>
      <c r="V783" t="s">
        <v>1664</v>
      </c>
      <c r="W783" t="s">
        <v>1074</v>
      </c>
      <c r="X783" t="s">
        <v>30</v>
      </c>
      <c r="Y783" t="s">
        <v>1572</v>
      </c>
    </row>
    <row r="784" spans="1:25" ht="16" x14ac:dyDescent="0.2">
      <c r="A784" t="s">
        <v>1568</v>
      </c>
      <c r="B784" t="s">
        <v>1062</v>
      </c>
      <c r="C784" t="s">
        <v>1568</v>
      </c>
      <c r="D784" t="s">
        <v>1568</v>
      </c>
      <c r="E784" t="s">
        <v>55</v>
      </c>
      <c r="F784" t="s">
        <v>1732</v>
      </c>
      <c r="G784" t="s">
        <v>1075</v>
      </c>
      <c r="H784" t="s">
        <v>1568</v>
      </c>
      <c r="I784" t="s">
        <v>1076</v>
      </c>
      <c r="J784" t="s">
        <v>1568</v>
      </c>
      <c r="K784" t="s">
        <v>1568</v>
      </c>
      <c r="L784" t="s">
        <v>1568</v>
      </c>
      <c r="M784" t="s">
        <v>1568</v>
      </c>
      <c r="N784" t="s">
        <v>1568</v>
      </c>
      <c r="O784" t="s">
        <v>1568</v>
      </c>
      <c r="P784" t="s">
        <v>1568</v>
      </c>
      <c r="Q784" t="s">
        <v>1568</v>
      </c>
      <c r="R784" t="s">
        <v>1568</v>
      </c>
      <c r="S784" t="s">
        <v>1568</v>
      </c>
      <c r="T784" t="s">
        <v>1568</v>
      </c>
      <c r="U784" t="s">
        <v>1568</v>
      </c>
      <c r="V784" t="s">
        <v>1742</v>
      </c>
      <c r="W784" t="s">
        <v>1077</v>
      </c>
      <c r="X784" t="s">
        <v>30</v>
      </c>
      <c r="Y784" t="s">
        <v>1572</v>
      </c>
    </row>
    <row r="785" spans="1:25" ht="16" x14ac:dyDescent="0.2">
      <c r="A785" t="s">
        <v>1568</v>
      </c>
      <c r="B785" t="s">
        <v>1078</v>
      </c>
      <c r="C785" t="s">
        <v>1568</v>
      </c>
      <c r="D785" t="s">
        <v>1568</v>
      </c>
      <c r="E785" t="s">
        <v>36</v>
      </c>
      <c r="F785" t="s">
        <v>1732</v>
      </c>
      <c r="G785" t="s">
        <v>1018</v>
      </c>
      <c r="H785" t="s">
        <v>1568</v>
      </c>
      <c r="I785" t="s">
        <v>1019</v>
      </c>
      <c r="J785" t="s">
        <v>1568</v>
      </c>
      <c r="K785" t="s">
        <v>1568</v>
      </c>
      <c r="L785" t="s">
        <v>1568</v>
      </c>
      <c r="M785" t="s">
        <v>1568</v>
      </c>
      <c r="N785" t="s">
        <v>1568</v>
      </c>
      <c r="O785" t="s">
        <v>1568</v>
      </c>
      <c r="P785" t="s">
        <v>1568</v>
      </c>
      <c r="Q785" t="s">
        <v>1568</v>
      </c>
      <c r="R785" t="s">
        <v>1568</v>
      </c>
      <c r="S785" t="s">
        <v>1568</v>
      </c>
      <c r="T785" t="s">
        <v>1568</v>
      </c>
      <c r="U785" t="s">
        <v>1568</v>
      </c>
      <c r="V785" t="s">
        <v>1592</v>
      </c>
      <c r="W785" t="s">
        <v>1020</v>
      </c>
      <c r="X785" t="s">
        <v>59</v>
      </c>
      <c r="Y785" t="s">
        <v>1581</v>
      </c>
    </row>
    <row r="786" spans="1:25" ht="16" x14ac:dyDescent="0.2">
      <c r="A786" t="s">
        <v>1568</v>
      </c>
      <c r="B786" t="s">
        <v>1078</v>
      </c>
      <c r="C786" t="s">
        <v>1568</v>
      </c>
      <c r="D786" t="s">
        <v>1568</v>
      </c>
      <c r="E786" t="s">
        <v>43</v>
      </c>
      <c r="F786" t="s">
        <v>1732</v>
      </c>
      <c r="G786" t="s">
        <v>1021</v>
      </c>
      <c r="H786" t="s">
        <v>1568</v>
      </c>
      <c r="I786" t="s">
        <v>1022</v>
      </c>
      <c r="J786" t="s">
        <v>1568</v>
      </c>
      <c r="K786" t="s">
        <v>1568</v>
      </c>
      <c r="L786" t="s">
        <v>1568</v>
      </c>
      <c r="M786" t="s">
        <v>1568</v>
      </c>
      <c r="N786" t="s">
        <v>1568</v>
      </c>
      <c r="O786" t="s">
        <v>1568</v>
      </c>
      <c r="P786" t="s">
        <v>1568</v>
      </c>
      <c r="Q786" t="s">
        <v>1568</v>
      </c>
      <c r="R786" t="s">
        <v>1568</v>
      </c>
      <c r="S786" t="s">
        <v>1568</v>
      </c>
      <c r="T786" t="s">
        <v>1568</v>
      </c>
      <c r="U786" t="s">
        <v>1568</v>
      </c>
      <c r="V786" t="s">
        <v>1720</v>
      </c>
      <c r="W786" t="s">
        <v>1023</v>
      </c>
      <c r="X786" t="s">
        <v>59</v>
      </c>
      <c r="Y786" t="s">
        <v>1581</v>
      </c>
    </row>
    <row r="787" spans="1:25" ht="16" x14ac:dyDescent="0.2">
      <c r="A787" t="s">
        <v>1568</v>
      </c>
      <c r="B787" t="s">
        <v>1078</v>
      </c>
      <c r="C787" t="s">
        <v>1568</v>
      </c>
      <c r="D787" t="s">
        <v>1568</v>
      </c>
      <c r="E787" t="s">
        <v>47</v>
      </c>
      <c r="F787" t="s">
        <v>1732</v>
      </c>
      <c r="G787" t="s">
        <v>1024</v>
      </c>
      <c r="H787" t="s">
        <v>1568</v>
      </c>
      <c r="I787" t="s">
        <v>1025</v>
      </c>
      <c r="J787" t="s">
        <v>1568</v>
      </c>
      <c r="K787" t="s">
        <v>1568</v>
      </c>
      <c r="L787" t="s">
        <v>1568</v>
      </c>
      <c r="M787" t="s">
        <v>1568</v>
      </c>
      <c r="N787" t="s">
        <v>1568</v>
      </c>
      <c r="O787" t="s">
        <v>1568</v>
      </c>
      <c r="P787" t="s">
        <v>1568</v>
      </c>
      <c r="Q787" t="s">
        <v>1568</v>
      </c>
      <c r="R787" t="s">
        <v>1568</v>
      </c>
      <c r="S787" t="s">
        <v>1568</v>
      </c>
      <c r="T787" t="s">
        <v>1568</v>
      </c>
      <c r="U787" t="s">
        <v>1568</v>
      </c>
      <c r="V787" t="s">
        <v>1743</v>
      </c>
      <c r="W787" t="s">
        <v>1026</v>
      </c>
      <c r="X787" t="s">
        <v>59</v>
      </c>
      <c r="Y787" t="s">
        <v>1581</v>
      </c>
    </row>
    <row r="788" spans="1:25" ht="16" x14ac:dyDescent="0.2">
      <c r="A788" t="s">
        <v>1568</v>
      </c>
      <c r="B788" t="s">
        <v>1078</v>
      </c>
      <c r="C788" t="s">
        <v>1568</v>
      </c>
      <c r="D788" t="s">
        <v>1568</v>
      </c>
      <c r="E788" t="s">
        <v>51</v>
      </c>
      <c r="F788" t="s">
        <v>1732</v>
      </c>
      <c r="G788" t="s">
        <v>1027</v>
      </c>
      <c r="H788" t="s">
        <v>1568</v>
      </c>
      <c r="I788" t="s">
        <v>1028</v>
      </c>
      <c r="J788" t="s">
        <v>1568</v>
      </c>
      <c r="K788" t="s">
        <v>1568</v>
      </c>
      <c r="L788" t="s">
        <v>1568</v>
      </c>
      <c r="M788" t="s">
        <v>1568</v>
      </c>
      <c r="N788" t="s">
        <v>1568</v>
      </c>
      <c r="O788" t="s">
        <v>1568</v>
      </c>
      <c r="P788" t="s">
        <v>1568</v>
      </c>
      <c r="Q788" t="s">
        <v>1568</v>
      </c>
      <c r="R788" t="s">
        <v>1568</v>
      </c>
      <c r="S788" t="s">
        <v>1568</v>
      </c>
      <c r="T788" t="s">
        <v>1568</v>
      </c>
      <c r="U788" t="s">
        <v>1568</v>
      </c>
      <c r="V788" t="s">
        <v>1744</v>
      </c>
      <c r="W788" t="s">
        <v>1029</v>
      </c>
      <c r="X788" t="s">
        <v>59</v>
      </c>
      <c r="Y788" t="s">
        <v>1581</v>
      </c>
    </row>
    <row r="789" spans="1:25" ht="16" x14ac:dyDescent="0.2">
      <c r="A789" t="s">
        <v>1568</v>
      </c>
      <c r="B789" t="s">
        <v>1078</v>
      </c>
      <c r="C789" t="s">
        <v>1568</v>
      </c>
      <c r="D789" t="s">
        <v>1568</v>
      </c>
      <c r="E789" t="s">
        <v>55</v>
      </c>
      <c r="F789" t="s">
        <v>1732</v>
      </c>
      <c r="G789" t="s">
        <v>1030</v>
      </c>
      <c r="H789" t="s">
        <v>1568</v>
      </c>
      <c r="I789" t="s">
        <v>1031</v>
      </c>
      <c r="J789" t="s">
        <v>1568</v>
      </c>
      <c r="K789" t="s">
        <v>1568</v>
      </c>
      <c r="L789" t="s">
        <v>1568</v>
      </c>
      <c r="M789" t="s">
        <v>1568</v>
      </c>
      <c r="N789" t="s">
        <v>1568</v>
      </c>
      <c r="O789" t="s">
        <v>1568</v>
      </c>
      <c r="P789" t="s">
        <v>1568</v>
      </c>
      <c r="Q789" t="s">
        <v>1568</v>
      </c>
      <c r="R789" t="s">
        <v>1568</v>
      </c>
      <c r="S789" t="s">
        <v>1568</v>
      </c>
      <c r="T789" t="s">
        <v>1568</v>
      </c>
      <c r="U789" t="s">
        <v>1568</v>
      </c>
      <c r="V789" t="s">
        <v>1661</v>
      </c>
      <c r="W789" t="s">
        <v>1032</v>
      </c>
      <c r="X789" t="s">
        <v>59</v>
      </c>
      <c r="Y789" t="s">
        <v>1581</v>
      </c>
    </row>
    <row r="790" spans="1:25" ht="16" x14ac:dyDescent="0.2">
      <c r="A790" t="s">
        <v>1568</v>
      </c>
      <c r="B790" t="s">
        <v>1079</v>
      </c>
      <c r="C790" t="s">
        <v>1568</v>
      </c>
      <c r="D790" t="s">
        <v>1568</v>
      </c>
      <c r="E790" t="s">
        <v>36</v>
      </c>
      <c r="F790" t="s">
        <v>1732</v>
      </c>
      <c r="G790" t="s">
        <v>1080</v>
      </c>
      <c r="H790" t="s">
        <v>1568</v>
      </c>
      <c r="I790" t="s">
        <v>1081</v>
      </c>
      <c r="J790" t="s">
        <v>1568</v>
      </c>
      <c r="K790" t="s">
        <v>1568</v>
      </c>
      <c r="L790" t="s">
        <v>1568</v>
      </c>
      <c r="M790" t="s">
        <v>1568</v>
      </c>
      <c r="N790" t="s">
        <v>1568</v>
      </c>
      <c r="O790" t="s">
        <v>1568</v>
      </c>
      <c r="P790" t="s">
        <v>1568</v>
      </c>
      <c r="Q790" t="s">
        <v>1568</v>
      </c>
      <c r="R790" t="s">
        <v>1568</v>
      </c>
      <c r="S790" t="s">
        <v>1568</v>
      </c>
      <c r="T790" t="s">
        <v>1568</v>
      </c>
      <c r="U790" t="s">
        <v>1568</v>
      </c>
      <c r="V790" t="s">
        <v>43</v>
      </c>
      <c r="W790" t="s">
        <v>1082</v>
      </c>
      <c r="X790" t="s">
        <v>30</v>
      </c>
      <c r="Y790" t="s">
        <v>1572</v>
      </c>
    </row>
    <row r="791" spans="1:25" ht="16" x14ac:dyDescent="0.2">
      <c r="A791" t="s">
        <v>1568</v>
      </c>
      <c r="B791" t="s">
        <v>1079</v>
      </c>
      <c r="C791" t="s">
        <v>1568</v>
      </c>
      <c r="D791" t="s">
        <v>1568</v>
      </c>
      <c r="E791" t="s">
        <v>43</v>
      </c>
      <c r="F791" t="s">
        <v>1732</v>
      </c>
      <c r="G791" t="s">
        <v>1083</v>
      </c>
      <c r="H791" t="s">
        <v>1568</v>
      </c>
      <c r="I791" t="s">
        <v>1084</v>
      </c>
      <c r="J791" t="s">
        <v>1568</v>
      </c>
      <c r="K791" t="s">
        <v>1568</v>
      </c>
      <c r="L791" t="s">
        <v>1568</v>
      </c>
      <c r="M791" t="s">
        <v>1568</v>
      </c>
      <c r="N791" t="s">
        <v>1568</v>
      </c>
      <c r="O791" t="s">
        <v>1568</v>
      </c>
      <c r="P791" t="s">
        <v>1568</v>
      </c>
      <c r="Q791" t="s">
        <v>1568</v>
      </c>
      <c r="R791" t="s">
        <v>1568</v>
      </c>
      <c r="S791" t="s">
        <v>1568</v>
      </c>
      <c r="T791" t="s">
        <v>1568</v>
      </c>
      <c r="U791" t="s">
        <v>1568</v>
      </c>
      <c r="V791" t="s">
        <v>1665</v>
      </c>
      <c r="W791" t="s">
        <v>1085</v>
      </c>
      <c r="X791" t="s">
        <v>30</v>
      </c>
      <c r="Y791" t="s">
        <v>1572</v>
      </c>
    </row>
    <row r="792" spans="1:25" ht="16" x14ac:dyDescent="0.2">
      <c r="A792" t="s">
        <v>1568</v>
      </c>
      <c r="B792" t="s">
        <v>1079</v>
      </c>
      <c r="C792" t="s">
        <v>1568</v>
      </c>
      <c r="D792" t="s">
        <v>1568</v>
      </c>
      <c r="E792" t="s">
        <v>47</v>
      </c>
      <c r="F792" t="s">
        <v>1732</v>
      </c>
      <c r="G792" t="s">
        <v>1086</v>
      </c>
      <c r="H792" t="s">
        <v>1568</v>
      </c>
      <c r="I792" t="s">
        <v>1087</v>
      </c>
      <c r="J792" t="s">
        <v>1568</v>
      </c>
      <c r="K792" t="s">
        <v>1568</v>
      </c>
      <c r="L792" t="s">
        <v>1568</v>
      </c>
      <c r="M792" t="s">
        <v>1568</v>
      </c>
      <c r="N792" t="s">
        <v>1568</v>
      </c>
      <c r="O792" t="s">
        <v>1568</v>
      </c>
      <c r="P792" t="s">
        <v>1568</v>
      </c>
      <c r="Q792" t="s">
        <v>1568</v>
      </c>
      <c r="R792" t="s">
        <v>1568</v>
      </c>
      <c r="S792" t="s">
        <v>1568</v>
      </c>
      <c r="T792" t="s">
        <v>1568</v>
      </c>
      <c r="U792" t="s">
        <v>1568</v>
      </c>
      <c r="V792" t="s">
        <v>43</v>
      </c>
      <c r="W792" t="s">
        <v>1088</v>
      </c>
      <c r="X792" t="s">
        <v>30</v>
      </c>
      <c r="Y792" t="s">
        <v>1572</v>
      </c>
    </row>
    <row r="793" spans="1:25" ht="16" x14ac:dyDescent="0.2">
      <c r="A793" t="s">
        <v>1568</v>
      </c>
      <c r="B793" t="s">
        <v>1079</v>
      </c>
      <c r="C793" t="s">
        <v>1568</v>
      </c>
      <c r="D793" t="s">
        <v>1568</v>
      </c>
      <c r="E793" t="s">
        <v>51</v>
      </c>
      <c r="F793" t="s">
        <v>1732</v>
      </c>
      <c r="G793" t="s">
        <v>1089</v>
      </c>
      <c r="H793" t="s">
        <v>1568</v>
      </c>
      <c r="I793" t="s">
        <v>1090</v>
      </c>
      <c r="J793" t="s">
        <v>1568</v>
      </c>
      <c r="K793" t="s">
        <v>1568</v>
      </c>
      <c r="L793" t="s">
        <v>1568</v>
      </c>
      <c r="M793" t="s">
        <v>1568</v>
      </c>
      <c r="N793" t="s">
        <v>1568</v>
      </c>
      <c r="O793" t="s">
        <v>1568</v>
      </c>
      <c r="P793" t="s">
        <v>1568</v>
      </c>
      <c r="Q793" t="s">
        <v>1568</v>
      </c>
      <c r="R793" t="s">
        <v>1568</v>
      </c>
      <c r="S793" t="s">
        <v>1568</v>
      </c>
      <c r="T793" t="s">
        <v>1568</v>
      </c>
      <c r="U793" t="s">
        <v>1568</v>
      </c>
      <c r="V793" t="s">
        <v>1729</v>
      </c>
      <c r="W793" t="s">
        <v>1091</v>
      </c>
      <c r="X793" t="s">
        <v>30</v>
      </c>
      <c r="Y793" t="s">
        <v>1572</v>
      </c>
    </row>
    <row r="794" spans="1:25" ht="16" x14ac:dyDescent="0.2">
      <c r="A794" t="s">
        <v>1568</v>
      </c>
      <c r="B794" t="s">
        <v>1079</v>
      </c>
      <c r="C794" t="s">
        <v>1568</v>
      </c>
      <c r="D794" t="s">
        <v>1568</v>
      </c>
      <c r="E794" t="s">
        <v>55</v>
      </c>
      <c r="F794" t="s">
        <v>1732</v>
      </c>
      <c r="G794" t="s">
        <v>1092</v>
      </c>
      <c r="H794" t="s">
        <v>1568</v>
      </c>
      <c r="I794" t="s">
        <v>1093</v>
      </c>
      <c r="J794" t="s">
        <v>1568</v>
      </c>
      <c r="K794" t="s">
        <v>1568</v>
      </c>
      <c r="L794" t="s">
        <v>1568</v>
      </c>
      <c r="M794" t="s">
        <v>1568</v>
      </c>
      <c r="N794" t="s">
        <v>1568</v>
      </c>
      <c r="O794" t="s">
        <v>1568</v>
      </c>
      <c r="P794" t="s">
        <v>1568</v>
      </c>
      <c r="Q794" t="s">
        <v>1568</v>
      </c>
      <c r="R794" t="s">
        <v>1568</v>
      </c>
      <c r="S794" t="s">
        <v>1568</v>
      </c>
      <c r="T794" t="s">
        <v>1568</v>
      </c>
      <c r="U794" t="s">
        <v>1568</v>
      </c>
      <c r="V794" t="s">
        <v>1664</v>
      </c>
      <c r="W794" t="s">
        <v>1094</v>
      </c>
      <c r="X794" t="s">
        <v>30</v>
      </c>
      <c r="Y794" t="s">
        <v>1572</v>
      </c>
    </row>
    <row r="795" spans="1:25" ht="16" x14ac:dyDescent="0.2">
      <c r="A795" t="s">
        <v>1568</v>
      </c>
      <c r="B795" t="s">
        <v>1095</v>
      </c>
      <c r="C795" t="s">
        <v>1568</v>
      </c>
      <c r="D795" t="s">
        <v>1568</v>
      </c>
      <c r="E795" t="s">
        <v>43</v>
      </c>
      <c r="F795" t="s">
        <v>1732</v>
      </c>
      <c r="G795" t="s">
        <v>1034</v>
      </c>
      <c r="H795" t="s">
        <v>1568</v>
      </c>
      <c r="I795" t="s">
        <v>1035</v>
      </c>
      <c r="J795" t="s">
        <v>1568</v>
      </c>
      <c r="K795" t="s">
        <v>1568</v>
      </c>
      <c r="L795" t="s">
        <v>1568</v>
      </c>
      <c r="M795" t="s">
        <v>1568</v>
      </c>
      <c r="N795" t="s">
        <v>1568</v>
      </c>
      <c r="O795" t="s">
        <v>1568</v>
      </c>
      <c r="P795" t="s">
        <v>1568</v>
      </c>
      <c r="Q795" t="s">
        <v>1568</v>
      </c>
      <c r="R795" t="s">
        <v>1568</v>
      </c>
      <c r="S795" t="s">
        <v>1568</v>
      </c>
      <c r="T795" t="s">
        <v>1568</v>
      </c>
      <c r="U795" t="s">
        <v>1568</v>
      </c>
      <c r="V795" t="s">
        <v>1665</v>
      </c>
      <c r="W795" t="s">
        <v>1036</v>
      </c>
      <c r="X795" t="s">
        <v>59</v>
      </c>
      <c r="Y795" t="s">
        <v>1581</v>
      </c>
    </row>
    <row r="796" spans="1:25" ht="16" x14ac:dyDescent="0.2">
      <c r="A796" t="s">
        <v>1568</v>
      </c>
      <c r="B796" t="s">
        <v>1096</v>
      </c>
      <c r="C796" t="s">
        <v>1568</v>
      </c>
      <c r="D796" t="s">
        <v>1568</v>
      </c>
      <c r="E796" t="s">
        <v>36</v>
      </c>
      <c r="F796" t="s">
        <v>1732</v>
      </c>
      <c r="G796" t="s">
        <v>1047</v>
      </c>
      <c r="H796" t="s">
        <v>1568</v>
      </c>
      <c r="I796" t="s">
        <v>1048</v>
      </c>
      <c r="J796" t="s">
        <v>1568</v>
      </c>
      <c r="K796" t="s">
        <v>1568</v>
      </c>
      <c r="L796" t="s">
        <v>1568</v>
      </c>
      <c r="M796" t="s">
        <v>1568</v>
      </c>
      <c r="N796" t="s">
        <v>1568</v>
      </c>
      <c r="O796" t="s">
        <v>1568</v>
      </c>
      <c r="P796" t="s">
        <v>1568</v>
      </c>
      <c r="Q796" t="s">
        <v>1568</v>
      </c>
      <c r="R796" t="s">
        <v>1568</v>
      </c>
      <c r="S796" t="s">
        <v>1568</v>
      </c>
      <c r="T796" t="s">
        <v>1568</v>
      </c>
      <c r="U796" t="s">
        <v>1568</v>
      </c>
      <c r="V796" t="s">
        <v>1665</v>
      </c>
      <c r="W796" t="s">
        <v>1049</v>
      </c>
      <c r="X796" t="s">
        <v>59</v>
      </c>
      <c r="Y796" t="s">
        <v>1581</v>
      </c>
    </row>
    <row r="797" spans="1:25" ht="16" x14ac:dyDescent="0.2">
      <c r="A797" t="s">
        <v>1568</v>
      </c>
      <c r="B797" t="s">
        <v>1096</v>
      </c>
      <c r="C797" t="s">
        <v>1568</v>
      </c>
      <c r="D797" t="s">
        <v>1568</v>
      </c>
      <c r="E797" t="s">
        <v>43</v>
      </c>
      <c r="F797" t="s">
        <v>1732</v>
      </c>
      <c r="G797" t="s">
        <v>1050</v>
      </c>
      <c r="H797" t="s">
        <v>1568</v>
      </c>
      <c r="I797" t="s">
        <v>1051</v>
      </c>
      <c r="J797" t="s">
        <v>1568</v>
      </c>
      <c r="K797" t="s">
        <v>1568</v>
      </c>
      <c r="L797" t="s">
        <v>1568</v>
      </c>
      <c r="M797" t="s">
        <v>1568</v>
      </c>
      <c r="N797" t="s">
        <v>1568</v>
      </c>
      <c r="O797" t="s">
        <v>1568</v>
      </c>
      <c r="P797" t="s">
        <v>1568</v>
      </c>
      <c r="Q797" t="s">
        <v>1568</v>
      </c>
      <c r="R797" t="s">
        <v>1568</v>
      </c>
      <c r="S797" t="s">
        <v>1568</v>
      </c>
      <c r="T797" t="s">
        <v>1568</v>
      </c>
      <c r="U797" t="s">
        <v>1568</v>
      </c>
      <c r="V797" t="s">
        <v>1665</v>
      </c>
      <c r="W797" t="s">
        <v>1052</v>
      </c>
      <c r="X797" t="s">
        <v>59</v>
      </c>
      <c r="Y797" t="s">
        <v>1581</v>
      </c>
    </row>
    <row r="798" spans="1:25" ht="16" x14ac:dyDescent="0.2">
      <c r="A798" t="s">
        <v>1568</v>
      </c>
      <c r="B798" t="s">
        <v>1096</v>
      </c>
      <c r="C798" t="s">
        <v>1568</v>
      </c>
      <c r="D798" t="s">
        <v>1568</v>
      </c>
      <c r="E798" t="s">
        <v>47</v>
      </c>
      <c r="F798" t="s">
        <v>1732</v>
      </c>
      <c r="G798" t="s">
        <v>1053</v>
      </c>
      <c r="H798" t="s">
        <v>1568</v>
      </c>
      <c r="I798" t="s">
        <v>1054</v>
      </c>
      <c r="J798" t="s">
        <v>1568</v>
      </c>
      <c r="K798" t="s">
        <v>1568</v>
      </c>
      <c r="L798" t="s">
        <v>1568</v>
      </c>
      <c r="M798" t="s">
        <v>1568</v>
      </c>
      <c r="N798" t="s">
        <v>1568</v>
      </c>
      <c r="O798" t="s">
        <v>1568</v>
      </c>
      <c r="P798" t="s">
        <v>1568</v>
      </c>
      <c r="Q798" t="s">
        <v>1568</v>
      </c>
      <c r="R798" t="s">
        <v>1568</v>
      </c>
      <c r="S798" t="s">
        <v>1568</v>
      </c>
      <c r="T798" t="s">
        <v>1568</v>
      </c>
      <c r="U798" t="s">
        <v>1568</v>
      </c>
      <c r="V798" t="s">
        <v>1665</v>
      </c>
      <c r="W798" t="s">
        <v>1055</v>
      </c>
      <c r="X798" t="s">
        <v>59</v>
      </c>
      <c r="Y798" t="s">
        <v>1581</v>
      </c>
    </row>
    <row r="799" spans="1:25" ht="16" x14ac:dyDescent="0.2">
      <c r="A799" t="s">
        <v>1568</v>
      </c>
      <c r="B799" t="s">
        <v>1096</v>
      </c>
      <c r="C799" t="s">
        <v>1568</v>
      </c>
      <c r="D799" t="s">
        <v>1568</v>
      </c>
      <c r="E799" t="s">
        <v>51</v>
      </c>
      <c r="F799" t="s">
        <v>1732</v>
      </c>
      <c r="G799" t="s">
        <v>1056</v>
      </c>
      <c r="H799" t="s">
        <v>1568</v>
      </c>
      <c r="I799" t="s">
        <v>1057</v>
      </c>
      <c r="J799" t="s">
        <v>1568</v>
      </c>
      <c r="K799" t="s">
        <v>1568</v>
      </c>
      <c r="L799" t="s">
        <v>1568</v>
      </c>
      <c r="M799" t="s">
        <v>1568</v>
      </c>
      <c r="N799" t="s">
        <v>1568</v>
      </c>
      <c r="O799" t="s">
        <v>1568</v>
      </c>
      <c r="P799" t="s">
        <v>1568</v>
      </c>
      <c r="Q799" t="s">
        <v>1568</v>
      </c>
      <c r="R799" t="s">
        <v>1568</v>
      </c>
      <c r="S799" t="s">
        <v>1568</v>
      </c>
      <c r="T799" t="s">
        <v>1568</v>
      </c>
      <c r="U799" t="s">
        <v>1568</v>
      </c>
      <c r="V799" t="s">
        <v>1665</v>
      </c>
      <c r="W799" t="s">
        <v>1058</v>
      </c>
      <c r="X799" t="s">
        <v>59</v>
      </c>
      <c r="Y799" t="s">
        <v>1581</v>
      </c>
    </row>
    <row r="800" spans="1:25" ht="16" x14ac:dyDescent="0.2">
      <c r="A800" t="s">
        <v>1568</v>
      </c>
      <c r="B800" t="s">
        <v>1096</v>
      </c>
      <c r="C800" t="s">
        <v>1568</v>
      </c>
      <c r="D800" t="s">
        <v>1568</v>
      </c>
      <c r="E800" t="s">
        <v>55</v>
      </c>
      <c r="F800" t="s">
        <v>1732</v>
      </c>
      <c r="G800" t="s">
        <v>1059</v>
      </c>
      <c r="H800" t="s">
        <v>1568</v>
      </c>
      <c r="I800" t="s">
        <v>1060</v>
      </c>
      <c r="J800" t="s">
        <v>1568</v>
      </c>
      <c r="K800" t="s">
        <v>1568</v>
      </c>
      <c r="L800" t="s">
        <v>1568</v>
      </c>
      <c r="M800" t="s">
        <v>1568</v>
      </c>
      <c r="N800" t="s">
        <v>1568</v>
      </c>
      <c r="O800" t="s">
        <v>1568</v>
      </c>
      <c r="P800" t="s">
        <v>1568</v>
      </c>
      <c r="Q800" t="s">
        <v>1568</v>
      </c>
      <c r="R800" t="s">
        <v>1568</v>
      </c>
      <c r="S800" t="s">
        <v>1568</v>
      </c>
      <c r="T800" t="s">
        <v>1568</v>
      </c>
      <c r="U800" t="s">
        <v>1568</v>
      </c>
      <c r="V800" t="s">
        <v>1665</v>
      </c>
      <c r="W800" t="s">
        <v>1061</v>
      </c>
      <c r="X800" t="s">
        <v>59</v>
      </c>
      <c r="Y800" t="s">
        <v>1581</v>
      </c>
    </row>
    <row r="801" spans="1:25" ht="16" x14ac:dyDescent="0.2">
      <c r="A801" t="s">
        <v>1568</v>
      </c>
      <c r="B801" t="s">
        <v>1097</v>
      </c>
      <c r="C801" t="s">
        <v>1568</v>
      </c>
      <c r="D801" t="s">
        <v>1568</v>
      </c>
      <c r="E801" t="s">
        <v>36</v>
      </c>
      <c r="F801" t="s">
        <v>1732</v>
      </c>
      <c r="G801" t="s">
        <v>1063</v>
      </c>
      <c r="H801" t="s">
        <v>1568</v>
      </c>
      <c r="I801" t="s">
        <v>1064</v>
      </c>
      <c r="J801" t="s">
        <v>1568</v>
      </c>
      <c r="K801" t="s">
        <v>1568</v>
      </c>
      <c r="L801" t="s">
        <v>1568</v>
      </c>
      <c r="M801" t="s">
        <v>1568</v>
      </c>
      <c r="N801" t="s">
        <v>1568</v>
      </c>
      <c r="O801" t="s">
        <v>1568</v>
      </c>
      <c r="P801" t="s">
        <v>1568</v>
      </c>
      <c r="Q801" t="s">
        <v>1568</v>
      </c>
      <c r="R801" t="s">
        <v>1568</v>
      </c>
      <c r="S801" t="s">
        <v>1568</v>
      </c>
      <c r="T801" t="s">
        <v>1568</v>
      </c>
      <c r="U801" t="s">
        <v>1568</v>
      </c>
      <c r="V801" t="s">
        <v>1731</v>
      </c>
      <c r="W801" t="s">
        <v>1065</v>
      </c>
      <c r="X801" t="s">
        <v>59</v>
      </c>
      <c r="Y801" t="s">
        <v>1581</v>
      </c>
    </row>
    <row r="802" spans="1:25" ht="16" x14ac:dyDescent="0.2">
      <c r="A802" t="s">
        <v>1568</v>
      </c>
      <c r="B802" t="s">
        <v>1097</v>
      </c>
      <c r="C802" t="s">
        <v>1568</v>
      </c>
      <c r="D802" t="s">
        <v>1568</v>
      </c>
      <c r="E802" t="s">
        <v>43</v>
      </c>
      <c r="F802" t="s">
        <v>1732</v>
      </c>
      <c r="G802" t="s">
        <v>1066</v>
      </c>
      <c r="H802" t="s">
        <v>1568</v>
      </c>
      <c r="I802" t="s">
        <v>1067</v>
      </c>
      <c r="J802" t="s">
        <v>1568</v>
      </c>
      <c r="K802" t="s">
        <v>1568</v>
      </c>
      <c r="L802" t="s">
        <v>1568</v>
      </c>
      <c r="M802" t="s">
        <v>1568</v>
      </c>
      <c r="N802" t="s">
        <v>1568</v>
      </c>
      <c r="O802" t="s">
        <v>1568</v>
      </c>
      <c r="P802" t="s">
        <v>1568</v>
      </c>
      <c r="Q802" t="s">
        <v>1568</v>
      </c>
      <c r="R802" t="s">
        <v>1568</v>
      </c>
      <c r="S802" t="s">
        <v>1568</v>
      </c>
      <c r="T802" t="s">
        <v>1568</v>
      </c>
      <c r="U802" t="s">
        <v>1568</v>
      </c>
      <c r="V802" t="s">
        <v>1665</v>
      </c>
      <c r="W802" t="s">
        <v>1068</v>
      </c>
      <c r="X802" t="s">
        <v>59</v>
      </c>
      <c r="Y802" t="s">
        <v>1581</v>
      </c>
    </row>
    <row r="803" spans="1:25" ht="16" x14ac:dyDescent="0.2">
      <c r="A803" t="s">
        <v>1568</v>
      </c>
      <c r="B803" t="s">
        <v>1097</v>
      </c>
      <c r="C803" t="s">
        <v>1568</v>
      </c>
      <c r="D803" t="s">
        <v>1568</v>
      </c>
      <c r="E803" t="s">
        <v>47</v>
      </c>
      <c r="F803" t="s">
        <v>1732</v>
      </c>
      <c r="G803" t="s">
        <v>1069</v>
      </c>
      <c r="H803" t="s">
        <v>1568</v>
      </c>
      <c r="I803" t="s">
        <v>1070</v>
      </c>
      <c r="J803" t="s">
        <v>1568</v>
      </c>
      <c r="K803" t="s">
        <v>1568</v>
      </c>
      <c r="L803" t="s">
        <v>1568</v>
      </c>
      <c r="M803" t="s">
        <v>1568</v>
      </c>
      <c r="N803" t="s">
        <v>1568</v>
      </c>
      <c r="O803" t="s">
        <v>1568</v>
      </c>
      <c r="P803" t="s">
        <v>1568</v>
      </c>
      <c r="Q803" t="s">
        <v>1568</v>
      </c>
      <c r="R803" t="s">
        <v>1568</v>
      </c>
      <c r="S803" t="s">
        <v>1568</v>
      </c>
      <c r="T803" t="s">
        <v>1568</v>
      </c>
      <c r="U803" t="s">
        <v>1568</v>
      </c>
      <c r="V803" t="s">
        <v>43</v>
      </c>
      <c r="W803" t="s">
        <v>1071</v>
      </c>
      <c r="X803" t="s">
        <v>59</v>
      </c>
      <c r="Y803" t="s">
        <v>1581</v>
      </c>
    </row>
    <row r="804" spans="1:25" ht="16" x14ac:dyDescent="0.2">
      <c r="A804" t="s">
        <v>1568</v>
      </c>
      <c r="B804" t="s">
        <v>1097</v>
      </c>
      <c r="C804" t="s">
        <v>1568</v>
      </c>
      <c r="D804" t="s">
        <v>1568</v>
      </c>
      <c r="E804" t="s">
        <v>51</v>
      </c>
      <c r="F804" t="s">
        <v>1732</v>
      </c>
      <c r="G804" t="s">
        <v>1072</v>
      </c>
      <c r="H804" t="s">
        <v>1568</v>
      </c>
      <c r="I804" t="s">
        <v>1073</v>
      </c>
      <c r="J804" t="s">
        <v>1568</v>
      </c>
      <c r="K804" t="s">
        <v>1568</v>
      </c>
      <c r="L804" t="s">
        <v>1568</v>
      </c>
      <c r="M804" t="s">
        <v>1568</v>
      </c>
      <c r="N804" t="s">
        <v>1568</v>
      </c>
      <c r="O804" t="s">
        <v>1568</v>
      </c>
      <c r="P804" t="s">
        <v>1568</v>
      </c>
      <c r="Q804" t="s">
        <v>1568</v>
      </c>
      <c r="R804" t="s">
        <v>1568</v>
      </c>
      <c r="S804" t="s">
        <v>1568</v>
      </c>
      <c r="T804" t="s">
        <v>1568</v>
      </c>
      <c r="U804" t="s">
        <v>1568</v>
      </c>
      <c r="V804" t="s">
        <v>51</v>
      </c>
      <c r="W804" t="s">
        <v>1074</v>
      </c>
      <c r="X804" t="s">
        <v>59</v>
      </c>
      <c r="Y804" t="s">
        <v>1581</v>
      </c>
    </row>
    <row r="805" spans="1:25" ht="16" x14ac:dyDescent="0.2">
      <c r="A805" t="s">
        <v>1568</v>
      </c>
      <c r="B805" t="s">
        <v>1097</v>
      </c>
      <c r="C805" t="s">
        <v>1568</v>
      </c>
      <c r="D805" t="s">
        <v>1568</v>
      </c>
      <c r="E805" t="s">
        <v>55</v>
      </c>
      <c r="F805" t="s">
        <v>1732</v>
      </c>
      <c r="G805" t="s">
        <v>1075</v>
      </c>
      <c r="H805" t="s">
        <v>1568</v>
      </c>
      <c r="I805" t="s">
        <v>1076</v>
      </c>
      <c r="J805" t="s">
        <v>1568</v>
      </c>
      <c r="K805" t="s">
        <v>1568</v>
      </c>
      <c r="L805" t="s">
        <v>1568</v>
      </c>
      <c r="M805" t="s">
        <v>1568</v>
      </c>
      <c r="N805" t="s">
        <v>1568</v>
      </c>
      <c r="O805" t="s">
        <v>1568</v>
      </c>
      <c r="P805" t="s">
        <v>1568</v>
      </c>
      <c r="Q805" t="s">
        <v>1568</v>
      </c>
      <c r="R805" t="s">
        <v>1568</v>
      </c>
      <c r="S805" t="s">
        <v>1568</v>
      </c>
      <c r="T805" t="s">
        <v>1568</v>
      </c>
      <c r="U805" t="s">
        <v>1568</v>
      </c>
      <c r="V805" t="s">
        <v>1731</v>
      </c>
      <c r="W805" t="s">
        <v>1077</v>
      </c>
      <c r="X805" t="s">
        <v>59</v>
      </c>
      <c r="Y805" t="s">
        <v>1581</v>
      </c>
    </row>
    <row r="806" spans="1:25" ht="16" x14ac:dyDescent="0.2">
      <c r="A806" t="s">
        <v>1568</v>
      </c>
      <c r="B806" t="s">
        <v>1098</v>
      </c>
      <c r="C806" t="s">
        <v>1568</v>
      </c>
      <c r="D806" t="s">
        <v>1568</v>
      </c>
      <c r="E806" t="s">
        <v>36</v>
      </c>
      <c r="F806" t="s">
        <v>1732</v>
      </c>
      <c r="G806" t="s">
        <v>1018</v>
      </c>
      <c r="H806" t="s">
        <v>1568</v>
      </c>
      <c r="I806" t="s">
        <v>1019</v>
      </c>
      <c r="J806" t="s">
        <v>1568</v>
      </c>
      <c r="K806" t="s">
        <v>1568</v>
      </c>
      <c r="L806" t="s">
        <v>1568</v>
      </c>
      <c r="M806" t="s">
        <v>1568</v>
      </c>
      <c r="N806" t="s">
        <v>1568</v>
      </c>
      <c r="O806" t="s">
        <v>1568</v>
      </c>
      <c r="P806" t="s">
        <v>1568</v>
      </c>
      <c r="Q806" t="s">
        <v>1568</v>
      </c>
      <c r="R806" t="s">
        <v>1568</v>
      </c>
      <c r="S806" t="s">
        <v>1568</v>
      </c>
      <c r="T806" t="s">
        <v>1568</v>
      </c>
      <c r="U806" t="s">
        <v>1568</v>
      </c>
      <c r="V806" t="s">
        <v>1592</v>
      </c>
      <c r="W806" t="s">
        <v>1020</v>
      </c>
      <c r="X806" t="s">
        <v>61</v>
      </c>
      <c r="Y806" t="s">
        <v>1587</v>
      </c>
    </row>
    <row r="807" spans="1:25" ht="16" x14ac:dyDescent="0.2">
      <c r="A807" t="s">
        <v>1568</v>
      </c>
      <c r="B807" t="s">
        <v>1098</v>
      </c>
      <c r="C807" t="s">
        <v>1568</v>
      </c>
      <c r="D807" t="s">
        <v>1568</v>
      </c>
      <c r="E807" t="s">
        <v>43</v>
      </c>
      <c r="F807" t="s">
        <v>1732</v>
      </c>
      <c r="G807" t="s">
        <v>1021</v>
      </c>
      <c r="H807" t="s">
        <v>1568</v>
      </c>
      <c r="I807" t="s">
        <v>1022</v>
      </c>
      <c r="J807" t="s">
        <v>1568</v>
      </c>
      <c r="K807" t="s">
        <v>1568</v>
      </c>
      <c r="L807" t="s">
        <v>1568</v>
      </c>
      <c r="M807" t="s">
        <v>1568</v>
      </c>
      <c r="N807" t="s">
        <v>1568</v>
      </c>
      <c r="O807" t="s">
        <v>1568</v>
      </c>
      <c r="P807" t="s">
        <v>1568</v>
      </c>
      <c r="Q807" t="s">
        <v>1568</v>
      </c>
      <c r="R807" t="s">
        <v>1568</v>
      </c>
      <c r="S807" t="s">
        <v>1568</v>
      </c>
      <c r="T807" t="s">
        <v>1568</v>
      </c>
      <c r="U807" t="s">
        <v>1568</v>
      </c>
      <c r="V807" t="s">
        <v>1745</v>
      </c>
      <c r="W807" t="s">
        <v>1023</v>
      </c>
      <c r="X807" t="s">
        <v>61</v>
      </c>
      <c r="Y807" t="s">
        <v>1587</v>
      </c>
    </row>
    <row r="808" spans="1:25" ht="16" x14ac:dyDescent="0.2">
      <c r="A808" t="s">
        <v>1568</v>
      </c>
      <c r="B808" t="s">
        <v>1098</v>
      </c>
      <c r="C808" t="s">
        <v>1568</v>
      </c>
      <c r="D808" t="s">
        <v>1568</v>
      </c>
      <c r="E808" t="s">
        <v>47</v>
      </c>
      <c r="F808" t="s">
        <v>1732</v>
      </c>
      <c r="G808" t="s">
        <v>1024</v>
      </c>
      <c r="H808" t="s">
        <v>1568</v>
      </c>
      <c r="I808" t="s">
        <v>1025</v>
      </c>
      <c r="J808" t="s">
        <v>1568</v>
      </c>
      <c r="K808" t="s">
        <v>1568</v>
      </c>
      <c r="L808" t="s">
        <v>1568</v>
      </c>
      <c r="M808" t="s">
        <v>1568</v>
      </c>
      <c r="N808" t="s">
        <v>1568</v>
      </c>
      <c r="O808" t="s">
        <v>1568</v>
      </c>
      <c r="P808" t="s">
        <v>1568</v>
      </c>
      <c r="Q808" t="s">
        <v>1568</v>
      </c>
      <c r="R808" t="s">
        <v>1568</v>
      </c>
      <c r="S808" t="s">
        <v>1568</v>
      </c>
      <c r="T808" t="s">
        <v>1568</v>
      </c>
      <c r="U808" t="s">
        <v>1568</v>
      </c>
      <c r="V808" t="s">
        <v>1643</v>
      </c>
      <c r="W808" t="s">
        <v>1026</v>
      </c>
      <c r="X808" t="s">
        <v>61</v>
      </c>
      <c r="Y808" t="s">
        <v>1587</v>
      </c>
    </row>
    <row r="809" spans="1:25" ht="16" x14ac:dyDescent="0.2">
      <c r="A809" t="s">
        <v>1568</v>
      </c>
      <c r="B809" t="s">
        <v>1098</v>
      </c>
      <c r="C809" t="s">
        <v>1568</v>
      </c>
      <c r="D809" t="s">
        <v>1568</v>
      </c>
      <c r="E809" t="s">
        <v>51</v>
      </c>
      <c r="F809" t="s">
        <v>1732</v>
      </c>
      <c r="G809" t="s">
        <v>1027</v>
      </c>
      <c r="H809" t="s">
        <v>1568</v>
      </c>
      <c r="I809" t="s">
        <v>1028</v>
      </c>
      <c r="J809" t="s">
        <v>1568</v>
      </c>
      <c r="K809" t="s">
        <v>1568</v>
      </c>
      <c r="L809" t="s">
        <v>1568</v>
      </c>
      <c r="M809" t="s">
        <v>1568</v>
      </c>
      <c r="N809" t="s">
        <v>1568</v>
      </c>
      <c r="O809" t="s">
        <v>1568</v>
      </c>
      <c r="P809" t="s">
        <v>1568</v>
      </c>
      <c r="Q809" t="s">
        <v>1568</v>
      </c>
      <c r="R809" t="s">
        <v>1568</v>
      </c>
      <c r="S809" t="s">
        <v>1568</v>
      </c>
      <c r="T809" t="s">
        <v>1568</v>
      </c>
      <c r="U809" t="s">
        <v>1568</v>
      </c>
      <c r="V809" t="s">
        <v>1746</v>
      </c>
      <c r="W809" t="s">
        <v>1029</v>
      </c>
      <c r="X809" t="s">
        <v>61</v>
      </c>
      <c r="Y809" t="s">
        <v>1587</v>
      </c>
    </row>
    <row r="810" spans="1:25" ht="16" x14ac:dyDescent="0.2">
      <c r="A810" t="s">
        <v>1568</v>
      </c>
      <c r="B810" t="s">
        <v>1098</v>
      </c>
      <c r="C810" t="s">
        <v>1568</v>
      </c>
      <c r="D810" t="s">
        <v>1568</v>
      </c>
      <c r="E810" t="s">
        <v>55</v>
      </c>
      <c r="F810" t="s">
        <v>1732</v>
      </c>
      <c r="G810" t="s">
        <v>1030</v>
      </c>
      <c r="H810" t="s">
        <v>1568</v>
      </c>
      <c r="I810" t="s">
        <v>1031</v>
      </c>
      <c r="J810" t="s">
        <v>1568</v>
      </c>
      <c r="K810" t="s">
        <v>1568</v>
      </c>
      <c r="L810" t="s">
        <v>1568</v>
      </c>
      <c r="M810" t="s">
        <v>1568</v>
      </c>
      <c r="N810" t="s">
        <v>1568</v>
      </c>
      <c r="O810" t="s">
        <v>1568</v>
      </c>
      <c r="P810" t="s">
        <v>1568</v>
      </c>
      <c r="Q810" t="s">
        <v>1568</v>
      </c>
      <c r="R810" t="s">
        <v>1568</v>
      </c>
      <c r="S810" t="s">
        <v>1568</v>
      </c>
      <c r="T810" t="s">
        <v>1568</v>
      </c>
      <c r="U810" t="s">
        <v>1568</v>
      </c>
      <c r="V810" t="s">
        <v>1715</v>
      </c>
      <c r="W810" t="s">
        <v>1032</v>
      </c>
      <c r="X810" t="s">
        <v>61</v>
      </c>
      <c r="Y810" t="s">
        <v>1587</v>
      </c>
    </row>
    <row r="811" spans="1:25" ht="16" x14ac:dyDescent="0.2">
      <c r="A811" t="s">
        <v>1568</v>
      </c>
      <c r="B811" t="s">
        <v>1099</v>
      </c>
      <c r="C811" t="s">
        <v>1568</v>
      </c>
      <c r="D811" t="s">
        <v>1568</v>
      </c>
      <c r="E811" t="s">
        <v>36</v>
      </c>
      <c r="F811" t="s">
        <v>1732</v>
      </c>
      <c r="G811" t="s">
        <v>1080</v>
      </c>
      <c r="H811" t="s">
        <v>1568</v>
      </c>
      <c r="I811" t="s">
        <v>1081</v>
      </c>
      <c r="J811" t="s">
        <v>1568</v>
      </c>
      <c r="K811" t="s">
        <v>1568</v>
      </c>
      <c r="L811" t="s">
        <v>1568</v>
      </c>
      <c r="M811" t="s">
        <v>1568</v>
      </c>
      <c r="N811" t="s">
        <v>1568</v>
      </c>
      <c r="O811" t="s">
        <v>1568</v>
      </c>
      <c r="P811" t="s">
        <v>1568</v>
      </c>
      <c r="Q811" t="s">
        <v>1568</v>
      </c>
      <c r="R811" t="s">
        <v>1568</v>
      </c>
      <c r="S811" t="s">
        <v>1568</v>
      </c>
      <c r="T811" t="s">
        <v>1568</v>
      </c>
      <c r="U811" t="s">
        <v>1568</v>
      </c>
      <c r="V811" t="s">
        <v>1665</v>
      </c>
      <c r="W811" t="s">
        <v>1082</v>
      </c>
      <c r="X811" t="s">
        <v>59</v>
      </c>
      <c r="Y811" t="s">
        <v>1581</v>
      </c>
    </row>
    <row r="812" spans="1:25" ht="16" x14ac:dyDescent="0.2">
      <c r="A812" t="s">
        <v>1568</v>
      </c>
      <c r="B812" t="s">
        <v>1099</v>
      </c>
      <c r="C812" t="s">
        <v>1568</v>
      </c>
      <c r="D812" t="s">
        <v>1568</v>
      </c>
      <c r="E812" t="s">
        <v>43</v>
      </c>
      <c r="F812" t="s">
        <v>1732</v>
      </c>
      <c r="G812" t="s">
        <v>1083</v>
      </c>
      <c r="H812" t="s">
        <v>1568</v>
      </c>
      <c r="I812" t="s">
        <v>1084</v>
      </c>
      <c r="J812" t="s">
        <v>1568</v>
      </c>
      <c r="K812" t="s">
        <v>1568</v>
      </c>
      <c r="L812" t="s">
        <v>1568</v>
      </c>
      <c r="M812" t="s">
        <v>1568</v>
      </c>
      <c r="N812" t="s">
        <v>1568</v>
      </c>
      <c r="O812" t="s">
        <v>1568</v>
      </c>
      <c r="P812" t="s">
        <v>1568</v>
      </c>
      <c r="Q812" t="s">
        <v>1568</v>
      </c>
      <c r="R812" t="s">
        <v>1568</v>
      </c>
      <c r="S812" t="s">
        <v>1568</v>
      </c>
      <c r="T812" t="s">
        <v>1568</v>
      </c>
      <c r="U812" t="s">
        <v>1568</v>
      </c>
      <c r="V812" t="s">
        <v>1665</v>
      </c>
      <c r="W812" t="s">
        <v>1085</v>
      </c>
      <c r="X812" t="s">
        <v>59</v>
      </c>
      <c r="Y812" t="s">
        <v>1581</v>
      </c>
    </row>
    <row r="813" spans="1:25" ht="16" x14ac:dyDescent="0.2">
      <c r="A813" t="s">
        <v>1568</v>
      </c>
      <c r="B813" t="s">
        <v>1099</v>
      </c>
      <c r="C813" t="s">
        <v>1568</v>
      </c>
      <c r="D813" t="s">
        <v>1568</v>
      </c>
      <c r="E813" t="s">
        <v>47</v>
      </c>
      <c r="F813" t="s">
        <v>1732</v>
      </c>
      <c r="G813" t="s">
        <v>1086</v>
      </c>
      <c r="H813" t="s">
        <v>1568</v>
      </c>
      <c r="I813" t="s">
        <v>1087</v>
      </c>
      <c r="J813" t="s">
        <v>1568</v>
      </c>
      <c r="K813" t="s">
        <v>1568</v>
      </c>
      <c r="L813" t="s">
        <v>1568</v>
      </c>
      <c r="M813" t="s">
        <v>1568</v>
      </c>
      <c r="N813" t="s">
        <v>1568</v>
      </c>
      <c r="O813" t="s">
        <v>1568</v>
      </c>
      <c r="P813" t="s">
        <v>1568</v>
      </c>
      <c r="Q813" t="s">
        <v>1568</v>
      </c>
      <c r="R813" t="s">
        <v>1568</v>
      </c>
      <c r="S813" t="s">
        <v>1568</v>
      </c>
      <c r="T813" t="s">
        <v>1568</v>
      </c>
      <c r="U813" t="s">
        <v>1568</v>
      </c>
      <c r="V813" t="s">
        <v>1665</v>
      </c>
      <c r="W813" t="s">
        <v>1088</v>
      </c>
      <c r="X813" t="s">
        <v>59</v>
      </c>
      <c r="Y813" t="s">
        <v>1581</v>
      </c>
    </row>
    <row r="814" spans="1:25" ht="16" x14ac:dyDescent="0.2">
      <c r="A814" t="s">
        <v>1568</v>
      </c>
      <c r="B814" t="s">
        <v>1099</v>
      </c>
      <c r="C814" t="s">
        <v>1568</v>
      </c>
      <c r="D814" t="s">
        <v>1568</v>
      </c>
      <c r="E814" t="s">
        <v>51</v>
      </c>
      <c r="F814" t="s">
        <v>1732</v>
      </c>
      <c r="G814" t="s">
        <v>1089</v>
      </c>
      <c r="H814" t="s">
        <v>1568</v>
      </c>
      <c r="I814" t="s">
        <v>1090</v>
      </c>
      <c r="J814" t="s">
        <v>1568</v>
      </c>
      <c r="K814" t="s">
        <v>1568</v>
      </c>
      <c r="L814" t="s">
        <v>1568</v>
      </c>
      <c r="M814" t="s">
        <v>1568</v>
      </c>
      <c r="N814" t="s">
        <v>1568</v>
      </c>
      <c r="O814" t="s">
        <v>1568</v>
      </c>
      <c r="P814" t="s">
        <v>1568</v>
      </c>
      <c r="Q814" t="s">
        <v>1568</v>
      </c>
      <c r="R814" t="s">
        <v>1568</v>
      </c>
      <c r="S814" t="s">
        <v>1568</v>
      </c>
      <c r="T814" t="s">
        <v>1568</v>
      </c>
      <c r="U814" t="s">
        <v>1568</v>
      </c>
      <c r="V814" t="s">
        <v>1665</v>
      </c>
      <c r="W814" t="s">
        <v>1091</v>
      </c>
      <c r="X814" t="s">
        <v>59</v>
      </c>
      <c r="Y814" t="s">
        <v>1581</v>
      </c>
    </row>
    <row r="815" spans="1:25" ht="16" x14ac:dyDescent="0.2">
      <c r="A815" t="s">
        <v>1568</v>
      </c>
      <c r="B815" t="s">
        <v>1099</v>
      </c>
      <c r="C815" t="s">
        <v>1568</v>
      </c>
      <c r="D815" t="s">
        <v>1568</v>
      </c>
      <c r="E815" t="s">
        <v>55</v>
      </c>
      <c r="F815" t="s">
        <v>1732</v>
      </c>
      <c r="G815" t="s">
        <v>1092</v>
      </c>
      <c r="H815" t="s">
        <v>1568</v>
      </c>
      <c r="I815" t="s">
        <v>1093</v>
      </c>
      <c r="J815" t="s">
        <v>1568</v>
      </c>
      <c r="K815" t="s">
        <v>1568</v>
      </c>
      <c r="L815" t="s">
        <v>1568</v>
      </c>
      <c r="M815" t="s">
        <v>1568</v>
      </c>
      <c r="N815" t="s">
        <v>1568</v>
      </c>
      <c r="O815" t="s">
        <v>1568</v>
      </c>
      <c r="P815" t="s">
        <v>1568</v>
      </c>
      <c r="Q815" t="s">
        <v>1568</v>
      </c>
      <c r="R815" t="s">
        <v>1568</v>
      </c>
      <c r="S815" t="s">
        <v>1568</v>
      </c>
      <c r="T815" t="s">
        <v>1568</v>
      </c>
      <c r="U815" t="s">
        <v>1568</v>
      </c>
      <c r="V815" t="s">
        <v>1665</v>
      </c>
      <c r="W815" t="s">
        <v>1094</v>
      </c>
      <c r="X815" t="s">
        <v>59</v>
      </c>
      <c r="Y815" t="s">
        <v>1581</v>
      </c>
    </row>
    <row r="816" spans="1:25" ht="16" x14ac:dyDescent="0.2">
      <c r="A816" t="s">
        <v>1568</v>
      </c>
      <c r="B816" t="s">
        <v>1100</v>
      </c>
      <c r="C816" t="s">
        <v>1568</v>
      </c>
      <c r="D816" t="s">
        <v>1568</v>
      </c>
      <c r="E816" t="s">
        <v>36</v>
      </c>
      <c r="F816" t="s">
        <v>1732</v>
      </c>
      <c r="G816" t="s">
        <v>1101</v>
      </c>
      <c r="H816" t="s">
        <v>1568</v>
      </c>
      <c r="I816" t="s">
        <v>1102</v>
      </c>
      <c r="J816" t="s">
        <v>1568</v>
      </c>
      <c r="K816" t="s">
        <v>1568</v>
      </c>
      <c r="L816" t="s">
        <v>1568</v>
      </c>
      <c r="M816" t="s">
        <v>1568</v>
      </c>
      <c r="N816" t="s">
        <v>1568</v>
      </c>
      <c r="O816" t="s">
        <v>1568</v>
      </c>
      <c r="P816" t="s">
        <v>1568</v>
      </c>
      <c r="Q816" t="s">
        <v>1568</v>
      </c>
      <c r="R816" t="s">
        <v>1568</v>
      </c>
      <c r="S816" t="s">
        <v>1568</v>
      </c>
      <c r="T816" t="s">
        <v>1568</v>
      </c>
      <c r="U816" t="s">
        <v>1568</v>
      </c>
      <c r="V816" t="s">
        <v>1665</v>
      </c>
      <c r="W816" t="s">
        <v>1103</v>
      </c>
      <c r="X816" t="s">
        <v>61</v>
      </c>
      <c r="Y816" t="s">
        <v>1587</v>
      </c>
    </row>
    <row r="817" spans="1:25" ht="16" x14ac:dyDescent="0.2">
      <c r="A817" t="s">
        <v>1568</v>
      </c>
      <c r="B817" t="s">
        <v>1100</v>
      </c>
      <c r="C817" t="s">
        <v>1568</v>
      </c>
      <c r="D817" t="s">
        <v>1568</v>
      </c>
      <c r="E817" t="s">
        <v>43</v>
      </c>
      <c r="F817" t="s">
        <v>1732</v>
      </c>
      <c r="G817" t="s">
        <v>1034</v>
      </c>
      <c r="H817" t="s">
        <v>1568</v>
      </c>
      <c r="I817" t="s">
        <v>1035</v>
      </c>
      <c r="J817" t="s">
        <v>1568</v>
      </c>
      <c r="K817" t="s">
        <v>1568</v>
      </c>
      <c r="L817" t="s">
        <v>1568</v>
      </c>
      <c r="M817" t="s">
        <v>1568</v>
      </c>
      <c r="N817" t="s">
        <v>1568</v>
      </c>
      <c r="O817" t="s">
        <v>1568</v>
      </c>
      <c r="P817" t="s">
        <v>1568</v>
      </c>
      <c r="Q817" t="s">
        <v>1568</v>
      </c>
      <c r="R817" t="s">
        <v>1568</v>
      </c>
      <c r="S817" t="s">
        <v>1568</v>
      </c>
      <c r="T817" t="s">
        <v>1568</v>
      </c>
      <c r="U817" t="s">
        <v>1568</v>
      </c>
      <c r="V817" t="s">
        <v>1665</v>
      </c>
      <c r="W817" t="s">
        <v>1036</v>
      </c>
      <c r="X817" t="s">
        <v>61</v>
      </c>
      <c r="Y817" t="s">
        <v>1587</v>
      </c>
    </row>
    <row r="818" spans="1:25" ht="16" x14ac:dyDescent="0.2">
      <c r="A818" t="s">
        <v>1568</v>
      </c>
      <c r="B818" t="s">
        <v>1100</v>
      </c>
      <c r="C818" t="s">
        <v>1568</v>
      </c>
      <c r="D818" t="s">
        <v>1568</v>
      </c>
      <c r="E818" t="s">
        <v>47</v>
      </c>
      <c r="F818" t="s">
        <v>1732</v>
      </c>
      <c r="G818" t="s">
        <v>1037</v>
      </c>
      <c r="H818" t="s">
        <v>1568</v>
      </c>
      <c r="I818" t="s">
        <v>1038</v>
      </c>
      <c r="J818" t="s">
        <v>1568</v>
      </c>
      <c r="K818" t="s">
        <v>1568</v>
      </c>
      <c r="L818" t="s">
        <v>1568</v>
      </c>
      <c r="M818" t="s">
        <v>1568</v>
      </c>
      <c r="N818" t="s">
        <v>1568</v>
      </c>
      <c r="O818" t="s">
        <v>1568</v>
      </c>
      <c r="P818" t="s">
        <v>1568</v>
      </c>
      <c r="Q818" t="s">
        <v>1568</v>
      </c>
      <c r="R818" t="s">
        <v>1568</v>
      </c>
      <c r="S818" t="s">
        <v>1568</v>
      </c>
      <c r="T818" t="s">
        <v>1568</v>
      </c>
      <c r="U818" t="s">
        <v>1568</v>
      </c>
      <c r="V818" t="s">
        <v>1665</v>
      </c>
      <c r="W818" t="s">
        <v>1039</v>
      </c>
      <c r="X818" t="s">
        <v>61</v>
      </c>
      <c r="Y818" t="s">
        <v>1587</v>
      </c>
    </row>
    <row r="819" spans="1:25" ht="16" x14ac:dyDescent="0.2">
      <c r="A819" t="s">
        <v>1568</v>
      </c>
      <c r="B819" t="s">
        <v>1100</v>
      </c>
      <c r="C819" t="s">
        <v>1568</v>
      </c>
      <c r="D819" t="s">
        <v>1568</v>
      </c>
      <c r="E819" t="s">
        <v>51</v>
      </c>
      <c r="F819" t="s">
        <v>1732</v>
      </c>
      <c r="G819" t="s">
        <v>1040</v>
      </c>
      <c r="H819" t="s">
        <v>1568</v>
      </c>
      <c r="I819" t="s">
        <v>1041</v>
      </c>
      <c r="J819" t="s">
        <v>1568</v>
      </c>
      <c r="K819" t="s">
        <v>1568</v>
      </c>
      <c r="L819" t="s">
        <v>1568</v>
      </c>
      <c r="M819" t="s">
        <v>1568</v>
      </c>
      <c r="N819" t="s">
        <v>1568</v>
      </c>
      <c r="O819" t="s">
        <v>1568</v>
      </c>
      <c r="P819" t="s">
        <v>1568</v>
      </c>
      <c r="Q819" t="s">
        <v>1568</v>
      </c>
      <c r="R819" t="s">
        <v>1568</v>
      </c>
      <c r="S819" t="s">
        <v>1568</v>
      </c>
      <c r="T819" t="s">
        <v>1568</v>
      </c>
      <c r="U819" t="s">
        <v>1568</v>
      </c>
      <c r="V819" t="s">
        <v>1665</v>
      </c>
      <c r="W819" t="s">
        <v>1042</v>
      </c>
      <c r="X819" t="s">
        <v>61</v>
      </c>
      <c r="Y819" t="s">
        <v>1587</v>
      </c>
    </row>
    <row r="820" spans="1:25" ht="16" x14ac:dyDescent="0.2">
      <c r="A820" t="s">
        <v>1568</v>
      </c>
      <c r="B820" t="s">
        <v>1100</v>
      </c>
      <c r="C820" t="s">
        <v>1568</v>
      </c>
      <c r="D820" t="s">
        <v>1568</v>
      </c>
      <c r="E820" t="s">
        <v>55</v>
      </c>
      <c r="F820" t="s">
        <v>1732</v>
      </c>
      <c r="G820" t="s">
        <v>1043</v>
      </c>
      <c r="H820" t="s">
        <v>1568</v>
      </c>
      <c r="I820" t="s">
        <v>1044</v>
      </c>
      <c r="J820" t="s">
        <v>1568</v>
      </c>
      <c r="K820" t="s">
        <v>1568</v>
      </c>
      <c r="L820" t="s">
        <v>1568</v>
      </c>
      <c r="M820" t="s">
        <v>1568</v>
      </c>
      <c r="N820" t="s">
        <v>1568</v>
      </c>
      <c r="O820" t="s">
        <v>1568</v>
      </c>
      <c r="P820" t="s">
        <v>1568</v>
      </c>
      <c r="Q820" t="s">
        <v>1568</v>
      </c>
      <c r="R820" t="s">
        <v>1568</v>
      </c>
      <c r="S820" t="s">
        <v>1568</v>
      </c>
      <c r="T820" t="s">
        <v>1568</v>
      </c>
      <c r="U820" t="s">
        <v>1568</v>
      </c>
      <c r="V820" t="s">
        <v>1665</v>
      </c>
      <c r="W820" t="s">
        <v>1045</v>
      </c>
      <c r="X820" t="s">
        <v>61</v>
      </c>
      <c r="Y820" t="s">
        <v>1587</v>
      </c>
    </row>
    <row r="821" spans="1:25" ht="16" x14ac:dyDescent="0.2">
      <c r="A821" t="s">
        <v>1568</v>
      </c>
      <c r="B821" t="s">
        <v>1104</v>
      </c>
      <c r="C821" t="s">
        <v>1568</v>
      </c>
      <c r="D821" t="s">
        <v>1568</v>
      </c>
      <c r="E821" t="s">
        <v>36</v>
      </c>
      <c r="F821" t="s">
        <v>1732</v>
      </c>
      <c r="G821" t="s">
        <v>1047</v>
      </c>
      <c r="H821" t="s">
        <v>1568</v>
      </c>
      <c r="I821" t="s">
        <v>1048</v>
      </c>
      <c r="J821" t="s">
        <v>1568</v>
      </c>
      <c r="K821" t="s">
        <v>1568</v>
      </c>
      <c r="L821" t="s">
        <v>1568</v>
      </c>
      <c r="M821" t="s">
        <v>1568</v>
      </c>
      <c r="N821" t="s">
        <v>1568</v>
      </c>
      <c r="O821" t="s">
        <v>1568</v>
      </c>
      <c r="P821" t="s">
        <v>1568</v>
      </c>
      <c r="Q821" t="s">
        <v>1568</v>
      </c>
      <c r="R821" t="s">
        <v>1568</v>
      </c>
      <c r="S821" t="s">
        <v>1568</v>
      </c>
      <c r="T821" t="s">
        <v>1568</v>
      </c>
      <c r="U821" t="s">
        <v>1568</v>
      </c>
      <c r="V821" t="s">
        <v>1665</v>
      </c>
      <c r="W821" t="s">
        <v>1049</v>
      </c>
      <c r="X821" t="s">
        <v>61</v>
      </c>
      <c r="Y821" t="s">
        <v>1587</v>
      </c>
    </row>
    <row r="822" spans="1:25" ht="16" x14ac:dyDescent="0.2">
      <c r="A822" t="s">
        <v>1568</v>
      </c>
      <c r="B822" t="s">
        <v>1104</v>
      </c>
      <c r="C822" t="s">
        <v>1568</v>
      </c>
      <c r="D822" t="s">
        <v>1568</v>
      </c>
      <c r="E822" t="s">
        <v>43</v>
      </c>
      <c r="F822" t="s">
        <v>1732</v>
      </c>
      <c r="G822" t="s">
        <v>1050</v>
      </c>
      <c r="H822" t="s">
        <v>1568</v>
      </c>
      <c r="I822" t="s">
        <v>1051</v>
      </c>
      <c r="J822" t="s">
        <v>1568</v>
      </c>
      <c r="K822" t="s">
        <v>1568</v>
      </c>
      <c r="L822" t="s">
        <v>1568</v>
      </c>
      <c r="M822" t="s">
        <v>1568</v>
      </c>
      <c r="N822" t="s">
        <v>1568</v>
      </c>
      <c r="O822" t="s">
        <v>1568</v>
      </c>
      <c r="P822" t="s">
        <v>1568</v>
      </c>
      <c r="Q822" t="s">
        <v>1568</v>
      </c>
      <c r="R822" t="s">
        <v>1568</v>
      </c>
      <c r="S822" t="s">
        <v>1568</v>
      </c>
      <c r="T822" t="s">
        <v>1568</v>
      </c>
      <c r="U822" t="s">
        <v>1568</v>
      </c>
      <c r="V822" t="s">
        <v>1665</v>
      </c>
      <c r="W822" t="s">
        <v>1052</v>
      </c>
      <c r="X822" t="s">
        <v>61</v>
      </c>
      <c r="Y822" t="s">
        <v>1587</v>
      </c>
    </row>
    <row r="823" spans="1:25" ht="16" x14ac:dyDescent="0.2">
      <c r="A823" t="s">
        <v>1568</v>
      </c>
      <c r="B823" t="s">
        <v>1104</v>
      </c>
      <c r="C823" t="s">
        <v>1568</v>
      </c>
      <c r="D823" t="s">
        <v>1568</v>
      </c>
      <c r="E823" t="s">
        <v>47</v>
      </c>
      <c r="F823" t="s">
        <v>1732</v>
      </c>
      <c r="G823" t="s">
        <v>1053</v>
      </c>
      <c r="H823" t="s">
        <v>1568</v>
      </c>
      <c r="I823" t="s">
        <v>1054</v>
      </c>
      <c r="J823" t="s">
        <v>1568</v>
      </c>
      <c r="K823" t="s">
        <v>1568</v>
      </c>
      <c r="L823" t="s">
        <v>1568</v>
      </c>
      <c r="M823" t="s">
        <v>1568</v>
      </c>
      <c r="N823" t="s">
        <v>1568</v>
      </c>
      <c r="O823" t="s">
        <v>1568</v>
      </c>
      <c r="P823" t="s">
        <v>1568</v>
      </c>
      <c r="Q823" t="s">
        <v>1568</v>
      </c>
      <c r="R823" t="s">
        <v>1568</v>
      </c>
      <c r="S823" t="s">
        <v>1568</v>
      </c>
      <c r="T823" t="s">
        <v>1568</v>
      </c>
      <c r="U823" t="s">
        <v>1568</v>
      </c>
      <c r="V823" t="s">
        <v>1665</v>
      </c>
      <c r="W823" t="s">
        <v>1055</v>
      </c>
      <c r="X823" t="s">
        <v>61</v>
      </c>
      <c r="Y823" t="s">
        <v>1587</v>
      </c>
    </row>
    <row r="824" spans="1:25" ht="16" x14ac:dyDescent="0.2">
      <c r="A824" t="s">
        <v>1568</v>
      </c>
      <c r="B824" t="s">
        <v>1104</v>
      </c>
      <c r="C824" t="s">
        <v>1568</v>
      </c>
      <c r="D824" t="s">
        <v>1568</v>
      </c>
      <c r="E824" t="s">
        <v>51</v>
      </c>
      <c r="F824" t="s">
        <v>1732</v>
      </c>
      <c r="G824" t="s">
        <v>1056</v>
      </c>
      <c r="H824" t="s">
        <v>1568</v>
      </c>
      <c r="I824" t="s">
        <v>1057</v>
      </c>
      <c r="J824" t="s">
        <v>1568</v>
      </c>
      <c r="K824" t="s">
        <v>1568</v>
      </c>
      <c r="L824" t="s">
        <v>1568</v>
      </c>
      <c r="M824" t="s">
        <v>1568</v>
      </c>
      <c r="N824" t="s">
        <v>1568</v>
      </c>
      <c r="O824" t="s">
        <v>1568</v>
      </c>
      <c r="P824" t="s">
        <v>1568</v>
      </c>
      <c r="Q824" t="s">
        <v>1568</v>
      </c>
      <c r="R824" t="s">
        <v>1568</v>
      </c>
      <c r="S824" t="s">
        <v>1568</v>
      </c>
      <c r="T824" t="s">
        <v>1568</v>
      </c>
      <c r="U824" t="s">
        <v>1568</v>
      </c>
      <c r="V824" t="s">
        <v>1665</v>
      </c>
      <c r="W824" t="s">
        <v>1058</v>
      </c>
      <c r="X824" t="s">
        <v>61</v>
      </c>
      <c r="Y824" t="s">
        <v>1587</v>
      </c>
    </row>
    <row r="825" spans="1:25" ht="16" x14ac:dyDescent="0.2">
      <c r="A825" t="s">
        <v>1568</v>
      </c>
      <c r="B825" t="s">
        <v>1104</v>
      </c>
      <c r="C825" t="s">
        <v>1568</v>
      </c>
      <c r="D825" t="s">
        <v>1568</v>
      </c>
      <c r="E825" t="s">
        <v>55</v>
      </c>
      <c r="F825" t="s">
        <v>1732</v>
      </c>
      <c r="G825" t="s">
        <v>1059</v>
      </c>
      <c r="H825" t="s">
        <v>1568</v>
      </c>
      <c r="I825" t="s">
        <v>1060</v>
      </c>
      <c r="J825" t="s">
        <v>1568</v>
      </c>
      <c r="K825" t="s">
        <v>1568</v>
      </c>
      <c r="L825" t="s">
        <v>1568</v>
      </c>
      <c r="M825" t="s">
        <v>1568</v>
      </c>
      <c r="N825" t="s">
        <v>1568</v>
      </c>
      <c r="O825" t="s">
        <v>1568</v>
      </c>
      <c r="P825" t="s">
        <v>1568</v>
      </c>
      <c r="Q825" t="s">
        <v>1568</v>
      </c>
      <c r="R825" t="s">
        <v>1568</v>
      </c>
      <c r="S825" t="s">
        <v>1568</v>
      </c>
      <c r="T825" t="s">
        <v>1568</v>
      </c>
      <c r="U825" t="s">
        <v>1568</v>
      </c>
      <c r="V825" t="s">
        <v>1665</v>
      </c>
      <c r="W825" t="s">
        <v>1061</v>
      </c>
      <c r="X825" t="s">
        <v>61</v>
      </c>
      <c r="Y825" t="s">
        <v>1587</v>
      </c>
    </row>
    <row r="826" spans="1:25" ht="16" x14ac:dyDescent="0.2">
      <c r="A826" t="s">
        <v>1568</v>
      </c>
      <c r="B826" t="s">
        <v>1105</v>
      </c>
      <c r="C826" t="s">
        <v>1568</v>
      </c>
      <c r="D826" t="s">
        <v>1568</v>
      </c>
      <c r="E826" t="s">
        <v>36</v>
      </c>
      <c r="F826" t="s">
        <v>1732</v>
      </c>
      <c r="G826" t="s">
        <v>1063</v>
      </c>
      <c r="H826" t="s">
        <v>1568</v>
      </c>
      <c r="I826" t="s">
        <v>1064</v>
      </c>
      <c r="J826" t="s">
        <v>1568</v>
      </c>
      <c r="K826" t="s">
        <v>1568</v>
      </c>
      <c r="L826" t="s">
        <v>1568</v>
      </c>
      <c r="M826" t="s">
        <v>1568</v>
      </c>
      <c r="N826" t="s">
        <v>1568</v>
      </c>
      <c r="O826" t="s">
        <v>1568</v>
      </c>
      <c r="P826" t="s">
        <v>1568</v>
      </c>
      <c r="Q826" t="s">
        <v>1568</v>
      </c>
      <c r="R826" t="s">
        <v>1568</v>
      </c>
      <c r="S826" t="s">
        <v>1568</v>
      </c>
      <c r="T826" t="s">
        <v>1568</v>
      </c>
      <c r="U826" t="s">
        <v>1568</v>
      </c>
      <c r="V826" t="s">
        <v>1731</v>
      </c>
      <c r="W826" t="s">
        <v>1065</v>
      </c>
      <c r="X826" t="s">
        <v>61</v>
      </c>
      <c r="Y826" t="s">
        <v>1587</v>
      </c>
    </row>
    <row r="827" spans="1:25" ht="16" x14ac:dyDescent="0.2">
      <c r="A827" t="s">
        <v>1568</v>
      </c>
      <c r="B827" t="s">
        <v>1105</v>
      </c>
      <c r="C827" t="s">
        <v>1568</v>
      </c>
      <c r="D827" t="s">
        <v>1568</v>
      </c>
      <c r="E827" t="s">
        <v>43</v>
      </c>
      <c r="F827" t="s">
        <v>1732</v>
      </c>
      <c r="G827" t="s">
        <v>1066</v>
      </c>
      <c r="H827" t="s">
        <v>1568</v>
      </c>
      <c r="I827" t="s">
        <v>1067</v>
      </c>
      <c r="J827" t="s">
        <v>1568</v>
      </c>
      <c r="K827" t="s">
        <v>1568</v>
      </c>
      <c r="L827" t="s">
        <v>1568</v>
      </c>
      <c r="M827" t="s">
        <v>1568</v>
      </c>
      <c r="N827" t="s">
        <v>1568</v>
      </c>
      <c r="O827" t="s">
        <v>1568</v>
      </c>
      <c r="P827" t="s">
        <v>1568</v>
      </c>
      <c r="Q827" t="s">
        <v>1568</v>
      </c>
      <c r="R827" t="s">
        <v>1568</v>
      </c>
      <c r="S827" t="s">
        <v>1568</v>
      </c>
      <c r="T827" t="s">
        <v>1568</v>
      </c>
      <c r="U827" t="s">
        <v>1568</v>
      </c>
      <c r="V827" t="s">
        <v>1665</v>
      </c>
      <c r="W827" t="s">
        <v>1068</v>
      </c>
      <c r="X827" t="s">
        <v>61</v>
      </c>
      <c r="Y827" t="s">
        <v>1587</v>
      </c>
    </row>
    <row r="828" spans="1:25" ht="16" x14ac:dyDescent="0.2">
      <c r="A828" t="s">
        <v>1568</v>
      </c>
      <c r="B828" t="s">
        <v>1105</v>
      </c>
      <c r="C828" t="s">
        <v>1568</v>
      </c>
      <c r="D828" t="s">
        <v>1568</v>
      </c>
      <c r="E828" t="s">
        <v>47</v>
      </c>
      <c r="F828" t="s">
        <v>1732</v>
      </c>
      <c r="G828" t="s">
        <v>1069</v>
      </c>
      <c r="H828" t="s">
        <v>1568</v>
      </c>
      <c r="I828" t="s">
        <v>1070</v>
      </c>
      <c r="J828" t="s">
        <v>1568</v>
      </c>
      <c r="K828" t="s">
        <v>1568</v>
      </c>
      <c r="L828" t="s">
        <v>1568</v>
      </c>
      <c r="M828" t="s">
        <v>1568</v>
      </c>
      <c r="N828" t="s">
        <v>1568</v>
      </c>
      <c r="O828" t="s">
        <v>1568</v>
      </c>
      <c r="P828" t="s">
        <v>1568</v>
      </c>
      <c r="Q828" t="s">
        <v>1568</v>
      </c>
      <c r="R828" t="s">
        <v>1568</v>
      </c>
      <c r="S828" t="s">
        <v>1568</v>
      </c>
      <c r="T828" t="s">
        <v>1568</v>
      </c>
      <c r="U828" t="s">
        <v>1568</v>
      </c>
      <c r="V828" t="s">
        <v>1665</v>
      </c>
      <c r="W828" t="s">
        <v>1071</v>
      </c>
      <c r="X828" t="s">
        <v>61</v>
      </c>
      <c r="Y828" t="s">
        <v>1587</v>
      </c>
    </row>
    <row r="829" spans="1:25" ht="16" x14ac:dyDescent="0.2">
      <c r="A829" t="s">
        <v>1568</v>
      </c>
      <c r="B829" t="s">
        <v>1105</v>
      </c>
      <c r="C829" t="s">
        <v>1568</v>
      </c>
      <c r="D829" t="s">
        <v>1568</v>
      </c>
      <c r="E829" t="s">
        <v>51</v>
      </c>
      <c r="F829" t="s">
        <v>1732</v>
      </c>
      <c r="G829" t="s">
        <v>1072</v>
      </c>
      <c r="H829" t="s">
        <v>1568</v>
      </c>
      <c r="I829" t="s">
        <v>1073</v>
      </c>
      <c r="J829" t="s">
        <v>1568</v>
      </c>
      <c r="K829" t="s">
        <v>1568</v>
      </c>
      <c r="L829" t="s">
        <v>1568</v>
      </c>
      <c r="M829" t="s">
        <v>1568</v>
      </c>
      <c r="N829" t="s">
        <v>1568</v>
      </c>
      <c r="O829" t="s">
        <v>1568</v>
      </c>
      <c r="P829" t="s">
        <v>1568</v>
      </c>
      <c r="Q829" t="s">
        <v>1568</v>
      </c>
      <c r="R829" t="s">
        <v>1568</v>
      </c>
      <c r="S829" t="s">
        <v>1568</v>
      </c>
      <c r="T829" t="s">
        <v>1568</v>
      </c>
      <c r="U829" t="s">
        <v>1568</v>
      </c>
      <c r="V829" t="s">
        <v>1665</v>
      </c>
      <c r="W829" t="s">
        <v>1074</v>
      </c>
      <c r="X829" t="s">
        <v>61</v>
      </c>
      <c r="Y829" t="s">
        <v>1587</v>
      </c>
    </row>
    <row r="830" spans="1:25" ht="16" x14ac:dyDescent="0.2">
      <c r="A830" t="s">
        <v>1568</v>
      </c>
      <c r="B830" t="s">
        <v>1105</v>
      </c>
      <c r="C830" t="s">
        <v>1568</v>
      </c>
      <c r="D830" t="s">
        <v>1568</v>
      </c>
      <c r="E830" t="s">
        <v>55</v>
      </c>
      <c r="F830" t="s">
        <v>1732</v>
      </c>
      <c r="G830" t="s">
        <v>1075</v>
      </c>
      <c r="H830" t="s">
        <v>1568</v>
      </c>
      <c r="I830" t="s">
        <v>1076</v>
      </c>
      <c r="J830" t="s">
        <v>1568</v>
      </c>
      <c r="K830" t="s">
        <v>1568</v>
      </c>
      <c r="L830" t="s">
        <v>1568</v>
      </c>
      <c r="M830" t="s">
        <v>1568</v>
      </c>
      <c r="N830" t="s">
        <v>1568</v>
      </c>
      <c r="O830" t="s">
        <v>1568</v>
      </c>
      <c r="P830" t="s">
        <v>1568</v>
      </c>
      <c r="Q830" t="s">
        <v>1568</v>
      </c>
      <c r="R830" t="s">
        <v>1568</v>
      </c>
      <c r="S830" t="s">
        <v>1568</v>
      </c>
      <c r="T830" t="s">
        <v>1568</v>
      </c>
      <c r="U830" t="s">
        <v>1568</v>
      </c>
      <c r="V830" t="s">
        <v>1731</v>
      </c>
      <c r="W830" t="s">
        <v>1077</v>
      </c>
      <c r="X830" t="s">
        <v>61</v>
      </c>
      <c r="Y830" t="s">
        <v>1587</v>
      </c>
    </row>
    <row r="831" spans="1:25" ht="16" x14ac:dyDescent="0.2">
      <c r="A831" t="s">
        <v>1568</v>
      </c>
      <c r="B831" t="s">
        <v>1106</v>
      </c>
      <c r="C831" t="s">
        <v>1568</v>
      </c>
      <c r="D831" t="s">
        <v>1568</v>
      </c>
      <c r="E831" t="s">
        <v>36</v>
      </c>
      <c r="F831" t="s">
        <v>1732</v>
      </c>
      <c r="G831" t="s">
        <v>1080</v>
      </c>
      <c r="H831" t="s">
        <v>1568</v>
      </c>
      <c r="I831" t="s">
        <v>1081</v>
      </c>
      <c r="J831" t="s">
        <v>1568</v>
      </c>
      <c r="K831" t="s">
        <v>1568</v>
      </c>
      <c r="L831" t="s">
        <v>1568</v>
      </c>
      <c r="M831" t="s">
        <v>1568</v>
      </c>
      <c r="N831" t="s">
        <v>1568</v>
      </c>
      <c r="O831" t="s">
        <v>1568</v>
      </c>
      <c r="P831" t="s">
        <v>1568</v>
      </c>
      <c r="Q831" t="s">
        <v>1568</v>
      </c>
      <c r="R831" t="s">
        <v>1568</v>
      </c>
      <c r="S831" t="s">
        <v>1568</v>
      </c>
      <c r="T831" t="s">
        <v>1568</v>
      </c>
      <c r="U831" t="s">
        <v>1568</v>
      </c>
      <c r="V831" t="s">
        <v>1665</v>
      </c>
      <c r="W831" t="s">
        <v>1082</v>
      </c>
      <c r="X831" t="s">
        <v>61</v>
      </c>
      <c r="Y831" t="s">
        <v>1587</v>
      </c>
    </row>
    <row r="832" spans="1:25" ht="16" x14ac:dyDescent="0.2">
      <c r="A832" t="s">
        <v>1568</v>
      </c>
      <c r="B832" t="s">
        <v>1106</v>
      </c>
      <c r="C832" t="s">
        <v>1568</v>
      </c>
      <c r="D832" t="s">
        <v>1568</v>
      </c>
      <c r="E832" t="s">
        <v>43</v>
      </c>
      <c r="F832" t="s">
        <v>1732</v>
      </c>
      <c r="G832" t="s">
        <v>1083</v>
      </c>
      <c r="H832" t="s">
        <v>1568</v>
      </c>
      <c r="I832" t="s">
        <v>1084</v>
      </c>
      <c r="J832" t="s">
        <v>1568</v>
      </c>
      <c r="K832" t="s">
        <v>1568</v>
      </c>
      <c r="L832" t="s">
        <v>1568</v>
      </c>
      <c r="M832" t="s">
        <v>1568</v>
      </c>
      <c r="N832" t="s">
        <v>1568</v>
      </c>
      <c r="O832" t="s">
        <v>1568</v>
      </c>
      <c r="P832" t="s">
        <v>1568</v>
      </c>
      <c r="Q832" t="s">
        <v>1568</v>
      </c>
      <c r="R832" t="s">
        <v>1568</v>
      </c>
      <c r="S832" t="s">
        <v>1568</v>
      </c>
      <c r="T832" t="s">
        <v>1568</v>
      </c>
      <c r="U832" t="s">
        <v>1568</v>
      </c>
      <c r="V832" t="s">
        <v>1665</v>
      </c>
      <c r="W832" t="s">
        <v>1085</v>
      </c>
      <c r="X832" t="s">
        <v>61</v>
      </c>
      <c r="Y832" t="s">
        <v>1587</v>
      </c>
    </row>
    <row r="833" spans="1:25" ht="16" x14ac:dyDescent="0.2">
      <c r="A833" t="s">
        <v>1568</v>
      </c>
      <c r="B833" t="s">
        <v>1106</v>
      </c>
      <c r="C833" t="s">
        <v>1568</v>
      </c>
      <c r="D833" t="s">
        <v>1568</v>
      </c>
      <c r="E833" t="s">
        <v>47</v>
      </c>
      <c r="F833" t="s">
        <v>1732</v>
      </c>
      <c r="G833" t="s">
        <v>1086</v>
      </c>
      <c r="H833" t="s">
        <v>1568</v>
      </c>
      <c r="I833" t="s">
        <v>1087</v>
      </c>
      <c r="J833" t="s">
        <v>1568</v>
      </c>
      <c r="K833" t="s">
        <v>1568</v>
      </c>
      <c r="L833" t="s">
        <v>1568</v>
      </c>
      <c r="M833" t="s">
        <v>1568</v>
      </c>
      <c r="N833" t="s">
        <v>1568</v>
      </c>
      <c r="O833" t="s">
        <v>1568</v>
      </c>
      <c r="P833" t="s">
        <v>1568</v>
      </c>
      <c r="Q833" t="s">
        <v>1568</v>
      </c>
      <c r="R833" t="s">
        <v>1568</v>
      </c>
      <c r="S833" t="s">
        <v>1568</v>
      </c>
      <c r="T833" t="s">
        <v>1568</v>
      </c>
      <c r="U833" t="s">
        <v>1568</v>
      </c>
      <c r="V833" t="s">
        <v>1665</v>
      </c>
      <c r="W833" t="s">
        <v>1088</v>
      </c>
      <c r="X833" t="s">
        <v>61</v>
      </c>
      <c r="Y833" t="s">
        <v>1587</v>
      </c>
    </row>
    <row r="834" spans="1:25" ht="16" x14ac:dyDescent="0.2">
      <c r="A834" t="s">
        <v>1568</v>
      </c>
      <c r="B834" t="s">
        <v>1106</v>
      </c>
      <c r="C834" t="s">
        <v>1568</v>
      </c>
      <c r="D834" t="s">
        <v>1568</v>
      </c>
      <c r="E834" t="s">
        <v>51</v>
      </c>
      <c r="F834" t="s">
        <v>1732</v>
      </c>
      <c r="G834" t="s">
        <v>1089</v>
      </c>
      <c r="H834" t="s">
        <v>1568</v>
      </c>
      <c r="I834" t="s">
        <v>1090</v>
      </c>
      <c r="J834" t="s">
        <v>1568</v>
      </c>
      <c r="K834" t="s">
        <v>1568</v>
      </c>
      <c r="L834" t="s">
        <v>1568</v>
      </c>
      <c r="M834" t="s">
        <v>1568</v>
      </c>
      <c r="N834" t="s">
        <v>1568</v>
      </c>
      <c r="O834" t="s">
        <v>1568</v>
      </c>
      <c r="P834" t="s">
        <v>1568</v>
      </c>
      <c r="Q834" t="s">
        <v>1568</v>
      </c>
      <c r="R834" t="s">
        <v>1568</v>
      </c>
      <c r="S834" t="s">
        <v>1568</v>
      </c>
      <c r="T834" t="s">
        <v>1568</v>
      </c>
      <c r="U834" t="s">
        <v>1568</v>
      </c>
      <c r="V834" t="s">
        <v>1665</v>
      </c>
      <c r="W834" t="s">
        <v>1091</v>
      </c>
      <c r="X834" t="s">
        <v>61</v>
      </c>
      <c r="Y834" t="s">
        <v>1587</v>
      </c>
    </row>
    <row r="835" spans="1:25" ht="16" x14ac:dyDescent="0.2">
      <c r="A835" t="s">
        <v>1568</v>
      </c>
      <c r="B835" t="s">
        <v>1106</v>
      </c>
      <c r="C835" t="s">
        <v>1568</v>
      </c>
      <c r="D835" t="s">
        <v>1568</v>
      </c>
      <c r="E835" t="s">
        <v>55</v>
      </c>
      <c r="F835" t="s">
        <v>1732</v>
      </c>
      <c r="G835" t="s">
        <v>1092</v>
      </c>
      <c r="H835" t="s">
        <v>1568</v>
      </c>
      <c r="I835" t="s">
        <v>1093</v>
      </c>
      <c r="J835" t="s">
        <v>1568</v>
      </c>
      <c r="K835" t="s">
        <v>1568</v>
      </c>
      <c r="L835" t="s">
        <v>1568</v>
      </c>
      <c r="M835" t="s">
        <v>1568</v>
      </c>
      <c r="N835" t="s">
        <v>1568</v>
      </c>
      <c r="O835" t="s">
        <v>1568</v>
      </c>
      <c r="P835" t="s">
        <v>1568</v>
      </c>
      <c r="Q835" t="s">
        <v>1568</v>
      </c>
      <c r="R835" t="s">
        <v>1568</v>
      </c>
      <c r="S835" t="s">
        <v>1568</v>
      </c>
      <c r="T835" t="s">
        <v>1568</v>
      </c>
      <c r="U835" t="s">
        <v>1568</v>
      </c>
      <c r="V835" t="s">
        <v>1665</v>
      </c>
      <c r="W835" t="s">
        <v>1094</v>
      </c>
      <c r="X835" t="s">
        <v>61</v>
      </c>
      <c r="Y835" t="s">
        <v>1587</v>
      </c>
    </row>
    <row r="836" spans="1:25" ht="16" x14ac:dyDescent="0.2">
      <c r="A836" t="s">
        <v>1568</v>
      </c>
      <c r="B836" t="s">
        <v>1107</v>
      </c>
      <c r="C836" t="s">
        <v>1568</v>
      </c>
      <c r="D836" t="s">
        <v>1568</v>
      </c>
      <c r="E836" t="s">
        <v>36</v>
      </c>
      <c r="F836" t="s">
        <v>1732</v>
      </c>
      <c r="G836" t="s">
        <v>1108</v>
      </c>
      <c r="H836" t="s">
        <v>1568</v>
      </c>
      <c r="I836" t="s">
        <v>1109</v>
      </c>
      <c r="J836" t="s">
        <v>1568</v>
      </c>
      <c r="K836" t="s">
        <v>1568</v>
      </c>
      <c r="L836" t="s">
        <v>1568</v>
      </c>
      <c r="M836" t="s">
        <v>1568</v>
      </c>
      <c r="N836" t="s">
        <v>1568</v>
      </c>
      <c r="O836" t="s">
        <v>1568</v>
      </c>
      <c r="P836" t="s">
        <v>1568</v>
      </c>
      <c r="Q836" t="s">
        <v>1568</v>
      </c>
      <c r="R836" t="s">
        <v>1568</v>
      </c>
      <c r="S836" t="s">
        <v>1568</v>
      </c>
      <c r="T836" t="s">
        <v>1568</v>
      </c>
      <c r="U836" t="s">
        <v>1568</v>
      </c>
      <c r="V836" t="s">
        <v>1665</v>
      </c>
      <c r="W836" t="s">
        <v>1110</v>
      </c>
      <c r="X836" t="s">
        <v>30</v>
      </c>
      <c r="Y836" t="s">
        <v>1572</v>
      </c>
    </row>
    <row r="837" spans="1:25" ht="16" x14ac:dyDescent="0.2">
      <c r="A837" t="s">
        <v>1568</v>
      </c>
      <c r="B837" t="s">
        <v>1107</v>
      </c>
      <c r="C837" t="s">
        <v>1568</v>
      </c>
      <c r="D837" t="s">
        <v>1568</v>
      </c>
      <c r="E837" t="s">
        <v>43</v>
      </c>
      <c r="F837" t="s">
        <v>1732</v>
      </c>
      <c r="G837" t="s">
        <v>1111</v>
      </c>
      <c r="H837" t="s">
        <v>1568</v>
      </c>
      <c r="I837" t="s">
        <v>1112</v>
      </c>
      <c r="J837" t="s">
        <v>1568</v>
      </c>
      <c r="K837" t="s">
        <v>1568</v>
      </c>
      <c r="L837" t="s">
        <v>1568</v>
      </c>
      <c r="M837" t="s">
        <v>1568</v>
      </c>
      <c r="N837" t="s">
        <v>1568</v>
      </c>
      <c r="O837" t="s">
        <v>1568</v>
      </c>
      <c r="P837" t="s">
        <v>1568</v>
      </c>
      <c r="Q837" t="s">
        <v>1568</v>
      </c>
      <c r="R837" t="s">
        <v>1568</v>
      </c>
      <c r="S837" t="s">
        <v>1568</v>
      </c>
      <c r="T837" t="s">
        <v>1568</v>
      </c>
      <c r="U837" t="s">
        <v>1568</v>
      </c>
      <c r="V837" t="s">
        <v>1741</v>
      </c>
      <c r="W837" t="s">
        <v>1113</v>
      </c>
      <c r="X837" t="s">
        <v>30</v>
      </c>
      <c r="Y837" t="s">
        <v>1572</v>
      </c>
    </row>
    <row r="838" spans="1:25" ht="16" x14ac:dyDescent="0.2">
      <c r="A838" t="s">
        <v>1568</v>
      </c>
      <c r="B838" t="s">
        <v>1107</v>
      </c>
      <c r="C838" t="s">
        <v>1568</v>
      </c>
      <c r="D838" t="s">
        <v>1568</v>
      </c>
      <c r="E838" t="s">
        <v>47</v>
      </c>
      <c r="F838" t="s">
        <v>1732</v>
      </c>
      <c r="G838" t="s">
        <v>1114</v>
      </c>
      <c r="H838" t="s">
        <v>1568</v>
      </c>
      <c r="I838" t="s">
        <v>1115</v>
      </c>
      <c r="J838" t="s">
        <v>1568</v>
      </c>
      <c r="K838" t="s">
        <v>1568</v>
      </c>
      <c r="L838" t="s">
        <v>1568</v>
      </c>
      <c r="M838" t="s">
        <v>1568</v>
      </c>
      <c r="N838" t="s">
        <v>1568</v>
      </c>
      <c r="O838" t="s">
        <v>1568</v>
      </c>
      <c r="P838" t="s">
        <v>1568</v>
      </c>
      <c r="Q838" t="s">
        <v>1568</v>
      </c>
      <c r="R838" t="s">
        <v>1568</v>
      </c>
      <c r="S838" t="s">
        <v>1568</v>
      </c>
      <c r="T838" t="s">
        <v>1568</v>
      </c>
      <c r="U838" t="s">
        <v>1568</v>
      </c>
      <c r="V838" t="s">
        <v>1664</v>
      </c>
      <c r="W838" t="s">
        <v>1116</v>
      </c>
      <c r="X838" t="s">
        <v>30</v>
      </c>
      <c r="Y838" t="s">
        <v>1572</v>
      </c>
    </row>
    <row r="839" spans="1:25" ht="16" x14ac:dyDescent="0.2">
      <c r="A839" t="s">
        <v>1568</v>
      </c>
      <c r="B839" t="s">
        <v>1107</v>
      </c>
      <c r="C839" t="s">
        <v>1568</v>
      </c>
      <c r="D839" t="s">
        <v>1568</v>
      </c>
      <c r="E839" t="s">
        <v>51</v>
      </c>
      <c r="F839" t="s">
        <v>1732</v>
      </c>
      <c r="G839" t="s">
        <v>1117</v>
      </c>
      <c r="H839" t="s">
        <v>1568</v>
      </c>
      <c r="I839" t="s">
        <v>1118</v>
      </c>
      <c r="J839" t="s">
        <v>1568</v>
      </c>
      <c r="K839" t="s">
        <v>1568</v>
      </c>
      <c r="L839" t="s">
        <v>1568</v>
      </c>
      <c r="M839" t="s">
        <v>1568</v>
      </c>
      <c r="N839" t="s">
        <v>1568</v>
      </c>
      <c r="O839" t="s">
        <v>1568</v>
      </c>
      <c r="P839" t="s">
        <v>1568</v>
      </c>
      <c r="Q839" t="s">
        <v>1568</v>
      </c>
      <c r="R839" t="s">
        <v>1568</v>
      </c>
      <c r="S839" t="s">
        <v>1568</v>
      </c>
      <c r="T839" t="s">
        <v>1568</v>
      </c>
      <c r="U839" t="s">
        <v>1568</v>
      </c>
      <c r="V839" t="s">
        <v>1665</v>
      </c>
      <c r="W839" t="s">
        <v>1119</v>
      </c>
      <c r="X839" t="s">
        <v>30</v>
      </c>
      <c r="Y839" t="s">
        <v>1572</v>
      </c>
    </row>
    <row r="840" spans="1:25" ht="16" x14ac:dyDescent="0.2">
      <c r="A840" t="s">
        <v>1568</v>
      </c>
      <c r="B840" t="s">
        <v>1107</v>
      </c>
      <c r="C840" t="s">
        <v>1568</v>
      </c>
      <c r="D840" t="s">
        <v>1568</v>
      </c>
      <c r="E840" t="s">
        <v>55</v>
      </c>
      <c r="F840" t="s">
        <v>1732</v>
      </c>
      <c r="G840" t="s">
        <v>1120</v>
      </c>
      <c r="H840" t="s">
        <v>1568</v>
      </c>
      <c r="I840" t="s">
        <v>1121</v>
      </c>
      <c r="J840" t="s">
        <v>1568</v>
      </c>
      <c r="K840" t="s">
        <v>1568</v>
      </c>
      <c r="L840" t="s">
        <v>1568</v>
      </c>
      <c r="M840" t="s">
        <v>1568</v>
      </c>
      <c r="N840" t="s">
        <v>1568</v>
      </c>
      <c r="O840" t="s">
        <v>1568</v>
      </c>
      <c r="P840" t="s">
        <v>1568</v>
      </c>
      <c r="Q840" t="s">
        <v>1568</v>
      </c>
      <c r="R840" t="s">
        <v>1568</v>
      </c>
      <c r="S840" t="s">
        <v>1568</v>
      </c>
      <c r="T840" t="s">
        <v>1568</v>
      </c>
      <c r="U840" t="s">
        <v>1568</v>
      </c>
      <c r="V840" t="s">
        <v>1665</v>
      </c>
      <c r="W840" t="s">
        <v>1122</v>
      </c>
      <c r="X840" t="s">
        <v>30</v>
      </c>
      <c r="Y840" t="s">
        <v>1572</v>
      </c>
    </row>
    <row r="841" spans="1:25" ht="16" x14ac:dyDescent="0.2">
      <c r="A841" t="s">
        <v>1568</v>
      </c>
      <c r="B841" t="s">
        <v>1123</v>
      </c>
      <c r="C841" t="s">
        <v>1568</v>
      </c>
      <c r="D841" t="s">
        <v>1568</v>
      </c>
      <c r="E841" t="s">
        <v>36</v>
      </c>
      <c r="F841" t="s">
        <v>1732</v>
      </c>
      <c r="G841" t="s">
        <v>1108</v>
      </c>
      <c r="H841" t="s">
        <v>1568</v>
      </c>
      <c r="I841" t="s">
        <v>1109</v>
      </c>
      <c r="J841" t="s">
        <v>1568</v>
      </c>
      <c r="K841" t="s">
        <v>1568</v>
      </c>
      <c r="L841" t="s">
        <v>1568</v>
      </c>
      <c r="M841" t="s">
        <v>1568</v>
      </c>
      <c r="N841" t="s">
        <v>1568</v>
      </c>
      <c r="O841" t="s">
        <v>1568</v>
      </c>
      <c r="P841" t="s">
        <v>1568</v>
      </c>
      <c r="Q841" t="s">
        <v>1568</v>
      </c>
      <c r="R841" t="s">
        <v>1568</v>
      </c>
      <c r="S841" t="s">
        <v>1568</v>
      </c>
      <c r="T841" t="s">
        <v>1568</v>
      </c>
      <c r="U841" t="s">
        <v>1568</v>
      </c>
      <c r="V841" t="s">
        <v>1665</v>
      </c>
      <c r="W841" t="s">
        <v>1110</v>
      </c>
      <c r="X841" t="s">
        <v>59</v>
      </c>
      <c r="Y841" t="s">
        <v>1581</v>
      </c>
    </row>
    <row r="842" spans="1:25" ht="16" x14ac:dyDescent="0.2">
      <c r="A842" t="s">
        <v>1568</v>
      </c>
      <c r="B842" t="s">
        <v>1123</v>
      </c>
      <c r="C842" t="s">
        <v>1568</v>
      </c>
      <c r="D842" t="s">
        <v>1568</v>
      </c>
      <c r="E842" t="s">
        <v>43</v>
      </c>
      <c r="F842" t="s">
        <v>1732</v>
      </c>
      <c r="G842" t="s">
        <v>1111</v>
      </c>
      <c r="H842" t="s">
        <v>1568</v>
      </c>
      <c r="I842" t="s">
        <v>1112</v>
      </c>
      <c r="J842" t="s">
        <v>1568</v>
      </c>
      <c r="K842" t="s">
        <v>1568</v>
      </c>
      <c r="L842" t="s">
        <v>1568</v>
      </c>
      <c r="M842" t="s">
        <v>1568</v>
      </c>
      <c r="N842" t="s">
        <v>1568</v>
      </c>
      <c r="O842" t="s">
        <v>1568</v>
      </c>
      <c r="P842" t="s">
        <v>1568</v>
      </c>
      <c r="Q842" t="s">
        <v>1568</v>
      </c>
      <c r="R842" t="s">
        <v>1568</v>
      </c>
      <c r="S842" t="s">
        <v>1568</v>
      </c>
      <c r="T842" t="s">
        <v>1568</v>
      </c>
      <c r="U842" t="s">
        <v>1568</v>
      </c>
      <c r="V842" t="s">
        <v>1665</v>
      </c>
      <c r="W842" t="s">
        <v>1113</v>
      </c>
      <c r="X842" t="s">
        <v>59</v>
      </c>
      <c r="Y842" t="s">
        <v>1581</v>
      </c>
    </row>
    <row r="843" spans="1:25" ht="16" x14ac:dyDescent="0.2">
      <c r="A843" t="s">
        <v>1568</v>
      </c>
      <c r="B843" t="s">
        <v>1123</v>
      </c>
      <c r="C843" t="s">
        <v>1568</v>
      </c>
      <c r="D843" t="s">
        <v>1568</v>
      </c>
      <c r="E843" t="s">
        <v>47</v>
      </c>
      <c r="F843" t="s">
        <v>1732</v>
      </c>
      <c r="G843" t="s">
        <v>1114</v>
      </c>
      <c r="H843" t="s">
        <v>1568</v>
      </c>
      <c r="I843" t="s">
        <v>1115</v>
      </c>
      <c r="J843" t="s">
        <v>1568</v>
      </c>
      <c r="K843" t="s">
        <v>1568</v>
      </c>
      <c r="L843" t="s">
        <v>1568</v>
      </c>
      <c r="M843" t="s">
        <v>1568</v>
      </c>
      <c r="N843" t="s">
        <v>1568</v>
      </c>
      <c r="O843" t="s">
        <v>1568</v>
      </c>
      <c r="P843" t="s">
        <v>1568</v>
      </c>
      <c r="Q843" t="s">
        <v>1568</v>
      </c>
      <c r="R843" t="s">
        <v>1568</v>
      </c>
      <c r="S843" t="s">
        <v>1568</v>
      </c>
      <c r="T843" t="s">
        <v>1568</v>
      </c>
      <c r="U843" t="s">
        <v>1568</v>
      </c>
      <c r="V843" t="s">
        <v>1665</v>
      </c>
      <c r="W843" t="s">
        <v>1116</v>
      </c>
      <c r="X843" t="s">
        <v>59</v>
      </c>
      <c r="Y843" t="s">
        <v>1581</v>
      </c>
    </row>
    <row r="844" spans="1:25" ht="16" x14ac:dyDescent="0.2">
      <c r="A844" t="s">
        <v>1568</v>
      </c>
      <c r="B844" t="s">
        <v>1123</v>
      </c>
      <c r="C844" t="s">
        <v>1568</v>
      </c>
      <c r="D844" t="s">
        <v>1568</v>
      </c>
      <c r="E844" t="s">
        <v>51</v>
      </c>
      <c r="F844" t="s">
        <v>1732</v>
      </c>
      <c r="G844" t="s">
        <v>1117</v>
      </c>
      <c r="H844" t="s">
        <v>1568</v>
      </c>
      <c r="I844" t="s">
        <v>1118</v>
      </c>
      <c r="J844" t="s">
        <v>1568</v>
      </c>
      <c r="K844" t="s">
        <v>1568</v>
      </c>
      <c r="L844" t="s">
        <v>1568</v>
      </c>
      <c r="M844" t="s">
        <v>1568</v>
      </c>
      <c r="N844" t="s">
        <v>1568</v>
      </c>
      <c r="O844" t="s">
        <v>1568</v>
      </c>
      <c r="P844" t="s">
        <v>1568</v>
      </c>
      <c r="Q844" t="s">
        <v>1568</v>
      </c>
      <c r="R844" t="s">
        <v>1568</v>
      </c>
      <c r="S844" t="s">
        <v>1568</v>
      </c>
      <c r="T844" t="s">
        <v>1568</v>
      </c>
      <c r="U844" t="s">
        <v>1568</v>
      </c>
      <c r="V844" t="s">
        <v>1665</v>
      </c>
      <c r="W844" t="s">
        <v>1119</v>
      </c>
      <c r="X844" t="s">
        <v>59</v>
      </c>
      <c r="Y844" t="s">
        <v>1581</v>
      </c>
    </row>
    <row r="845" spans="1:25" ht="16" x14ac:dyDescent="0.2">
      <c r="A845" t="s">
        <v>1568</v>
      </c>
      <c r="B845" t="s">
        <v>1123</v>
      </c>
      <c r="C845" t="s">
        <v>1568</v>
      </c>
      <c r="D845" t="s">
        <v>1568</v>
      </c>
      <c r="E845" t="s">
        <v>55</v>
      </c>
      <c r="F845" t="s">
        <v>1732</v>
      </c>
      <c r="G845" t="s">
        <v>1120</v>
      </c>
      <c r="H845" t="s">
        <v>1568</v>
      </c>
      <c r="I845" t="s">
        <v>1121</v>
      </c>
      <c r="J845" t="s">
        <v>1568</v>
      </c>
      <c r="K845" t="s">
        <v>1568</v>
      </c>
      <c r="L845" t="s">
        <v>1568</v>
      </c>
      <c r="M845" t="s">
        <v>1568</v>
      </c>
      <c r="N845" t="s">
        <v>1568</v>
      </c>
      <c r="O845" t="s">
        <v>1568</v>
      </c>
      <c r="P845" t="s">
        <v>1568</v>
      </c>
      <c r="Q845" t="s">
        <v>1568</v>
      </c>
      <c r="R845" t="s">
        <v>1568</v>
      </c>
      <c r="S845" t="s">
        <v>1568</v>
      </c>
      <c r="T845" t="s">
        <v>1568</v>
      </c>
      <c r="U845" t="s">
        <v>1568</v>
      </c>
      <c r="V845" t="s">
        <v>1665</v>
      </c>
      <c r="W845" t="s">
        <v>1122</v>
      </c>
      <c r="X845" t="s">
        <v>59</v>
      </c>
      <c r="Y845" t="s">
        <v>1581</v>
      </c>
    </row>
    <row r="846" spans="1:25" ht="16" x14ac:dyDescent="0.2">
      <c r="A846" t="s">
        <v>1568</v>
      </c>
      <c r="B846" t="s">
        <v>1124</v>
      </c>
      <c r="C846" t="s">
        <v>1568</v>
      </c>
      <c r="D846" t="s">
        <v>1568</v>
      </c>
      <c r="E846" t="s">
        <v>36</v>
      </c>
      <c r="F846" t="s">
        <v>1747</v>
      </c>
      <c r="G846" t="s">
        <v>1126</v>
      </c>
      <c r="H846" t="s">
        <v>1568</v>
      </c>
      <c r="I846" t="s">
        <v>1127</v>
      </c>
      <c r="J846" t="s">
        <v>1568</v>
      </c>
      <c r="K846" t="s">
        <v>1568</v>
      </c>
      <c r="L846" t="s">
        <v>1568</v>
      </c>
      <c r="M846" t="s">
        <v>1568</v>
      </c>
      <c r="N846" t="s">
        <v>1568</v>
      </c>
      <c r="O846" t="s">
        <v>1568</v>
      </c>
      <c r="P846" t="s">
        <v>1568</v>
      </c>
      <c r="Q846" t="s">
        <v>1568</v>
      </c>
      <c r="R846" t="s">
        <v>1568</v>
      </c>
      <c r="S846" t="s">
        <v>1568</v>
      </c>
      <c r="T846" t="s">
        <v>1568</v>
      </c>
      <c r="U846" t="s">
        <v>1568</v>
      </c>
      <c r="V846" t="s">
        <v>1592</v>
      </c>
      <c r="W846" t="s">
        <v>1128</v>
      </c>
      <c r="X846" t="s">
        <v>30</v>
      </c>
      <c r="Y846" t="s">
        <v>1572</v>
      </c>
    </row>
    <row r="847" spans="1:25" ht="16" x14ac:dyDescent="0.2">
      <c r="A847" t="s">
        <v>1568</v>
      </c>
      <c r="B847" t="s">
        <v>1124</v>
      </c>
      <c r="C847" t="s">
        <v>1568</v>
      </c>
      <c r="D847" t="s">
        <v>1568</v>
      </c>
      <c r="E847" t="s">
        <v>43</v>
      </c>
      <c r="F847" t="s">
        <v>1747</v>
      </c>
      <c r="G847" t="s">
        <v>1129</v>
      </c>
      <c r="H847" t="s">
        <v>1568</v>
      </c>
      <c r="I847" t="s">
        <v>1130</v>
      </c>
      <c r="J847" t="s">
        <v>1568</v>
      </c>
      <c r="K847" t="s">
        <v>1568</v>
      </c>
      <c r="L847" t="s">
        <v>1568</v>
      </c>
      <c r="M847" t="s">
        <v>1568</v>
      </c>
      <c r="N847" t="s">
        <v>1568</v>
      </c>
      <c r="O847" t="s">
        <v>1568</v>
      </c>
      <c r="P847" t="s">
        <v>1568</v>
      </c>
      <c r="Q847" t="s">
        <v>1568</v>
      </c>
      <c r="R847" t="s">
        <v>1568</v>
      </c>
      <c r="S847" t="s">
        <v>1568</v>
      </c>
      <c r="T847" t="s">
        <v>1568</v>
      </c>
      <c r="U847" t="s">
        <v>1568</v>
      </c>
      <c r="V847" t="s">
        <v>1626</v>
      </c>
      <c r="W847" t="s">
        <v>1131</v>
      </c>
      <c r="X847" t="s">
        <v>30</v>
      </c>
      <c r="Y847" t="s">
        <v>1572</v>
      </c>
    </row>
    <row r="848" spans="1:25" ht="16" x14ac:dyDescent="0.2">
      <c r="A848" t="s">
        <v>1568</v>
      </c>
      <c r="B848" t="s">
        <v>1124</v>
      </c>
      <c r="C848" t="s">
        <v>1568</v>
      </c>
      <c r="D848" t="s">
        <v>1568</v>
      </c>
      <c r="E848" t="s">
        <v>47</v>
      </c>
      <c r="F848" t="s">
        <v>1747</v>
      </c>
      <c r="G848" t="s">
        <v>1132</v>
      </c>
      <c r="H848" t="s">
        <v>1568</v>
      </c>
      <c r="I848" t="s">
        <v>1133</v>
      </c>
      <c r="J848" t="s">
        <v>1568</v>
      </c>
      <c r="K848" t="s">
        <v>1568</v>
      </c>
      <c r="L848" t="s">
        <v>1568</v>
      </c>
      <c r="M848" t="s">
        <v>1568</v>
      </c>
      <c r="N848" t="s">
        <v>1568</v>
      </c>
      <c r="O848" t="s">
        <v>1568</v>
      </c>
      <c r="P848" t="s">
        <v>1568</v>
      </c>
      <c r="Q848" t="s">
        <v>1568</v>
      </c>
      <c r="R848" t="s">
        <v>1568</v>
      </c>
      <c r="S848" t="s">
        <v>1568</v>
      </c>
      <c r="T848" t="s">
        <v>1568</v>
      </c>
      <c r="U848" t="s">
        <v>1568</v>
      </c>
      <c r="V848" t="s">
        <v>1629</v>
      </c>
      <c r="W848" t="s">
        <v>1134</v>
      </c>
      <c r="X848" t="s">
        <v>30</v>
      </c>
      <c r="Y848" t="s">
        <v>1572</v>
      </c>
    </row>
    <row r="849" spans="1:25" ht="16" x14ac:dyDescent="0.2">
      <c r="A849" t="s">
        <v>1568</v>
      </c>
      <c r="B849" t="s">
        <v>1124</v>
      </c>
      <c r="C849" t="s">
        <v>1568</v>
      </c>
      <c r="D849" t="s">
        <v>1568</v>
      </c>
      <c r="E849" t="s">
        <v>51</v>
      </c>
      <c r="F849" t="s">
        <v>1747</v>
      </c>
      <c r="G849" t="s">
        <v>1135</v>
      </c>
      <c r="H849" t="s">
        <v>1568</v>
      </c>
      <c r="I849" t="s">
        <v>1136</v>
      </c>
      <c r="J849" t="s">
        <v>1568</v>
      </c>
      <c r="K849" t="s">
        <v>1568</v>
      </c>
      <c r="L849" t="s">
        <v>1568</v>
      </c>
      <c r="M849" t="s">
        <v>1568</v>
      </c>
      <c r="N849" t="s">
        <v>1568</v>
      </c>
      <c r="O849" t="s">
        <v>1568</v>
      </c>
      <c r="P849" t="s">
        <v>1568</v>
      </c>
      <c r="Q849" t="s">
        <v>1568</v>
      </c>
      <c r="R849" t="s">
        <v>1568</v>
      </c>
      <c r="S849" t="s">
        <v>1568</v>
      </c>
      <c r="T849" t="s">
        <v>1568</v>
      </c>
      <c r="U849" t="s">
        <v>1568</v>
      </c>
      <c r="V849" t="s">
        <v>1726</v>
      </c>
      <c r="W849" t="s">
        <v>1137</v>
      </c>
      <c r="X849" t="s">
        <v>30</v>
      </c>
      <c r="Y849" t="s">
        <v>1572</v>
      </c>
    </row>
    <row r="850" spans="1:25" ht="16" x14ac:dyDescent="0.2">
      <c r="A850" t="s">
        <v>1568</v>
      </c>
      <c r="B850" t="s">
        <v>1124</v>
      </c>
      <c r="C850" t="s">
        <v>1568</v>
      </c>
      <c r="D850" t="s">
        <v>1568</v>
      </c>
      <c r="E850" t="s">
        <v>55</v>
      </c>
      <c r="F850" t="s">
        <v>1747</v>
      </c>
      <c r="G850" t="s">
        <v>1138</v>
      </c>
      <c r="H850" t="s">
        <v>1568</v>
      </c>
      <c r="I850" t="s">
        <v>1139</v>
      </c>
      <c r="J850" t="s">
        <v>1568</v>
      </c>
      <c r="K850" t="s">
        <v>1568</v>
      </c>
      <c r="L850" t="s">
        <v>1568</v>
      </c>
      <c r="M850" t="s">
        <v>1568</v>
      </c>
      <c r="N850" t="s">
        <v>1568</v>
      </c>
      <c r="O850" t="s">
        <v>1568</v>
      </c>
      <c r="P850" t="s">
        <v>1568</v>
      </c>
      <c r="Q850" t="s">
        <v>1568</v>
      </c>
      <c r="R850" t="s">
        <v>1568</v>
      </c>
      <c r="S850" t="s">
        <v>1568</v>
      </c>
      <c r="T850" t="s">
        <v>1568</v>
      </c>
      <c r="U850" t="s">
        <v>1568</v>
      </c>
      <c r="V850" t="s">
        <v>1748</v>
      </c>
      <c r="W850" t="s">
        <v>1140</v>
      </c>
      <c r="X850" t="s">
        <v>30</v>
      </c>
      <c r="Y850" t="s">
        <v>1572</v>
      </c>
    </row>
    <row r="851" spans="1:25" ht="16" x14ac:dyDescent="0.2">
      <c r="A851" t="s">
        <v>1568</v>
      </c>
      <c r="B851" t="s">
        <v>1141</v>
      </c>
      <c r="C851" t="s">
        <v>1568</v>
      </c>
      <c r="D851" t="s">
        <v>1568</v>
      </c>
      <c r="E851" t="s">
        <v>36</v>
      </c>
      <c r="F851" t="s">
        <v>1570</v>
      </c>
      <c r="G851" t="s">
        <v>1142</v>
      </c>
      <c r="H851" t="s">
        <v>1568</v>
      </c>
      <c r="I851" t="s">
        <v>1143</v>
      </c>
      <c r="J851" t="s">
        <v>1568</v>
      </c>
      <c r="K851" t="s">
        <v>1568</v>
      </c>
      <c r="L851" t="s">
        <v>1568</v>
      </c>
      <c r="M851" t="s">
        <v>1568</v>
      </c>
      <c r="N851" t="s">
        <v>1568</v>
      </c>
      <c r="O851" t="s">
        <v>1568</v>
      </c>
      <c r="P851" t="s">
        <v>1568</v>
      </c>
      <c r="Q851" t="s">
        <v>1568</v>
      </c>
      <c r="R851" t="s">
        <v>1568</v>
      </c>
      <c r="S851" t="s">
        <v>1568</v>
      </c>
      <c r="T851" t="s">
        <v>1568</v>
      </c>
      <c r="U851" t="s">
        <v>1568</v>
      </c>
      <c r="V851" t="s">
        <v>1712</v>
      </c>
      <c r="W851" t="s">
        <v>1144</v>
      </c>
      <c r="X851" t="s">
        <v>30</v>
      </c>
      <c r="Y851" t="s">
        <v>1572</v>
      </c>
    </row>
    <row r="852" spans="1:25" ht="16" x14ac:dyDescent="0.2">
      <c r="A852" t="s">
        <v>1568</v>
      </c>
      <c r="B852" t="s">
        <v>1141</v>
      </c>
      <c r="C852" t="s">
        <v>1568</v>
      </c>
      <c r="D852" t="s">
        <v>1568</v>
      </c>
      <c r="E852" t="s">
        <v>43</v>
      </c>
      <c r="F852" t="s">
        <v>1570</v>
      </c>
      <c r="G852" t="s">
        <v>1145</v>
      </c>
      <c r="H852" t="s">
        <v>1568</v>
      </c>
      <c r="I852" t="s">
        <v>1146</v>
      </c>
      <c r="J852" t="s">
        <v>1568</v>
      </c>
      <c r="K852" t="s">
        <v>1568</v>
      </c>
      <c r="L852" t="s">
        <v>1568</v>
      </c>
      <c r="M852" t="s">
        <v>1568</v>
      </c>
      <c r="N852" t="s">
        <v>1568</v>
      </c>
      <c r="O852" t="s">
        <v>1568</v>
      </c>
      <c r="P852" t="s">
        <v>1568</v>
      </c>
      <c r="Q852" t="s">
        <v>1568</v>
      </c>
      <c r="R852" t="s">
        <v>1568</v>
      </c>
      <c r="S852" t="s">
        <v>1568</v>
      </c>
      <c r="T852" t="s">
        <v>1568</v>
      </c>
      <c r="U852" t="s">
        <v>1568</v>
      </c>
      <c r="V852" t="s">
        <v>1729</v>
      </c>
      <c r="W852" t="s">
        <v>1147</v>
      </c>
      <c r="X852" t="s">
        <v>30</v>
      </c>
      <c r="Y852" t="s">
        <v>1572</v>
      </c>
    </row>
    <row r="853" spans="1:25" ht="16" x14ac:dyDescent="0.2">
      <c r="A853" t="s">
        <v>1568</v>
      </c>
      <c r="B853" t="s">
        <v>1141</v>
      </c>
      <c r="C853" t="s">
        <v>1568</v>
      </c>
      <c r="D853" t="s">
        <v>1568</v>
      </c>
      <c r="E853" t="s">
        <v>47</v>
      </c>
      <c r="F853" t="s">
        <v>1570</v>
      </c>
      <c r="G853" t="s">
        <v>1148</v>
      </c>
      <c r="H853" t="s">
        <v>1568</v>
      </c>
      <c r="I853" t="s">
        <v>1149</v>
      </c>
      <c r="J853" t="s">
        <v>1568</v>
      </c>
      <c r="K853" t="s">
        <v>1568</v>
      </c>
      <c r="L853" t="s">
        <v>1568</v>
      </c>
      <c r="M853" t="s">
        <v>1568</v>
      </c>
      <c r="N853" t="s">
        <v>1568</v>
      </c>
      <c r="O853" t="s">
        <v>1568</v>
      </c>
      <c r="P853" t="s">
        <v>1568</v>
      </c>
      <c r="Q853" t="s">
        <v>1568</v>
      </c>
      <c r="R853" t="s">
        <v>1568</v>
      </c>
      <c r="S853" t="s">
        <v>1568</v>
      </c>
      <c r="T853" t="s">
        <v>1568</v>
      </c>
      <c r="U853" t="s">
        <v>1568</v>
      </c>
      <c r="V853" t="s">
        <v>1731</v>
      </c>
      <c r="W853" t="s">
        <v>1150</v>
      </c>
      <c r="X853" t="s">
        <v>30</v>
      </c>
      <c r="Y853" t="s">
        <v>1572</v>
      </c>
    </row>
    <row r="854" spans="1:25" ht="16" x14ac:dyDescent="0.2">
      <c r="A854" t="s">
        <v>1568</v>
      </c>
      <c r="B854" t="s">
        <v>1151</v>
      </c>
      <c r="C854" t="s">
        <v>1568</v>
      </c>
      <c r="D854" t="s">
        <v>1568</v>
      </c>
      <c r="E854" t="s">
        <v>36</v>
      </c>
      <c r="F854" t="s">
        <v>1732</v>
      </c>
      <c r="G854" t="s">
        <v>1108</v>
      </c>
      <c r="H854" t="s">
        <v>1568</v>
      </c>
      <c r="I854" t="s">
        <v>1109</v>
      </c>
      <c r="J854" t="s">
        <v>1568</v>
      </c>
      <c r="K854" t="s">
        <v>1568</v>
      </c>
      <c r="L854" t="s">
        <v>1568</v>
      </c>
      <c r="M854" t="s">
        <v>1568</v>
      </c>
      <c r="N854" t="s">
        <v>1568</v>
      </c>
      <c r="O854" t="s">
        <v>1568</v>
      </c>
      <c r="P854" t="s">
        <v>1568</v>
      </c>
      <c r="Q854" t="s">
        <v>1568</v>
      </c>
      <c r="R854" t="s">
        <v>1568</v>
      </c>
      <c r="S854" t="s">
        <v>1568</v>
      </c>
      <c r="T854" t="s">
        <v>1568</v>
      </c>
      <c r="U854" t="s">
        <v>1568</v>
      </c>
      <c r="V854" t="s">
        <v>1665</v>
      </c>
      <c r="W854" t="s">
        <v>1110</v>
      </c>
      <c r="X854" t="s">
        <v>61</v>
      </c>
      <c r="Y854" t="s">
        <v>1587</v>
      </c>
    </row>
    <row r="855" spans="1:25" ht="16" x14ac:dyDescent="0.2">
      <c r="A855" t="s">
        <v>1568</v>
      </c>
      <c r="B855" t="s">
        <v>1151</v>
      </c>
      <c r="C855" t="s">
        <v>1568</v>
      </c>
      <c r="D855" t="s">
        <v>1568</v>
      </c>
      <c r="E855" t="s">
        <v>43</v>
      </c>
      <c r="F855" t="s">
        <v>1732</v>
      </c>
      <c r="G855" t="s">
        <v>1111</v>
      </c>
      <c r="H855" t="s">
        <v>1568</v>
      </c>
      <c r="I855" t="s">
        <v>1112</v>
      </c>
      <c r="J855" t="s">
        <v>1568</v>
      </c>
      <c r="K855" t="s">
        <v>1568</v>
      </c>
      <c r="L855" t="s">
        <v>1568</v>
      </c>
      <c r="M855" t="s">
        <v>1568</v>
      </c>
      <c r="N855" t="s">
        <v>1568</v>
      </c>
      <c r="O855" t="s">
        <v>1568</v>
      </c>
      <c r="P855" t="s">
        <v>1568</v>
      </c>
      <c r="Q855" t="s">
        <v>1568</v>
      </c>
      <c r="R855" t="s">
        <v>1568</v>
      </c>
      <c r="S855" t="s">
        <v>1568</v>
      </c>
      <c r="T855" t="s">
        <v>1568</v>
      </c>
      <c r="U855" t="s">
        <v>1568</v>
      </c>
      <c r="V855" t="s">
        <v>1665</v>
      </c>
      <c r="W855" t="s">
        <v>1113</v>
      </c>
      <c r="X855" t="s">
        <v>61</v>
      </c>
      <c r="Y855" t="s">
        <v>1587</v>
      </c>
    </row>
    <row r="856" spans="1:25" ht="16" x14ac:dyDescent="0.2">
      <c r="A856" t="s">
        <v>1568</v>
      </c>
      <c r="B856" t="s">
        <v>1151</v>
      </c>
      <c r="C856" t="s">
        <v>1568</v>
      </c>
      <c r="D856" t="s">
        <v>1568</v>
      </c>
      <c r="E856" t="s">
        <v>47</v>
      </c>
      <c r="F856" t="s">
        <v>1732</v>
      </c>
      <c r="G856" t="s">
        <v>1114</v>
      </c>
      <c r="H856" t="s">
        <v>1568</v>
      </c>
      <c r="I856" t="s">
        <v>1115</v>
      </c>
      <c r="J856" t="s">
        <v>1568</v>
      </c>
      <c r="K856" t="s">
        <v>1568</v>
      </c>
      <c r="L856" t="s">
        <v>1568</v>
      </c>
      <c r="M856" t="s">
        <v>1568</v>
      </c>
      <c r="N856" t="s">
        <v>1568</v>
      </c>
      <c r="O856" t="s">
        <v>1568</v>
      </c>
      <c r="P856" t="s">
        <v>1568</v>
      </c>
      <c r="Q856" t="s">
        <v>1568</v>
      </c>
      <c r="R856" t="s">
        <v>1568</v>
      </c>
      <c r="S856" t="s">
        <v>1568</v>
      </c>
      <c r="T856" t="s">
        <v>1568</v>
      </c>
      <c r="U856" t="s">
        <v>1568</v>
      </c>
      <c r="V856" t="s">
        <v>1665</v>
      </c>
      <c r="W856" t="s">
        <v>1116</v>
      </c>
      <c r="X856" t="s">
        <v>61</v>
      </c>
      <c r="Y856" t="s">
        <v>1587</v>
      </c>
    </row>
    <row r="857" spans="1:25" ht="16" x14ac:dyDescent="0.2">
      <c r="A857" t="s">
        <v>1568</v>
      </c>
      <c r="B857" t="s">
        <v>1151</v>
      </c>
      <c r="C857" t="s">
        <v>1568</v>
      </c>
      <c r="D857" t="s">
        <v>1568</v>
      </c>
      <c r="E857" t="s">
        <v>51</v>
      </c>
      <c r="F857" t="s">
        <v>1732</v>
      </c>
      <c r="G857" t="s">
        <v>1117</v>
      </c>
      <c r="H857" t="s">
        <v>1568</v>
      </c>
      <c r="I857" t="s">
        <v>1118</v>
      </c>
      <c r="J857" t="s">
        <v>1568</v>
      </c>
      <c r="K857" t="s">
        <v>1568</v>
      </c>
      <c r="L857" t="s">
        <v>1568</v>
      </c>
      <c r="M857" t="s">
        <v>1568</v>
      </c>
      <c r="N857" t="s">
        <v>1568</v>
      </c>
      <c r="O857" t="s">
        <v>1568</v>
      </c>
      <c r="P857" t="s">
        <v>1568</v>
      </c>
      <c r="Q857" t="s">
        <v>1568</v>
      </c>
      <c r="R857" t="s">
        <v>1568</v>
      </c>
      <c r="S857" t="s">
        <v>1568</v>
      </c>
      <c r="T857" t="s">
        <v>1568</v>
      </c>
      <c r="U857" t="s">
        <v>1568</v>
      </c>
      <c r="V857" t="s">
        <v>1665</v>
      </c>
      <c r="W857" t="s">
        <v>1119</v>
      </c>
      <c r="X857" t="s">
        <v>61</v>
      </c>
      <c r="Y857" t="s">
        <v>1587</v>
      </c>
    </row>
    <row r="858" spans="1:25" ht="16" x14ac:dyDescent="0.2">
      <c r="A858" t="s">
        <v>1568</v>
      </c>
      <c r="B858" t="s">
        <v>1151</v>
      </c>
      <c r="C858" t="s">
        <v>1568</v>
      </c>
      <c r="D858" t="s">
        <v>1568</v>
      </c>
      <c r="E858" t="s">
        <v>55</v>
      </c>
      <c r="F858" t="s">
        <v>1732</v>
      </c>
      <c r="G858" t="s">
        <v>1120</v>
      </c>
      <c r="H858" t="s">
        <v>1568</v>
      </c>
      <c r="I858" t="s">
        <v>1121</v>
      </c>
      <c r="J858" t="s">
        <v>1568</v>
      </c>
      <c r="K858" t="s">
        <v>1568</v>
      </c>
      <c r="L858" t="s">
        <v>1568</v>
      </c>
      <c r="M858" t="s">
        <v>1568</v>
      </c>
      <c r="N858" t="s">
        <v>1568</v>
      </c>
      <c r="O858" t="s">
        <v>1568</v>
      </c>
      <c r="P858" t="s">
        <v>1568</v>
      </c>
      <c r="Q858" t="s">
        <v>1568</v>
      </c>
      <c r="R858" t="s">
        <v>1568</v>
      </c>
      <c r="S858" t="s">
        <v>1568</v>
      </c>
      <c r="T858" t="s">
        <v>1568</v>
      </c>
      <c r="U858" t="s">
        <v>1568</v>
      </c>
      <c r="V858" t="s">
        <v>1665</v>
      </c>
      <c r="W858" t="s">
        <v>1122</v>
      </c>
      <c r="X858" t="s">
        <v>61</v>
      </c>
      <c r="Y858" t="s">
        <v>1587</v>
      </c>
    </row>
    <row r="859" spans="1:25" ht="16" x14ac:dyDescent="0.2">
      <c r="A859" t="s">
        <v>1568</v>
      </c>
      <c r="B859" t="s">
        <v>1152</v>
      </c>
      <c r="C859" t="s">
        <v>1568</v>
      </c>
      <c r="D859" t="s">
        <v>1568</v>
      </c>
      <c r="E859" t="s">
        <v>36</v>
      </c>
      <c r="F859" t="s">
        <v>1749</v>
      </c>
      <c r="G859" t="s">
        <v>1153</v>
      </c>
      <c r="H859" t="s">
        <v>1568</v>
      </c>
      <c r="I859" t="s">
        <v>1154</v>
      </c>
      <c r="J859" t="s">
        <v>1568</v>
      </c>
      <c r="K859" t="s">
        <v>1568</v>
      </c>
      <c r="L859" t="s">
        <v>1568</v>
      </c>
      <c r="M859" t="s">
        <v>1568</v>
      </c>
      <c r="N859" t="s">
        <v>1568</v>
      </c>
      <c r="O859" t="s">
        <v>1568</v>
      </c>
      <c r="P859" t="s">
        <v>1568</v>
      </c>
      <c r="Q859" t="s">
        <v>1568</v>
      </c>
      <c r="R859" t="s">
        <v>1568</v>
      </c>
      <c r="S859" t="s">
        <v>1568</v>
      </c>
      <c r="T859" t="s">
        <v>1568</v>
      </c>
      <c r="U859" t="s">
        <v>1568</v>
      </c>
      <c r="V859" t="s">
        <v>1708</v>
      </c>
      <c r="W859" t="s">
        <v>1155</v>
      </c>
      <c r="X859" t="s">
        <v>30</v>
      </c>
      <c r="Y859" t="s">
        <v>1572</v>
      </c>
    </row>
    <row r="860" spans="1:25" ht="16" x14ac:dyDescent="0.2">
      <c r="A860" t="s">
        <v>1568</v>
      </c>
      <c r="B860" t="s">
        <v>1152</v>
      </c>
      <c r="C860" t="s">
        <v>1568</v>
      </c>
      <c r="D860" t="s">
        <v>1568</v>
      </c>
      <c r="E860" t="s">
        <v>43</v>
      </c>
      <c r="F860" t="s">
        <v>1749</v>
      </c>
      <c r="G860" t="s">
        <v>1156</v>
      </c>
      <c r="H860" t="s">
        <v>1568</v>
      </c>
      <c r="I860" t="s">
        <v>1157</v>
      </c>
      <c r="J860" t="s">
        <v>1568</v>
      </c>
      <c r="K860" t="s">
        <v>1568</v>
      </c>
      <c r="L860" t="s">
        <v>1568</v>
      </c>
      <c r="M860" t="s">
        <v>1568</v>
      </c>
      <c r="N860" t="s">
        <v>1568</v>
      </c>
      <c r="O860" t="s">
        <v>1568</v>
      </c>
      <c r="P860" t="s">
        <v>1568</v>
      </c>
      <c r="Q860" t="s">
        <v>1568</v>
      </c>
      <c r="R860" t="s">
        <v>1568</v>
      </c>
      <c r="S860" t="s">
        <v>1568</v>
      </c>
      <c r="T860" t="s">
        <v>1568</v>
      </c>
      <c r="U860" t="s">
        <v>1568</v>
      </c>
      <c r="V860" t="s">
        <v>1750</v>
      </c>
      <c r="W860" t="s">
        <v>1158</v>
      </c>
      <c r="X860" t="s">
        <v>30</v>
      </c>
      <c r="Y860" t="s">
        <v>1572</v>
      </c>
    </row>
    <row r="861" spans="1:25" ht="16" x14ac:dyDescent="0.2">
      <c r="A861" t="s">
        <v>1568</v>
      </c>
      <c r="B861" t="s">
        <v>1152</v>
      </c>
      <c r="C861" t="s">
        <v>1568</v>
      </c>
      <c r="D861" t="s">
        <v>1568</v>
      </c>
      <c r="E861" t="s">
        <v>47</v>
      </c>
      <c r="F861" t="s">
        <v>1749</v>
      </c>
      <c r="G861" t="s">
        <v>1159</v>
      </c>
      <c r="H861" t="s">
        <v>1568</v>
      </c>
      <c r="I861" t="s">
        <v>1160</v>
      </c>
      <c r="J861" t="s">
        <v>1568</v>
      </c>
      <c r="K861" t="s">
        <v>1568</v>
      </c>
      <c r="L861" t="s">
        <v>1568</v>
      </c>
      <c r="M861" t="s">
        <v>1568</v>
      </c>
      <c r="N861" t="s">
        <v>1568</v>
      </c>
      <c r="O861" t="s">
        <v>1568</v>
      </c>
      <c r="P861" t="s">
        <v>1568</v>
      </c>
      <c r="Q861" t="s">
        <v>1568</v>
      </c>
      <c r="R861" t="s">
        <v>1568</v>
      </c>
      <c r="S861" t="s">
        <v>1568</v>
      </c>
      <c r="T861" t="s">
        <v>1568</v>
      </c>
      <c r="U861" t="s">
        <v>1568</v>
      </c>
      <c r="V861" t="s">
        <v>1739</v>
      </c>
      <c r="W861" t="s">
        <v>1161</v>
      </c>
      <c r="X861" t="s">
        <v>30</v>
      </c>
      <c r="Y861" t="s">
        <v>1572</v>
      </c>
    </row>
    <row r="862" spans="1:25" ht="16" x14ac:dyDescent="0.2">
      <c r="A862" t="s">
        <v>1568</v>
      </c>
      <c r="B862" t="s">
        <v>1152</v>
      </c>
      <c r="C862" t="s">
        <v>1568</v>
      </c>
      <c r="D862" t="s">
        <v>1568</v>
      </c>
      <c r="E862" t="s">
        <v>51</v>
      </c>
      <c r="F862" t="s">
        <v>1749</v>
      </c>
      <c r="G862" t="s">
        <v>1162</v>
      </c>
      <c r="H862" t="s">
        <v>1568</v>
      </c>
      <c r="I862" t="s">
        <v>1163</v>
      </c>
      <c r="J862" t="s">
        <v>1568</v>
      </c>
      <c r="K862" t="s">
        <v>1568</v>
      </c>
      <c r="L862" t="s">
        <v>1568</v>
      </c>
      <c r="M862" t="s">
        <v>1568</v>
      </c>
      <c r="N862" t="s">
        <v>1568</v>
      </c>
      <c r="O862" t="s">
        <v>1568</v>
      </c>
      <c r="P862" t="s">
        <v>1568</v>
      </c>
      <c r="Q862" t="s">
        <v>1568</v>
      </c>
      <c r="R862" t="s">
        <v>1568</v>
      </c>
      <c r="S862" t="s">
        <v>1568</v>
      </c>
      <c r="T862" t="s">
        <v>1568</v>
      </c>
      <c r="U862" t="s">
        <v>1568</v>
      </c>
      <c r="V862" t="s">
        <v>1696</v>
      </c>
      <c r="W862" t="s">
        <v>1164</v>
      </c>
      <c r="X862" t="s">
        <v>30</v>
      </c>
      <c r="Y862" t="s">
        <v>1572</v>
      </c>
    </row>
    <row r="863" spans="1:25" ht="16" x14ac:dyDescent="0.2">
      <c r="A863" t="s">
        <v>1568</v>
      </c>
      <c r="B863" t="s">
        <v>1152</v>
      </c>
      <c r="C863" t="s">
        <v>1568</v>
      </c>
      <c r="D863" t="s">
        <v>1568</v>
      </c>
      <c r="E863" t="s">
        <v>55</v>
      </c>
      <c r="F863" t="s">
        <v>1749</v>
      </c>
      <c r="G863" t="s">
        <v>1165</v>
      </c>
      <c r="H863" t="s">
        <v>1568</v>
      </c>
      <c r="I863" t="s">
        <v>1166</v>
      </c>
      <c r="J863" t="s">
        <v>1568</v>
      </c>
      <c r="K863" t="s">
        <v>1568</v>
      </c>
      <c r="L863" t="s">
        <v>1568</v>
      </c>
      <c r="M863" t="s">
        <v>1568</v>
      </c>
      <c r="N863" t="s">
        <v>1568</v>
      </c>
      <c r="O863" t="s">
        <v>1568</v>
      </c>
      <c r="P863" t="s">
        <v>1568</v>
      </c>
      <c r="Q863" t="s">
        <v>1568</v>
      </c>
      <c r="R863" t="s">
        <v>1568</v>
      </c>
      <c r="S863" t="s">
        <v>1568</v>
      </c>
      <c r="T863" t="s">
        <v>1568</v>
      </c>
      <c r="U863" t="s">
        <v>1568</v>
      </c>
      <c r="V863" t="s">
        <v>1751</v>
      </c>
      <c r="W863" t="s">
        <v>1167</v>
      </c>
      <c r="X863" t="s">
        <v>30</v>
      </c>
      <c r="Y863" t="s">
        <v>1572</v>
      </c>
    </row>
    <row r="864" spans="1:25" ht="16" x14ac:dyDescent="0.2">
      <c r="A864" t="s">
        <v>1568</v>
      </c>
      <c r="B864" t="s">
        <v>1168</v>
      </c>
      <c r="C864" t="s">
        <v>1568</v>
      </c>
      <c r="D864" t="s">
        <v>1568</v>
      </c>
      <c r="E864" t="s">
        <v>36</v>
      </c>
      <c r="F864" t="s">
        <v>1747</v>
      </c>
      <c r="G864" t="s">
        <v>1126</v>
      </c>
      <c r="H864" t="s">
        <v>1568</v>
      </c>
      <c r="I864" t="s">
        <v>1127</v>
      </c>
      <c r="J864" t="s">
        <v>1568</v>
      </c>
      <c r="K864" t="s">
        <v>1568</v>
      </c>
      <c r="L864" t="s">
        <v>1568</v>
      </c>
      <c r="M864" t="s">
        <v>1568</v>
      </c>
      <c r="N864" t="s">
        <v>1568</v>
      </c>
      <c r="O864" t="s">
        <v>1568</v>
      </c>
      <c r="P864" t="s">
        <v>1568</v>
      </c>
      <c r="Q864" t="s">
        <v>1568</v>
      </c>
      <c r="R864" t="s">
        <v>1568</v>
      </c>
      <c r="S864" t="s">
        <v>1568</v>
      </c>
      <c r="T864" t="s">
        <v>1568</v>
      </c>
      <c r="U864" t="s">
        <v>1568</v>
      </c>
      <c r="V864" t="s">
        <v>1592</v>
      </c>
      <c r="W864" t="s">
        <v>1128</v>
      </c>
      <c r="X864" t="s">
        <v>59</v>
      </c>
      <c r="Y864" t="s">
        <v>1581</v>
      </c>
    </row>
    <row r="865" spans="1:25" ht="16" x14ac:dyDescent="0.2">
      <c r="A865" t="s">
        <v>1568</v>
      </c>
      <c r="B865" t="s">
        <v>1168</v>
      </c>
      <c r="C865" t="s">
        <v>1568</v>
      </c>
      <c r="D865" t="s">
        <v>1568</v>
      </c>
      <c r="E865" t="s">
        <v>43</v>
      </c>
      <c r="F865" t="s">
        <v>1747</v>
      </c>
      <c r="G865" t="s">
        <v>1129</v>
      </c>
      <c r="H865" t="s">
        <v>1568</v>
      </c>
      <c r="I865" t="s">
        <v>1130</v>
      </c>
      <c r="J865" t="s">
        <v>1568</v>
      </c>
      <c r="K865" t="s">
        <v>1568</v>
      </c>
      <c r="L865" t="s">
        <v>1568</v>
      </c>
      <c r="M865" t="s">
        <v>1568</v>
      </c>
      <c r="N865" t="s">
        <v>1568</v>
      </c>
      <c r="O865" t="s">
        <v>1568</v>
      </c>
      <c r="P865" t="s">
        <v>1568</v>
      </c>
      <c r="Q865" t="s">
        <v>1568</v>
      </c>
      <c r="R865" t="s">
        <v>1568</v>
      </c>
      <c r="S865" t="s">
        <v>1568</v>
      </c>
      <c r="T865" t="s">
        <v>1568</v>
      </c>
      <c r="U865" t="s">
        <v>1568</v>
      </c>
      <c r="V865" t="s">
        <v>1626</v>
      </c>
      <c r="W865" t="s">
        <v>1131</v>
      </c>
      <c r="X865" t="s">
        <v>59</v>
      </c>
      <c r="Y865" t="s">
        <v>1581</v>
      </c>
    </row>
    <row r="866" spans="1:25" ht="16" x14ac:dyDescent="0.2">
      <c r="A866" t="s">
        <v>1568</v>
      </c>
      <c r="B866" t="s">
        <v>1168</v>
      </c>
      <c r="C866" t="s">
        <v>1568</v>
      </c>
      <c r="D866" t="s">
        <v>1568</v>
      </c>
      <c r="E866" t="s">
        <v>47</v>
      </c>
      <c r="F866" t="s">
        <v>1747</v>
      </c>
      <c r="G866" t="s">
        <v>1132</v>
      </c>
      <c r="H866" t="s">
        <v>1568</v>
      </c>
      <c r="I866" t="s">
        <v>1133</v>
      </c>
      <c r="J866" t="s">
        <v>1568</v>
      </c>
      <c r="K866" t="s">
        <v>1568</v>
      </c>
      <c r="L866" t="s">
        <v>1568</v>
      </c>
      <c r="M866" t="s">
        <v>1568</v>
      </c>
      <c r="N866" t="s">
        <v>1568</v>
      </c>
      <c r="O866" t="s">
        <v>1568</v>
      </c>
      <c r="P866" t="s">
        <v>1568</v>
      </c>
      <c r="Q866" t="s">
        <v>1568</v>
      </c>
      <c r="R866" t="s">
        <v>1568</v>
      </c>
      <c r="S866" t="s">
        <v>1568</v>
      </c>
      <c r="T866" t="s">
        <v>1568</v>
      </c>
      <c r="U866" t="s">
        <v>1568</v>
      </c>
      <c r="V866" t="s">
        <v>1633</v>
      </c>
      <c r="W866" t="s">
        <v>1134</v>
      </c>
      <c r="X866" t="s">
        <v>59</v>
      </c>
      <c r="Y866" t="s">
        <v>1581</v>
      </c>
    </row>
    <row r="867" spans="1:25" ht="16" x14ac:dyDescent="0.2">
      <c r="A867" t="s">
        <v>1568</v>
      </c>
      <c r="B867" t="s">
        <v>1168</v>
      </c>
      <c r="C867" t="s">
        <v>1568</v>
      </c>
      <c r="D867" t="s">
        <v>1568</v>
      </c>
      <c r="E867" t="s">
        <v>51</v>
      </c>
      <c r="F867" t="s">
        <v>1747</v>
      </c>
      <c r="G867" t="s">
        <v>1135</v>
      </c>
      <c r="H867" t="s">
        <v>1568</v>
      </c>
      <c r="I867" t="s">
        <v>1136</v>
      </c>
      <c r="J867" t="s">
        <v>1568</v>
      </c>
      <c r="K867" t="s">
        <v>1568</v>
      </c>
      <c r="L867" t="s">
        <v>1568</v>
      </c>
      <c r="M867" t="s">
        <v>1568</v>
      </c>
      <c r="N867" t="s">
        <v>1568</v>
      </c>
      <c r="O867" t="s">
        <v>1568</v>
      </c>
      <c r="P867" t="s">
        <v>1568</v>
      </c>
      <c r="Q867" t="s">
        <v>1568</v>
      </c>
      <c r="R867" t="s">
        <v>1568</v>
      </c>
      <c r="S867" t="s">
        <v>1568</v>
      </c>
      <c r="T867" t="s">
        <v>1568</v>
      </c>
      <c r="U867" t="s">
        <v>1568</v>
      </c>
      <c r="V867" t="s">
        <v>1726</v>
      </c>
      <c r="W867" t="s">
        <v>1137</v>
      </c>
      <c r="X867" t="s">
        <v>59</v>
      </c>
      <c r="Y867" t="s">
        <v>1581</v>
      </c>
    </row>
    <row r="868" spans="1:25" ht="16" x14ac:dyDescent="0.2">
      <c r="A868" t="s">
        <v>1568</v>
      </c>
      <c r="B868" t="s">
        <v>1168</v>
      </c>
      <c r="C868" t="s">
        <v>1568</v>
      </c>
      <c r="D868" t="s">
        <v>1568</v>
      </c>
      <c r="E868" t="s">
        <v>55</v>
      </c>
      <c r="F868" t="s">
        <v>1747</v>
      </c>
      <c r="G868" t="s">
        <v>1138</v>
      </c>
      <c r="H868" t="s">
        <v>1568</v>
      </c>
      <c r="I868" t="s">
        <v>1139</v>
      </c>
      <c r="J868" t="s">
        <v>1568</v>
      </c>
      <c r="K868" t="s">
        <v>1568</v>
      </c>
      <c r="L868" t="s">
        <v>1568</v>
      </c>
      <c r="M868" t="s">
        <v>1568</v>
      </c>
      <c r="N868" t="s">
        <v>1568</v>
      </c>
      <c r="O868" t="s">
        <v>1568</v>
      </c>
      <c r="P868" t="s">
        <v>1568</v>
      </c>
      <c r="Q868" t="s">
        <v>1568</v>
      </c>
      <c r="R868" t="s">
        <v>1568</v>
      </c>
      <c r="S868" t="s">
        <v>1568</v>
      </c>
      <c r="T868" t="s">
        <v>1568</v>
      </c>
      <c r="U868" t="s">
        <v>1568</v>
      </c>
      <c r="V868" t="s">
        <v>1633</v>
      </c>
      <c r="W868" t="s">
        <v>1140</v>
      </c>
      <c r="X868" t="s">
        <v>59</v>
      </c>
      <c r="Y868" t="s">
        <v>1581</v>
      </c>
    </row>
    <row r="869" spans="1:25" ht="16" x14ac:dyDescent="0.2">
      <c r="A869" t="s">
        <v>1568</v>
      </c>
      <c r="B869" t="s">
        <v>1169</v>
      </c>
      <c r="C869" t="s">
        <v>1568</v>
      </c>
      <c r="D869" t="s">
        <v>1568</v>
      </c>
      <c r="E869" t="s">
        <v>36</v>
      </c>
      <c r="F869" t="s">
        <v>1752</v>
      </c>
      <c r="G869" t="s">
        <v>1170</v>
      </c>
      <c r="H869" t="s">
        <v>1568</v>
      </c>
      <c r="I869" t="s">
        <v>1171</v>
      </c>
      <c r="J869" t="s">
        <v>1568</v>
      </c>
      <c r="K869" t="s">
        <v>1568</v>
      </c>
      <c r="L869" t="s">
        <v>1568</v>
      </c>
      <c r="M869" t="s">
        <v>1568</v>
      </c>
      <c r="N869" t="s">
        <v>1568</v>
      </c>
      <c r="O869" t="s">
        <v>1568</v>
      </c>
      <c r="P869" t="s">
        <v>1568</v>
      </c>
      <c r="Q869" t="s">
        <v>1568</v>
      </c>
      <c r="R869" t="s">
        <v>1568</v>
      </c>
      <c r="S869" t="s">
        <v>1568</v>
      </c>
      <c r="T869" t="s">
        <v>1568</v>
      </c>
      <c r="U869" t="s">
        <v>1568</v>
      </c>
      <c r="V869" t="s">
        <v>1592</v>
      </c>
      <c r="W869" t="s">
        <v>1172</v>
      </c>
      <c r="X869" t="s">
        <v>30</v>
      </c>
      <c r="Y869" t="s">
        <v>1572</v>
      </c>
    </row>
    <row r="870" spans="1:25" ht="16" x14ac:dyDescent="0.2">
      <c r="A870" t="s">
        <v>1568</v>
      </c>
      <c r="B870" t="s">
        <v>1169</v>
      </c>
      <c r="C870" t="s">
        <v>1568</v>
      </c>
      <c r="D870" t="s">
        <v>1568</v>
      </c>
      <c r="E870" t="s">
        <v>43</v>
      </c>
      <c r="F870" t="s">
        <v>1752</v>
      </c>
      <c r="G870" t="s">
        <v>1173</v>
      </c>
      <c r="H870" t="s">
        <v>1568</v>
      </c>
      <c r="I870" t="s">
        <v>1174</v>
      </c>
      <c r="J870" t="s">
        <v>1568</v>
      </c>
      <c r="K870" t="s">
        <v>1568</v>
      </c>
      <c r="L870" t="s">
        <v>1568</v>
      </c>
      <c r="M870" t="s">
        <v>1568</v>
      </c>
      <c r="N870" t="s">
        <v>1568</v>
      </c>
      <c r="O870" t="s">
        <v>1568</v>
      </c>
      <c r="P870" t="s">
        <v>1568</v>
      </c>
      <c r="Q870" t="s">
        <v>1568</v>
      </c>
      <c r="R870" t="s">
        <v>1568</v>
      </c>
      <c r="S870" t="s">
        <v>1568</v>
      </c>
      <c r="T870" t="s">
        <v>1568</v>
      </c>
      <c r="U870" t="s">
        <v>1568</v>
      </c>
      <c r="V870" t="s">
        <v>1753</v>
      </c>
      <c r="W870" t="s">
        <v>1175</v>
      </c>
      <c r="X870" t="s">
        <v>30</v>
      </c>
      <c r="Y870" t="s">
        <v>1572</v>
      </c>
    </row>
    <row r="871" spans="1:25" ht="16" x14ac:dyDescent="0.2">
      <c r="A871" t="s">
        <v>1568</v>
      </c>
      <c r="B871" t="s">
        <v>1169</v>
      </c>
      <c r="C871" t="s">
        <v>1568</v>
      </c>
      <c r="D871" t="s">
        <v>1568</v>
      </c>
      <c r="E871" t="s">
        <v>47</v>
      </c>
      <c r="F871" t="s">
        <v>1752</v>
      </c>
      <c r="G871" t="s">
        <v>1176</v>
      </c>
      <c r="H871" t="s">
        <v>1568</v>
      </c>
      <c r="I871" t="s">
        <v>1177</v>
      </c>
      <c r="J871" t="s">
        <v>1568</v>
      </c>
      <c r="K871" t="s">
        <v>1568</v>
      </c>
      <c r="L871" t="s">
        <v>1568</v>
      </c>
      <c r="M871" t="s">
        <v>1568</v>
      </c>
      <c r="N871" t="s">
        <v>1568</v>
      </c>
      <c r="O871" t="s">
        <v>1568</v>
      </c>
      <c r="P871" t="s">
        <v>1568</v>
      </c>
      <c r="Q871" t="s">
        <v>1568</v>
      </c>
      <c r="R871" t="s">
        <v>1568</v>
      </c>
      <c r="S871" t="s">
        <v>1568</v>
      </c>
      <c r="T871" t="s">
        <v>1568</v>
      </c>
      <c r="U871" t="s">
        <v>1568</v>
      </c>
      <c r="V871" t="s">
        <v>1754</v>
      </c>
      <c r="W871" t="s">
        <v>1178</v>
      </c>
      <c r="X871" t="s">
        <v>30</v>
      </c>
      <c r="Y871" t="s">
        <v>1572</v>
      </c>
    </row>
    <row r="872" spans="1:25" ht="16" x14ac:dyDescent="0.2">
      <c r="A872" t="s">
        <v>1568</v>
      </c>
      <c r="B872" t="s">
        <v>1169</v>
      </c>
      <c r="C872" t="s">
        <v>1568</v>
      </c>
      <c r="D872" t="s">
        <v>1568</v>
      </c>
      <c r="E872" t="s">
        <v>51</v>
      </c>
      <c r="F872" t="s">
        <v>1752</v>
      </c>
      <c r="G872" t="s">
        <v>1179</v>
      </c>
      <c r="H872" t="s">
        <v>1568</v>
      </c>
      <c r="I872" t="s">
        <v>1180</v>
      </c>
      <c r="J872" t="s">
        <v>1568</v>
      </c>
      <c r="K872" t="s">
        <v>1568</v>
      </c>
      <c r="L872" t="s">
        <v>1568</v>
      </c>
      <c r="M872" t="s">
        <v>1568</v>
      </c>
      <c r="N872" t="s">
        <v>1568</v>
      </c>
      <c r="O872" t="s">
        <v>1568</v>
      </c>
      <c r="P872" t="s">
        <v>1568</v>
      </c>
      <c r="Q872" t="s">
        <v>1568</v>
      </c>
      <c r="R872" t="s">
        <v>1568</v>
      </c>
      <c r="S872" t="s">
        <v>1568</v>
      </c>
      <c r="T872" t="s">
        <v>1568</v>
      </c>
      <c r="U872" t="s">
        <v>1568</v>
      </c>
      <c r="V872" t="s">
        <v>1691</v>
      </c>
      <c r="W872" t="s">
        <v>1181</v>
      </c>
      <c r="X872" t="s">
        <v>30</v>
      </c>
      <c r="Y872" t="s">
        <v>1572</v>
      </c>
    </row>
    <row r="873" spans="1:25" ht="16" x14ac:dyDescent="0.2">
      <c r="A873" t="s">
        <v>1568</v>
      </c>
      <c r="B873" t="s">
        <v>1169</v>
      </c>
      <c r="C873" t="s">
        <v>1568</v>
      </c>
      <c r="D873" t="s">
        <v>1568</v>
      </c>
      <c r="E873" t="s">
        <v>55</v>
      </c>
      <c r="F873" t="s">
        <v>1752</v>
      </c>
      <c r="G873" t="s">
        <v>1182</v>
      </c>
      <c r="H873" t="s">
        <v>1568</v>
      </c>
      <c r="I873" t="s">
        <v>1183</v>
      </c>
      <c r="J873" t="s">
        <v>1568</v>
      </c>
      <c r="K873" t="s">
        <v>1568</v>
      </c>
      <c r="L873" t="s">
        <v>1568</v>
      </c>
      <c r="M873" t="s">
        <v>1568</v>
      </c>
      <c r="N873" t="s">
        <v>1568</v>
      </c>
      <c r="O873" t="s">
        <v>1568</v>
      </c>
      <c r="P873" t="s">
        <v>1568</v>
      </c>
      <c r="Q873" t="s">
        <v>1568</v>
      </c>
      <c r="R873" t="s">
        <v>1568</v>
      </c>
      <c r="S873" t="s">
        <v>1568</v>
      </c>
      <c r="T873" t="s">
        <v>1568</v>
      </c>
      <c r="U873" t="s">
        <v>1568</v>
      </c>
      <c r="V873" t="s">
        <v>1755</v>
      </c>
      <c r="W873" t="s">
        <v>1184</v>
      </c>
      <c r="X873" t="s">
        <v>30</v>
      </c>
      <c r="Y873" t="s">
        <v>1572</v>
      </c>
    </row>
    <row r="874" spans="1:25" ht="16" x14ac:dyDescent="0.2">
      <c r="A874" t="s">
        <v>1568</v>
      </c>
      <c r="B874" t="s">
        <v>1185</v>
      </c>
      <c r="C874" t="s">
        <v>1568</v>
      </c>
      <c r="D874" t="s">
        <v>1568</v>
      </c>
      <c r="E874" t="s">
        <v>36</v>
      </c>
      <c r="F874" t="s">
        <v>1570</v>
      </c>
      <c r="G874" t="s">
        <v>1142</v>
      </c>
      <c r="H874" t="s">
        <v>1568</v>
      </c>
      <c r="I874" t="s">
        <v>1143</v>
      </c>
      <c r="J874" t="s">
        <v>1568</v>
      </c>
      <c r="K874" t="s">
        <v>1568</v>
      </c>
      <c r="L874" t="s">
        <v>1568</v>
      </c>
      <c r="M874" t="s">
        <v>1568</v>
      </c>
      <c r="N874" t="s">
        <v>1568</v>
      </c>
      <c r="O874" t="s">
        <v>1568</v>
      </c>
      <c r="P874" t="s">
        <v>1568</v>
      </c>
      <c r="Q874" t="s">
        <v>1568</v>
      </c>
      <c r="R874" t="s">
        <v>1568</v>
      </c>
      <c r="S874" t="s">
        <v>1568</v>
      </c>
      <c r="T874" t="s">
        <v>1568</v>
      </c>
      <c r="U874" t="s">
        <v>1568</v>
      </c>
      <c r="V874" t="s">
        <v>1731</v>
      </c>
      <c r="W874" t="s">
        <v>1144</v>
      </c>
      <c r="X874" t="s">
        <v>59</v>
      </c>
      <c r="Y874" t="s">
        <v>1581</v>
      </c>
    </row>
    <row r="875" spans="1:25" ht="16" x14ac:dyDescent="0.2">
      <c r="A875" t="s">
        <v>1568</v>
      </c>
      <c r="B875" t="s">
        <v>1185</v>
      </c>
      <c r="C875" t="s">
        <v>1568</v>
      </c>
      <c r="D875" t="s">
        <v>1568</v>
      </c>
      <c r="E875" t="s">
        <v>43</v>
      </c>
      <c r="F875" t="s">
        <v>1570</v>
      </c>
      <c r="G875" t="s">
        <v>1145</v>
      </c>
      <c r="H875" t="s">
        <v>1568</v>
      </c>
      <c r="I875" t="s">
        <v>1146</v>
      </c>
      <c r="J875" t="s">
        <v>1568</v>
      </c>
      <c r="K875" t="s">
        <v>1568</v>
      </c>
      <c r="L875" t="s">
        <v>1568</v>
      </c>
      <c r="M875" t="s">
        <v>1568</v>
      </c>
      <c r="N875" t="s">
        <v>1568</v>
      </c>
      <c r="O875" t="s">
        <v>1568</v>
      </c>
      <c r="P875" t="s">
        <v>1568</v>
      </c>
      <c r="Q875" t="s">
        <v>1568</v>
      </c>
      <c r="R875" t="s">
        <v>1568</v>
      </c>
      <c r="S875" t="s">
        <v>1568</v>
      </c>
      <c r="T875" t="s">
        <v>1568</v>
      </c>
      <c r="U875" t="s">
        <v>1568</v>
      </c>
      <c r="V875" t="s">
        <v>1665</v>
      </c>
      <c r="W875" t="s">
        <v>1147</v>
      </c>
      <c r="X875" t="s">
        <v>59</v>
      </c>
      <c r="Y875" t="s">
        <v>1581</v>
      </c>
    </row>
    <row r="876" spans="1:25" ht="16" x14ac:dyDescent="0.2">
      <c r="A876" t="s">
        <v>1568</v>
      </c>
      <c r="B876" t="s">
        <v>1186</v>
      </c>
      <c r="C876" t="s">
        <v>1568</v>
      </c>
      <c r="D876" t="s">
        <v>1568</v>
      </c>
      <c r="E876" t="s">
        <v>36</v>
      </c>
      <c r="F876" t="s">
        <v>1749</v>
      </c>
      <c r="G876" t="s">
        <v>1153</v>
      </c>
      <c r="H876" t="s">
        <v>1568</v>
      </c>
      <c r="I876" t="s">
        <v>1154</v>
      </c>
      <c r="J876" t="s">
        <v>1568</v>
      </c>
      <c r="K876" t="s">
        <v>1568</v>
      </c>
      <c r="L876" t="s">
        <v>1568</v>
      </c>
      <c r="M876" t="s">
        <v>1568</v>
      </c>
      <c r="N876" t="s">
        <v>1568</v>
      </c>
      <c r="O876" t="s">
        <v>1568</v>
      </c>
      <c r="P876" t="s">
        <v>1568</v>
      </c>
      <c r="Q876" t="s">
        <v>1568</v>
      </c>
      <c r="R876" t="s">
        <v>1568</v>
      </c>
      <c r="S876" t="s">
        <v>1568</v>
      </c>
      <c r="T876" t="s">
        <v>1568</v>
      </c>
      <c r="U876" t="s">
        <v>1568</v>
      </c>
      <c r="V876" t="s">
        <v>1708</v>
      </c>
      <c r="W876" t="s">
        <v>1155</v>
      </c>
      <c r="X876" t="s">
        <v>59</v>
      </c>
      <c r="Y876" t="s">
        <v>1581</v>
      </c>
    </row>
    <row r="877" spans="1:25" ht="16" x14ac:dyDescent="0.2">
      <c r="A877" t="s">
        <v>1568</v>
      </c>
      <c r="B877" t="s">
        <v>1186</v>
      </c>
      <c r="C877" t="s">
        <v>1568</v>
      </c>
      <c r="D877" t="s">
        <v>1568</v>
      </c>
      <c r="E877" t="s">
        <v>55</v>
      </c>
      <c r="F877" t="s">
        <v>1749</v>
      </c>
      <c r="G877" t="s">
        <v>1165</v>
      </c>
      <c r="H877" t="s">
        <v>1568</v>
      </c>
      <c r="I877" t="s">
        <v>1166</v>
      </c>
      <c r="J877" t="s">
        <v>1568</v>
      </c>
      <c r="K877" t="s">
        <v>1568</v>
      </c>
      <c r="L877" t="s">
        <v>1568</v>
      </c>
      <c r="M877" t="s">
        <v>1568</v>
      </c>
      <c r="N877" t="s">
        <v>1568</v>
      </c>
      <c r="O877" t="s">
        <v>1568</v>
      </c>
      <c r="P877" t="s">
        <v>1568</v>
      </c>
      <c r="Q877" t="s">
        <v>1568</v>
      </c>
      <c r="R877" t="s">
        <v>1568</v>
      </c>
      <c r="S877" t="s">
        <v>1568</v>
      </c>
      <c r="T877" t="s">
        <v>1568</v>
      </c>
      <c r="U877" t="s">
        <v>1568</v>
      </c>
      <c r="V877" t="s">
        <v>884</v>
      </c>
      <c r="W877" t="s">
        <v>1167</v>
      </c>
      <c r="X877" t="s">
        <v>59</v>
      </c>
      <c r="Y877" t="s">
        <v>1581</v>
      </c>
    </row>
    <row r="878" spans="1:25" ht="16" x14ac:dyDescent="0.2">
      <c r="A878" t="s">
        <v>1568</v>
      </c>
      <c r="B878" t="s">
        <v>1187</v>
      </c>
      <c r="C878" t="s">
        <v>1568</v>
      </c>
      <c r="D878" t="s">
        <v>1568</v>
      </c>
      <c r="E878" t="s">
        <v>36</v>
      </c>
      <c r="F878" t="s">
        <v>1747</v>
      </c>
      <c r="G878" t="s">
        <v>1126</v>
      </c>
      <c r="H878" t="s">
        <v>1568</v>
      </c>
      <c r="I878" t="s">
        <v>1127</v>
      </c>
      <c r="J878" t="s">
        <v>1568</v>
      </c>
      <c r="K878" t="s">
        <v>1568</v>
      </c>
      <c r="L878" t="s">
        <v>1568</v>
      </c>
      <c r="M878" t="s">
        <v>1568</v>
      </c>
      <c r="N878" t="s">
        <v>1568</v>
      </c>
      <c r="O878" t="s">
        <v>1568</v>
      </c>
      <c r="P878" t="s">
        <v>1568</v>
      </c>
      <c r="Q878" t="s">
        <v>1568</v>
      </c>
      <c r="R878" t="s">
        <v>1568</v>
      </c>
      <c r="S878" t="s">
        <v>1568</v>
      </c>
      <c r="T878" t="s">
        <v>1568</v>
      </c>
      <c r="U878" t="s">
        <v>1568</v>
      </c>
      <c r="V878" t="s">
        <v>1592</v>
      </c>
      <c r="W878" t="s">
        <v>1128</v>
      </c>
      <c r="X878" t="s">
        <v>61</v>
      </c>
      <c r="Y878" t="s">
        <v>1587</v>
      </c>
    </row>
    <row r="879" spans="1:25" ht="16" x14ac:dyDescent="0.2">
      <c r="A879" t="s">
        <v>1568</v>
      </c>
      <c r="B879" t="s">
        <v>1187</v>
      </c>
      <c r="C879" t="s">
        <v>1568</v>
      </c>
      <c r="D879" t="s">
        <v>1568</v>
      </c>
      <c r="E879" t="s">
        <v>43</v>
      </c>
      <c r="F879" t="s">
        <v>1747</v>
      </c>
      <c r="G879" t="s">
        <v>1129</v>
      </c>
      <c r="H879" t="s">
        <v>1568</v>
      </c>
      <c r="I879" t="s">
        <v>1130</v>
      </c>
      <c r="J879" t="s">
        <v>1568</v>
      </c>
      <c r="K879" t="s">
        <v>1568</v>
      </c>
      <c r="L879" t="s">
        <v>1568</v>
      </c>
      <c r="M879" t="s">
        <v>1568</v>
      </c>
      <c r="N879" t="s">
        <v>1568</v>
      </c>
      <c r="O879" t="s">
        <v>1568</v>
      </c>
      <c r="P879" t="s">
        <v>1568</v>
      </c>
      <c r="Q879" t="s">
        <v>1568</v>
      </c>
      <c r="R879" t="s">
        <v>1568</v>
      </c>
      <c r="S879" t="s">
        <v>1568</v>
      </c>
      <c r="T879" t="s">
        <v>1568</v>
      </c>
      <c r="U879" t="s">
        <v>1568</v>
      </c>
      <c r="V879" t="s">
        <v>1756</v>
      </c>
      <c r="W879" t="s">
        <v>1131</v>
      </c>
      <c r="X879" t="s">
        <v>61</v>
      </c>
      <c r="Y879" t="s">
        <v>1587</v>
      </c>
    </row>
    <row r="880" spans="1:25" ht="16" x14ac:dyDescent="0.2">
      <c r="A880" t="s">
        <v>1568</v>
      </c>
      <c r="B880" t="s">
        <v>1187</v>
      </c>
      <c r="C880" t="s">
        <v>1568</v>
      </c>
      <c r="D880" t="s">
        <v>1568</v>
      </c>
      <c r="E880" t="s">
        <v>47</v>
      </c>
      <c r="F880" t="s">
        <v>1747</v>
      </c>
      <c r="G880" t="s">
        <v>1132</v>
      </c>
      <c r="H880" t="s">
        <v>1568</v>
      </c>
      <c r="I880" t="s">
        <v>1133</v>
      </c>
      <c r="J880" t="s">
        <v>1568</v>
      </c>
      <c r="K880" t="s">
        <v>1568</v>
      </c>
      <c r="L880" t="s">
        <v>1568</v>
      </c>
      <c r="M880" t="s">
        <v>1568</v>
      </c>
      <c r="N880" t="s">
        <v>1568</v>
      </c>
      <c r="O880" t="s">
        <v>1568</v>
      </c>
      <c r="P880" t="s">
        <v>1568</v>
      </c>
      <c r="Q880" t="s">
        <v>1568</v>
      </c>
      <c r="R880" t="s">
        <v>1568</v>
      </c>
      <c r="S880" t="s">
        <v>1568</v>
      </c>
      <c r="T880" t="s">
        <v>1568</v>
      </c>
      <c r="U880" t="s">
        <v>1568</v>
      </c>
      <c r="V880" t="s">
        <v>1592</v>
      </c>
      <c r="W880" t="s">
        <v>1134</v>
      </c>
      <c r="X880" t="s">
        <v>61</v>
      </c>
      <c r="Y880" t="s">
        <v>1587</v>
      </c>
    </row>
    <row r="881" spans="1:25" ht="16" x14ac:dyDescent="0.2">
      <c r="A881" t="s">
        <v>1568</v>
      </c>
      <c r="B881" t="s">
        <v>1187</v>
      </c>
      <c r="C881" t="s">
        <v>1568</v>
      </c>
      <c r="D881" t="s">
        <v>1568</v>
      </c>
      <c r="E881" t="s">
        <v>51</v>
      </c>
      <c r="F881" t="s">
        <v>1747</v>
      </c>
      <c r="G881" t="s">
        <v>1135</v>
      </c>
      <c r="H881" t="s">
        <v>1568</v>
      </c>
      <c r="I881" t="s">
        <v>1136</v>
      </c>
      <c r="J881" t="s">
        <v>1568</v>
      </c>
      <c r="K881" t="s">
        <v>1568</v>
      </c>
      <c r="L881" t="s">
        <v>1568</v>
      </c>
      <c r="M881" t="s">
        <v>1568</v>
      </c>
      <c r="N881" t="s">
        <v>1568</v>
      </c>
      <c r="O881" t="s">
        <v>1568</v>
      </c>
      <c r="P881" t="s">
        <v>1568</v>
      </c>
      <c r="Q881" t="s">
        <v>1568</v>
      </c>
      <c r="R881" t="s">
        <v>1568</v>
      </c>
      <c r="S881" t="s">
        <v>1568</v>
      </c>
      <c r="T881" t="s">
        <v>1568</v>
      </c>
      <c r="U881" t="s">
        <v>1568</v>
      </c>
      <c r="V881" t="s">
        <v>1726</v>
      </c>
      <c r="W881" t="s">
        <v>1137</v>
      </c>
      <c r="X881" t="s">
        <v>61</v>
      </c>
      <c r="Y881" t="s">
        <v>1587</v>
      </c>
    </row>
    <row r="882" spans="1:25" ht="16" x14ac:dyDescent="0.2">
      <c r="A882" t="s">
        <v>1568</v>
      </c>
      <c r="B882" t="s">
        <v>1187</v>
      </c>
      <c r="C882" t="s">
        <v>1568</v>
      </c>
      <c r="D882" t="s">
        <v>1568</v>
      </c>
      <c r="E882" t="s">
        <v>55</v>
      </c>
      <c r="F882" t="s">
        <v>1747</v>
      </c>
      <c r="G882" t="s">
        <v>1138</v>
      </c>
      <c r="H882" t="s">
        <v>1568</v>
      </c>
      <c r="I882" t="s">
        <v>1139</v>
      </c>
      <c r="J882" t="s">
        <v>1568</v>
      </c>
      <c r="K882" t="s">
        <v>1568</v>
      </c>
      <c r="L882" t="s">
        <v>1568</v>
      </c>
      <c r="M882" t="s">
        <v>1568</v>
      </c>
      <c r="N882" t="s">
        <v>1568</v>
      </c>
      <c r="O882" t="s">
        <v>1568</v>
      </c>
      <c r="P882" t="s">
        <v>1568</v>
      </c>
      <c r="Q882" t="s">
        <v>1568</v>
      </c>
      <c r="R882" t="s">
        <v>1568</v>
      </c>
      <c r="S882" t="s">
        <v>1568</v>
      </c>
      <c r="T882" t="s">
        <v>1568</v>
      </c>
      <c r="U882" t="s">
        <v>1568</v>
      </c>
      <c r="V882" t="s">
        <v>1737</v>
      </c>
      <c r="W882" t="s">
        <v>1140</v>
      </c>
      <c r="X882" t="s">
        <v>61</v>
      </c>
      <c r="Y882" t="s">
        <v>1587</v>
      </c>
    </row>
    <row r="883" spans="1:25" ht="16" x14ac:dyDescent="0.2">
      <c r="A883" t="s">
        <v>1568</v>
      </c>
      <c r="B883" t="s">
        <v>1188</v>
      </c>
      <c r="C883" t="s">
        <v>1568</v>
      </c>
      <c r="D883" t="s">
        <v>1568</v>
      </c>
      <c r="E883" t="s">
        <v>36</v>
      </c>
      <c r="F883" t="s">
        <v>1752</v>
      </c>
      <c r="G883" t="s">
        <v>1170</v>
      </c>
      <c r="H883" t="s">
        <v>1568</v>
      </c>
      <c r="I883" t="s">
        <v>1171</v>
      </c>
      <c r="J883" t="s">
        <v>1568</v>
      </c>
      <c r="K883" t="s">
        <v>1568</v>
      </c>
      <c r="L883" t="s">
        <v>1568</v>
      </c>
      <c r="M883" t="s">
        <v>1568</v>
      </c>
      <c r="N883" t="s">
        <v>1568</v>
      </c>
      <c r="O883" t="s">
        <v>1568</v>
      </c>
      <c r="P883" t="s">
        <v>1568</v>
      </c>
      <c r="Q883" t="s">
        <v>1568</v>
      </c>
      <c r="R883" t="s">
        <v>1568</v>
      </c>
      <c r="S883" t="s">
        <v>1568</v>
      </c>
      <c r="T883" t="s">
        <v>1568</v>
      </c>
      <c r="U883" t="s">
        <v>1568</v>
      </c>
      <c r="V883" t="s">
        <v>1592</v>
      </c>
      <c r="W883" t="s">
        <v>1172</v>
      </c>
      <c r="X883" t="s">
        <v>59</v>
      </c>
      <c r="Y883" t="s">
        <v>1581</v>
      </c>
    </row>
    <row r="884" spans="1:25" ht="16" x14ac:dyDescent="0.2">
      <c r="A884" t="s">
        <v>1568</v>
      </c>
      <c r="B884" t="s">
        <v>1188</v>
      </c>
      <c r="C884" t="s">
        <v>1568</v>
      </c>
      <c r="D884" t="s">
        <v>1568</v>
      </c>
      <c r="E884" t="s">
        <v>55</v>
      </c>
      <c r="F884" t="s">
        <v>1752</v>
      </c>
      <c r="G884" t="s">
        <v>1182</v>
      </c>
      <c r="H884" t="s">
        <v>1568</v>
      </c>
      <c r="I884" t="s">
        <v>1183</v>
      </c>
      <c r="J884" t="s">
        <v>1568</v>
      </c>
      <c r="K884" t="s">
        <v>1568</v>
      </c>
      <c r="L884" t="s">
        <v>1568</v>
      </c>
      <c r="M884" t="s">
        <v>1568</v>
      </c>
      <c r="N884" t="s">
        <v>1568</v>
      </c>
      <c r="O884" t="s">
        <v>1568</v>
      </c>
      <c r="P884" t="s">
        <v>1568</v>
      </c>
      <c r="Q884" t="s">
        <v>1568</v>
      </c>
      <c r="R884" t="s">
        <v>1568</v>
      </c>
      <c r="S884" t="s">
        <v>1568</v>
      </c>
      <c r="T884" t="s">
        <v>1568</v>
      </c>
      <c r="U884" t="s">
        <v>1568</v>
      </c>
      <c r="V884" t="s">
        <v>1731</v>
      </c>
      <c r="W884" t="s">
        <v>1184</v>
      </c>
      <c r="X884" t="s">
        <v>59</v>
      </c>
      <c r="Y884" t="s">
        <v>1581</v>
      </c>
    </row>
    <row r="885" spans="1:25" ht="16" x14ac:dyDescent="0.2">
      <c r="A885" t="s">
        <v>1568</v>
      </c>
      <c r="B885" t="s">
        <v>1189</v>
      </c>
      <c r="C885" t="s">
        <v>1568</v>
      </c>
      <c r="D885" t="s">
        <v>1568</v>
      </c>
      <c r="E885" t="s">
        <v>36</v>
      </c>
      <c r="F885" t="s">
        <v>1570</v>
      </c>
      <c r="G885" t="s">
        <v>1142</v>
      </c>
      <c r="H885" t="s">
        <v>1568</v>
      </c>
      <c r="I885" t="s">
        <v>1143</v>
      </c>
      <c r="J885" t="s">
        <v>1568</v>
      </c>
      <c r="K885" t="s">
        <v>1568</v>
      </c>
      <c r="L885" t="s">
        <v>1568</v>
      </c>
      <c r="M885" t="s">
        <v>1568</v>
      </c>
      <c r="N885" t="s">
        <v>1568</v>
      </c>
      <c r="O885" t="s">
        <v>1568</v>
      </c>
      <c r="P885" t="s">
        <v>1568</v>
      </c>
      <c r="Q885" t="s">
        <v>1568</v>
      </c>
      <c r="R885" t="s">
        <v>1568</v>
      </c>
      <c r="S885" t="s">
        <v>1568</v>
      </c>
      <c r="T885" t="s">
        <v>1568</v>
      </c>
      <c r="U885" t="s">
        <v>1568</v>
      </c>
      <c r="V885" t="s">
        <v>1731</v>
      </c>
      <c r="W885" t="s">
        <v>1144</v>
      </c>
      <c r="X885" t="s">
        <v>61</v>
      </c>
      <c r="Y885" t="s">
        <v>1587</v>
      </c>
    </row>
    <row r="886" spans="1:25" ht="16" x14ac:dyDescent="0.2">
      <c r="A886" t="s">
        <v>1568</v>
      </c>
      <c r="B886" t="s">
        <v>1189</v>
      </c>
      <c r="C886" t="s">
        <v>1568</v>
      </c>
      <c r="D886" t="s">
        <v>1568</v>
      </c>
      <c r="E886" t="s">
        <v>55</v>
      </c>
      <c r="F886" t="s">
        <v>1570</v>
      </c>
      <c r="G886" t="s">
        <v>1190</v>
      </c>
      <c r="H886" t="s">
        <v>1568</v>
      </c>
      <c r="I886" t="s">
        <v>1191</v>
      </c>
      <c r="J886" t="s">
        <v>1568</v>
      </c>
      <c r="K886" t="s">
        <v>1568</v>
      </c>
      <c r="L886" t="s">
        <v>1568</v>
      </c>
      <c r="M886" t="s">
        <v>1568</v>
      </c>
      <c r="N886" t="s">
        <v>1568</v>
      </c>
      <c r="O886" t="s">
        <v>1568</v>
      </c>
      <c r="P886" t="s">
        <v>1568</v>
      </c>
      <c r="Q886" t="s">
        <v>1568</v>
      </c>
      <c r="R886" t="s">
        <v>1568</v>
      </c>
      <c r="S886" t="s">
        <v>1568</v>
      </c>
      <c r="T886" t="s">
        <v>1568</v>
      </c>
      <c r="U886" t="s">
        <v>1568</v>
      </c>
      <c r="V886" t="s">
        <v>1665</v>
      </c>
      <c r="W886" t="s">
        <v>1192</v>
      </c>
      <c r="X886" t="s">
        <v>61</v>
      </c>
      <c r="Y886" t="s">
        <v>1587</v>
      </c>
    </row>
    <row r="887" spans="1:25" ht="16" x14ac:dyDescent="0.2">
      <c r="A887" t="s">
        <v>1568</v>
      </c>
      <c r="B887" t="s">
        <v>1193</v>
      </c>
      <c r="C887" t="s">
        <v>1568</v>
      </c>
      <c r="D887" t="s">
        <v>1568</v>
      </c>
      <c r="E887" t="s">
        <v>36</v>
      </c>
      <c r="F887" t="s">
        <v>1749</v>
      </c>
      <c r="G887" t="s">
        <v>1153</v>
      </c>
      <c r="H887" t="s">
        <v>1568</v>
      </c>
      <c r="I887" t="s">
        <v>1154</v>
      </c>
      <c r="J887" t="s">
        <v>1568</v>
      </c>
      <c r="K887" t="s">
        <v>1568</v>
      </c>
      <c r="L887" t="s">
        <v>1568</v>
      </c>
      <c r="M887" t="s">
        <v>1568</v>
      </c>
      <c r="N887" t="s">
        <v>1568</v>
      </c>
      <c r="O887" t="s">
        <v>1568</v>
      </c>
      <c r="P887" t="s">
        <v>1568</v>
      </c>
      <c r="Q887" t="s">
        <v>1568</v>
      </c>
      <c r="R887" t="s">
        <v>1568</v>
      </c>
      <c r="S887" t="s">
        <v>1568</v>
      </c>
      <c r="T887" t="s">
        <v>1568</v>
      </c>
      <c r="U887" t="s">
        <v>1568</v>
      </c>
      <c r="V887" t="s">
        <v>1729</v>
      </c>
      <c r="W887" t="s">
        <v>1155</v>
      </c>
      <c r="X887" t="s">
        <v>61</v>
      </c>
      <c r="Y887" t="s">
        <v>1587</v>
      </c>
    </row>
    <row r="888" spans="1:25" ht="16" x14ac:dyDescent="0.2">
      <c r="A888" t="s">
        <v>1568</v>
      </c>
      <c r="B888" t="s">
        <v>1193</v>
      </c>
      <c r="C888" t="s">
        <v>1568</v>
      </c>
      <c r="D888" t="s">
        <v>1568</v>
      </c>
      <c r="E888" t="s">
        <v>55</v>
      </c>
      <c r="F888" t="s">
        <v>1749</v>
      </c>
      <c r="G888" t="s">
        <v>1165</v>
      </c>
      <c r="H888" t="s">
        <v>1568</v>
      </c>
      <c r="I888" t="s">
        <v>1166</v>
      </c>
      <c r="J888" t="s">
        <v>1568</v>
      </c>
      <c r="K888" t="s">
        <v>1568</v>
      </c>
      <c r="L888" t="s">
        <v>1568</v>
      </c>
      <c r="M888" t="s">
        <v>1568</v>
      </c>
      <c r="N888" t="s">
        <v>1568</v>
      </c>
      <c r="O888" t="s">
        <v>1568</v>
      </c>
      <c r="P888" t="s">
        <v>1568</v>
      </c>
      <c r="Q888" t="s">
        <v>1568</v>
      </c>
      <c r="R888" t="s">
        <v>1568</v>
      </c>
      <c r="S888" t="s">
        <v>1568</v>
      </c>
      <c r="T888" t="s">
        <v>1568</v>
      </c>
      <c r="U888" t="s">
        <v>1568</v>
      </c>
      <c r="V888" t="s">
        <v>51</v>
      </c>
      <c r="W888" t="s">
        <v>1167</v>
      </c>
      <c r="X888" t="s">
        <v>61</v>
      </c>
      <c r="Y888" t="s">
        <v>1587</v>
      </c>
    </row>
    <row r="889" spans="1:25" ht="16" x14ac:dyDescent="0.2">
      <c r="A889" t="s">
        <v>1568</v>
      </c>
      <c r="B889" t="s">
        <v>1195</v>
      </c>
      <c r="C889" t="s">
        <v>1568</v>
      </c>
      <c r="D889" t="s">
        <v>1568</v>
      </c>
      <c r="E889" t="s">
        <v>36</v>
      </c>
      <c r="F889" t="s">
        <v>1752</v>
      </c>
      <c r="G889" t="s">
        <v>1170</v>
      </c>
      <c r="H889" t="s">
        <v>1568</v>
      </c>
      <c r="I889" t="s">
        <v>1171</v>
      </c>
      <c r="J889" t="s">
        <v>1568</v>
      </c>
      <c r="K889" t="s">
        <v>1568</v>
      </c>
      <c r="L889" t="s">
        <v>1568</v>
      </c>
      <c r="M889" t="s">
        <v>1568</v>
      </c>
      <c r="N889" t="s">
        <v>1568</v>
      </c>
      <c r="O889" t="s">
        <v>1568</v>
      </c>
      <c r="P889" t="s">
        <v>1568</v>
      </c>
      <c r="Q889" t="s">
        <v>1568</v>
      </c>
      <c r="R889" t="s">
        <v>1568</v>
      </c>
      <c r="S889" t="s">
        <v>1568</v>
      </c>
      <c r="T889" t="s">
        <v>1568</v>
      </c>
      <c r="U889" t="s">
        <v>1568</v>
      </c>
      <c r="V889" t="s">
        <v>1592</v>
      </c>
      <c r="W889" t="s">
        <v>1172</v>
      </c>
      <c r="X889" t="s">
        <v>61</v>
      </c>
      <c r="Y889" t="s">
        <v>1587</v>
      </c>
    </row>
    <row r="890" spans="1:25" ht="16" x14ac:dyDescent="0.2">
      <c r="A890" t="s">
        <v>1568</v>
      </c>
      <c r="B890" t="s">
        <v>1195</v>
      </c>
      <c r="C890" t="s">
        <v>1568</v>
      </c>
      <c r="D890" t="s">
        <v>1568</v>
      </c>
      <c r="E890" t="s">
        <v>55</v>
      </c>
      <c r="F890" t="s">
        <v>1752</v>
      </c>
      <c r="G890" t="s">
        <v>1182</v>
      </c>
      <c r="H890" t="s">
        <v>1568</v>
      </c>
      <c r="I890" t="s">
        <v>1183</v>
      </c>
      <c r="J890" t="s">
        <v>1568</v>
      </c>
      <c r="K890" t="s">
        <v>1568</v>
      </c>
      <c r="L890" t="s">
        <v>1568</v>
      </c>
      <c r="M890" t="s">
        <v>1568</v>
      </c>
      <c r="N890" t="s">
        <v>1568</v>
      </c>
      <c r="O890" t="s">
        <v>1568</v>
      </c>
      <c r="P890" t="s">
        <v>1568</v>
      </c>
      <c r="Q890" t="s">
        <v>1568</v>
      </c>
      <c r="R890" t="s">
        <v>1568</v>
      </c>
      <c r="S890" t="s">
        <v>1568</v>
      </c>
      <c r="T890" t="s">
        <v>1568</v>
      </c>
      <c r="U890" t="s">
        <v>1568</v>
      </c>
      <c r="V890" t="s">
        <v>1712</v>
      </c>
      <c r="W890" t="s">
        <v>1184</v>
      </c>
      <c r="X890" t="s">
        <v>61</v>
      </c>
      <c r="Y890" t="s">
        <v>1587</v>
      </c>
    </row>
    <row r="891" spans="1:25" ht="16" x14ac:dyDescent="0.2">
      <c r="A891" t="s">
        <v>1568</v>
      </c>
      <c r="B891" t="s">
        <v>1196</v>
      </c>
      <c r="C891" t="s">
        <v>1568</v>
      </c>
      <c r="D891" t="s">
        <v>1568</v>
      </c>
      <c r="E891" t="s">
        <v>36</v>
      </c>
      <c r="F891" t="s">
        <v>1757</v>
      </c>
      <c r="G891" t="s">
        <v>1197</v>
      </c>
      <c r="H891" t="s">
        <v>1568</v>
      </c>
      <c r="I891" t="s">
        <v>1198</v>
      </c>
      <c r="J891" t="s">
        <v>1568</v>
      </c>
      <c r="K891" t="s">
        <v>1568</v>
      </c>
      <c r="L891" t="s">
        <v>1568</v>
      </c>
      <c r="M891" t="s">
        <v>1568</v>
      </c>
      <c r="N891" t="s">
        <v>1568</v>
      </c>
      <c r="O891" t="s">
        <v>1568</v>
      </c>
      <c r="P891" t="s">
        <v>1568</v>
      </c>
      <c r="Q891" t="s">
        <v>1568</v>
      </c>
      <c r="R891" t="s">
        <v>1568</v>
      </c>
      <c r="S891" t="s">
        <v>1568</v>
      </c>
      <c r="T891" t="s">
        <v>1568</v>
      </c>
      <c r="U891" t="s">
        <v>1568</v>
      </c>
      <c r="V891" t="s">
        <v>1592</v>
      </c>
      <c r="W891" t="s">
        <v>1199</v>
      </c>
      <c r="X891" t="s">
        <v>30</v>
      </c>
      <c r="Y891" t="s">
        <v>1572</v>
      </c>
    </row>
    <row r="892" spans="1:25" ht="16" x14ac:dyDescent="0.2">
      <c r="A892" t="s">
        <v>1568</v>
      </c>
      <c r="B892" t="s">
        <v>1196</v>
      </c>
      <c r="C892" t="s">
        <v>1568</v>
      </c>
      <c r="D892" t="s">
        <v>1568</v>
      </c>
      <c r="E892" t="s">
        <v>43</v>
      </c>
      <c r="F892" t="s">
        <v>1757</v>
      </c>
      <c r="G892" t="s">
        <v>1200</v>
      </c>
      <c r="H892" t="s">
        <v>1568</v>
      </c>
      <c r="I892" t="s">
        <v>1201</v>
      </c>
      <c r="J892" t="s">
        <v>1568</v>
      </c>
      <c r="K892" t="s">
        <v>1568</v>
      </c>
      <c r="L892" t="s">
        <v>1568</v>
      </c>
      <c r="M892" t="s">
        <v>1568</v>
      </c>
      <c r="N892" t="s">
        <v>1568</v>
      </c>
      <c r="O892" t="s">
        <v>1568</v>
      </c>
      <c r="P892" t="s">
        <v>1568</v>
      </c>
      <c r="Q892" t="s">
        <v>1568</v>
      </c>
      <c r="R892" t="s">
        <v>1568</v>
      </c>
      <c r="S892" t="s">
        <v>1568</v>
      </c>
      <c r="T892" t="s">
        <v>1568</v>
      </c>
      <c r="U892" t="s">
        <v>1568</v>
      </c>
      <c r="V892" t="s">
        <v>1755</v>
      </c>
      <c r="W892" t="s">
        <v>1202</v>
      </c>
      <c r="X892" t="s">
        <v>30</v>
      </c>
      <c r="Y892" t="s">
        <v>1572</v>
      </c>
    </row>
    <row r="893" spans="1:25" ht="16" x14ac:dyDescent="0.2">
      <c r="A893" t="s">
        <v>1568</v>
      </c>
      <c r="B893" t="s">
        <v>1196</v>
      </c>
      <c r="C893" t="s">
        <v>1568</v>
      </c>
      <c r="D893" t="s">
        <v>1568</v>
      </c>
      <c r="E893" t="s">
        <v>47</v>
      </c>
      <c r="F893" t="s">
        <v>1757</v>
      </c>
      <c r="G893" t="s">
        <v>1203</v>
      </c>
      <c r="H893" t="s">
        <v>1568</v>
      </c>
      <c r="I893" t="s">
        <v>1204</v>
      </c>
      <c r="J893" t="s">
        <v>1568</v>
      </c>
      <c r="K893" t="s">
        <v>1568</v>
      </c>
      <c r="L893" t="s">
        <v>1568</v>
      </c>
      <c r="M893" t="s">
        <v>1568</v>
      </c>
      <c r="N893" t="s">
        <v>1568</v>
      </c>
      <c r="O893" t="s">
        <v>1568</v>
      </c>
      <c r="P893" t="s">
        <v>1568</v>
      </c>
      <c r="Q893" t="s">
        <v>1568</v>
      </c>
      <c r="R893" t="s">
        <v>1568</v>
      </c>
      <c r="S893" t="s">
        <v>1568</v>
      </c>
      <c r="T893" t="s">
        <v>1568</v>
      </c>
      <c r="U893" t="s">
        <v>1568</v>
      </c>
      <c r="V893" t="s">
        <v>1696</v>
      </c>
      <c r="W893" t="s">
        <v>1205</v>
      </c>
      <c r="X893" t="s">
        <v>30</v>
      </c>
      <c r="Y893" t="s">
        <v>1572</v>
      </c>
    </row>
    <row r="894" spans="1:25" ht="16" x14ac:dyDescent="0.2">
      <c r="A894" t="s">
        <v>1568</v>
      </c>
      <c r="B894" t="s">
        <v>1196</v>
      </c>
      <c r="C894" t="s">
        <v>1568</v>
      </c>
      <c r="D894" t="s">
        <v>1568</v>
      </c>
      <c r="E894" t="s">
        <v>51</v>
      </c>
      <c r="F894" t="s">
        <v>1757</v>
      </c>
      <c r="G894" t="s">
        <v>1206</v>
      </c>
      <c r="H894" t="s">
        <v>1568</v>
      </c>
      <c r="I894" t="s">
        <v>1207</v>
      </c>
      <c r="J894" t="s">
        <v>1568</v>
      </c>
      <c r="K894" t="s">
        <v>1568</v>
      </c>
      <c r="L894" t="s">
        <v>1568</v>
      </c>
      <c r="M894" t="s">
        <v>1568</v>
      </c>
      <c r="N894" t="s">
        <v>1568</v>
      </c>
      <c r="O894" t="s">
        <v>1568</v>
      </c>
      <c r="P894" t="s">
        <v>1568</v>
      </c>
      <c r="Q894" t="s">
        <v>1568</v>
      </c>
      <c r="R894" t="s">
        <v>1568</v>
      </c>
      <c r="S894" t="s">
        <v>1568</v>
      </c>
      <c r="T894" t="s">
        <v>1568</v>
      </c>
      <c r="U894" t="s">
        <v>1568</v>
      </c>
      <c r="V894" t="s">
        <v>1755</v>
      </c>
      <c r="W894" t="s">
        <v>1208</v>
      </c>
      <c r="X894" t="s">
        <v>30</v>
      </c>
      <c r="Y894" t="s">
        <v>1572</v>
      </c>
    </row>
    <row r="895" spans="1:25" ht="16" x14ac:dyDescent="0.2">
      <c r="A895" t="s">
        <v>1568</v>
      </c>
      <c r="B895" t="s">
        <v>1196</v>
      </c>
      <c r="C895" t="s">
        <v>1568</v>
      </c>
      <c r="D895" t="s">
        <v>1568</v>
      </c>
      <c r="E895" t="s">
        <v>55</v>
      </c>
      <c r="F895" t="s">
        <v>1757</v>
      </c>
      <c r="G895" t="s">
        <v>1209</v>
      </c>
      <c r="H895" t="s">
        <v>1568</v>
      </c>
      <c r="I895" t="s">
        <v>1210</v>
      </c>
      <c r="J895" t="s">
        <v>1568</v>
      </c>
      <c r="K895" t="s">
        <v>1568</v>
      </c>
      <c r="L895" t="s">
        <v>1568</v>
      </c>
      <c r="M895" t="s">
        <v>1568</v>
      </c>
      <c r="N895" t="s">
        <v>1568</v>
      </c>
      <c r="O895" t="s">
        <v>1568</v>
      </c>
      <c r="P895" t="s">
        <v>1568</v>
      </c>
      <c r="Q895" t="s">
        <v>1568</v>
      </c>
      <c r="R895" t="s">
        <v>1568</v>
      </c>
      <c r="S895" t="s">
        <v>1568</v>
      </c>
      <c r="T895" t="s">
        <v>1568</v>
      </c>
      <c r="U895" t="s">
        <v>1568</v>
      </c>
      <c r="V895" t="s">
        <v>1758</v>
      </c>
      <c r="W895" t="s">
        <v>1211</v>
      </c>
      <c r="X895" t="s">
        <v>30</v>
      </c>
      <c r="Y895" t="s">
        <v>1572</v>
      </c>
    </row>
    <row r="896" spans="1:25" ht="16" x14ac:dyDescent="0.2">
      <c r="A896" t="s">
        <v>1568</v>
      </c>
      <c r="B896" t="s">
        <v>1246</v>
      </c>
      <c r="C896" t="s">
        <v>1568</v>
      </c>
      <c r="D896" t="s">
        <v>1568</v>
      </c>
      <c r="E896" t="s">
        <v>36</v>
      </c>
      <c r="F896" t="s">
        <v>1757</v>
      </c>
      <c r="G896" t="s">
        <v>1197</v>
      </c>
      <c r="H896" t="s">
        <v>1568</v>
      </c>
      <c r="I896" t="s">
        <v>1198</v>
      </c>
      <c r="J896" t="s">
        <v>1568</v>
      </c>
      <c r="K896" t="s">
        <v>1568</v>
      </c>
      <c r="L896" t="s">
        <v>1568</v>
      </c>
      <c r="M896" t="s">
        <v>1568</v>
      </c>
      <c r="N896" t="s">
        <v>1568</v>
      </c>
      <c r="O896" t="s">
        <v>1568</v>
      </c>
      <c r="P896" t="s">
        <v>1568</v>
      </c>
      <c r="Q896" t="s">
        <v>1568</v>
      </c>
      <c r="R896" t="s">
        <v>1568</v>
      </c>
      <c r="S896" t="s">
        <v>1568</v>
      </c>
      <c r="T896" t="s">
        <v>1568</v>
      </c>
      <c r="U896" t="s">
        <v>1568</v>
      </c>
      <c r="V896" t="s">
        <v>1592</v>
      </c>
      <c r="W896" t="s">
        <v>1199</v>
      </c>
      <c r="X896" t="s">
        <v>59</v>
      </c>
      <c r="Y896" t="s">
        <v>1581</v>
      </c>
    </row>
    <row r="897" spans="1:25" ht="16" x14ac:dyDescent="0.2">
      <c r="A897" t="s">
        <v>1568</v>
      </c>
      <c r="B897" t="s">
        <v>1246</v>
      </c>
      <c r="C897" t="s">
        <v>1568</v>
      </c>
      <c r="D897" t="s">
        <v>1568</v>
      </c>
      <c r="E897" t="s">
        <v>43</v>
      </c>
      <c r="F897" t="s">
        <v>1757</v>
      </c>
      <c r="G897" t="s">
        <v>1200</v>
      </c>
      <c r="H897" t="s">
        <v>1568</v>
      </c>
      <c r="I897" t="s">
        <v>1201</v>
      </c>
      <c r="J897" t="s">
        <v>1568</v>
      </c>
      <c r="K897" t="s">
        <v>1568</v>
      </c>
      <c r="L897" t="s">
        <v>1568</v>
      </c>
      <c r="M897" t="s">
        <v>1568</v>
      </c>
      <c r="N897" t="s">
        <v>1568</v>
      </c>
      <c r="O897" t="s">
        <v>1568</v>
      </c>
      <c r="P897" t="s">
        <v>1568</v>
      </c>
      <c r="Q897" t="s">
        <v>1568</v>
      </c>
      <c r="R897" t="s">
        <v>1568</v>
      </c>
      <c r="S897" t="s">
        <v>1568</v>
      </c>
      <c r="T897" t="s">
        <v>1568</v>
      </c>
      <c r="U897" t="s">
        <v>1568</v>
      </c>
      <c r="V897" t="s">
        <v>1759</v>
      </c>
      <c r="W897" t="s">
        <v>1202</v>
      </c>
      <c r="X897" t="s">
        <v>59</v>
      </c>
      <c r="Y897" t="s">
        <v>1581</v>
      </c>
    </row>
    <row r="898" spans="1:25" ht="16" x14ac:dyDescent="0.2">
      <c r="A898" t="s">
        <v>1568</v>
      </c>
      <c r="B898" t="s">
        <v>1246</v>
      </c>
      <c r="C898" t="s">
        <v>1568</v>
      </c>
      <c r="D898" t="s">
        <v>1568</v>
      </c>
      <c r="E898" t="s">
        <v>47</v>
      </c>
      <c r="F898" t="s">
        <v>1757</v>
      </c>
      <c r="G898" t="s">
        <v>1203</v>
      </c>
      <c r="H898" t="s">
        <v>1568</v>
      </c>
      <c r="I898" t="s">
        <v>1204</v>
      </c>
      <c r="J898" t="s">
        <v>1568</v>
      </c>
      <c r="K898" t="s">
        <v>1568</v>
      </c>
      <c r="L898" t="s">
        <v>1568</v>
      </c>
      <c r="M898" t="s">
        <v>1568</v>
      </c>
      <c r="N898" t="s">
        <v>1568</v>
      </c>
      <c r="O898" t="s">
        <v>1568</v>
      </c>
      <c r="P898" t="s">
        <v>1568</v>
      </c>
      <c r="Q898" t="s">
        <v>1568</v>
      </c>
      <c r="R898" t="s">
        <v>1568</v>
      </c>
      <c r="S898" t="s">
        <v>1568</v>
      </c>
      <c r="T898" t="s">
        <v>1568</v>
      </c>
      <c r="U898" t="s">
        <v>1568</v>
      </c>
      <c r="V898" t="s">
        <v>1696</v>
      </c>
      <c r="W898" t="s">
        <v>1205</v>
      </c>
      <c r="X898" t="s">
        <v>59</v>
      </c>
      <c r="Y898" t="s">
        <v>1581</v>
      </c>
    </row>
    <row r="899" spans="1:25" ht="16" x14ac:dyDescent="0.2">
      <c r="A899" t="s">
        <v>1568</v>
      </c>
      <c r="B899" t="s">
        <v>1246</v>
      </c>
      <c r="C899" t="s">
        <v>1568</v>
      </c>
      <c r="D899" t="s">
        <v>1568</v>
      </c>
      <c r="E899" t="s">
        <v>51</v>
      </c>
      <c r="F899" t="s">
        <v>1757</v>
      </c>
      <c r="G899" t="s">
        <v>1206</v>
      </c>
      <c r="H899" t="s">
        <v>1568</v>
      </c>
      <c r="I899" t="s">
        <v>1207</v>
      </c>
      <c r="J899" t="s">
        <v>1568</v>
      </c>
      <c r="K899" t="s">
        <v>1568</v>
      </c>
      <c r="L899" t="s">
        <v>1568</v>
      </c>
      <c r="M899" t="s">
        <v>1568</v>
      </c>
      <c r="N899" t="s">
        <v>1568</v>
      </c>
      <c r="O899" t="s">
        <v>1568</v>
      </c>
      <c r="P899" t="s">
        <v>1568</v>
      </c>
      <c r="Q899" t="s">
        <v>1568</v>
      </c>
      <c r="R899" t="s">
        <v>1568</v>
      </c>
      <c r="S899" t="s">
        <v>1568</v>
      </c>
      <c r="T899" t="s">
        <v>1568</v>
      </c>
      <c r="U899" t="s">
        <v>1568</v>
      </c>
      <c r="V899" t="s">
        <v>1755</v>
      </c>
      <c r="W899" t="s">
        <v>1208</v>
      </c>
      <c r="X899" t="s">
        <v>59</v>
      </c>
      <c r="Y899" t="s">
        <v>1581</v>
      </c>
    </row>
    <row r="900" spans="1:25" ht="16" x14ac:dyDescent="0.2">
      <c r="A900" t="s">
        <v>1568</v>
      </c>
      <c r="B900" t="s">
        <v>1246</v>
      </c>
      <c r="C900" t="s">
        <v>1568</v>
      </c>
      <c r="D900" t="s">
        <v>1568</v>
      </c>
      <c r="E900" t="s">
        <v>55</v>
      </c>
      <c r="F900" t="s">
        <v>1757</v>
      </c>
      <c r="G900" t="s">
        <v>1209</v>
      </c>
      <c r="H900" t="s">
        <v>1568</v>
      </c>
      <c r="I900" t="s">
        <v>1210</v>
      </c>
      <c r="J900" t="s">
        <v>1568</v>
      </c>
      <c r="K900" t="s">
        <v>1568</v>
      </c>
      <c r="L900" t="s">
        <v>1568</v>
      </c>
      <c r="M900" t="s">
        <v>1568</v>
      </c>
      <c r="N900" t="s">
        <v>1568</v>
      </c>
      <c r="O900" t="s">
        <v>1568</v>
      </c>
      <c r="P900" t="s">
        <v>1568</v>
      </c>
      <c r="Q900" t="s">
        <v>1568</v>
      </c>
      <c r="R900" t="s">
        <v>1568</v>
      </c>
      <c r="S900" t="s">
        <v>1568</v>
      </c>
      <c r="T900" t="s">
        <v>1568</v>
      </c>
      <c r="U900" t="s">
        <v>1568</v>
      </c>
      <c r="V900" t="s">
        <v>1760</v>
      </c>
      <c r="W900" t="s">
        <v>1211</v>
      </c>
      <c r="X900" t="s">
        <v>59</v>
      </c>
      <c r="Y900" t="s">
        <v>1581</v>
      </c>
    </row>
    <row r="901" spans="1:25" ht="16" x14ac:dyDescent="0.2">
      <c r="A901" t="s">
        <v>1568</v>
      </c>
      <c r="B901" t="s">
        <v>1247</v>
      </c>
      <c r="C901" t="s">
        <v>1568</v>
      </c>
      <c r="D901" t="s">
        <v>1568</v>
      </c>
      <c r="E901" t="s">
        <v>36</v>
      </c>
      <c r="F901" t="s">
        <v>1757</v>
      </c>
      <c r="G901" t="s">
        <v>1197</v>
      </c>
      <c r="H901" t="s">
        <v>1568</v>
      </c>
      <c r="I901" t="s">
        <v>1198</v>
      </c>
      <c r="J901" t="s">
        <v>1568</v>
      </c>
      <c r="K901" t="s">
        <v>1568</v>
      </c>
      <c r="L901" t="s">
        <v>1568</v>
      </c>
      <c r="M901" t="s">
        <v>1568</v>
      </c>
      <c r="N901" t="s">
        <v>1568</v>
      </c>
      <c r="O901" t="s">
        <v>1568</v>
      </c>
      <c r="P901" t="s">
        <v>1568</v>
      </c>
      <c r="Q901" t="s">
        <v>1568</v>
      </c>
      <c r="R901" t="s">
        <v>1568</v>
      </c>
      <c r="S901" t="s">
        <v>1568</v>
      </c>
      <c r="T901" t="s">
        <v>1568</v>
      </c>
      <c r="U901" t="s">
        <v>1568</v>
      </c>
      <c r="V901" t="s">
        <v>1592</v>
      </c>
      <c r="W901" t="s">
        <v>1199</v>
      </c>
      <c r="X901" t="s">
        <v>61</v>
      </c>
      <c r="Y901" t="s">
        <v>1587</v>
      </c>
    </row>
    <row r="902" spans="1:25" ht="16" x14ac:dyDescent="0.2">
      <c r="A902" t="s">
        <v>1568</v>
      </c>
      <c r="B902" t="s">
        <v>1247</v>
      </c>
      <c r="C902" t="s">
        <v>1568</v>
      </c>
      <c r="D902" t="s">
        <v>1568</v>
      </c>
      <c r="E902" t="s">
        <v>43</v>
      </c>
      <c r="F902" t="s">
        <v>1757</v>
      </c>
      <c r="G902" t="s">
        <v>1200</v>
      </c>
      <c r="H902" t="s">
        <v>1568</v>
      </c>
      <c r="I902" t="s">
        <v>1201</v>
      </c>
      <c r="J902" t="s">
        <v>1568</v>
      </c>
      <c r="K902" t="s">
        <v>1568</v>
      </c>
      <c r="L902" t="s">
        <v>1568</v>
      </c>
      <c r="M902" t="s">
        <v>1568</v>
      </c>
      <c r="N902" t="s">
        <v>1568</v>
      </c>
      <c r="O902" t="s">
        <v>1568</v>
      </c>
      <c r="P902" t="s">
        <v>1568</v>
      </c>
      <c r="Q902" t="s">
        <v>1568</v>
      </c>
      <c r="R902" t="s">
        <v>1568</v>
      </c>
      <c r="S902" t="s">
        <v>1568</v>
      </c>
      <c r="T902" t="s">
        <v>1568</v>
      </c>
      <c r="U902" t="s">
        <v>1568</v>
      </c>
      <c r="V902" t="s">
        <v>1759</v>
      </c>
      <c r="W902" t="s">
        <v>1202</v>
      </c>
      <c r="X902" t="s">
        <v>61</v>
      </c>
      <c r="Y902" t="s">
        <v>1587</v>
      </c>
    </row>
    <row r="903" spans="1:25" ht="16" x14ac:dyDescent="0.2">
      <c r="A903" t="s">
        <v>1568</v>
      </c>
      <c r="B903" t="s">
        <v>1247</v>
      </c>
      <c r="C903" t="s">
        <v>1568</v>
      </c>
      <c r="D903" t="s">
        <v>1568</v>
      </c>
      <c r="E903" t="s">
        <v>47</v>
      </c>
      <c r="F903" t="s">
        <v>1757</v>
      </c>
      <c r="G903" t="s">
        <v>1203</v>
      </c>
      <c r="H903" t="s">
        <v>1568</v>
      </c>
      <c r="I903" t="s">
        <v>1204</v>
      </c>
      <c r="J903" t="s">
        <v>1568</v>
      </c>
      <c r="K903" t="s">
        <v>1568</v>
      </c>
      <c r="L903" t="s">
        <v>1568</v>
      </c>
      <c r="M903" t="s">
        <v>1568</v>
      </c>
      <c r="N903" t="s">
        <v>1568</v>
      </c>
      <c r="O903" t="s">
        <v>1568</v>
      </c>
      <c r="P903" t="s">
        <v>1568</v>
      </c>
      <c r="Q903" t="s">
        <v>1568</v>
      </c>
      <c r="R903" t="s">
        <v>1568</v>
      </c>
      <c r="S903" t="s">
        <v>1568</v>
      </c>
      <c r="T903" t="s">
        <v>1568</v>
      </c>
      <c r="U903" t="s">
        <v>1568</v>
      </c>
      <c r="V903" t="s">
        <v>1696</v>
      </c>
      <c r="W903" t="s">
        <v>1205</v>
      </c>
      <c r="X903" t="s">
        <v>61</v>
      </c>
      <c r="Y903" t="s">
        <v>1587</v>
      </c>
    </row>
    <row r="904" spans="1:25" ht="16" x14ac:dyDescent="0.2">
      <c r="A904" t="s">
        <v>1568</v>
      </c>
      <c r="B904" t="s">
        <v>1247</v>
      </c>
      <c r="C904" t="s">
        <v>1568</v>
      </c>
      <c r="D904" t="s">
        <v>1568</v>
      </c>
      <c r="E904" t="s">
        <v>51</v>
      </c>
      <c r="F904" t="s">
        <v>1757</v>
      </c>
      <c r="G904" t="s">
        <v>1206</v>
      </c>
      <c r="H904" t="s">
        <v>1568</v>
      </c>
      <c r="I904" t="s">
        <v>1207</v>
      </c>
      <c r="J904" t="s">
        <v>1568</v>
      </c>
      <c r="K904" t="s">
        <v>1568</v>
      </c>
      <c r="L904" t="s">
        <v>1568</v>
      </c>
      <c r="M904" t="s">
        <v>1568</v>
      </c>
      <c r="N904" t="s">
        <v>1568</v>
      </c>
      <c r="O904" t="s">
        <v>1568</v>
      </c>
      <c r="P904" t="s">
        <v>1568</v>
      </c>
      <c r="Q904" t="s">
        <v>1568</v>
      </c>
      <c r="R904" t="s">
        <v>1568</v>
      </c>
      <c r="S904" t="s">
        <v>1568</v>
      </c>
      <c r="T904" t="s">
        <v>1568</v>
      </c>
      <c r="U904" t="s">
        <v>1568</v>
      </c>
      <c r="V904" t="s">
        <v>1755</v>
      </c>
      <c r="W904" t="s">
        <v>1208</v>
      </c>
      <c r="X904" t="s">
        <v>61</v>
      </c>
      <c r="Y904" t="s">
        <v>1587</v>
      </c>
    </row>
    <row r="905" spans="1:25" ht="16" x14ac:dyDescent="0.2">
      <c r="A905" t="s">
        <v>1568</v>
      </c>
      <c r="B905" t="s">
        <v>1247</v>
      </c>
      <c r="C905" t="s">
        <v>1568</v>
      </c>
      <c r="D905" t="s">
        <v>1568</v>
      </c>
      <c r="E905" t="s">
        <v>55</v>
      </c>
      <c r="F905" t="s">
        <v>1757</v>
      </c>
      <c r="G905" t="s">
        <v>1209</v>
      </c>
      <c r="H905" t="s">
        <v>1568</v>
      </c>
      <c r="I905" t="s">
        <v>1210</v>
      </c>
      <c r="J905" t="s">
        <v>1568</v>
      </c>
      <c r="K905" t="s">
        <v>1568</v>
      </c>
      <c r="L905" t="s">
        <v>1568</v>
      </c>
      <c r="M905" t="s">
        <v>1568</v>
      </c>
      <c r="N905" t="s">
        <v>1568</v>
      </c>
      <c r="O905" t="s">
        <v>1568</v>
      </c>
      <c r="P905" t="s">
        <v>1568</v>
      </c>
      <c r="Q905" t="s">
        <v>1568</v>
      </c>
      <c r="R905" t="s">
        <v>1568</v>
      </c>
      <c r="S905" t="s">
        <v>1568</v>
      </c>
      <c r="T905" t="s">
        <v>1568</v>
      </c>
      <c r="U905" t="s">
        <v>1568</v>
      </c>
      <c r="V905" t="s">
        <v>1760</v>
      </c>
      <c r="W905" t="s">
        <v>1211</v>
      </c>
      <c r="X905" t="s">
        <v>61</v>
      </c>
      <c r="Y905" t="s">
        <v>1587</v>
      </c>
    </row>
    <row r="906" spans="1:25" ht="16" x14ac:dyDescent="0.2">
      <c r="A906" t="s">
        <v>1568</v>
      </c>
      <c r="B906" t="s">
        <v>1248</v>
      </c>
      <c r="C906" t="s">
        <v>1568</v>
      </c>
      <c r="D906" t="s">
        <v>1568</v>
      </c>
      <c r="E906" t="s">
        <v>36</v>
      </c>
      <c r="F906" t="s">
        <v>1732</v>
      </c>
      <c r="G906" t="s">
        <v>1250</v>
      </c>
      <c r="H906" t="s">
        <v>1568</v>
      </c>
      <c r="I906" t="s">
        <v>1251</v>
      </c>
      <c r="J906" t="s">
        <v>1568</v>
      </c>
      <c r="K906" t="s">
        <v>1568</v>
      </c>
      <c r="L906" t="s">
        <v>1568</v>
      </c>
      <c r="M906" t="s">
        <v>1568</v>
      </c>
      <c r="N906" t="s">
        <v>1568</v>
      </c>
      <c r="O906" t="s">
        <v>1568</v>
      </c>
      <c r="P906" t="s">
        <v>1568</v>
      </c>
      <c r="Q906" t="s">
        <v>1568</v>
      </c>
      <c r="R906" t="s">
        <v>1568</v>
      </c>
      <c r="S906" t="s">
        <v>1568</v>
      </c>
      <c r="T906" t="s">
        <v>1568</v>
      </c>
      <c r="U906" t="s">
        <v>1568</v>
      </c>
      <c r="V906" t="s">
        <v>1761</v>
      </c>
      <c r="W906" t="s">
        <v>1252</v>
      </c>
      <c r="X906" t="s">
        <v>30</v>
      </c>
      <c r="Y906" t="s">
        <v>1572</v>
      </c>
    </row>
    <row r="907" spans="1:25" ht="16" x14ac:dyDescent="0.2">
      <c r="A907" t="s">
        <v>1568</v>
      </c>
      <c r="B907" t="s">
        <v>1253</v>
      </c>
      <c r="C907" t="s">
        <v>1568</v>
      </c>
      <c r="D907" t="s">
        <v>1568</v>
      </c>
      <c r="E907" t="s">
        <v>36</v>
      </c>
      <c r="F907" t="s">
        <v>1732</v>
      </c>
      <c r="G907" t="s">
        <v>1254</v>
      </c>
      <c r="H907" t="s">
        <v>1568</v>
      </c>
      <c r="I907" t="s">
        <v>1255</v>
      </c>
      <c r="J907" t="s">
        <v>1568</v>
      </c>
      <c r="K907" t="s">
        <v>1568</v>
      </c>
      <c r="L907" t="s">
        <v>1568</v>
      </c>
      <c r="M907" t="s">
        <v>1568</v>
      </c>
      <c r="N907" t="s">
        <v>1568</v>
      </c>
      <c r="O907" t="s">
        <v>1568</v>
      </c>
      <c r="P907" t="s">
        <v>1568</v>
      </c>
      <c r="Q907" t="s">
        <v>1568</v>
      </c>
      <c r="R907" t="s">
        <v>1568</v>
      </c>
      <c r="S907" t="s">
        <v>1568</v>
      </c>
      <c r="T907" t="s">
        <v>1568</v>
      </c>
      <c r="U907" t="s">
        <v>1568</v>
      </c>
      <c r="V907" t="s">
        <v>1665</v>
      </c>
      <c r="W907" t="s">
        <v>1256</v>
      </c>
      <c r="X907" t="s">
        <v>30</v>
      </c>
      <c r="Y907" t="s">
        <v>1572</v>
      </c>
    </row>
    <row r="908" spans="1:25" ht="16" x14ac:dyDescent="0.2">
      <c r="A908" t="s">
        <v>1568</v>
      </c>
      <c r="B908" t="s">
        <v>1257</v>
      </c>
      <c r="C908" t="s">
        <v>1568</v>
      </c>
      <c r="D908" t="s">
        <v>1568</v>
      </c>
      <c r="E908" t="s">
        <v>36</v>
      </c>
      <c r="F908" t="s">
        <v>1732</v>
      </c>
      <c r="G908" t="s">
        <v>1258</v>
      </c>
      <c r="H908" t="s">
        <v>1568</v>
      </c>
      <c r="I908" t="s">
        <v>1259</v>
      </c>
      <c r="J908" t="s">
        <v>1568</v>
      </c>
      <c r="K908" t="s">
        <v>1568</v>
      </c>
      <c r="L908" t="s">
        <v>1568</v>
      </c>
      <c r="M908" t="s">
        <v>1568</v>
      </c>
      <c r="N908" t="s">
        <v>1568</v>
      </c>
      <c r="O908" t="s">
        <v>1568</v>
      </c>
      <c r="P908" t="s">
        <v>1568</v>
      </c>
      <c r="Q908" t="s">
        <v>1568</v>
      </c>
      <c r="R908" t="s">
        <v>1568</v>
      </c>
      <c r="S908" t="s">
        <v>1568</v>
      </c>
      <c r="T908" t="s">
        <v>1568</v>
      </c>
      <c r="U908" t="s">
        <v>1568</v>
      </c>
      <c r="V908" t="s">
        <v>1665</v>
      </c>
      <c r="W908" t="s">
        <v>1260</v>
      </c>
      <c r="X908" t="s">
        <v>30</v>
      </c>
      <c r="Y908" t="s">
        <v>1572</v>
      </c>
    </row>
    <row r="909" spans="1:25" ht="16" x14ac:dyDescent="0.2">
      <c r="A909" t="s">
        <v>1568</v>
      </c>
      <c r="B909" t="s">
        <v>1261</v>
      </c>
      <c r="C909" t="s">
        <v>1568</v>
      </c>
      <c r="D909" t="s">
        <v>1568</v>
      </c>
      <c r="E909" t="s">
        <v>36</v>
      </c>
      <c r="F909" t="s">
        <v>1732</v>
      </c>
      <c r="G909" t="s">
        <v>1262</v>
      </c>
      <c r="H909" t="s">
        <v>1568</v>
      </c>
      <c r="I909" t="s">
        <v>1263</v>
      </c>
      <c r="J909" t="s">
        <v>1568</v>
      </c>
      <c r="K909" t="s">
        <v>1568</v>
      </c>
      <c r="L909" t="s">
        <v>1568</v>
      </c>
      <c r="M909" t="s">
        <v>1568</v>
      </c>
      <c r="N909" t="s">
        <v>1568</v>
      </c>
      <c r="O909" t="s">
        <v>1568</v>
      </c>
      <c r="P909" t="s">
        <v>1568</v>
      </c>
      <c r="Q909" t="s">
        <v>1568</v>
      </c>
      <c r="R909" t="s">
        <v>1568</v>
      </c>
      <c r="S909" t="s">
        <v>1568</v>
      </c>
      <c r="T909" t="s">
        <v>1568</v>
      </c>
      <c r="U909" t="s">
        <v>1568</v>
      </c>
      <c r="V909" t="s">
        <v>1665</v>
      </c>
      <c r="W909" t="s">
        <v>1264</v>
      </c>
      <c r="X909" t="s">
        <v>30</v>
      </c>
      <c r="Y909" t="s">
        <v>1572</v>
      </c>
    </row>
    <row r="910" spans="1:25" ht="16" x14ac:dyDescent="0.2">
      <c r="A910" t="s">
        <v>1568</v>
      </c>
      <c r="B910" t="s">
        <v>1265</v>
      </c>
      <c r="C910" t="s">
        <v>1568</v>
      </c>
      <c r="D910" t="s">
        <v>1568</v>
      </c>
      <c r="E910" t="s">
        <v>36</v>
      </c>
      <c r="F910" t="s">
        <v>1732</v>
      </c>
      <c r="G910" t="s">
        <v>1254</v>
      </c>
      <c r="H910" t="s">
        <v>1568</v>
      </c>
      <c r="I910" t="s">
        <v>1255</v>
      </c>
      <c r="J910" t="s">
        <v>1568</v>
      </c>
      <c r="K910" t="s">
        <v>1568</v>
      </c>
      <c r="L910" t="s">
        <v>1568</v>
      </c>
      <c r="M910" t="s">
        <v>1568</v>
      </c>
      <c r="N910" t="s">
        <v>1568</v>
      </c>
      <c r="O910" t="s">
        <v>1568</v>
      </c>
      <c r="P910" t="s">
        <v>1568</v>
      </c>
      <c r="Q910" t="s">
        <v>1568</v>
      </c>
      <c r="R910" t="s">
        <v>1568</v>
      </c>
      <c r="S910" t="s">
        <v>1568</v>
      </c>
      <c r="T910" t="s">
        <v>1568</v>
      </c>
      <c r="U910" t="s">
        <v>1568</v>
      </c>
      <c r="V910" t="s">
        <v>1665</v>
      </c>
      <c r="W910" t="s">
        <v>1256</v>
      </c>
      <c r="X910" t="s">
        <v>59</v>
      </c>
      <c r="Y910" t="s">
        <v>1581</v>
      </c>
    </row>
    <row r="911" spans="1:25" ht="16" x14ac:dyDescent="0.2">
      <c r="A911" t="s">
        <v>1568</v>
      </c>
      <c r="B911" t="s">
        <v>1266</v>
      </c>
      <c r="C911" t="s">
        <v>1568</v>
      </c>
      <c r="D911" t="s">
        <v>1568</v>
      </c>
      <c r="E911" t="s">
        <v>36</v>
      </c>
      <c r="F911" t="s">
        <v>1732</v>
      </c>
      <c r="G911" t="s">
        <v>1254</v>
      </c>
      <c r="H911" t="s">
        <v>1568</v>
      </c>
      <c r="I911" t="s">
        <v>1255</v>
      </c>
      <c r="J911" t="s">
        <v>1568</v>
      </c>
      <c r="K911" t="s">
        <v>1568</v>
      </c>
      <c r="L911" t="s">
        <v>1568</v>
      </c>
      <c r="M911" t="s">
        <v>1568</v>
      </c>
      <c r="N911" t="s">
        <v>1568</v>
      </c>
      <c r="O911" t="s">
        <v>1568</v>
      </c>
      <c r="P911" t="s">
        <v>1568</v>
      </c>
      <c r="Q911" t="s">
        <v>1568</v>
      </c>
      <c r="R911" t="s">
        <v>1568</v>
      </c>
      <c r="S911" t="s">
        <v>1568</v>
      </c>
      <c r="T911" t="s">
        <v>1568</v>
      </c>
      <c r="U911" t="s">
        <v>1568</v>
      </c>
      <c r="V911" t="s">
        <v>1665</v>
      </c>
      <c r="W911" t="s">
        <v>1256</v>
      </c>
      <c r="X911" t="s">
        <v>61</v>
      </c>
      <c r="Y911" t="s">
        <v>1587</v>
      </c>
    </row>
    <row r="912" spans="1:25" ht="16" x14ac:dyDescent="0.2">
      <c r="A912" t="s">
        <v>1568</v>
      </c>
      <c r="B912" t="s">
        <v>1267</v>
      </c>
      <c r="C912" t="s">
        <v>1568</v>
      </c>
      <c r="D912" t="s">
        <v>1568</v>
      </c>
      <c r="E912" t="s">
        <v>36</v>
      </c>
      <c r="F912" t="s">
        <v>1732</v>
      </c>
      <c r="G912" t="s">
        <v>1262</v>
      </c>
      <c r="H912" t="s">
        <v>1568</v>
      </c>
      <c r="I912" t="s">
        <v>1263</v>
      </c>
      <c r="J912" t="s">
        <v>1568</v>
      </c>
      <c r="K912" t="s">
        <v>1568</v>
      </c>
      <c r="L912" t="s">
        <v>1568</v>
      </c>
      <c r="M912" t="s">
        <v>1568</v>
      </c>
      <c r="N912" t="s">
        <v>1568</v>
      </c>
      <c r="O912" t="s">
        <v>1568</v>
      </c>
      <c r="P912" t="s">
        <v>1568</v>
      </c>
      <c r="Q912" t="s">
        <v>1568</v>
      </c>
      <c r="R912" t="s">
        <v>1568</v>
      </c>
      <c r="S912" t="s">
        <v>1568</v>
      </c>
      <c r="T912" t="s">
        <v>1568</v>
      </c>
      <c r="U912" t="s">
        <v>1568</v>
      </c>
      <c r="V912" t="s">
        <v>1665</v>
      </c>
      <c r="W912" t="s">
        <v>1264</v>
      </c>
      <c r="X912" t="s">
        <v>61</v>
      </c>
      <c r="Y912" t="s">
        <v>1587</v>
      </c>
    </row>
    <row r="913" spans="1:25" ht="16" x14ac:dyDescent="0.2">
      <c r="A913" t="s">
        <v>1568</v>
      </c>
      <c r="B913" t="s">
        <v>1268</v>
      </c>
      <c r="C913" t="s">
        <v>1568</v>
      </c>
      <c r="D913" t="s">
        <v>1568</v>
      </c>
      <c r="E913" t="s">
        <v>36</v>
      </c>
      <c r="F913" t="s">
        <v>1732</v>
      </c>
      <c r="G913" t="s">
        <v>1258</v>
      </c>
      <c r="H913" t="s">
        <v>1568</v>
      </c>
      <c r="I913" t="s">
        <v>1259</v>
      </c>
      <c r="J913" t="s">
        <v>1568</v>
      </c>
      <c r="K913" t="s">
        <v>1568</v>
      </c>
      <c r="L913" t="s">
        <v>1568</v>
      </c>
      <c r="M913" t="s">
        <v>1568</v>
      </c>
      <c r="N913" t="s">
        <v>1568</v>
      </c>
      <c r="O913" t="s">
        <v>1568</v>
      </c>
      <c r="P913" t="s">
        <v>1568</v>
      </c>
      <c r="Q913" t="s">
        <v>1568</v>
      </c>
      <c r="R913" t="s">
        <v>1568</v>
      </c>
      <c r="S913" t="s">
        <v>1568</v>
      </c>
      <c r="T913" t="s">
        <v>1568</v>
      </c>
      <c r="U913" t="s">
        <v>1568</v>
      </c>
      <c r="V913" t="s">
        <v>1665</v>
      </c>
      <c r="W913" t="s">
        <v>1260</v>
      </c>
      <c r="X913" t="s">
        <v>61</v>
      </c>
      <c r="Y913" t="s">
        <v>1587</v>
      </c>
    </row>
    <row r="914" spans="1:25" ht="16" x14ac:dyDescent="0.2">
      <c r="A914" t="s">
        <v>1568</v>
      </c>
      <c r="B914" t="s">
        <v>1269</v>
      </c>
      <c r="C914" t="s">
        <v>1568</v>
      </c>
      <c r="D914" t="s">
        <v>1568</v>
      </c>
      <c r="E914" t="s">
        <v>36</v>
      </c>
      <c r="F914" t="s">
        <v>1732</v>
      </c>
      <c r="G914" t="s">
        <v>1270</v>
      </c>
      <c r="H914" t="s">
        <v>1568</v>
      </c>
      <c r="I914" t="s">
        <v>1271</v>
      </c>
      <c r="J914" t="s">
        <v>1568</v>
      </c>
      <c r="K914" t="s">
        <v>1568</v>
      </c>
      <c r="L914" t="s">
        <v>1568</v>
      </c>
      <c r="M914" t="s">
        <v>1568</v>
      </c>
      <c r="N914" t="s">
        <v>1568</v>
      </c>
      <c r="O914" t="s">
        <v>1568</v>
      </c>
      <c r="P914" t="s">
        <v>1568</v>
      </c>
      <c r="Q914" t="s">
        <v>1568</v>
      </c>
      <c r="R914" t="s">
        <v>1568</v>
      </c>
      <c r="S914" t="s">
        <v>1568</v>
      </c>
      <c r="T914" t="s">
        <v>1568</v>
      </c>
      <c r="U914" t="s">
        <v>1568</v>
      </c>
      <c r="V914" t="s">
        <v>1665</v>
      </c>
      <c r="W914" t="s">
        <v>1272</v>
      </c>
      <c r="X914" t="s">
        <v>30</v>
      </c>
      <c r="Y914" t="s">
        <v>1572</v>
      </c>
    </row>
    <row r="915" spans="1:25" ht="16" x14ac:dyDescent="0.2">
      <c r="A915" t="s">
        <v>1568</v>
      </c>
      <c r="B915" t="s">
        <v>1273</v>
      </c>
      <c r="C915" t="s">
        <v>1568</v>
      </c>
      <c r="D915" t="s">
        <v>1568</v>
      </c>
      <c r="E915" t="s">
        <v>36</v>
      </c>
      <c r="F915" t="s">
        <v>1732</v>
      </c>
      <c r="G915" t="s">
        <v>1274</v>
      </c>
      <c r="H915" t="s">
        <v>1568</v>
      </c>
      <c r="I915" t="s">
        <v>1275</v>
      </c>
      <c r="J915" t="s">
        <v>1568</v>
      </c>
      <c r="K915" t="s">
        <v>1568</v>
      </c>
      <c r="L915" t="s">
        <v>1568</v>
      </c>
      <c r="M915" t="s">
        <v>1568</v>
      </c>
      <c r="N915" t="s">
        <v>1568</v>
      </c>
      <c r="O915" t="s">
        <v>1568</v>
      </c>
      <c r="P915" t="s">
        <v>1568</v>
      </c>
      <c r="Q915" t="s">
        <v>1568</v>
      </c>
      <c r="R915" t="s">
        <v>1568</v>
      </c>
      <c r="S915" t="s">
        <v>1568</v>
      </c>
      <c r="T915" t="s">
        <v>1568</v>
      </c>
      <c r="U915" t="s">
        <v>1568</v>
      </c>
      <c r="V915" t="s">
        <v>1665</v>
      </c>
      <c r="W915" t="s">
        <v>1276</v>
      </c>
      <c r="X915" t="s">
        <v>30</v>
      </c>
      <c r="Y915" t="s">
        <v>1572</v>
      </c>
    </row>
    <row r="916" spans="1:25" ht="16" x14ac:dyDescent="0.2">
      <c r="A916" t="s">
        <v>1568</v>
      </c>
      <c r="B916" t="s">
        <v>1277</v>
      </c>
      <c r="C916" t="s">
        <v>1568</v>
      </c>
      <c r="D916" t="s">
        <v>1568</v>
      </c>
      <c r="E916" t="s">
        <v>36</v>
      </c>
      <c r="F916" t="s">
        <v>1732</v>
      </c>
      <c r="G916" t="s">
        <v>1258</v>
      </c>
      <c r="H916" t="s">
        <v>1568</v>
      </c>
      <c r="I916" t="s">
        <v>1259</v>
      </c>
      <c r="J916" t="s">
        <v>1568</v>
      </c>
      <c r="K916" t="s">
        <v>1568</v>
      </c>
      <c r="L916" t="s">
        <v>1568</v>
      </c>
      <c r="M916" t="s">
        <v>1568</v>
      </c>
      <c r="N916" t="s">
        <v>1568</v>
      </c>
      <c r="O916" t="s">
        <v>1568</v>
      </c>
      <c r="P916" t="s">
        <v>1568</v>
      </c>
      <c r="Q916" t="s">
        <v>1568</v>
      </c>
      <c r="R916" t="s">
        <v>1568</v>
      </c>
      <c r="S916" t="s">
        <v>1568</v>
      </c>
      <c r="T916" t="s">
        <v>1568</v>
      </c>
      <c r="U916" t="s">
        <v>1568</v>
      </c>
      <c r="V916" t="s">
        <v>1665</v>
      </c>
      <c r="W916" t="s">
        <v>1260</v>
      </c>
      <c r="X916" t="s">
        <v>59</v>
      </c>
      <c r="Y916" t="s">
        <v>1581</v>
      </c>
    </row>
    <row r="917" spans="1:25" ht="16" x14ac:dyDescent="0.2">
      <c r="A917" t="s">
        <v>1568</v>
      </c>
      <c r="B917" t="s">
        <v>1278</v>
      </c>
      <c r="C917" t="s">
        <v>1568</v>
      </c>
      <c r="D917" t="s">
        <v>1568</v>
      </c>
      <c r="E917" t="s">
        <v>36</v>
      </c>
      <c r="F917" t="s">
        <v>1732</v>
      </c>
      <c r="G917" t="s">
        <v>1250</v>
      </c>
      <c r="H917" t="s">
        <v>1568</v>
      </c>
      <c r="I917" t="s">
        <v>1251</v>
      </c>
      <c r="J917" t="s">
        <v>1568</v>
      </c>
      <c r="K917" t="s">
        <v>1568</v>
      </c>
      <c r="L917" t="s">
        <v>1568</v>
      </c>
      <c r="M917" t="s">
        <v>1568</v>
      </c>
      <c r="N917" t="s">
        <v>1568</v>
      </c>
      <c r="O917" t="s">
        <v>1568</v>
      </c>
      <c r="P917" t="s">
        <v>1568</v>
      </c>
      <c r="Q917" t="s">
        <v>1568</v>
      </c>
      <c r="R917" t="s">
        <v>1568</v>
      </c>
      <c r="S917" t="s">
        <v>1568</v>
      </c>
      <c r="T917" t="s">
        <v>1568</v>
      </c>
      <c r="U917" t="s">
        <v>1568</v>
      </c>
      <c r="V917" t="s">
        <v>1762</v>
      </c>
      <c r="W917" t="s">
        <v>1252</v>
      </c>
      <c r="X917" t="s">
        <v>59</v>
      </c>
      <c r="Y917" t="s">
        <v>1581</v>
      </c>
    </row>
    <row r="918" spans="1:25" ht="16" x14ac:dyDescent="0.2">
      <c r="A918" t="s">
        <v>1568</v>
      </c>
      <c r="B918" t="s">
        <v>1279</v>
      </c>
      <c r="C918" t="s">
        <v>1568</v>
      </c>
      <c r="D918" t="s">
        <v>1568</v>
      </c>
      <c r="E918" t="s">
        <v>36</v>
      </c>
      <c r="F918" t="s">
        <v>1732</v>
      </c>
      <c r="G918" t="s">
        <v>1274</v>
      </c>
      <c r="H918" t="s">
        <v>1568</v>
      </c>
      <c r="I918" t="s">
        <v>1275</v>
      </c>
      <c r="J918" t="s">
        <v>1568</v>
      </c>
      <c r="K918" t="s">
        <v>1568</v>
      </c>
      <c r="L918" t="s">
        <v>1568</v>
      </c>
      <c r="M918" t="s">
        <v>1568</v>
      </c>
      <c r="N918" t="s">
        <v>1568</v>
      </c>
      <c r="O918" t="s">
        <v>1568</v>
      </c>
      <c r="P918" t="s">
        <v>1568</v>
      </c>
      <c r="Q918" t="s">
        <v>1568</v>
      </c>
      <c r="R918" t="s">
        <v>1568</v>
      </c>
      <c r="S918" t="s">
        <v>1568</v>
      </c>
      <c r="T918" t="s">
        <v>1568</v>
      </c>
      <c r="U918" t="s">
        <v>1568</v>
      </c>
      <c r="V918" t="s">
        <v>1665</v>
      </c>
      <c r="W918" t="s">
        <v>1276</v>
      </c>
      <c r="X918" t="s">
        <v>61</v>
      </c>
      <c r="Y918" t="s">
        <v>1587</v>
      </c>
    </row>
    <row r="919" spans="1:25" ht="16" x14ac:dyDescent="0.2">
      <c r="A919" t="s">
        <v>1568</v>
      </c>
      <c r="B919" t="s">
        <v>1280</v>
      </c>
      <c r="C919" t="s">
        <v>1568</v>
      </c>
      <c r="D919" t="s">
        <v>1568</v>
      </c>
      <c r="E919" t="s">
        <v>36</v>
      </c>
      <c r="F919" t="s">
        <v>1732</v>
      </c>
      <c r="G919" t="s">
        <v>1270</v>
      </c>
      <c r="H919" t="s">
        <v>1568</v>
      </c>
      <c r="I919" t="s">
        <v>1271</v>
      </c>
      <c r="J919" t="s">
        <v>1568</v>
      </c>
      <c r="K919" t="s">
        <v>1568</v>
      </c>
      <c r="L919" t="s">
        <v>1568</v>
      </c>
      <c r="M919" t="s">
        <v>1568</v>
      </c>
      <c r="N919" t="s">
        <v>1568</v>
      </c>
      <c r="O919" t="s">
        <v>1568</v>
      </c>
      <c r="P919" t="s">
        <v>1568</v>
      </c>
      <c r="Q919" t="s">
        <v>1568</v>
      </c>
      <c r="R919" t="s">
        <v>1568</v>
      </c>
      <c r="S919" t="s">
        <v>1568</v>
      </c>
      <c r="T919" t="s">
        <v>1568</v>
      </c>
      <c r="U919" t="s">
        <v>1568</v>
      </c>
      <c r="V919" t="s">
        <v>1665</v>
      </c>
      <c r="W919" t="s">
        <v>1272</v>
      </c>
      <c r="X919" t="s">
        <v>61</v>
      </c>
      <c r="Y919" t="s">
        <v>1587</v>
      </c>
    </row>
    <row r="920" spans="1:25" ht="16" x14ac:dyDescent="0.2">
      <c r="A920" t="s">
        <v>1568</v>
      </c>
      <c r="B920" t="s">
        <v>1281</v>
      </c>
      <c r="C920" t="s">
        <v>1568</v>
      </c>
      <c r="D920" t="s">
        <v>1568</v>
      </c>
      <c r="E920" t="s">
        <v>36</v>
      </c>
      <c r="F920" t="s">
        <v>1732</v>
      </c>
      <c r="G920" t="s">
        <v>1274</v>
      </c>
      <c r="H920" t="s">
        <v>1568</v>
      </c>
      <c r="I920" t="s">
        <v>1275</v>
      </c>
      <c r="J920" t="s">
        <v>1568</v>
      </c>
      <c r="K920" t="s">
        <v>1568</v>
      </c>
      <c r="L920" t="s">
        <v>1568</v>
      </c>
      <c r="M920" t="s">
        <v>1568</v>
      </c>
      <c r="N920" t="s">
        <v>1568</v>
      </c>
      <c r="O920" t="s">
        <v>1568</v>
      </c>
      <c r="P920" t="s">
        <v>1568</v>
      </c>
      <c r="Q920" t="s">
        <v>1568</v>
      </c>
      <c r="R920" t="s">
        <v>1568</v>
      </c>
      <c r="S920" t="s">
        <v>1568</v>
      </c>
      <c r="T920" t="s">
        <v>1568</v>
      </c>
      <c r="U920" t="s">
        <v>1568</v>
      </c>
      <c r="V920" t="s">
        <v>1665</v>
      </c>
      <c r="W920" t="s">
        <v>1276</v>
      </c>
      <c r="X920" t="s">
        <v>59</v>
      </c>
      <c r="Y920" t="s">
        <v>1581</v>
      </c>
    </row>
    <row r="921" spans="1:25" ht="16" x14ac:dyDescent="0.2">
      <c r="A921" t="s">
        <v>1568</v>
      </c>
      <c r="B921" t="s">
        <v>1282</v>
      </c>
      <c r="C921" t="s">
        <v>1568</v>
      </c>
      <c r="D921" t="s">
        <v>1568</v>
      </c>
      <c r="E921" t="s">
        <v>36</v>
      </c>
      <c r="F921" t="s">
        <v>1732</v>
      </c>
      <c r="G921" t="s">
        <v>1250</v>
      </c>
      <c r="H921" t="s">
        <v>1568</v>
      </c>
      <c r="I921" t="s">
        <v>1251</v>
      </c>
      <c r="J921" t="s">
        <v>1568</v>
      </c>
      <c r="K921" t="s">
        <v>1568</v>
      </c>
      <c r="L921" t="s">
        <v>1568</v>
      </c>
      <c r="M921" t="s">
        <v>1568</v>
      </c>
      <c r="N921" t="s">
        <v>1568</v>
      </c>
      <c r="O921" t="s">
        <v>1568</v>
      </c>
      <c r="P921" t="s">
        <v>1568</v>
      </c>
      <c r="Q921" t="s">
        <v>1568</v>
      </c>
      <c r="R921" t="s">
        <v>1568</v>
      </c>
      <c r="S921" t="s">
        <v>1568</v>
      </c>
      <c r="T921" t="s">
        <v>1568</v>
      </c>
      <c r="U921" t="s">
        <v>1568</v>
      </c>
      <c r="V921" t="s">
        <v>1763</v>
      </c>
      <c r="W921" t="s">
        <v>1252</v>
      </c>
      <c r="X921" t="s">
        <v>61</v>
      </c>
      <c r="Y921" t="s">
        <v>1587</v>
      </c>
    </row>
    <row r="922" spans="1:25" ht="16" x14ac:dyDescent="0.2">
      <c r="A922" t="s">
        <v>1568</v>
      </c>
      <c r="B922" t="s">
        <v>1283</v>
      </c>
      <c r="C922" t="s">
        <v>1568</v>
      </c>
      <c r="D922" t="s">
        <v>1568</v>
      </c>
      <c r="E922" t="s">
        <v>36</v>
      </c>
      <c r="F922" t="s">
        <v>1732</v>
      </c>
      <c r="G922" t="s">
        <v>1262</v>
      </c>
      <c r="H922" t="s">
        <v>1568</v>
      </c>
      <c r="I922" t="s">
        <v>1263</v>
      </c>
      <c r="J922" t="s">
        <v>1568</v>
      </c>
      <c r="K922" t="s">
        <v>1568</v>
      </c>
      <c r="L922" t="s">
        <v>1568</v>
      </c>
      <c r="M922" t="s">
        <v>1568</v>
      </c>
      <c r="N922" t="s">
        <v>1568</v>
      </c>
      <c r="O922" t="s">
        <v>1568</v>
      </c>
      <c r="P922" t="s">
        <v>1568</v>
      </c>
      <c r="Q922" t="s">
        <v>1568</v>
      </c>
      <c r="R922" t="s">
        <v>1568</v>
      </c>
      <c r="S922" t="s">
        <v>1568</v>
      </c>
      <c r="T922" t="s">
        <v>1568</v>
      </c>
      <c r="U922" t="s">
        <v>1568</v>
      </c>
      <c r="V922" t="s">
        <v>1665</v>
      </c>
      <c r="W922" t="s">
        <v>1264</v>
      </c>
      <c r="X922" t="s">
        <v>59</v>
      </c>
      <c r="Y922" t="s">
        <v>1581</v>
      </c>
    </row>
    <row r="923" spans="1:25" ht="16" x14ac:dyDescent="0.2">
      <c r="A923" t="s">
        <v>1568</v>
      </c>
      <c r="B923" t="s">
        <v>1284</v>
      </c>
      <c r="C923" t="s">
        <v>1568</v>
      </c>
      <c r="D923" t="s">
        <v>1568</v>
      </c>
      <c r="E923" t="s">
        <v>36</v>
      </c>
      <c r="F923" t="s">
        <v>1749</v>
      </c>
      <c r="G923" t="s">
        <v>1286</v>
      </c>
      <c r="H923" t="s">
        <v>1568</v>
      </c>
      <c r="I923" t="s">
        <v>1287</v>
      </c>
      <c r="J923" t="s">
        <v>1568</v>
      </c>
      <c r="K923" t="s">
        <v>1568</v>
      </c>
      <c r="L923" t="s">
        <v>1568</v>
      </c>
      <c r="M923" t="s">
        <v>1568</v>
      </c>
      <c r="N923" t="s">
        <v>1568</v>
      </c>
      <c r="O923" t="s">
        <v>1568</v>
      </c>
      <c r="P923" t="s">
        <v>1568</v>
      </c>
      <c r="Q923" t="s">
        <v>1568</v>
      </c>
      <c r="R923" t="s">
        <v>1568</v>
      </c>
      <c r="S923" t="s">
        <v>1568</v>
      </c>
      <c r="T923" t="s">
        <v>1568</v>
      </c>
      <c r="U923" t="s">
        <v>1568</v>
      </c>
      <c r="V923" t="s">
        <v>1764</v>
      </c>
      <c r="W923" t="s">
        <v>1288</v>
      </c>
      <c r="X923" t="s">
        <v>59</v>
      </c>
      <c r="Y923" t="s">
        <v>1581</v>
      </c>
    </row>
    <row r="924" spans="1:25" ht="16" x14ac:dyDescent="0.2">
      <c r="A924" t="s">
        <v>1568</v>
      </c>
      <c r="B924" t="s">
        <v>1289</v>
      </c>
      <c r="C924" t="s">
        <v>1568</v>
      </c>
      <c r="D924" t="s">
        <v>1568</v>
      </c>
      <c r="E924" t="s">
        <v>36</v>
      </c>
      <c r="F924" t="s">
        <v>1752</v>
      </c>
      <c r="G924" t="s">
        <v>1290</v>
      </c>
      <c r="H924" t="s">
        <v>1568</v>
      </c>
      <c r="I924" t="s">
        <v>1291</v>
      </c>
      <c r="J924" t="s">
        <v>1568</v>
      </c>
      <c r="K924" t="s">
        <v>1568</v>
      </c>
      <c r="L924" t="s">
        <v>1568</v>
      </c>
      <c r="M924" t="s">
        <v>1568</v>
      </c>
      <c r="N924" t="s">
        <v>1568</v>
      </c>
      <c r="O924" t="s">
        <v>1568</v>
      </c>
      <c r="P924" t="s">
        <v>1568</v>
      </c>
      <c r="Q924" t="s">
        <v>1568</v>
      </c>
      <c r="R924" t="s">
        <v>1568</v>
      </c>
      <c r="S924" t="s">
        <v>1568</v>
      </c>
      <c r="T924" t="s">
        <v>1568</v>
      </c>
      <c r="U924" t="s">
        <v>1568</v>
      </c>
      <c r="V924" t="s">
        <v>1630</v>
      </c>
      <c r="W924" t="s">
        <v>1292</v>
      </c>
      <c r="X924" t="s">
        <v>59</v>
      </c>
      <c r="Y924" t="s">
        <v>1581</v>
      </c>
    </row>
    <row r="925" spans="1:25" ht="16" x14ac:dyDescent="0.2">
      <c r="A925" t="s">
        <v>1568</v>
      </c>
      <c r="B925" t="s">
        <v>1293</v>
      </c>
      <c r="C925" t="s">
        <v>1568</v>
      </c>
      <c r="D925" t="s">
        <v>1568</v>
      </c>
      <c r="E925" t="s">
        <v>36</v>
      </c>
      <c r="F925" t="s">
        <v>1722</v>
      </c>
      <c r="G925" t="s">
        <v>1294</v>
      </c>
      <c r="H925" t="s">
        <v>1568</v>
      </c>
      <c r="I925" t="s">
        <v>1295</v>
      </c>
      <c r="J925" t="s">
        <v>1568</v>
      </c>
      <c r="K925" t="s">
        <v>1568</v>
      </c>
      <c r="L925" t="s">
        <v>1568</v>
      </c>
      <c r="M925" t="s">
        <v>1568</v>
      </c>
      <c r="N925" t="s">
        <v>1568</v>
      </c>
      <c r="O925" t="s">
        <v>1568</v>
      </c>
      <c r="P925" t="s">
        <v>1568</v>
      </c>
      <c r="Q925" t="s">
        <v>1568</v>
      </c>
      <c r="R925" t="s">
        <v>1568</v>
      </c>
      <c r="S925" t="s">
        <v>1568</v>
      </c>
      <c r="T925" t="s">
        <v>1568</v>
      </c>
      <c r="U925" t="s">
        <v>1568</v>
      </c>
      <c r="V925" t="s">
        <v>1765</v>
      </c>
      <c r="W925" t="s">
        <v>1296</v>
      </c>
      <c r="X925" t="s">
        <v>59</v>
      </c>
      <c r="Y925" t="s">
        <v>1581</v>
      </c>
    </row>
    <row r="926" spans="1:25" ht="16" x14ac:dyDescent="0.2">
      <c r="A926" t="s">
        <v>1568</v>
      </c>
      <c r="B926" t="s">
        <v>1297</v>
      </c>
      <c r="C926" t="s">
        <v>1568</v>
      </c>
      <c r="D926" t="s">
        <v>1568</v>
      </c>
      <c r="E926" t="s">
        <v>36</v>
      </c>
      <c r="F926" t="s">
        <v>1725</v>
      </c>
      <c r="G926" t="s">
        <v>1298</v>
      </c>
      <c r="H926" t="s">
        <v>1568</v>
      </c>
      <c r="I926" t="s">
        <v>1299</v>
      </c>
      <c r="J926" t="s">
        <v>1568</v>
      </c>
      <c r="K926" t="s">
        <v>1568</v>
      </c>
      <c r="L926" t="s">
        <v>1568</v>
      </c>
      <c r="M926" t="s">
        <v>1568</v>
      </c>
      <c r="N926" t="s">
        <v>1568</v>
      </c>
      <c r="O926" t="s">
        <v>1568</v>
      </c>
      <c r="P926" t="s">
        <v>1568</v>
      </c>
      <c r="Q926" t="s">
        <v>1568</v>
      </c>
      <c r="R926" t="s">
        <v>1568</v>
      </c>
      <c r="S926" t="s">
        <v>1568</v>
      </c>
      <c r="T926" t="s">
        <v>1568</v>
      </c>
      <c r="U926" t="s">
        <v>1568</v>
      </c>
      <c r="V926" t="s">
        <v>1665</v>
      </c>
      <c r="W926" t="s">
        <v>1300</v>
      </c>
      <c r="X926" t="s">
        <v>61</v>
      </c>
      <c r="Y926" t="s">
        <v>1587</v>
      </c>
    </row>
    <row r="927" spans="1:25" ht="16" x14ac:dyDescent="0.2">
      <c r="A927" t="s">
        <v>1568</v>
      </c>
      <c r="B927" t="s">
        <v>1301</v>
      </c>
      <c r="C927" t="s">
        <v>1568</v>
      </c>
      <c r="D927" t="s">
        <v>1568</v>
      </c>
      <c r="E927" t="s">
        <v>36</v>
      </c>
      <c r="F927" t="s">
        <v>1747</v>
      </c>
      <c r="G927" t="s">
        <v>1302</v>
      </c>
      <c r="H927" t="s">
        <v>1568</v>
      </c>
      <c r="I927" t="s">
        <v>1303</v>
      </c>
      <c r="J927" t="s">
        <v>1568</v>
      </c>
      <c r="K927" t="s">
        <v>1568</v>
      </c>
      <c r="L927" t="s">
        <v>1568</v>
      </c>
      <c r="M927" t="s">
        <v>1568</v>
      </c>
      <c r="N927" t="s">
        <v>1568</v>
      </c>
      <c r="O927" t="s">
        <v>1568</v>
      </c>
      <c r="P927" t="s">
        <v>1568</v>
      </c>
      <c r="Q927" t="s">
        <v>1568</v>
      </c>
      <c r="R927" t="s">
        <v>1568</v>
      </c>
      <c r="S927" t="s">
        <v>1568</v>
      </c>
      <c r="T927" t="s">
        <v>1568</v>
      </c>
      <c r="U927" t="s">
        <v>1568</v>
      </c>
      <c r="V927" t="s">
        <v>1766</v>
      </c>
      <c r="W927" t="s">
        <v>1304</v>
      </c>
      <c r="X927" t="s">
        <v>59</v>
      </c>
      <c r="Y927" t="s">
        <v>1581</v>
      </c>
    </row>
    <row r="928" spans="1:25" ht="16" x14ac:dyDescent="0.2">
      <c r="A928" t="s">
        <v>1568</v>
      </c>
      <c r="B928" t="s">
        <v>1305</v>
      </c>
      <c r="C928" t="s">
        <v>1568</v>
      </c>
      <c r="D928" t="s">
        <v>1568</v>
      </c>
      <c r="E928" t="s">
        <v>36</v>
      </c>
      <c r="F928" t="s">
        <v>1725</v>
      </c>
      <c r="G928" t="s">
        <v>1298</v>
      </c>
      <c r="H928" t="s">
        <v>1568</v>
      </c>
      <c r="I928" t="s">
        <v>1299</v>
      </c>
      <c r="J928" t="s">
        <v>1568</v>
      </c>
      <c r="K928" t="s">
        <v>1568</v>
      </c>
      <c r="L928" t="s">
        <v>1568</v>
      </c>
      <c r="M928" t="s">
        <v>1568</v>
      </c>
      <c r="N928" t="s">
        <v>1568</v>
      </c>
      <c r="O928" t="s">
        <v>1568</v>
      </c>
      <c r="P928" t="s">
        <v>1568</v>
      </c>
      <c r="Q928" t="s">
        <v>1568</v>
      </c>
      <c r="R928" t="s">
        <v>1568</v>
      </c>
      <c r="S928" t="s">
        <v>1568</v>
      </c>
      <c r="T928" t="s">
        <v>1568</v>
      </c>
      <c r="U928" t="s">
        <v>1568</v>
      </c>
      <c r="V928" t="s">
        <v>1754</v>
      </c>
      <c r="W928" t="s">
        <v>1300</v>
      </c>
      <c r="X928" t="s">
        <v>59</v>
      </c>
      <c r="Y928" t="s">
        <v>1581</v>
      </c>
    </row>
    <row r="929" spans="1:25" ht="16" x14ac:dyDescent="0.2">
      <c r="A929" t="s">
        <v>1568</v>
      </c>
      <c r="B929" t="s">
        <v>1306</v>
      </c>
      <c r="C929" t="s">
        <v>1568</v>
      </c>
      <c r="D929" t="s">
        <v>1568</v>
      </c>
      <c r="E929" t="s">
        <v>36</v>
      </c>
      <c r="F929" t="s">
        <v>1757</v>
      </c>
      <c r="G929" t="s">
        <v>1307</v>
      </c>
      <c r="H929" t="s">
        <v>1568</v>
      </c>
      <c r="I929" t="s">
        <v>1308</v>
      </c>
      <c r="J929" t="s">
        <v>1568</v>
      </c>
      <c r="K929" t="s">
        <v>1568</v>
      </c>
      <c r="L929" t="s">
        <v>1568</v>
      </c>
      <c r="M929" t="s">
        <v>1568</v>
      </c>
      <c r="N929" t="s">
        <v>1568</v>
      </c>
      <c r="O929" t="s">
        <v>1568</v>
      </c>
      <c r="P929" t="s">
        <v>1568</v>
      </c>
      <c r="Q929" t="s">
        <v>1568</v>
      </c>
      <c r="R929" t="s">
        <v>1568</v>
      </c>
      <c r="S929" t="s">
        <v>1568</v>
      </c>
      <c r="T929" t="s">
        <v>1568</v>
      </c>
      <c r="U929" t="s">
        <v>1568</v>
      </c>
      <c r="V929" t="s">
        <v>1767</v>
      </c>
      <c r="W929" t="s">
        <v>1309</v>
      </c>
      <c r="X929" t="s">
        <v>59</v>
      </c>
      <c r="Y929" t="s">
        <v>1581</v>
      </c>
    </row>
    <row r="930" spans="1:25" ht="16" x14ac:dyDescent="0.2">
      <c r="A930" t="s">
        <v>1568</v>
      </c>
      <c r="B930" t="s">
        <v>1310</v>
      </c>
      <c r="C930" t="s">
        <v>1568</v>
      </c>
      <c r="D930" t="s">
        <v>1568</v>
      </c>
      <c r="E930" t="s">
        <v>36</v>
      </c>
      <c r="F930" t="s">
        <v>1749</v>
      </c>
      <c r="G930" t="s">
        <v>1286</v>
      </c>
      <c r="H930" t="s">
        <v>1568</v>
      </c>
      <c r="I930" t="s">
        <v>1287</v>
      </c>
      <c r="J930" t="s">
        <v>1568</v>
      </c>
      <c r="K930" t="s">
        <v>1568</v>
      </c>
      <c r="L930" t="s">
        <v>1568</v>
      </c>
      <c r="M930" t="s">
        <v>1568</v>
      </c>
      <c r="N930" t="s">
        <v>1568</v>
      </c>
      <c r="O930" t="s">
        <v>1568</v>
      </c>
      <c r="P930" t="s">
        <v>1568</v>
      </c>
      <c r="Q930" t="s">
        <v>1568</v>
      </c>
      <c r="R930" t="s">
        <v>1568</v>
      </c>
      <c r="S930" t="s">
        <v>1568</v>
      </c>
      <c r="T930" t="s">
        <v>1568</v>
      </c>
      <c r="U930" t="s">
        <v>1568</v>
      </c>
      <c r="V930" t="s">
        <v>1665</v>
      </c>
      <c r="W930" t="s">
        <v>1288</v>
      </c>
      <c r="X930" t="s">
        <v>61</v>
      </c>
      <c r="Y930" t="s">
        <v>1587</v>
      </c>
    </row>
    <row r="931" spans="1:25" ht="16" x14ac:dyDescent="0.2">
      <c r="A931" t="s">
        <v>1568</v>
      </c>
      <c r="B931" t="s">
        <v>1311</v>
      </c>
      <c r="C931" t="s">
        <v>1568</v>
      </c>
      <c r="D931" t="s">
        <v>1568</v>
      </c>
      <c r="E931" t="s">
        <v>36</v>
      </c>
      <c r="F931" t="s">
        <v>1768</v>
      </c>
      <c r="G931" t="s">
        <v>1313</v>
      </c>
      <c r="H931" t="s">
        <v>1568</v>
      </c>
      <c r="I931" t="s">
        <v>1314</v>
      </c>
      <c r="J931" t="s">
        <v>1568</v>
      </c>
      <c r="K931" t="s">
        <v>1568</v>
      </c>
      <c r="L931" t="s">
        <v>1568</v>
      </c>
      <c r="M931" t="s">
        <v>1568</v>
      </c>
      <c r="N931" t="s">
        <v>1568</v>
      </c>
      <c r="O931" t="s">
        <v>1568</v>
      </c>
      <c r="P931" t="s">
        <v>1568</v>
      </c>
      <c r="Q931" t="s">
        <v>1568</v>
      </c>
      <c r="R931" t="s">
        <v>1568</v>
      </c>
      <c r="S931" t="s">
        <v>1568</v>
      </c>
      <c r="T931" t="s">
        <v>1568</v>
      </c>
      <c r="U931" t="s">
        <v>1568</v>
      </c>
      <c r="V931" t="s">
        <v>1592</v>
      </c>
      <c r="W931" t="s">
        <v>1315</v>
      </c>
      <c r="X931" t="s">
        <v>30</v>
      </c>
      <c r="Y931" t="s">
        <v>1572</v>
      </c>
    </row>
    <row r="932" spans="1:25" ht="16" x14ac:dyDescent="0.2">
      <c r="A932" t="s">
        <v>1568</v>
      </c>
      <c r="B932" t="s">
        <v>1311</v>
      </c>
      <c r="C932" t="s">
        <v>1568</v>
      </c>
      <c r="D932" t="s">
        <v>1568</v>
      </c>
      <c r="E932" t="s">
        <v>43</v>
      </c>
      <c r="F932" t="s">
        <v>1768</v>
      </c>
      <c r="G932" t="s">
        <v>1316</v>
      </c>
      <c r="H932" t="s">
        <v>1568</v>
      </c>
      <c r="I932" t="s">
        <v>1317</v>
      </c>
      <c r="J932" t="s">
        <v>1568</v>
      </c>
      <c r="K932" t="s">
        <v>1568</v>
      </c>
      <c r="L932" t="s">
        <v>1568</v>
      </c>
      <c r="M932" t="s">
        <v>1568</v>
      </c>
      <c r="N932" t="s">
        <v>1568</v>
      </c>
      <c r="O932" t="s">
        <v>1568</v>
      </c>
      <c r="P932" t="s">
        <v>1568</v>
      </c>
      <c r="Q932" t="s">
        <v>1568</v>
      </c>
      <c r="R932" t="s">
        <v>1568</v>
      </c>
      <c r="S932" t="s">
        <v>1568</v>
      </c>
      <c r="T932" t="s">
        <v>1568</v>
      </c>
      <c r="U932" t="s">
        <v>1568</v>
      </c>
      <c r="V932" t="s">
        <v>1592</v>
      </c>
      <c r="W932" t="s">
        <v>1318</v>
      </c>
      <c r="X932" t="s">
        <v>30</v>
      </c>
      <c r="Y932" t="s">
        <v>1572</v>
      </c>
    </row>
    <row r="933" spans="1:25" ht="16" x14ac:dyDescent="0.2">
      <c r="A933" t="s">
        <v>1568</v>
      </c>
      <c r="B933" t="s">
        <v>1311</v>
      </c>
      <c r="C933" t="s">
        <v>1568</v>
      </c>
      <c r="D933" t="s">
        <v>1568</v>
      </c>
      <c r="E933" t="s">
        <v>47</v>
      </c>
      <c r="F933" t="s">
        <v>1768</v>
      </c>
      <c r="G933" t="s">
        <v>1319</v>
      </c>
      <c r="H933" t="s">
        <v>1568</v>
      </c>
      <c r="I933" t="s">
        <v>1320</v>
      </c>
      <c r="J933" t="s">
        <v>1568</v>
      </c>
      <c r="K933" t="s">
        <v>1568</v>
      </c>
      <c r="L933" t="s">
        <v>1568</v>
      </c>
      <c r="M933" t="s">
        <v>1568</v>
      </c>
      <c r="N933" t="s">
        <v>1568</v>
      </c>
      <c r="O933" t="s">
        <v>1568</v>
      </c>
      <c r="P933" t="s">
        <v>1568</v>
      </c>
      <c r="Q933" t="s">
        <v>1568</v>
      </c>
      <c r="R933" t="s">
        <v>1568</v>
      </c>
      <c r="S933" t="s">
        <v>1568</v>
      </c>
      <c r="T933" t="s">
        <v>1568</v>
      </c>
      <c r="U933" t="s">
        <v>1568</v>
      </c>
      <c r="V933" t="s">
        <v>1592</v>
      </c>
      <c r="W933" t="s">
        <v>1321</v>
      </c>
      <c r="X933" t="s">
        <v>30</v>
      </c>
      <c r="Y933" t="s">
        <v>1572</v>
      </c>
    </row>
    <row r="934" spans="1:25" ht="16" x14ac:dyDescent="0.2">
      <c r="A934" t="s">
        <v>1568</v>
      </c>
      <c r="B934" t="s">
        <v>1311</v>
      </c>
      <c r="C934" t="s">
        <v>1568</v>
      </c>
      <c r="D934" t="s">
        <v>1568</v>
      </c>
      <c r="E934" t="s">
        <v>51</v>
      </c>
      <c r="F934" t="s">
        <v>1768</v>
      </c>
      <c r="G934" t="s">
        <v>1322</v>
      </c>
      <c r="H934" t="s">
        <v>1568</v>
      </c>
      <c r="I934" t="s">
        <v>1323</v>
      </c>
      <c r="J934" t="s">
        <v>1568</v>
      </c>
      <c r="K934" t="s">
        <v>1568</v>
      </c>
      <c r="L934" t="s">
        <v>1568</v>
      </c>
      <c r="M934" t="s">
        <v>1568</v>
      </c>
      <c r="N934" t="s">
        <v>1568</v>
      </c>
      <c r="O934" t="s">
        <v>1568</v>
      </c>
      <c r="P934" t="s">
        <v>1568</v>
      </c>
      <c r="Q934" t="s">
        <v>1568</v>
      </c>
      <c r="R934" t="s">
        <v>1568</v>
      </c>
      <c r="S934" t="s">
        <v>1568</v>
      </c>
      <c r="T934" t="s">
        <v>1568</v>
      </c>
      <c r="U934" t="s">
        <v>1568</v>
      </c>
      <c r="V934" t="s">
        <v>1592</v>
      </c>
      <c r="W934" t="s">
        <v>1324</v>
      </c>
      <c r="X934" t="s">
        <v>30</v>
      </c>
      <c r="Y934" t="s">
        <v>1572</v>
      </c>
    </row>
    <row r="935" spans="1:25" ht="16" x14ac:dyDescent="0.2">
      <c r="A935" t="s">
        <v>1568</v>
      </c>
      <c r="B935" t="s">
        <v>1311</v>
      </c>
      <c r="C935" t="s">
        <v>1568</v>
      </c>
      <c r="D935" t="s">
        <v>1568</v>
      </c>
      <c r="E935" t="s">
        <v>55</v>
      </c>
      <c r="F935" t="s">
        <v>1768</v>
      </c>
      <c r="G935" t="s">
        <v>1325</v>
      </c>
      <c r="H935" t="s">
        <v>1568</v>
      </c>
      <c r="I935" t="s">
        <v>1326</v>
      </c>
      <c r="J935" t="s">
        <v>1568</v>
      </c>
      <c r="K935" t="s">
        <v>1568</v>
      </c>
      <c r="L935" t="s">
        <v>1568</v>
      </c>
      <c r="M935" t="s">
        <v>1568</v>
      </c>
      <c r="N935" t="s">
        <v>1568</v>
      </c>
      <c r="O935" t="s">
        <v>1568</v>
      </c>
      <c r="P935" t="s">
        <v>1568</v>
      </c>
      <c r="Q935" t="s">
        <v>1568</v>
      </c>
      <c r="R935" t="s">
        <v>1568</v>
      </c>
      <c r="S935" t="s">
        <v>1568</v>
      </c>
      <c r="T935" t="s">
        <v>1568</v>
      </c>
      <c r="U935" t="s">
        <v>1568</v>
      </c>
      <c r="V935" t="s">
        <v>1592</v>
      </c>
      <c r="W935" t="s">
        <v>1327</v>
      </c>
      <c r="X935" t="s">
        <v>30</v>
      </c>
      <c r="Y935" t="s">
        <v>1572</v>
      </c>
    </row>
    <row r="936" spans="1:25" ht="16" x14ac:dyDescent="0.2">
      <c r="A936" t="s">
        <v>1568</v>
      </c>
      <c r="B936" t="s">
        <v>1328</v>
      </c>
      <c r="C936" t="s">
        <v>1568</v>
      </c>
      <c r="D936" t="s">
        <v>1568</v>
      </c>
      <c r="E936" t="s">
        <v>36</v>
      </c>
      <c r="F936" t="s">
        <v>1769</v>
      </c>
      <c r="G936" t="s">
        <v>1329</v>
      </c>
      <c r="H936" t="s">
        <v>1568</v>
      </c>
      <c r="I936" t="s">
        <v>1330</v>
      </c>
      <c r="J936" t="s">
        <v>1568</v>
      </c>
      <c r="K936" t="s">
        <v>1568</v>
      </c>
      <c r="L936" t="s">
        <v>1568</v>
      </c>
      <c r="M936" t="s">
        <v>1568</v>
      </c>
      <c r="N936" t="s">
        <v>1568</v>
      </c>
      <c r="O936" t="s">
        <v>1568</v>
      </c>
      <c r="P936" t="s">
        <v>1568</v>
      </c>
      <c r="Q936" t="s">
        <v>1568</v>
      </c>
      <c r="R936" t="s">
        <v>1568</v>
      </c>
      <c r="S936" t="s">
        <v>1568</v>
      </c>
      <c r="T936" t="s">
        <v>1568</v>
      </c>
      <c r="U936" t="s">
        <v>1568</v>
      </c>
      <c r="V936" t="s">
        <v>1592</v>
      </c>
      <c r="W936" t="s">
        <v>1331</v>
      </c>
      <c r="X936" t="s">
        <v>30</v>
      </c>
      <c r="Y936" t="s">
        <v>1572</v>
      </c>
    </row>
    <row r="937" spans="1:25" ht="16" x14ac:dyDescent="0.2">
      <c r="A937" t="s">
        <v>1568</v>
      </c>
      <c r="B937" t="s">
        <v>1328</v>
      </c>
      <c r="C937" t="s">
        <v>1568</v>
      </c>
      <c r="D937" t="s">
        <v>1568</v>
      </c>
      <c r="E937" t="s">
        <v>43</v>
      </c>
      <c r="F937" t="s">
        <v>1769</v>
      </c>
      <c r="G937" t="s">
        <v>1332</v>
      </c>
      <c r="H937" t="s">
        <v>1568</v>
      </c>
      <c r="I937" t="s">
        <v>1333</v>
      </c>
      <c r="J937" t="s">
        <v>1568</v>
      </c>
      <c r="K937" t="s">
        <v>1568</v>
      </c>
      <c r="L937" t="s">
        <v>1568</v>
      </c>
      <c r="M937" t="s">
        <v>1568</v>
      </c>
      <c r="N937" t="s">
        <v>1568</v>
      </c>
      <c r="O937" t="s">
        <v>1568</v>
      </c>
      <c r="P937" t="s">
        <v>1568</v>
      </c>
      <c r="Q937" t="s">
        <v>1568</v>
      </c>
      <c r="R937" t="s">
        <v>1568</v>
      </c>
      <c r="S937" t="s">
        <v>1568</v>
      </c>
      <c r="T937" t="s">
        <v>1568</v>
      </c>
      <c r="U937" t="s">
        <v>1568</v>
      </c>
      <c r="V937" t="s">
        <v>1592</v>
      </c>
      <c r="W937" t="s">
        <v>1334</v>
      </c>
      <c r="X937" t="s">
        <v>30</v>
      </c>
      <c r="Y937" t="s">
        <v>1572</v>
      </c>
    </row>
    <row r="938" spans="1:25" ht="16" x14ac:dyDescent="0.2">
      <c r="A938" t="s">
        <v>1568</v>
      </c>
      <c r="B938" t="s">
        <v>1328</v>
      </c>
      <c r="C938" t="s">
        <v>1568</v>
      </c>
      <c r="D938" t="s">
        <v>1568</v>
      </c>
      <c r="E938" t="s">
        <v>47</v>
      </c>
      <c r="F938" t="s">
        <v>1769</v>
      </c>
      <c r="G938" t="s">
        <v>1335</v>
      </c>
      <c r="H938" t="s">
        <v>1568</v>
      </c>
      <c r="I938" t="s">
        <v>1336</v>
      </c>
      <c r="J938" t="s">
        <v>1568</v>
      </c>
      <c r="K938" t="s">
        <v>1568</v>
      </c>
      <c r="L938" t="s">
        <v>1568</v>
      </c>
      <c r="M938" t="s">
        <v>1568</v>
      </c>
      <c r="N938" t="s">
        <v>1568</v>
      </c>
      <c r="O938" t="s">
        <v>1568</v>
      </c>
      <c r="P938" t="s">
        <v>1568</v>
      </c>
      <c r="Q938" t="s">
        <v>1568</v>
      </c>
      <c r="R938" t="s">
        <v>1568</v>
      </c>
      <c r="S938" t="s">
        <v>1568</v>
      </c>
      <c r="T938" t="s">
        <v>1568</v>
      </c>
      <c r="U938" t="s">
        <v>1568</v>
      </c>
      <c r="V938" t="s">
        <v>1592</v>
      </c>
      <c r="W938" t="s">
        <v>1337</v>
      </c>
      <c r="X938" t="s">
        <v>30</v>
      </c>
      <c r="Y938" t="s">
        <v>1572</v>
      </c>
    </row>
    <row r="939" spans="1:25" ht="16" x14ac:dyDescent="0.2">
      <c r="A939" t="s">
        <v>1568</v>
      </c>
      <c r="B939" t="s">
        <v>1328</v>
      </c>
      <c r="C939" t="s">
        <v>1568</v>
      </c>
      <c r="D939" t="s">
        <v>1568</v>
      </c>
      <c r="E939" t="s">
        <v>51</v>
      </c>
      <c r="F939" t="s">
        <v>1769</v>
      </c>
      <c r="G939" t="s">
        <v>1338</v>
      </c>
      <c r="H939" t="s">
        <v>1568</v>
      </c>
      <c r="I939" t="s">
        <v>1339</v>
      </c>
      <c r="J939" t="s">
        <v>1568</v>
      </c>
      <c r="K939" t="s">
        <v>1568</v>
      </c>
      <c r="L939" t="s">
        <v>1568</v>
      </c>
      <c r="M939" t="s">
        <v>1568</v>
      </c>
      <c r="N939" t="s">
        <v>1568</v>
      </c>
      <c r="O939" t="s">
        <v>1568</v>
      </c>
      <c r="P939" t="s">
        <v>1568</v>
      </c>
      <c r="Q939" t="s">
        <v>1568</v>
      </c>
      <c r="R939" t="s">
        <v>1568</v>
      </c>
      <c r="S939" t="s">
        <v>1568</v>
      </c>
      <c r="T939" t="s">
        <v>1568</v>
      </c>
      <c r="U939" t="s">
        <v>1568</v>
      </c>
      <c r="V939" t="s">
        <v>1592</v>
      </c>
      <c r="W939" t="s">
        <v>1340</v>
      </c>
      <c r="X939" t="s">
        <v>30</v>
      </c>
      <c r="Y939" t="s">
        <v>1572</v>
      </c>
    </row>
    <row r="940" spans="1:25" ht="16" x14ac:dyDescent="0.2">
      <c r="A940" t="s">
        <v>1568</v>
      </c>
      <c r="B940" t="s">
        <v>1328</v>
      </c>
      <c r="C940" t="s">
        <v>1568</v>
      </c>
      <c r="D940" t="s">
        <v>1568</v>
      </c>
      <c r="E940" t="s">
        <v>55</v>
      </c>
      <c r="F940" t="s">
        <v>1769</v>
      </c>
      <c r="G940" t="s">
        <v>1341</v>
      </c>
      <c r="H940" t="s">
        <v>1568</v>
      </c>
      <c r="I940" t="s">
        <v>1342</v>
      </c>
      <c r="J940" t="s">
        <v>1568</v>
      </c>
      <c r="K940" t="s">
        <v>1568</v>
      </c>
      <c r="L940" t="s">
        <v>1568</v>
      </c>
      <c r="M940" t="s">
        <v>1568</v>
      </c>
      <c r="N940" t="s">
        <v>1568</v>
      </c>
      <c r="O940" t="s">
        <v>1568</v>
      </c>
      <c r="P940" t="s">
        <v>1568</v>
      </c>
      <c r="Q940" t="s">
        <v>1568</v>
      </c>
      <c r="R940" t="s">
        <v>1568</v>
      </c>
      <c r="S940" t="s">
        <v>1568</v>
      </c>
      <c r="T940" t="s">
        <v>1568</v>
      </c>
      <c r="U940" t="s">
        <v>1568</v>
      </c>
      <c r="V940" t="s">
        <v>1592</v>
      </c>
      <c r="W940" t="s">
        <v>1343</v>
      </c>
      <c r="X940" t="s">
        <v>30</v>
      </c>
      <c r="Y940" t="s">
        <v>1572</v>
      </c>
    </row>
    <row r="941" spans="1:25" ht="16" x14ac:dyDescent="0.2">
      <c r="A941" t="s">
        <v>1568</v>
      </c>
      <c r="B941" t="s">
        <v>1344</v>
      </c>
      <c r="C941" t="s">
        <v>1568</v>
      </c>
      <c r="D941" t="s">
        <v>1568</v>
      </c>
      <c r="E941" t="s">
        <v>36</v>
      </c>
      <c r="F941" t="s">
        <v>1770</v>
      </c>
      <c r="G941" t="s">
        <v>1345</v>
      </c>
      <c r="H941" t="s">
        <v>1568</v>
      </c>
      <c r="I941" t="s">
        <v>1346</v>
      </c>
      <c r="J941" t="s">
        <v>1568</v>
      </c>
      <c r="K941" t="s">
        <v>1568</v>
      </c>
      <c r="L941" t="s">
        <v>1568</v>
      </c>
      <c r="M941" t="s">
        <v>1568</v>
      </c>
      <c r="N941" t="s">
        <v>1568</v>
      </c>
      <c r="O941" t="s">
        <v>1568</v>
      </c>
      <c r="P941" t="s">
        <v>1568</v>
      </c>
      <c r="Q941" t="s">
        <v>1568</v>
      </c>
      <c r="R941" t="s">
        <v>1568</v>
      </c>
      <c r="S941" t="s">
        <v>1568</v>
      </c>
      <c r="T941" t="s">
        <v>1568</v>
      </c>
      <c r="U941" t="s">
        <v>1568</v>
      </c>
      <c r="V941" t="s">
        <v>1592</v>
      </c>
      <c r="W941" t="s">
        <v>1347</v>
      </c>
      <c r="X941" t="s">
        <v>30</v>
      </c>
      <c r="Y941" t="s">
        <v>1572</v>
      </c>
    </row>
    <row r="942" spans="1:25" ht="16" x14ac:dyDescent="0.2">
      <c r="A942" t="s">
        <v>1568</v>
      </c>
      <c r="B942" t="s">
        <v>1344</v>
      </c>
      <c r="C942" t="s">
        <v>1568</v>
      </c>
      <c r="D942" t="s">
        <v>1568</v>
      </c>
      <c r="E942" t="s">
        <v>43</v>
      </c>
      <c r="F942" t="s">
        <v>1770</v>
      </c>
      <c r="G942" t="s">
        <v>1348</v>
      </c>
      <c r="H942" t="s">
        <v>1568</v>
      </c>
      <c r="I942" t="s">
        <v>1349</v>
      </c>
      <c r="J942" t="s">
        <v>1568</v>
      </c>
      <c r="K942" t="s">
        <v>1568</v>
      </c>
      <c r="L942" t="s">
        <v>1568</v>
      </c>
      <c r="M942" t="s">
        <v>1568</v>
      </c>
      <c r="N942" t="s">
        <v>1568</v>
      </c>
      <c r="O942" t="s">
        <v>1568</v>
      </c>
      <c r="P942" t="s">
        <v>1568</v>
      </c>
      <c r="Q942" t="s">
        <v>1568</v>
      </c>
      <c r="R942" t="s">
        <v>1568</v>
      </c>
      <c r="S942" t="s">
        <v>1568</v>
      </c>
      <c r="T942" t="s">
        <v>1568</v>
      </c>
      <c r="U942" t="s">
        <v>1568</v>
      </c>
      <c r="V942" t="s">
        <v>1592</v>
      </c>
      <c r="W942" t="s">
        <v>1350</v>
      </c>
      <c r="X942" t="s">
        <v>30</v>
      </c>
      <c r="Y942" t="s">
        <v>1572</v>
      </c>
    </row>
    <row r="943" spans="1:25" ht="16" x14ac:dyDescent="0.2">
      <c r="A943" t="s">
        <v>1568</v>
      </c>
      <c r="B943" t="s">
        <v>1344</v>
      </c>
      <c r="C943" t="s">
        <v>1568</v>
      </c>
      <c r="D943" t="s">
        <v>1568</v>
      </c>
      <c r="E943" t="s">
        <v>47</v>
      </c>
      <c r="F943" t="s">
        <v>1770</v>
      </c>
      <c r="G943" t="s">
        <v>1351</v>
      </c>
      <c r="H943" t="s">
        <v>1568</v>
      </c>
      <c r="I943" t="s">
        <v>1352</v>
      </c>
      <c r="J943" t="s">
        <v>1568</v>
      </c>
      <c r="K943" t="s">
        <v>1568</v>
      </c>
      <c r="L943" t="s">
        <v>1568</v>
      </c>
      <c r="M943" t="s">
        <v>1568</v>
      </c>
      <c r="N943" t="s">
        <v>1568</v>
      </c>
      <c r="O943" t="s">
        <v>1568</v>
      </c>
      <c r="P943" t="s">
        <v>1568</v>
      </c>
      <c r="Q943" t="s">
        <v>1568</v>
      </c>
      <c r="R943" t="s">
        <v>1568</v>
      </c>
      <c r="S943" t="s">
        <v>1568</v>
      </c>
      <c r="T943" t="s">
        <v>1568</v>
      </c>
      <c r="U943" t="s">
        <v>1568</v>
      </c>
      <c r="V943" t="s">
        <v>1592</v>
      </c>
      <c r="W943" t="s">
        <v>1353</v>
      </c>
      <c r="X943" t="s">
        <v>30</v>
      </c>
      <c r="Y943" t="s">
        <v>1572</v>
      </c>
    </row>
    <row r="944" spans="1:25" ht="16" x14ac:dyDescent="0.2">
      <c r="A944" t="s">
        <v>1568</v>
      </c>
      <c r="B944" t="s">
        <v>1344</v>
      </c>
      <c r="C944" t="s">
        <v>1568</v>
      </c>
      <c r="D944" t="s">
        <v>1568</v>
      </c>
      <c r="E944" t="s">
        <v>51</v>
      </c>
      <c r="F944" t="s">
        <v>1770</v>
      </c>
      <c r="G944" t="s">
        <v>1354</v>
      </c>
      <c r="H944" t="s">
        <v>1568</v>
      </c>
      <c r="I944" t="s">
        <v>1355</v>
      </c>
      <c r="J944" t="s">
        <v>1568</v>
      </c>
      <c r="K944" t="s">
        <v>1568</v>
      </c>
      <c r="L944" t="s">
        <v>1568</v>
      </c>
      <c r="M944" t="s">
        <v>1568</v>
      </c>
      <c r="N944" t="s">
        <v>1568</v>
      </c>
      <c r="O944" t="s">
        <v>1568</v>
      </c>
      <c r="P944" t="s">
        <v>1568</v>
      </c>
      <c r="Q944" t="s">
        <v>1568</v>
      </c>
      <c r="R944" t="s">
        <v>1568</v>
      </c>
      <c r="S944" t="s">
        <v>1568</v>
      </c>
      <c r="T944" t="s">
        <v>1568</v>
      </c>
      <c r="U944" t="s">
        <v>1568</v>
      </c>
      <c r="V944" t="s">
        <v>1592</v>
      </c>
      <c r="W944" t="s">
        <v>1356</v>
      </c>
      <c r="X944" t="s">
        <v>30</v>
      </c>
      <c r="Y944" t="s">
        <v>1572</v>
      </c>
    </row>
    <row r="945" spans="1:25" ht="16" x14ac:dyDescent="0.2">
      <c r="A945" t="s">
        <v>1568</v>
      </c>
      <c r="B945" t="s">
        <v>1344</v>
      </c>
      <c r="C945" t="s">
        <v>1568</v>
      </c>
      <c r="D945" t="s">
        <v>1568</v>
      </c>
      <c r="E945" t="s">
        <v>55</v>
      </c>
      <c r="F945" t="s">
        <v>1770</v>
      </c>
      <c r="G945" t="s">
        <v>1357</v>
      </c>
      <c r="H945" t="s">
        <v>1568</v>
      </c>
      <c r="I945" t="s">
        <v>1358</v>
      </c>
      <c r="J945" t="s">
        <v>1568</v>
      </c>
      <c r="K945" t="s">
        <v>1568</v>
      </c>
      <c r="L945" t="s">
        <v>1568</v>
      </c>
      <c r="M945" t="s">
        <v>1568</v>
      </c>
      <c r="N945" t="s">
        <v>1568</v>
      </c>
      <c r="O945" t="s">
        <v>1568</v>
      </c>
      <c r="P945" t="s">
        <v>1568</v>
      </c>
      <c r="Q945" t="s">
        <v>1568</v>
      </c>
      <c r="R945" t="s">
        <v>1568</v>
      </c>
      <c r="S945" t="s">
        <v>1568</v>
      </c>
      <c r="T945" t="s">
        <v>1568</v>
      </c>
      <c r="U945" t="s">
        <v>1568</v>
      </c>
      <c r="V945" t="s">
        <v>1592</v>
      </c>
      <c r="W945" t="s">
        <v>1359</v>
      </c>
      <c r="X945" t="s">
        <v>30</v>
      </c>
      <c r="Y945" t="s">
        <v>1572</v>
      </c>
    </row>
    <row r="946" spans="1:25" ht="16" x14ac:dyDescent="0.2">
      <c r="A946" t="s">
        <v>1568</v>
      </c>
      <c r="B946" t="s">
        <v>1360</v>
      </c>
      <c r="C946" t="s">
        <v>1568</v>
      </c>
      <c r="D946" t="s">
        <v>1568</v>
      </c>
      <c r="E946" t="s">
        <v>36</v>
      </c>
      <c r="F946" t="s">
        <v>1768</v>
      </c>
      <c r="G946" t="s">
        <v>1313</v>
      </c>
      <c r="H946" t="s">
        <v>1568</v>
      </c>
      <c r="I946" t="s">
        <v>1314</v>
      </c>
      <c r="J946" t="s">
        <v>1568</v>
      </c>
      <c r="K946" t="s">
        <v>1568</v>
      </c>
      <c r="L946" t="s">
        <v>1568</v>
      </c>
      <c r="M946" t="s">
        <v>1568</v>
      </c>
      <c r="N946" t="s">
        <v>1568</v>
      </c>
      <c r="O946" t="s">
        <v>1568</v>
      </c>
      <c r="P946" t="s">
        <v>1568</v>
      </c>
      <c r="Q946" t="s">
        <v>1568</v>
      </c>
      <c r="R946" t="s">
        <v>1568</v>
      </c>
      <c r="S946" t="s">
        <v>1568</v>
      </c>
      <c r="T946" t="s">
        <v>1568</v>
      </c>
      <c r="U946" t="s">
        <v>1568</v>
      </c>
      <c r="V946" t="s">
        <v>1592</v>
      </c>
      <c r="W946" t="s">
        <v>1315</v>
      </c>
      <c r="X946" t="s">
        <v>59</v>
      </c>
      <c r="Y946" t="s">
        <v>1581</v>
      </c>
    </row>
    <row r="947" spans="1:25" ht="16" x14ac:dyDescent="0.2">
      <c r="A947" t="s">
        <v>1568</v>
      </c>
      <c r="B947" t="s">
        <v>1360</v>
      </c>
      <c r="C947" t="s">
        <v>1568</v>
      </c>
      <c r="D947" t="s">
        <v>1568</v>
      </c>
      <c r="E947" t="s">
        <v>43</v>
      </c>
      <c r="F947" t="s">
        <v>1768</v>
      </c>
      <c r="G947" t="s">
        <v>1316</v>
      </c>
      <c r="H947" t="s">
        <v>1568</v>
      </c>
      <c r="I947" t="s">
        <v>1317</v>
      </c>
      <c r="J947" t="s">
        <v>1568</v>
      </c>
      <c r="K947" t="s">
        <v>1568</v>
      </c>
      <c r="L947" t="s">
        <v>1568</v>
      </c>
      <c r="M947" t="s">
        <v>1568</v>
      </c>
      <c r="N947" t="s">
        <v>1568</v>
      </c>
      <c r="O947" t="s">
        <v>1568</v>
      </c>
      <c r="P947" t="s">
        <v>1568</v>
      </c>
      <c r="Q947" t="s">
        <v>1568</v>
      </c>
      <c r="R947" t="s">
        <v>1568</v>
      </c>
      <c r="S947" t="s">
        <v>1568</v>
      </c>
      <c r="T947" t="s">
        <v>1568</v>
      </c>
      <c r="U947" t="s">
        <v>1568</v>
      </c>
      <c r="V947" t="s">
        <v>1592</v>
      </c>
      <c r="W947" t="s">
        <v>1318</v>
      </c>
      <c r="X947" t="s">
        <v>59</v>
      </c>
      <c r="Y947" t="s">
        <v>1581</v>
      </c>
    </row>
    <row r="948" spans="1:25" ht="16" x14ac:dyDescent="0.2">
      <c r="A948" t="s">
        <v>1568</v>
      </c>
      <c r="B948" t="s">
        <v>1360</v>
      </c>
      <c r="C948" t="s">
        <v>1568</v>
      </c>
      <c r="D948" t="s">
        <v>1568</v>
      </c>
      <c r="E948" t="s">
        <v>47</v>
      </c>
      <c r="F948" t="s">
        <v>1768</v>
      </c>
      <c r="G948" t="s">
        <v>1319</v>
      </c>
      <c r="H948" t="s">
        <v>1568</v>
      </c>
      <c r="I948" t="s">
        <v>1320</v>
      </c>
      <c r="J948" t="s">
        <v>1568</v>
      </c>
      <c r="K948" t="s">
        <v>1568</v>
      </c>
      <c r="L948" t="s">
        <v>1568</v>
      </c>
      <c r="M948" t="s">
        <v>1568</v>
      </c>
      <c r="N948" t="s">
        <v>1568</v>
      </c>
      <c r="O948" t="s">
        <v>1568</v>
      </c>
      <c r="P948" t="s">
        <v>1568</v>
      </c>
      <c r="Q948" t="s">
        <v>1568</v>
      </c>
      <c r="R948" t="s">
        <v>1568</v>
      </c>
      <c r="S948" t="s">
        <v>1568</v>
      </c>
      <c r="T948" t="s">
        <v>1568</v>
      </c>
      <c r="U948" t="s">
        <v>1568</v>
      </c>
      <c r="V948" t="s">
        <v>1592</v>
      </c>
      <c r="W948" t="s">
        <v>1321</v>
      </c>
      <c r="X948" t="s">
        <v>59</v>
      </c>
      <c r="Y948" t="s">
        <v>1581</v>
      </c>
    </row>
    <row r="949" spans="1:25" ht="16" x14ac:dyDescent="0.2">
      <c r="A949" t="s">
        <v>1568</v>
      </c>
      <c r="B949" t="s">
        <v>1360</v>
      </c>
      <c r="C949" t="s">
        <v>1568</v>
      </c>
      <c r="D949" t="s">
        <v>1568</v>
      </c>
      <c r="E949" t="s">
        <v>51</v>
      </c>
      <c r="F949" t="s">
        <v>1768</v>
      </c>
      <c r="G949" t="s">
        <v>1322</v>
      </c>
      <c r="H949" t="s">
        <v>1568</v>
      </c>
      <c r="I949" t="s">
        <v>1323</v>
      </c>
      <c r="J949" t="s">
        <v>1568</v>
      </c>
      <c r="K949" t="s">
        <v>1568</v>
      </c>
      <c r="L949" t="s">
        <v>1568</v>
      </c>
      <c r="M949" t="s">
        <v>1568</v>
      </c>
      <c r="N949" t="s">
        <v>1568</v>
      </c>
      <c r="O949" t="s">
        <v>1568</v>
      </c>
      <c r="P949" t="s">
        <v>1568</v>
      </c>
      <c r="Q949" t="s">
        <v>1568</v>
      </c>
      <c r="R949" t="s">
        <v>1568</v>
      </c>
      <c r="S949" t="s">
        <v>1568</v>
      </c>
      <c r="T949" t="s">
        <v>1568</v>
      </c>
      <c r="U949" t="s">
        <v>1568</v>
      </c>
      <c r="V949" t="s">
        <v>1592</v>
      </c>
      <c r="W949" t="s">
        <v>1324</v>
      </c>
      <c r="X949" t="s">
        <v>59</v>
      </c>
      <c r="Y949" t="s">
        <v>1581</v>
      </c>
    </row>
    <row r="950" spans="1:25" ht="16" x14ac:dyDescent="0.2">
      <c r="A950" t="s">
        <v>1568</v>
      </c>
      <c r="B950" t="s">
        <v>1360</v>
      </c>
      <c r="C950" t="s">
        <v>1568</v>
      </c>
      <c r="D950" t="s">
        <v>1568</v>
      </c>
      <c r="E950" t="s">
        <v>55</v>
      </c>
      <c r="F950" t="s">
        <v>1768</v>
      </c>
      <c r="G950" t="s">
        <v>1325</v>
      </c>
      <c r="H950" t="s">
        <v>1568</v>
      </c>
      <c r="I950" t="s">
        <v>1326</v>
      </c>
      <c r="J950" t="s">
        <v>1568</v>
      </c>
      <c r="K950" t="s">
        <v>1568</v>
      </c>
      <c r="L950" t="s">
        <v>1568</v>
      </c>
      <c r="M950" t="s">
        <v>1568</v>
      </c>
      <c r="N950" t="s">
        <v>1568</v>
      </c>
      <c r="O950" t="s">
        <v>1568</v>
      </c>
      <c r="P950" t="s">
        <v>1568</v>
      </c>
      <c r="Q950" t="s">
        <v>1568</v>
      </c>
      <c r="R950" t="s">
        <v>1568</v>
      </c>
      <c r="S950" t="s">
        <v>1568</v>
      </c>
      <c r="T950" t="s">
        <v>1568</v>
      </c>
      <c r="U950" t="s">
        <v>1568</v>
      </c>
      <c r="V950" t="s">
        <v>1592</v>
      </c>
      <c r="W950" t="s">
        <v>1327</v>
      </c>
      <c r="X950" t="s">
        <v>59</v>
      </c>
      <c r="Y950" t="s">
        <v>1581</v>
      </c>
    </row>
    <row r="951" spans="1:25" ht="16" x14ac:dyDescent="0.2">
      <c r="A951" t="s">
        <v>1568</v>
      </c>
      <c r="B951" t="s">
        <v>1361</v>
      </c>
      <c r="C951" t="s">
        <v>1568</v>
      </c>
      <c r="D951" t="s">
        <v>1568</v>
      </c>
      <c r="E951" t="s">
        <v>36</v>
      </c>
      <c r="F951" t="s">
        <v>1769</v>
      </c>
      <c r="G951" t="s">
        <v>1329</v>
      </c>
      <c r="H951" t="s">
        <v>1568</v>
      </c>
      <c r="I951" t="s">
        <v>1330</v>
      </c>
      <c r="J951" t="s">
        <v>1568</v>
      </c>
      <c r="K951" t="s">
        <v>1568</v>
      </c>
      <c r="L951" t="s">
        <v>1568</v>
      </c>
      <c r="M951" t="s">
        <v>1568</v>
      </c>
      <c r="N951" t="s">
        <v>1568</v>
      </c>
      <c r="O951" t="s">
        <v>1568</v>
      </c>
      <c r="P951" t="s">
        <v>1568</v>
      </c>
      <c r="Q951" t="s">
        <v>1568</v>
      </c>
      <c r="R951" t="s">
        <v>1568</v>
      </c>
      <c r="S951" t="s">
        <v>1568</v>
      </c>
      <c r="T951" t="s">
        <v>1568</v>
      </c>
      <c r="U951" t="s">
        <v>1568</v>
      </c>
      <c r="V951" t="s">
        <v>1592</v>
      </c>
      <c r="W951" t="s">
        <v>1331</v>
      </c>
      <c r="X951" t="s">
        <v>59</v>
      </c>
      <c r="Y951" t="s">
        <v>1581</v>
      </c>
    </row>
    <row r="952" spans="1:25" ht="16" x14ac:dyDescent="0.2">
      <c r="A952" t="s">
        <v>1568</v>
      </c>
      <c r="B952" t="s">
        <v>1361</v>
      </c>
      <c r="C952" t="s">
        <v>1568</v>
      </c>
      <c r="D952" t="s">
        <v>1568</v>
      </c>
      <c r="E952" t="s">
        <v>43</v>
      </c>
      <c r="F952" t="s">
        <v>1769</v>
      </c>
      <c r="G952" t="s">
        <v>1332</v>
      </c>
      <c r="H952" t="s">
        <v>1568</v>
      </c>
      <c r="I952" t="s">
        <v>1333</v>
      </c>
      <c r="J952" t="s">
        <v>1568</v>
      </c>
      <c r="K952" t="s">
        <v>1568</v>
      </c>
      <c r="L952" t="s">
        <v>1568</v>
      </c>
      <c r="M952" t="s">
        <v>1568</v>
      </c>
      <c r="N952" t="s">
        <v>1568</v>
      </c>
      <c r="O952" t="s">
        <v>1568</v>
      </c>
      <c r="P952" t="s">
        <v>1568</v>
      </c>
      <c r="Q952" t="s">
        <v>1568</v>
      </c>
      <c r="R952" t="s">
        <v>1568</v>
      </c>
      <c r="S952" t="s">
        <v>1568</v>
      </c>
      <c r="T952" t="s">
        <v>1568</v>
      </c>
      <c r="U952" t="s">
        <v>1568</v>
      </c>
      <c r="V952" t="s">
        <v>1592</v>
      </c>
      <c r="W952" t="s">
        <v>1334</v>
      </c>
      <c r="X952" t="s">
        <v>59</v>
      </c>
      <c r="Y952" t="s">
        <v>1581</v>
      </c>
    </row>
    <row r="953" spans="1:25" ht="16" x14ac:dyDescent="0.2">
      <c r="A953" t="s">
        <v>1568</v>
      </c>
      <c r="B953" t="s">
        <v>1361</v>
      </c>
      <c r="C953" t="s">
        <v>1568</v>
      </c>
      <c r="D953" t="s">
        <v>1568</v>
      </c>
      <c r="E953" t="s">
        <v>47</v>
      </c>
      <c r="F953" t="s">
        <v>1769</v>
      </c>
      <c r="G953" t="s">
        <v>1335</v>
      </c>
      <c r="H953" t="s">
        <v>1568</v>
      </c>
      <c r="I953" t="s">
        <v>1336</v>
      </c>
      <c r="J953" t="s">
        <v>1568</v>
      </c>
      <c r="K953" t="s">
        <v>1568</v>
      </c>
      <c r="L953" t="s">
        <v>1568</v>
      </c>
      <c r="M953" t="s">
        <v>1568</v>
      </c>
      <c r="N953" t="s">
        <v>1568</v>
      </c>
      <c r="O953" t="s">
        <v>1568</v>
      </c>
      <c r="P953" t="s">
        <v>1568</v>
      </c>
      <c r="Q953" t="s">
        <v>1568</v>
      </c>
      <c r="R953" t="s">
        <v>1568</v>
      </c>
      <c r="S953" t="s">
        <v>1568</v>
      </c>
      <c r="T953" t="s">
        <v>1568</v>
      </c>
      <c r="U953" t="s">
        <v>1568</v>
      </c>
      <c r="V953" t="s">
        <v>1592</v>
      </c>
      <c r="W953" t="s">
        <v>1337</v>
      </c>
      <c r="X953" t="s">
        <v>59</v>
      </c>
      <c r="Y953" t="s">
        <v>1581</v>
      </c>
    </row>
    <row r="954" spans="1:25" ht="16" x14ac:dyDescent="0.2">
      <c r="A954" t="s">
        <v>1568</v>
      </c>
      <c r="B954" t="s">
        <v>1361</v>
      </c>
      <c r="C954" t="s">
        <v>1568</v>
      </c>
      <c r="D954" t="s">
        <v>1568</v>
      </c>
      <c r="E954" t="s">
        <v>51</v>
      </c>
      <c r="F954" t="s">
        <v>1769</v>
      </c>
      <c r="G954" t="s">
        <v>1338</v>
      </c>
      <c r="H954" t="s">
        <v>1568</v>
      </c>
      <c r="I954" t="s">
        <v>1339</v>
      </c>
      <c r="J954" t="s">
        <v>1568</v>
      </c>
      <c r="K954" t="s">
        <v>1568</v>
      </c>
      <c r="L954" t="s">
        <v>1568</v>
      </c>
      <c r="M954" t="s">
        <v>1568</v>
      </c>
      <c r="N954" t="s">
        <v>1568</v>
      </c>
      <c r="O954" t="s">
        <v>1568</v>
      </c>
      <c r="P954" t="s">
        <v>1568</v>
      </c>
      <c r="Q954" t="s">
        <v>1568</v>
      </c>
      <c r="R954" t="s">
        <v>1568</v>
      </c>
      <c r="S954" t="s">
        <v>1568</v>
      </c>
      <c r="T954" t="s">
        <v>1568</v>
      </c>
      <c r="U954" t="s">
        <v>1568</v>
      </c>
      <c r="V954" t="s">
        <v>1592</v>
      </c>
      <c r="W954" t="s">
        <v>1340</v>
      </c>
      <c r="X954" t="s">
        <v>59</v>
      </c>
      <c r="Y954" t="s">
        <v>1581</v>
      </c>
    </row>
    <row r="955" spans="1:25" ht="16" x14ac:dyDescent="0.2">
      <c r="A955" t="s">
        <v>1568</v>
      </c>
      <c r="B955" t="s">
        <v>1361</v>
      </c>
      <c r="C955" t="s">
        <v>1568</v>
      </c>
      <c r="D955" t="s">
        <v>1568</v>
      </c>
      <c r="E955" t="s">
        <v>55</v>
      </c>
      <c r="F955" t="s">
        <v>1769</v>
      </c>
      <c r="G955" t="s">
        <v>1341</v>
      </c>
      <c r="H955" t="s">
        <v>1568</v>
      </c>
      <c r="I955" t="s">
        <v>1342</v>
      </c>
      <c r="J955" t="s">
        <v>1568</v>
      </c>
      <c r="K955" t="s">
        <v>1568</v>
      </c>
      <c r="L955" t="s">
        <v>1568</v>
      </c>
      <c r="M955" t="s">
        <v>1568</v>
      </c>
      <c r="N955" t="s">
        <v>1568</v>
      </c>
      <c r="O955" t="s">
        <v>1568</v>
      </c>
      <c r="P955" t="s">
        <v>1568</v>
      </c>
      <c r="Q955" t="s">
        <v>1568</v>
      </c>
      <c r="R955" t="s">
        <v>1568</v>
      </c>
      <c r="S955" t="s">
        <v>1568</v>
      </c>
      <c r="T955" t="s">
        <v>1568</v>
      </c>
      <c r="U955" t="s">
        <v>1568</v>
      </c>
      <c r="V955" t="s">
        <v>1592</v>
      </c>
      <c r="W955" t="s">
        <v>1343</v>
      </c>
      <c r="X955" t="s">
        <v>59</v>
      </c>
      <c r="Y955" t="s">
        <v>1581</v>
      </c>
    </row>
    <row r="956" spans="1:25" ht="16" x14ac:dyDescent="0.2">
      <c r="A956" t="s">
        <v>1568</v>
      </c>
      <c r="B956" t="s">
        <v>1362</v>
      </c>
      <c r="C956" t="s">
        <v>1568</v>
      </c>
      <c r="D956" t="s">
        <v>1568</v>
      </c>
      <c r="E956" t="s">
        <v>36</v>
      </c>
      <c r="F956" t="s">
        <v>1770</v>
      </c>
      <c r="G956" t="s">
        <v>1345</v>
      </c>
      <c r="H956" t="s">
        <v>1568</v>
      </c>
      <c r="I956" t="s">
        <v>1346</v>
      </c>
      <c r="J956" t="s">
        <v>1568</v>
      </c>
      <c r="K956" t="s">
        <v>1568</v>
      </c>
      <c r="L956" t="s">
        <v>1568</v>
      </c>
      <c r="M956" t="s">
        <v>1568</v>
      </c>
      <c r="N956" t="s">
        <v>1568</v>
      </c>
      <c r="O956" t="s">
        <v>1568</v>
      </c>
      <c r="P956" t="s">
        <v>1568</v>
      </c>
      <c r="Q956" t="s">
        <v>1568</v>
      </c>
      <c r="R956" t="s">
        <v>1568</v>
      </c>
      <c r="S956" t="s">
        <v>1568</v>
      </c>
      <c r="T956" t="s">
        <v>1568</v>
      </c>
      <c r="U956" t="s">
        <v>1568</v>
      </c>
      <c r="V956" t="s">
        <v>1592</v>
      </c>
      <c r="W956" t="s">
        <v>1347</v>
      </c>
      <c r="X956" t="s">
        <v>59</v>
      </c>
      <c r="Y956" t="s">
        <v>1581</v>
      </c>
    </row>
    <row r="957" spans="1:25" ht="16" x14ac:dyDescent="0.2">
      <c r="A957" t="s">
        <v>1568</v>
      </c>
      <c r="B957" t="s">
        <v>1362</v>
      </c>
      <c r="C957" t="s">
        <v>1568</v>
      </c>
      <c r="D957" t="s">
        <v>1568</v>
      </c>
      <c r="E957" t="s">
        <v>43</v>
      </c>
      <c r="F957" t="s">
        <v>1770</v>
      </c>
      <c r="G957" t="s">
        <v>1348</v>
      </c>
      <c r="H957" t="s">
        <v>1568</v>
      </c>
      <c r="I957" t="s">
        <v>1349</v>
      </c>
      <c r="J957" t="s">
        <v>1568</v>
      </c>
      <c r="K957" t="s">
        <v>1568</v>
      </c>
      <c r="L957" t="s">
        <v>1568</v>
      </c>
      <c r="M957" t="s">
        <v>1568</v>
      </c>
      <c r="N957" t="s">
        <v>1568</v>
      </c>
      <c r="O957" t="s">
        <v>1568</v>
      </c>
      <c r="P957" t="s">
        <v>1568</v>
      </c>
      <c r="Q957" t="s">
        <v>1568</v>
      </c>
      <c r="R957" t="s">
        <v>1568</v>
      </c>
      <c r="S957" t="s">
        <v>1568</v>
      </c>
      <c r="T957" t="s">
        <v>1568</v>
      </c>
      <c r="U957" t="s">
        <v>1568</v>
      </c>
      <c r="V957" t="s">
        <v>1592</v>
      </c>
      <c r="W957" t="s">
        <v>1350</v>
      </c>
      <c r="X957" t="s">
        <v>59</v>
      </c>
      <c r="Y957" t="s">
        <v>1581</v>
      </c>
    </row>
    <row r="958" spans="1:25" ht="16" x14ac:dyDescent="0.2">
      <c r="A958" t="s">
        <v>1568</v>
      </c>
      <c r="B958" t="s">
        <v>1362</v>
      </c>
      <c r="C958" t="s">
        <v>1568</v>
      </c>
      <c r="D958" t="s">
        <v>1568</v>
      </c>
      <c r="E958" t="s">
        <v>47</v>
      </c>
      <c r="F958" t="s">
        <v>1770</v>
      </c>
      <c r="G958" t="s">
        <v>1351</v>
      </c>
      <c r="H958" t="s">
        <v>1568</v>
      </c>
      <c r="I958" t="s">
        <v>1352</v>
      </c>
      <c r="J958" t="s">
        <v>1568</v>
      </c>
      <c r="K958" t="s">
        <v>1568</v>
      </c>
      <c r="L958" t="s">
        <v>1568</v>
      </c>
      <c r="M958" t="s">
        <v>1568</v>
      </c>
      <c r="N958" t="s">
        <v>1568</v>
      </c>
      <c r="O958" t="s">
        <v>1568</v>
      </c>
      <c r="P958" t="s">
        <v>1568</v>
      </c>
      <c r="Q958" t="s">
        <v>1568</v>
      </c>
      <c r="R958" t="s">
        <v>1568</v>
      </c>
      <c r="S958" t="s">
        <v>1568</v>
      </c>
      <c r="T958" t="s">
        <v>1568</v>
      </c>
      <c r="U958" t="s">
        <v>1568</v>
      </c>
      <c r="V958" t="s">
        <v>1592</v>
      </c>
      <c r="W958" t="s">
        <v>1353</v>
      </c>
      <c r="X958" t="s">
        <v>59</v>
      </c>
      <c r="Y958" t="s">
        <v>1581</v>
      </c>
    </row>
    <row r="959" spans="1:25" ht="16" x14ac:dyDescent="0.2">
      <c r="A959" t="s">
        <v>1568</v>
      </c>
      <c r="B959" t="s">
        <v>1362</v>
      </c>
      <c r="C959" t="s">
        <v>1568</v>
      </c>
      <c r="D959" t="s">
        <v>1568</v>
      </c>
      <c r="E959" t="s">
        <v>51</v>
      </c>
      <c r="F959" t="s">
        <v>1770</v>
      </c>
      <c r="G959" t="s">
        <v>1354</v>
      </c>
      <c r="H959" t="s">
        <v>1568</v>
      </c>
      <c r="I959" t="s">
        <v>1355</v>
      </c>
      <c r="J959" t="s">
        <v>1568</v>
      </c>
      <c r="K959" t="s">
        <v>1568</v>
      </c>
      <c r="L959" t="s">
        <v>1568</v>
      </c>
      <c r="M959" t="s">
        <v>1568</v>
      </c>
      <c r="N959" t="s">
        <v>1568</v>
      </c>
      <c r="O959" t="s">
        <v>1568</v>
      </c>
      <c r="P959" t="s">
        <v>1568</v>
      </c>
      <c r="Q959" t="s">
        <v>1568</v>
      </c>
      <c r="R959" t="s">
        <v>1568</v>
      </c>
      <c r="S959" t="s">
        <v>1568</v>
      </c>
      <c r="T959" t="s">
        <v>1568</v>
      </c>
      <c r="U959" t="s">
        <v>1568</v>
      </c>
      <c r="V959" t="s">
        <v>1592</v>
      </c>
      <c r="W959" t="s">
        <v>1356</v>
      </c>
      <c r="X959" t="s">
        <v>59</v>
      </c>
      <c r="Y959" t="s">
        <v>1581</v>
      </c>
    </row>
    <row r="960" spans="1:25" ht="16" x14ac:dyDescent="0.2">
      <c r="A960" t="s">
        <v>1568</v>
      </c>
      <c r="B960" t="s">
        <v>1362</v>
      </c>
      <c r="C960" t="s">
        <v>1568</v>
      </c>
      <c r="D960" t="s">
        <v>1568</v>
      </c>
      <c r="E960" t="s">
        <v>55</v>
      </c>
      <c r="F960" t="s">
        <v>1770</v>
      </c>
      <c r="G960" t="s">
        <v>1357</v>
      </c>
      <c r="H960" t="s">
        <v>1568</v>
      </c>
      <c r="I960" t="s">
        <v>1358</v>
      </c>
      <c r="J960" t="s">
        <v>1568</v>
      </c>
      <c r="K960" t="s">
        <v>1568</v>
      </c>
      <c r="L960" t="s">
        <v>1568</v>
      </c>
      <c r="M960" t="s">
        <v>1568</v>
      </c>
      <c r="N960" t="s">
        <v>1568</v>
      </c>
      <c r="O960" t="s">
        <v>1568</v>
      </c>
      <c r="P960" t="s">
        <v>1568</v>
      </c>
      <c r="Q960" t="s">
        <v>1568</v>
      </c>
      <c r="R960" t="s">
        <v>1568</v>
      </c>
      <c r="S960" t="s">
        <v>1568</v>
      </c>
      <c r="T960" t="s">
        <v>1568</v>
      </c>
      <c r="U960" t="s">
        <v>1568</v>
      </c>
      <c r="V960" t="s">
        <v>1592</v>
      </c>
      <c r="W960" t="s">
        <v>1359</v>
      </c>
      <c r="X960" t="s">
        <v>59</v>
      </c>
      <c r="Y960" t="s">
        <v>1581</v>
      </c>
    </row>
    <row r="961" spans="1:25" ht="16" x14ac:dyDescent="0.2">
      <c r="A961" t="s">
        <v>1568</v>
      </c>
      <c r="B961" t="s">
        <v>1363</v>
      </c>
      <c r="C961" t="s">
        <v>1568</v>
      </c>
      <c r="D961" t="s">
        <v>1568</v>
      </c>
      <c r="E961" t="s">
        <v>36</v>
      </c>
      <c r="F961" t="s">
        <v>1769</v>
      </c>
      <c r="G961" t="s">
        <v>1364</v>
      </c>
      <c r="H961" t="s">
        <v>1568</v>
      </c>
      <c r="I961" t="s">
        <v>1365</v>
      </c>
      <c r="J961" t="s">
        <v>1568</v>
      </c>
      <c r="K961" t="s">
        <v>1568</v>
      </c>
      <c r="L961" t="s">
        <v>1568</v>
      </c>
      <c r="M961" t="s">
        <v>1568</v>
      </c>
      <c r="N961" t="s">
        <v>1568</v>
      </c>
      <c r="O961" t="s">
        <v>1568</v>
      </c>
      <c r="P961" t="s">
        <v>1568</v>
      </c>
      <c r="Q961" t="s">
        <v>1568</v>
      </c>
      <c r="R961" t="s">
        <v>1568</v>
      </c>
      <c r="S961" t="s">
        <v>1568</v>
      </c>
      <c r="T961" t="s">
        <v>1568</v>
      </c>
      <c r="U961" t="s">
        <v>1568</v>
      </c>
      <c r="V961" t="s">
        <v>1716</v>
      </c>
      <c r="W961" t="s">
        <v>1366</v>
      </c>
      <c r="X961" t="s">
        <v>30</v>
      </c>
      <c r="Y961" t="s">
        <v>1572</v>
      </c>
    </row>
    <row r="962" spans="1:25" ht="16" x14ac:dyDescent="0.2">
      <c r="A962" t="s">
        <v>1568</v>
      </c>
      <c r="B962" t="s">
        <v>1367</v>
      </c>
      <c r="C962" t="s">
        <v>1568</v>
      </c>
      <c r="D962" t="s">
        <v>1568</v>
      </c>
      <c r="E962" t="s">
        <v>36</v>
      </c>
      <c r="F962" t="s">
        <v>1770</v>
      </c>
      <c r="G962" t="s">
        <v>1368</v>
      </c>
      <c r="H962" t="s">
        <v>1568</v>
      </c>
      <c r="I962" t="s">
        <v>1369</v>
      </c>
      <c r="J962" t="s">
        <v>1568</v>
      </c>
      <c r="K962" t="s">
        <v>1568</v>
      </c>
      <c r="L962" t="s">
        <v>1568</v>
      </c>
      <c r="M962" t="s">
        <v>1568</v>
      </c>
      <c r="N962" t="s">
        <v>1568</v>
      </c>
      <c r="O962" t="s">
        <v>1568</v>
      </c>
      <c r="P962" t="s">
        <v>1568</v>
      </c>
      <c r="Q962" t="s">
        <v>1568</v>
      </c>
      <c r="R962" t="s">
        <v>1568</v>
      </c>
      <c r="S962" t="s">
        <v>1568</v>
      </c>
      <c r="T962" t="s">
        <v>1568</v>
      </c>
      <c r="U962" t="s">
        <v>1568</v>
      </c>
      <c r="V962" t="s">
        <v>1716</v>
      </c>
      <c r="W962" t="s">
        <v>1370</v>
      </c>
      <c r="X962" t="s">
        <v>30</v>
      </c>
      <c r="Y962" t="s">
        <v>1572</v>
      </c>
    </row>
    <row r="963" spans="1:25" ht="16" x14ac:dyDescent="0.2">
      <c r="A963" t="s">
        <v>1568</v>
      </c>
      <c r="B963" t="s">
        <v>1371</v>
      </c>
      <c r="C963" t="s">
        <v>1568</v>
      </c>
      <c r="D963" t="s">
        <v>1568</v>
      </c>
      <c r="E963" t="s">
        <v>36</v>
      </c>
      <c r="F963" t="s">
        <v>1771</v>
      </c>
      <c r="G963" t="s">
        <v>1372</v>
      </c>
      <c r="H963" t="s">
        <v>1568</v>
      </c>
      <c r="I963" t="s">
        <v>1373</v>
      </c>
      <c r="J963" t="s">
        <v>1568</v>
      </c>
      <c r="K963" t="s">
        <v>1568</v>
      </c>
      <c r="L963" t="s">
        <v>1568</v>
      </c>
      <c r="M963" t="s">
        <v>1568</v>
      </c>
      <c r="N963" t="s">
        <v>1568</v>
      </c>
      <c r="O963" t="s">
        <v>1568</v>
      </c>
      <c r="P963" t="s">
        <v>1568</v>
      </c>
      <c r="Q963" t="s">
        <v>1568</v>
      </c>
      <c r="R963" t="s">
        <v>1568</v>
      </c>
      <c r="S963" t="s">
        <v>1568</v>
      </c>
      <c r="T963" t="s">
        <v>1568</v>
      </c>
      <c r="U963" t="s">
        <v>1568</v>
      </c>
      <c r="V963" t="s">
        <v>1598</v>
      </c>
      <c r="W963" t="s">
        <v>1374</v>
      </c>
      <c r="X963" t="s">
        <v>30</v>
      </c>
      <c r="Y963" t="s">
        <v>1572</v>
      </c>
    </row>
    <row r="964" spans="1:25" ht="16" x14ac:dyDescent="0.2">
      <c r="A964" t="s">
        <v>1568</v>
      </c>
      <c r="B964" t="s">
        <v>1371</v>
      </c>
      <c r="C964" t="s">
        <v>1568</v>
      </c>
      <c r="D964" t="s">
        <v>1568</v>
      </c>
      <c r="E964" t="s">
        <v>43</v>
      </c>
      <c r="F964" t="s">
        <v>1771</v>
      </c>
      <c r="G964" t="s">
        <v>1375</v>
      </c>
      <c r="H964" t="s">
        <v>1568</v>
      </c>
      <c r="I964" t="s">
        <v>1376</v>
      </c>
      <c r="J964" t="s">
        <v>1568</v>
      </c>
      <c r="K964" t="s">
        <v>1568</v>
      </c>
      <c r="L964" t="s">
        <v>1568</v>
      </c>
      <c r="M964" t="s">
        <v>1568</v>
      </c>
      <c r="N964" t="s">
        <v>1568</v>
      </c>
      <c r="O964" t="s">
        <v>1568</v>
      </c>
      <c r="P964" t="s">
        <v>1568</v>
      </c>
      <c r="Q964" t="s">
        <v>1568</v>
      </c>
      <c r="R964" t="s">
        <v>1568</v>
      </c>
      <c r="S964" t="s">
        <v>1568</v>
      </c>
      <c r="T964" t="s">
        <v>1568</v>
      </c>
      <c r="U964" t="s">
        <v>1703</v>
      </c>
      <c r="V964" t="s">
        <v>1598</v>
      </c>
      <c r="W964" t="s">
        <v>1377</v>
      </c>
      <c r="X964" t="s">
        <v>30</v>
      </c>
      <c r="Y964" t="s">
        <v>1572</v>
      </c>
    </row>
    <row r="965" spans="1:25" ht="16" x14ac:dyDescent="0.2">
      <c r="A965" t="s">
        <v>1568</v>
      </c>
      <c r="B965" t="s">
        <v>1371</v>
      </c>
      <c r="C965" t="s">
        <v>1568</v>
      </c>
      <c r="D965" t="s">
        <v>1568</v>
      </c>
      <c r="E965" t="s">
        <v>47</v>
      </c>
      <c r="F965" t="s">
        <v>1771</v>
      </c>
      <c r="G965" t="s">
        <v>1378</v>
      </c>
      <c r="H965" t="s">
        <v>1568</v>
      </c>
      <c r="I965" t="s">
        <v>1379</v>
      </c>
      <c r="J965" t="s">
        <v>1568</v>
      </c>
      <c r="K965" t="s">
        <v>1568</v>
      </c>
      <c r="L965" t="s">
        <v>1568</v>
      </c>
      <c r="M965" t="s">
        <v>1568</v>
      </c>
      <c r="N965" t="s">
        <v>1568</v>
      </c>
      <c r="O965" t="s">
        <v>1568</v>
      </c>
      <c r="P965" t="s">
        <v>1568</v>
      </c>
      <c r="Q965" t="s">
        <v>1568</v>
      </c>
      <c r="R965" t="s">
        <v>1568</v>
      </c>
      <c r="S965" t="s">
        <v>1568</v>
      </c>
      <c r="T965" t="s">
        <v>1568</v>
      </c>
      <c r="U965" t="s">
        <v>1703</v>
      </c>
      <c r="V965" t="s">
        <v>1598</v>
      </c>
      <c r="W965" t="s">
        <v>1380</v>
      </c>
      <c r="X965" t="s">
        <v>30</v>
      </c>
      <c r="Y965" t="s">
        <v>1572</v>
      </c>
    </row>
    <row r="966" spans="1:25" ht="16" x14ac:dyDescent="0.2">
      <c r="A966" t="s">
        <v>1568</v>
      </c>
      <c r="B966" t="s">
        <v>1371</v>
      </c>
      <c r="C966" t="s">
        <v>1568</v>
      </c>
      <c r="D966" t="s">
        <v>1568</v>
      </c>
      <c r="E966" t="s">
        <v>51</v>
      </c>
      <c r="F966" t="s">
        <v>1771</v>
      </c>
      <c r="G966" t="s">
        <v>1381</v>
      </c>
      <c r="H966" t="s">
        <v>1568</v>
      </c>
      <c r="I966" t="s">
        <v>1382</v>
      </c>
      <c r="J966" t="s">
        <v>1568</v>
      </c>
      <c r="K966" t="s">
        <v>1568</v>
      </c>
      <c r="L966" t="s">
        <v>1568</v>
      </c>
      <c r="M966" t="s">
        <v>1568</v>
      </c>
      <c r="N966" t="s">
        <v>1568</v>
      </c>
      <c r="O966" t="s">
        <v>1568</v>
      </c>
      <c r="P966" t="s">
        <v>1568</v>
      </c>
      <c r="Q966" t="s">
        <v>1568</v>
      </c>
      <c r="R966" t="s">
        <v>1568</v>
      </c>
      <c r="S966" t="s">
        <v>1568</v>
      </c>
      <c r="T966" t="s">
        <v>1568</v>
      </c>
      <c r="U966" t="s">
        <v>1703</v>
      </c>
      <c r="V966" t="s">
        <v>1598</v>
      </c>
      <c r="W966" t="s">
        <v>1383</v>
      </c>
      <c r="X966" t="s">
        <v>30</v>
      </c>
      <c r="Y966" t="s">
        <v>1572</v>
      </c>
    </row>
    <row r="967" spans="1:25" ht="16" x14ac:dyDescent="0.2">
      <c r="A967" t="s">
        <v>1568</v>
      </c>
      <c r="B967" t="s">
        <v>1371</v>
      </c>
      <c r="C967" t="s">
        <v>1568</v>
      </c>
      <c r="D967" t="s">
        <v>1568</v>
      </c>
      <c r="E967" t="s">
        <v>55</v>
      </c>
      <c r="F967" t="s">
        <v>1771</v>
      </c>
      <c r="G967" t="s">
        <v>1384</v>
      </c>
      <c r="H967" t="s">
        <v>1568</v>
      </c>
      <c r="I967" t="s">
        <v>1385</v>
      </c>
      <c r="J967" t="s">
        <v>1568</v>
      </c>
      <c r="K967" t="s">
        <v>1568</v>
      </c>
      <c r="L967" t="s">
        <v>1568</v>
      </c>
      <c r="M967" t="s">
        <v>1568</v>
      </c>
      <c r="N967" t="s">
        <v>1568</v>
      </c>
      <c r="O967" t="s">
        <v>1568</v>
      </c>
      <c r="P967" t="s">
        <v>1568</v>
      </c>
      <c r="Q967" t="s">
        <v>1568</v>
      </c>
      <c r="R967" t="s">
        <v>1568</v>
      </c>
      <c r="S967" t="s">
        <v>1568</v>
      </c>
      <c r="T967" t="s">
        <v>1568</v>
      </c>
      <c r="U967" t="s">
        <v>1703</v>
      </c>
      <c r="V967" t="s">
        <v>1598</v>
      </c>
      <c r="W967" t="s">
        <v>1386</v>
      </c>
      <c r="X967" t="s">
        <v>30</v>
      </c>
      <c r="Y967" t="s">
        <v>1572</v>
      </c>
    </row>
    <row r="968" spans="1:25" ht="16" x14ac:dyDescent="0.2">
      <c r="A968" t="s">
        <v>1568</v>
      </c>
      <c r="B968" t="s">
        <v>1371</v>
      </c>
      <c r="C968" t="s">
        <v>1568</v>
      </c>
      <c r="D968" t="s">
        <v>1568</v>
      </c>
      <c r="E968" t="s">
        <v>884</v>
      </c>
      <c r="F968" t="s">
        <v>1771</v>
      </c>
      <c r="G968" t="s">
        <v>1387</v>
      </c>
      <c r="H968" t="s">
        <v>1568</v>
      </c>
      <c r="I968" t="s">
        <v>1388</v>
      </c>
      <c r="J968" t="s">
        <v>1568</v>
      </c>
      <c r="K968" t="s">
        <v>1568</v>
      </c>
      <c r="L968" t="s">
        <v>1568</v>
      </c>
      <c r="M968" t="s">
        <v>1568</v>
      </c>
      <c r="N968" t="s">
        <v>1568</v>
      </c>
      <c r="O968" t="s">
        <v>1568</v>
      </c>
      <c r="P968" t="s">
        <v>1568</v>
      </c>
      <c r="Q968" t="s">
        <v>1568</v>
      </c>
      <c r="R968" t="s">
        <v>1568</v>
      </c>
      <c r="S968" t="s">
        <v>1568</v>
      </c>
      <c r="T968" t="s">
        <v>1568</v>
      </c>
      <c r="U968" t="s">
        <v>1703</v>
      </c>
      <c r="V968" t="s">
        <v>1598</v>
      </c>
      <c r="W968" t="s">
        <v>1389</v>
      </c>
      <c r="X968" t="s">
        <v>30</v>
      </c>
      <c r="Y968" t="s">
        <v>1572</v>
      </c>
    </row>
    <row r="969" spans="1:25" ht="16" x14ac:dyDescent="0.2">
      <c r="A969" t="s">
        <v>1568</v>
      </c>
      <c r="B969" t="s">
        <v>1390</v>
      </c>
      <c r="C969" t="s">
        <v>1568</v>
      </c>
      <c r="D969" t="s">
        <v>1568</v>
      </c>
      <c r="E969" t="s">
        <v>36</v>
      </c>
      <c r="F969" t="s">
        <v>1770</v>
      </c>
      <c r="G969" t="s">
        <v>1368</v>
      </c>
      <c r="H969" t="s">
        <v>1568</v>
      </c>
      <c r="I969" t="s">
        <v>1369</v>
      </c>
      <c r="J969" t="s">
        <v>1568</v>
      </c>
      <c r="K969" t="s">
        <v>1568</v>
      </c>
      <c r="L969" t="s">
        <v>1568</v>
      </c>
      <c r="M969" t="s">
        <v>1568</v>
      </c>
      <c r="N969" t="s">
        <v>1568</v>
      </c>
      <c r="O969" t="s">
        <v>1568</v>
      </c>
      <c r="P969" t="s">
        <v>1568</v>
      </c>
      <c r="Q969" t="s">
        <v>1568</v>
      </c>
      <c r="R969" t="s">
        <v>1568</v>
      </c>
      <c r="S969" t="s">
        <v>1568</v>
      </c>
      <c r="T969" t="s">
        <v>1568</v>
      </c>
      <c r="U969" t="s">
        <v>1568</v>
      </c>
      <c r="V969" t="s">
        <v>1764</v>
      </c>
      <c r="W969" t="s">
        <v>1370</v>
      </c>
      <c r="X969" t="s">
        <v>59</v>
      </c>
      <c r="Y969" t="s">
        <v>1581</v>
      </c>
    </row>
    <row r="970" spans="1:25" ht="16" x14ac:dyDescent="0.2">
      <c r="A970" t="s">
        <v>1568</v>
      </c>
      <c r="B970" t="s">
        <v>1391</v>
      </c>
      <c r="C970" t="s">
        <v>1568</v>
      </c>
      <c r="D970" t="s">
        <v>1568</v>
      </c>
      <c r="E970" t="s">
        <v>36</v>
      </c>
      <c r="F970" t="s">
        <v>1769</v>
      </c>
      <c r="G970" t="s">
        <v>1364</v>
      </c>
      <c r="H970" t="s">
        <v>1568</v>
      </c>
      <c r="I970" t="s">
        <v>1365</v>
      </c>
      <c r="J970" t="s">
        <v>1568</v>
      </c>
      <c r="K970" t="s">
        <v>1568</v>
      </c>
      <c r="L970" t="s">
        <v>1568</v>
      </c>
      <c r="M970" t="s">
        <v>1568</v>
      </c>
      <c r="N970" t="s">
        <v>1568</v>
      </c>
      <c r="O970" t="s">
        <v>1568</v>
      </c>
      <c r="P970" t="s">
        <v>1568</v>
      </c>
      <c r="Q970" t="s">
        <v>1568</v>
      </c>
      <c r="R970" t="s">
        <v>1568</v>
      </c>
      <c r="S970" t="s">
        <v>1568</v>
      </c>
      <c r="T970" t="s">
        <v>1568</v>
      </c>
      <c r="U970" t="s">
        <v>1568</v>
      </c>
      <c r="V970" t="s">
        <v>1764</v>
      </c>
      <c r="W970" t="s">
        <v>1366</v>
      </c>
      <c r="X970" t="s">
        <v>59</v>
      </c>
      <c r="Y970" t="s">
        <v>1581</v>
      </c>
    </row>
    <row r="971" spans="1:25" ht="16" x14ac:dyDescent="0.2">
      <c r="A971" t="s">
        <v>1568</v>
      </c>
      <c r="B971" t="s">
        <v>1392</v>
      </c>
      <c r="C971" t="s">
        <v>1568</v>
      </c>
      <c r="D971" t="s">
        <v>1568</v>
      </c>
      <c r="E971" t="s">
        <v>36</v>
      </c>
      <c r="F971" t="s">
        <v>1769</v>
      </c>
      <c r="G971" t="s">
        <v>1364</v>
      </c>
      <c r="H971" t="s">
        <v>1568</v>
      </c>
      <c r="I971" t="s">
        <v>1365</v>
      </c>
      <c r="J971" t="s">
        <v>1568</v>
      </c>
      <c r="K971" t="s">
        <v>1568</v>
      </c>
      <c r="L971" t="s">
        <v>1568</v>
      </c>
      <c r="M971" t="s">
        <v>1568</v>
      </c>
      <c r="N971" t="s">
        <v>1568</v>
      </c>
      <c r="O971" t="s">
        <v>1568</v>
      </c>
      <c r="P971" t="s">
        <v>1568</v>
      </c>
      <c r="Q971" t="s">
        <v>1568</v>
      </c>
      <c r="R971" t="s">
        <v>1568</v>
      </c>
      <c r="S971" t="s">
        <v>1568</v>
      </c>
      <c r="T971" t="s">
        <v>1568</v>
      </c>
      <c r="U971" t="s">
        <v>1568</v>
      </c>
      <c r="V971" t="s">
        <v>1764</v>
      </c>
      <c r="W971" t="s">
        <v>1366</v>
      </c>
      <c r="X971" t="s">
        <v>61</v>
      </c>
      <c r="Y971" t="s">
        <v>1587</v>
      </c>
    </row>
    <row r="972" spans="1:25" ht="16" x14ac:dyDescent="0.2">
      <c r="A972" t="s">
        <v>1568</v>
      </c>
      <c r="B972" t="s">
        <v>1393</v>
      </c>
      <c r="C972" t="s">
        <v>1568</v>
      </c>
      <c r="D972" t="s">
        <v>1568</v>
      </c>
      <c r="E972" t="s">
        <v>36</v>
      </c>
      <c r="F972" t="s">
        <v>1770</v>
      </c>
      <c r="G972" t="s">
        <v>1368</v>
      </c>
      <c r="H972" t="s">
        <v>1568</v>
      </c>
      <c r="I972" t="s">
        <v>1369</v>
      </c>
      <c r="J972" t="s">
        <v>1568</v>
      </c>
      <c r="K972" t="s">
        <v>1568</v>
      </c>
      <c r="L972" t="s">
        <v>1568</v>
      </c>
      <c r="M972" t="s">
        <v>1568</v>
      </c>
      <c r="N972" t="s">
        <v>1568</v>
      </c>
      <c r="O972" t="s">
        <v>1568</v>
      </c>
      <c r="P972" t="s">
        <v>1568</v>
      </c>
      <c r="Q972" t="s">
        <v>1568</v>
      </c>
      <c r="R972" t="s">
        <v>1568</v>
      </c>
      <c r="S972" t="s">
        <v>1568</v>
      </c>
      <c r="T972" t="s">
        <v>1568</v>
      </c>
      <c r="U972" t="s">
        <v>1568</v>
      </c>
      <c r="V972" t="s">
        <v>1764</v>
      </c>
      <c r="W972" t="s">
        <v>1370</v>
      </c>
      <c r="X972" t="s">
        <v>61</v>
      </c>
      <c r="Y972" t="s">
        <v>1587</v>
      </c>
    </row>
    <row r="973" spans="1:25" ht="16" x14ac:dyDescent="0.2">
      <c r="A973" t="s">
        <v>1568</v>
      </c>
      <c r="B973" t="s">
        <v>1394</v>
      </c>
      <c r="C973" t="s">
        <v>1568</v>
      </c>
      <c r="D973" t="s">
        <v>1568</v>
      </c>
      <c r="E973" t="s">
        <v>36</v>
      </c>
      <c r="F973" t="s">
        <v>1772</v>
      </c>
      <c r="G973" t="s">
        <v>1396</v>
      </c>
      <c r="H973" t="s">
        <v>1568</v>
      </c>
      <c r="I973" t="s">
        <v>1397</v>
      </c>
      <c r="J973" t="s">
        <v>1568</v>
      </c>
      <c r="K973" t="s">
        <v>1568</v>
      </c>
      <c r="L973" t="s">
        <v>1568</v>
      </c>
      <c r="M973" t="s">
        <v>1568</v>
      </c>
      <c r="N973" t="s">
        <v>1568</v>
      </c>
      <c r="O973" t="s">
        <v>1568</v>
      </c>
      <c r="P973" t="s">
        <v>1568</v>
      </c>
      <c r="Q973" t="s">
        <v>1568</v>
      </c>
      <c r="R973" t="s">
        <v>1568</v>
      </c>
      <c r="S973" t="s">
        <v>1568</v>
      </c>
      <c r="T973" t="s">
        <v>1568</v>
      </c>
      <c r="U973" t="s">
        <v>1568</v>
      </c>
      <c r="V973" t="s">
        <v>1665</v>
      </c>
      <c r="W973" t="s">
        <v>1398</v>
      </c>
      <c r="X973" t="s">
        <v>61</v>
      </c>
      <c r="Y973" t="s">
        <v>1587</v>
      </c>
    </row>
    <row r="974" spans="1:25" ht="16" x14ac:dyDescent="0.2">
      <c r="A974" t="s">
        <v>1568</v>
      </c>
      <c r="B974" t="s">
        <v>1399</v>
      </c>
      <c r="C974" t="s">
        <v>1568</v>
      </c>
      <c r="D974" t="s">
        <v>1568</v>
      </c>
      <c r="E974" t="s">
        <v>36</v>
      </c>
      <c r="F974" t="s">
        <v>1773</v>
      </c>
      <c r="G974" t="s">
        <v>1400</v>
      </c>
      <c r="H974" t="s">
        <v>1568</v>
      </c>
      <c r="I974" t="s">
        <v>1401</v>
      </c>
      <c r="J974" t="s">
        <v>1568</v>
      </c>
      <c r="K974" t="s">
        <v>1568</v>
      </c>
      <c r="L974" t="s">
        <v>1568</v>
      </c>
      <c r="M974" t="s">
        <v>1568</v>
      </c>
      <c r="N974" t="s">
        <v>1568</v>
      </c>
      <c r="O974" t="s">
        <v>1568</v>
      </c>
      <c r="P974" t="s">
        <v>1568</v>
      </c>
      <c r="Q974" t="s">
        <v>1568</v>
      </c>
      <c r="R974" t="s">
        <v>1568</v>
      </c>
      <c r="S974" t="s">
        <v>1568</v>
      </c>
      <c r="T974" t="s">
        <v>1568</v>
      </c>
      <c r="U974" t="s">
        <v>1568</v>
      </c>
      <c r="V974" t="s">
        <v>1608</v>
      </c>
      <c r="W974" t="s">
        <v>1402</v>
      </c>
      <c r="X974" t="s">
        <v>61</v>
      </c>
      <c r="Y974" t="s">
        <v>1587</v>
      </c>
    </row>
    <row r="975" spans="1:25" ht="16" x14ac:dyDescent="0.2">
      <c r="A975" t="s">
        <v>1568</v>
      </c>
      <c r="B975" t="s">
        <v>1403</v>
      </c>
      <c r="C975" t="s">
        <v>1568</v>
      </c>
      <c r="D975" t="s">
        <v>1568</v>
      </c>
      <c r="E975" t="s">
        <v>36</v>
      </c>
      <c r="F975" t="s">
        <v>1771</v>
      </c>
      <c r="G975" t="s">
        <v>1372</v>
      </c>
      <c r="H975" t="s">
        <v>1568</v>
      </c>
      <c r="I975" t="s">
        <v>1373</v>
      </c>
      <c r="J975" t="s">
        <v>1568</v>
      </c>
      <c r="K975" t="s">
        <v>1568</v>
      </c>
      <c r="L975" t="s">
        <v>1568</v>
      </c>
      <c r="M975" t="s">
        <v>1568</v>
      </c>
      <c r="N975" t="s">
        <v>1568</v>
      </c>
      <c r="O975" t="s">
        <v>1568</v>
      </c>
      <c r="P975" t="s">
        <v>1568</v>
      </c>
      <c r="Q975" t="s">
        <v>1568</v>
      </c>
      <c r="R975" t="s">
        <v>1568</v>
      </c>
      <c r="S975" t="s">
        <v>1568</v>
      </c>
      <c r="T975" t="s">
        <v>1568</v>
      </c>
      <c r="U975" t="s">
        <v>1568</v>
      </c>
      <c r="V975" t="s">
        <v>1774</v>
      </c>
      <c r="W975" t="s">
        <v>1374</v>
      </c>
      <c r="X975" t="s">
        <v>61</v>
      </c>
      <c r="Y975" t="s">
        <v>1587</v>
      </c>
    </row>
    <row r="976" spans="1:25" ht="16" x14ac:dyDescent="0.2">
      <c r="A976" t="s">
        <v>1568</v>
      </c>
      <c r="B976" t="s">
        <v>1403</v>
      </c>
      <c r="C976" t="s">
        <v>1568</v>
      </c>
      <c r="D976" t="s">
        <v>1568</v>
      </c>
      <c r="E976" t="s">
        <v>43</v>
      </c>
      <c r="F976" t="s">
        <v>1771</v>
      </c>
      <c r="G976" t="s">
        <v>1375</v>
      </c>
      <c r="H976" t="s">
        <v>1568</v>
      </c>
      <c r="I976" t="s">
        <v>1376</v>
      </c>
      <c r="J976" t="s">
        <v>1568</v>
      </c>
      <c r="K976" t="s">
        <v>1568</v>
      </c>
      <c r="L976" t="s">
        <v>1568</v>
      </c>
      <c r="M976" t="s">
        <v>1568</v>
      </c>
      <c r="N976" t="s">
        <v>1568</v>
      </c>
      <c r="O976" t="s">
        <v>1568</v>
      </c>
      <c r="P976" t="s">
        <v>1568</v>
      </c>
      <c r="Q976" t="s">
        <v>1568</v>
      </c>
      <c r="R976" t="s">
        <v>1568</v>
      </c>
      <c r="S976" t="s">
        <v>1568</v>
      </c>
      <c r="T976" t="s">
        <v>1568</v>
      </c>
      <c r="U976" t="s">
        <v>1703</v>
      </c>
      <c r="V976" t="s">
        <v>1774</v>
      </c>
      <c r="W976" t="s">
        <v>1377</v>
      </c>
      <c r="X976" t="s">
        <v>61</v>
      </c>
      <c r="Y976" t="s">
        <v>1587</v>
      </c>
    </row>
    <row r="977" spans="1:25" ht="16" x14ac:dyDescent="0.2">
      <c r="A977" t="s">
        <v>1568</v>
      </c>
      <c r="B977" t="s">
        <v>1403</v>
      </c>
      <c r="C977" t="s">
        <v>1568</v>
      </c>
      <c r="D977" t="s">
        <v>1568</v>
      </c>
      <c r="E977" t="s">
        <v>47</v>
      </c>
      <c r="F977" t="s">
        <v>1771</v>
      </c>
      <c r="G977" t="s">
        <v>1378</v>
      </c>
      <c r="H977" t="s">
        <v>1568</v>
      </c>
      <c r="I977" t="s">
        <v>1379</v>
      </c>
      <c r="J977" t="s">
        <v>1568</v>
      </c>
      <c r="K977" t="s">
        <v>1568</v>
      </c>
      <c r="L977" t="s">
        <v>1568</v>
      </c>
      <c r="M977" t="s">
        <v>1568</v>
      </c>
      <c r="N977" t="s">
        <v>1568</v>
      </c>
      <c r="O977" t="s">
        <v>1568</v>
      </c>
      <c r="P977" t="s">
        <v>1568</v>
      </c>
      <c r="Q977" t="s">
        <v>1568</v>
      </c>
      <c r="R977" t="s">
        <v>1568</v>
      </c>
      <c r="S977" t="s">
        <v>1568</v>
      </c>
      <c r="T977" t="s">
        <v>1568</v>
      </c>
      <c r="U977" t="s">
        <v>1703</v>
      </c>
      <c r="V977" t="s">
        <v>1774</v>
      </c>
      <c r="W977" t="s">
        <v>1380</v>
      </c>
      <c r="X977" t="s">
        <v>61</v>
      </c>
      <c r="Y977" t="s">
        <v>1587</v>
      </c>
    </row>
    <row r="978" spans="1:25" ht="16" x14ac:dyDescent="0.2">
      <c r="A978" t="s">
        <v>1568</v>
      </c>
      <c r="B978" t="s">
        <v>1403</v>
      </c>
      <c r="C978" t="s">
        <v>1568</v>
      </c>
      <c r="D978" t="s">
        <v>1568</v>
      </c>
      <c r="E978" t="s">
        <v>51</v>
      </c>
      <c r="F978" t="s">
        <v>1771</v>
      </c>
      <c r="G978" t="s">
        <v>1381</v>
      </c>
      <c r="H978" t="s">
        <v>1568</v>
      </c>
      <c r="I978" t="s">
        <v>1382</v>
      </c>
      <c r="J978" t="s">
        <v>1568</v>
      </c>
      <c r="K978" t="s">
        <v>1568</v>
      </c>
      <c r="L978" t="s">
        <v>1568</v>
      </c>
      <c r="M978" t="s">
        <v>1568</v>
      </c>
      <c r="N978" t="s">
        <v>1568</v>
      </c>
      <c r="O978" t="s">
        <v>1568</v>
      </c>
      <c r="P978" t="s">
        <v>1568</v>
      </c>
      <c r="Q978" t="s">
        <v>1568</v>
      </c>
      <c r="R978" t="s">
        <v>1568</v>
      </c>
      <c r="S978" t="s">
        <v>1568</v>
      </c>
      <c r="T978" t="s">
        <v>1568</v>
      </c>
      <c r="U978" t="s">
        <v>1703</v>
      </c>
      <c r="V978" t="s">
        <v>1774</v>
      </c>
      <c r="W978" t="s">
        <v>1383</v>
      </c>
      <c r="X978" t="s">
        <v>61</v>
      </c>
      <c r="Y978" t="s">
        <v>1587</v>
      </c>
    </row>
    <row r="979" spans="1:25" ht="16" x14ac:dyDescent="0.2">
      <c r="A979" t="s">
        <v>1568</v>
      </c>
      <c r="B979" t="s">
        <v>1403</v>
      </c>
      <c r="C979" t="s">
        <v>1568</v>
      </c>
      <c r="D979" t="s">
        <v>1568</v>
      </c>
      <c r="E979" t="s">
        <v>55</v>
      </c>
      <c r="F979" t="s">
        <v>1771</v>
      </c>
      <c r="G979" t="s">
        <v>1384</v>
      </c>
      <c r="H979" t="s">
        <v>1568</v>
      </c>
      <c r="I979" t="s">
        <v>1385</v>
      </c>
      <c r="J979" t="s">
        <v>1568</v>
      </c>
      <c r="K979" t="s">
        <v>1568</v>
      </c>
      <c r="L979" t="s">
        <v>1568</v>
      </c>
      <c r="M979" t="s">
        <v>1568</v>
      </c>
      <c r="N979" t="s">
        <v>1568</v>
      </c>
      <c r="O979" t="s">
        <v>1568</v>
      </c>
      <c r="P979" t="s">
        <v>1568</v>
      </c>
      <c r="Q979" t="s">
        <v>1568</v>
      </c>
      <c r="R979" t="s">
        <v>1568</v>
      </c>
      <c r="S979" t="s">
        <v>1568</v>
      </c>
      <c r="T979" t="s">
        <v>1568</v>
      </c>
      <c r="U979" t="s">
        <v>1703</v>
      </c>
      <c r="V979" t="s">
        <v>1774</v>
      </c>
      <c r="W979" t="s">
        <v>1386</v>
      </c>
      <c r="X979" t="s">
        <v>61</v>
      </c>
      <c r="Y979" t="s">
        <v>1587</v>
      </c>
    </row>
    <row r="980" spans="1:25" ht="16" x14ac:dyDescent="0.2">
      <c r="A980" t="s">
        <v>1568</v>
      </c>
      <c r="B980" t="s">
        <v>1403</v>
      </c>
      <c r="C980" t="s">
        <v>1568</v>
      </c>
      <c r="D980" t="s">
        <v>1568</v>
      </c>
      <c r="E980" t="s">
        <v>884</v>
      </c>
      <c r="F980" t="s">
        <v>1771</v>
      </c>
      <c r="G980" t="s">
        <v>1387</v>
      </c>
      <c r="H980" t="s">
        <v>1568</v>
      </c>
      <c r="I980" t="s">
        <v>1388</v>
      </c>
      <c r="J980" t="s">
        <v>1568</v>
      </c>
      <c r="K980" t="s">
        <v>1568</v>
      </c>
      <c r="L980" t="s">
        <v>1568</v>
      </c>
      <c r="M980" t="s">
        <v>1568</v>
      </c>
      <c r="N980" t="s">
        <v>1568</v>
      </c>
      <c r="O980" t="s">
        <v>1568</v>
      </c>
      <c r="P980" t="s">
        <v>1568</v>
      </c>
      <c r="Q980" t="s">
        <v>1568</v>
      </c>
      <c r="R980" t="s">
        <v>1568</v>
      </c>
      <c r="S980" t="s">
        <v>1568</v>
      </c>
      <c r="T980" t="s">
        <v>1568</v>
      </c>
      <c r="U980" t="s">
        <v>1703</v>
      </c>
      <c r="V980" t="s">
        <v>1774</v>
      </c>
      <c r="W980" t="s">
        <v>1389</v>
      </c>
      <c r="X980" t="s">
        <v>61</v>
      </c>
      <c r="Y980" t="s">
        <v>1587</v>
      </c>
    </row>
    <row r="981" spans="1:25" ht="16" x14ac:dyDescent="0.2">
      <c r="A981" t="s">
        <v>1568</v>
      </c>
      <c r="B981" t="s">
        <v>1404</v>
      </c>
      <c r="C981" t="s">
        <v>1568</v>
      </c>
      <c r="D981" t="s">
        <v>1568</v>
      </c>
      <c r="E981" t="s">
        <v>36</v>
      </c>
      <c r="F981" t="s">
        <v>1768</v>
      </c>
      <c r="G981" t="s">
        <v>1405</v>
      </c>
      <c r="H981" t="s">
        <v>1568</v>
      </c>
      <c r="I981" t="s">
        <v>1406</v>
      </c>
      <c r="J981" t="s">
        <v>1568</v>
      </c>
      <c r="K981" t="s">
        <v>1568</v>
      </c>
      <c r="L981" t="s">
        <v>1568</v>
      </c>
      <c r="M981" t="s">
        <v>1568</v>
      </c>
      <c r="N981" t="s">
        <v>1568</v>
      </c>
      <c r="O981" t="s">
        <v>1568</v>
      </c>
      <c r="P981" t="s">
        <v>1568</v>
      </c>
      <c r="Q981" t="s">
        <v>1568</v>
      </c>
      <c r="R981" t="s">
        <v>1568</v>
      </c>
      <c r="S981" t="s">
        <v>1568</v>
      </c>
      <c r="T981" t="s">
        <v>1568</v>
      </c>
      <c r="U981" t="s">
        <v>1568</v>
      </c>
      <c r="V981" t="s">
        <v>1716</v>
      </c>
      <c r="W981" t="s">
        <v>1407</v>
      </c>
      <c r="X981" t="s">
        <v>30</v>
      </c>
      <c r="Y981" t="s">
        <v>1572</v>
      </c>
    </row>
    <row r="982" spans="1:25" ht="16" x14ac:dyDescent="0.2">
      <c r="A982" t="s">
        <v>1568</v>
      </c>
      <c r="B982" t="s">
        <v>1408</v>
      </c>
      <c r="C982" t="s">
        <v>1568</v>
      </c>
      <c r="D982" t="s">
        <v>1568</v>
      </c>
      <c r="E982" t="s">
        <v>36</v>
      </c>
      <c r="F982" t="s">
        <v>1773</v>
      </c>
      <c r="G982" t="s">
        <v>1400</v>
      </c>
      <c r="H982" t="s">
        <v>1568</v>
      </c>
      <c r="I982" t="s">
        <v>1401</v>
      </c>
      <c r="J982" t="s">
        <v>1568</v>
      </c>
      <c r="K982" t="s">
        <v>1568</v>
      </c>
      <c r="L982" t="s">
        <v>1568</v>
      </c>
      <c r="M982" t="s">
        <v>1568</v>
      </c>
      <c r="N982" t="s">
        <v>1568</v>
      </c>
      <c r="O982" t="s">
        <v>1568</v>
      </c>
      <c r="P982" t="s">
        <v>1568</v>
      </c>
      <c r="Q982" t="s">
        <v>1568</v>
      </c>
      <c r="R982" t="s">
        <v>1568</v>
      </c>
      <c r="S982" t="s">
        <v>1568</v>
      </c>
      <c r="T982" t="s">
        <v>1568</v>
      </c>
      <c r="U982" t="s">
        <v>1568</v>
      </c>
      <c r="V982" t="s">
        <v>1775</v>
      </c>
      <c r="W982" t="s">
        <v>1402</v>
      </c>
      <c r="X982" t="s">
        <v>30</v>
      </c>
      <c r="Y982" t="s">
        <v>1572</v>
      </c>
    </row>
    <row r="983" spans="1:25" ht="16" x14ac:dyDescent="0.2">
      <c r="A983" t="s">
        <v>1568</v>
      </c>
      <c r="B983" t="s">
        <v>1409</v>
      </c>
      <c r="C983" t="s">
        <v>1568</v>
      </c>
      <c r="D983" t="s">
        <v>1568</v>
      </c>
      <c r="E983" t="s">
        <v>36</v>
      </c>
      <c r="F983" t="s">
        <v>1768</v>
      </c>
      <c r="G983" t="s">
        <v>1405</v>
      </c>
      <c r="H983" t="s">
        <v>1568</v>
      </c>
      <c r="I983" t="s">
        <v>1406</v>
      </c>
      <c r="J983" t="s">
        <v>1568</v>
      </c>
      <c r="K983" t="s">
        <v>1568</v>
      </c>
      <c r="L983" t="s">
        <v>1568</v>
      </c>
      <c r="M983" t="s">
        <v>1568</v>
      </c>
      <c r="N983" t="s">
        <v>1568</v>
      </c>
      <c r="O983" t="s">
        <v>1568</v>
      </c>
      <c r="P983" t="s">
        <v>1568</v>
      </c>
      <c r="Q983" t="s">
        <v>1568</v>
      </c>
      <c r="R983" t="s">
        <v>1568</v>
      </c>
      <c r="S983" t="s">
        <v>1568</v>
      </c>
      <c r="T983" t="s">
        <v>1568</v>
      </c>
      <c r="U983" t="s">
        <v>1568</v>
      </c>
      <c r="V983" t="s">
        <v>1764</v>
      </c>
      <c r="W983" t="s">
        <v>1407</v>
      </c>
      <c r="X983" t="s">
        <v>59</v>
      </c>
      <c r="Y983" t="s">
        <v>1581</v>
      </c>
    </row>
    <row r="984" spans="1:25" ht="16" x14ac:dyDescent="0.2">
      <c r="A984" t="s">
        <v>1568</v>
      </c>
      <c r="B984" t="s">
        <v>1410</v>
      </c>
      <c r="C984" t="s">
        <v>1568</v>
      </c>
      <c r="D984" t="s">
        <v>1568</v>
      </c>
      <c r="E984" t="s">
        <v>36</v>
      </c>
      <c r="F984" t="s">
        <v>1771</v>
      </c>
      <c r="G984" t="s">
        <v>1372</v>
      </c>
      <c r="H984" t="s">
        <v>1568</v>
      </c>
      <c r="I984" t="s">
        <v>1373</v>
      </c>
      <c r="J984" t="s">
        <v>1568</v>
      </c>
      <c r="K984" t="s">
        <v>1568</v>
      </c>
      <c r="L984" t="s">
        <v>1568</v>
      </c>
      <c r="M984" t="s">
        <v>1568</v>
      </c>
      <c r="N984" t="s">
        <v>1568</v>
      </c>
      <c r="O984" t="s">
        <v>1568</v>
      </c>
      <c r="P984" t="s">
        <v>1568</v>
      </c>
      <c r="Q984" t="s">
        <v>1568</v>
      </c>
      <c r="R984" t="s">
        <v>1568</v>
      </c>
      <c r="S984" t="s">
        <v>1568</v>
      </c>
      <c r="T984" t="s">
        <v>1568</v>
      </c>
      <c r="U984" t="s">
        <v>1568</v>
      </c>
      <c r="V984" t="s">
        <v>1724</v>
      </c>
      <c r="W984" t="s">
        <v>1374</v>
      </c>
      <c r="X984" t="s">
        <v>59</v>
      </c>
      <c r="Y984" t="s">
        <v>1581</v>
      </c>
    </row>
    <row r="985" spans="1:25" ht="16" x14ac:dyDescent="0.2">
      <c r="A985" t="s">
        <v>1568</v>
      </c>
      <c r="B985" t="s">
        <v>1410</v>
      </c>
      <c r="C985" t="s">
        <v>1568</v>
      </c>
      <c r="D985" t="s">
        <v>1568</v>
      </c>
      <c r="E985" t="s">
        <v>43</v>
      </c>
      <c r="F985" t="s">
        <v>1771</v>
      </c>
      <c r="G985" t="s">
        <v>1375</v>
      </c>
      <c r="H985" t="s">
        <v>1568</v>
      </c>
      <c r="I985" t="s">
        <v>1376</v>
      </c>
      <c r="J985" t="s">
        <v>1568</v>
      </c>
      <c r="K985" t="s">
        <v>1568</v>
      </c>
      <c r="L985" t="s">
        <v>1568</v>
      </c>
      <c r="M985" t="s">
        <v>1568</v>
      </c>
      <c r="N985" t="s">
        <v>1568</v>
      </c>
      <c r="O985" t="s">
        <v>1568</v>
      </c>
      <c r="P985" t="s">
        <v>1568</v>
      </c>
      <c r="Q985" t="s">
        <v>1568</v>
      </c>
      <c r="R985" t="s">
        <v>1568</v>
      </c>
      <c r="S985" t="s">
        <v>1568</v>
      </c>
      <c r="T985" t="s">
        <v>1568</v>
      </c>
      <c r="U985" t="s">
        <v>1703</v>
      </c>
      <c r="V985" t="s">
        <v>1724</v>
      </c>
      <c r="W985" t="s">
        <v>1377</v>
      </c>
      <c r="X985" t="s">
        <v>59</v>
      </c>
      <c r="Y985" t="s">
        <v>1581</v>
      </c>
    </row>
    <row r="986" spans="1:25" ht="16" x14ac:dyDescent="0.2">
      <c r="A986" t="s">
        <v>1568</v>
      </c>
      <c r="B986" t="s">
        <v>1410</v>
      </c>
      <c r="C986" t="s">
        <v>1568</v>
      </c>
      <c r="D986" t="s">
        <v>1568</v>
      </c>
      <c r="E986" t="s">
        <v>47</v>
      </c>
      <c r="F986" t="s">
        <v>1771</v>
      </c>
      <c r="G986" t="s">
        <v>1378</v>
      </c>
      <c r="H986" t="s">
        <v>1568</v>
      </c>
      <c r="I986" t="s">
        <v>1379</v>
      </c>
      <c r="J986" t="s">
        <v>1568</v>
      </c>
      <c r="K986" t="s">
        <v>1568</v>
      </c>
      <c r="L986" t="s">
        <v>1568</v>
      </c>
      <c r="M986" t="s">
        <v>1568</v>
      </c>
      <c r="N986" t="s">
        <v>1568</v>
      </c>
      <c r="O986" t="s">
        <v>1568</v>
      </c>
      <c r="P986" t="s">
        <v>1568</v>
      </c>
      <c r="Q986" t="s">
        <v>1568</v>
      </c>
      <c r="R986" t="s">
        <v>1568</v>
      </c>
      <c r="S986" t="s">
        <v>1568</v>
      </c>
      <c r="T986" t="s">
        <v>1568</v>
      </c>
      <c r="U986" t="s">
        <v>1703</v>
      </c>
      <c r="V986" t="s">
        <v>1724</v>
      </c>
      <c r="W986" t="s">
        <v>1380</v>
      </c>
      <c r="X986" t="s">
        <v>59</v>
      </c>
      <c r="Y986" t="s">
        <v>1581</v>
      </c>
    </row>
    <row r="987" spans="1:25" ht="16" x14ac:dyDescent="0.2">
      <c r="A987" t="s">
        <v>1568</v>
      </c>
      <c r="B987" t="s">
        <v>1410</v>
      </c>
      <c r="C987" t="s">
        <v>1568</v>
      </c>
      <c r="D987" t="s">
        <v>1568</v>
      </c>
      <c r="E987" t="s">
        <v>51</v>
      </c>
      <c r="F987" t="s">
        <v>1771</v>
      </c>
      <c r="G987" t="s">
        <v>1381</v>
      </c>
      <c r="H987" t="s">
        <v>1568</v>
      </c>
      <c r="I987" t="s">
        <v>1382</v>
      </c>
      <c r="J987" t="s">
        <v>1568</v>
      </c>
      <c r="K987" t="s">
        <v>1568</v>
      </c>
      <c r="L987" t="s">
        <v>1568</v>
      </c>
      <c r="M987" t="s">
        <v>1568</v>
      </c>
      <c r="N987" t="s">
        <v>1568</v>
      </c>
      <c r="O987" t="s">
        <v>1568</v>
      </c>
      <c r="P987" t="s">
        <v>1568</v>
      </c>
      <c r="Q987" t="s">
        <v>1568</v>
      </c>
      <c r="R987" t="s">
        <v>1568</v>
      </c>
      <c r="S987" t="s">
        <v>1568</v>
      </c>
      <c r="T987" t="s">
        <v>1568</v>
      </c>
      <c r="U987" t="s">
        <v>1703</v>
      </c>
      <c r="V987" t="s">
        <v>1724</v>
      </c>
      <c r="W987" t="s">
        <v>1383</v>
      </c>
      <c r="X987" t="s">
        <v>59</v>
      </c>
      <c r="Y987" t="s">
        <v>1581</v>
      </c>
    </row>
    <row r="988" spans="1:25" ht="16" x14ac:dyDescent="0.2">
      <c r="A988" t="s">
        <v>1568</v>
      </c>
      <c r="B988" t="s">
        <v>1410</v>
      </c>
      <c r="C988" t="s">
        <v>1568</v>
      </c>
      <c r="D988" t="s">
        <v>1568</v>
      </c>
      <c r="E988" t="s">
        <v>55</v>
      </c>
      <c r="F988" t="s">
        <v>1771</v>
      </c>
      <c r="G988" t="s">
        <v>1384</v>
      </c>
      <c r="H988" t="s">
        <v>1568</v>
      </c>
      <c r="I988" t="s">
        <v>1385</v>
      </c>
      <c r="J988" t="s">
        <v>1568</v>
      </c>
      <c r="K988" t="s">
        <v>1568</v>
      </c>
      <c r="L988" t="s">
        <v>1568</v>
      </c>
      <c r="M988" t="s">
        <v>1568</v>
      </c>
      <c r="N988" t="s">
        <v>1568</v>
      </c>
      <c r="O988" t="s">
        <v>1568</v>
      </c>
      <c r="P988" t="s">
        <v>1568</v>
      </c>
      <c r="Q988" t="s">
        <v>1568</v>
      </c>
      <c r="R988" t="s">
        <v>1568</v>
      </c>
      <c r="S988" t="s">
        <v>1568</v>
      </c>
      <c r="T988" t="s">
        <v>1568</v>
      </c>
      <c r="U988" t="s">
        <v>1703</v>
      </c>
      <c r="V988" t="s">
        <v>1724</v>
      </c>
      <c r="W988" t="s">
        <v>1386</v>
      </c>
      <c r="X988" t="s">
        <v>59</v>
      </c>
      <c r="Y988" t="s">
        <v>1581</v>
      </c>
    </row>
    <row r="989" spans="1:25" ht="16" x14ac:dyDescent="0.2">
      <c r="A989" t="s">
        <v>1568</v>
      </c>
      <c r="B989" t="s">
        <v>1410</v>
      </c>
      <c r="C989" t="s">
        <v>1568</v>
      </c>
      <c r="D989" t="s">
        <v>1568</v>
      </c>
      <c r="E989" t="s">
        <v>884</v>
      </c>
      <c r="F989" t="s">
        <v>1771</v>
      </c>
      <c r="G989" t="s">
        <v>1387</v>
      </c>
      <c r="H989" t="s">
        <v>1568</v>
      </c>
      <c r="I989" t="s">
        <v>1388</v>
      </c>
      <c r="J989" t="s">
        <v>1568</v>
      </c>
      <c r="K989" t="s">
        <v>1568</v>
      </c>
      <c r="L989" t="s">
        <v>1568</v>
      </c>
      <c r="M989" t="s">
        <v>1568</v>
      </c>
      <c r="N989" t="s">
        <v>1568</v>
      </c>
      <c r="O989" t="s">
        <v>1568</v>
      </c>
      <c r="P989" t="s">
        <v>1568</v>
      </c>
      <c r="Q989" t="s">
        <v>1568</v>
      </c>
      <c r="R989" t="s">
        <v>1568</v>
      </c>
      <c r="S989" t="s">
        <v>1568</v>
      </c>
      <c r="T989" t="s">
        <v>1568</v>
      </c>
      <c r="U989" t="s">
        <v>1703</v>
      </c>
      <c r="V989" t="s">
        <v>1724</v>
      </c>
      <c r="W989" t="s">
        <v>1389</v>
      </c>
      <c r="X989" t="s">
        <v>59</v>
      </c>
      <c r="Y989" t="s">
        <v>1581</v>
      </c>
    </row>
    <row r="990" spans="1:25" ht="16" x14ac:dyDescent="0.2">
      <c r="A990" t="s">
        <v>1568</v>
      </c>
      <c r="B990" t="s">
        <v>1411</v>
      </c>
      <c r="C990" t="s">
        <v>1568</v>
      </c>
      <c r="D990" t="s">
        <v>1568</v>
      </c>
      <c r="E990" t="s">
        <v>36</v>
      </c>
      <c r="F990" t="s">
        <v>1773</v>
      </c>
      <c r="G990" t="s">
        <v>1400</v>
      </c>
      <c r="H990" t="s">
        <v>1568</v>
      </c>
      <c r="I990" t="s">
        <v>1401</v>
      </c>
      <c r="J990" t="s">
        <v>1568</v>
      </c>
      <c r="K990" t="s">
        <v>1568</v>
      </c>
      <c r="L990" t="s">
        <v>1568</v>
      </c>
      <c r="M990" t="s">
        <v>1568</v>
      </c>
      <c r="N990" t="s">
        <v>1568</v>
      </c>
      <c r="O990" t="s">
        <v>1568</v>
      </c>
      <c r="P990" t="s">
        <v>1568</v>
      </c>
      <c r="Q990" t="s">
        <v>1568</v>
      </c>
      <c r="R990" t="s">
        <v>1568</v>
      </c>
      <c r="S990" t="s">
        <v>1568</v>
      </c>
      <c r="T990" t="s">
        <v>1568</v>
      </c>
      <c r="U990" t="s">
        <v>1568</v>
      </c>
      <c r="V990" t="s">
        <v>1776</v>
      </c>
      <c r="W990" t="s">
        <v>1402</v>
      </c>
      <c r="X990" t="s">
        <v>59</v>
      </c>
      <c r="Y990" t="s">
        <v>1581</v>
      </c>
    </row>
    <row r="991" spans="1:25" ht="16" x14ac:dyDescent="0.2">
      <c r="A991" t="s">
        <v>1568</v>
      </c>
      <c r="B991" t="s">
        <v>1412</v>
      </c>
      <c r="C991" t="s">
        <v>1568</v>
      </c>
      <c r="D991" t="s">
        <v>1568</v>
      </c>
      <c r="E991" t="s">
        <v>36</v>
      </c>
      <c r="F991" t="s">
        <v>1768</v>
      </c>
      <c r="G991" t="s">
        <v>1405</v>
      </c>
      <c r="H991" t="s">
        <v>1568</v>
      </c>
      <c r="I991" t="s">
        <v>1406</v>
      </c>
      <c r="J991" t="s">
        <v>1568</v>
      </c>
      <c r="K991" t="s">
        <v>1568</v>
      </c>
      <c r="L991" t="s">
        <v>1568</v>
      </c>
      <c r="M991" t="s">
        <v>1568</v>
      </c>
      <c r="N991" t="s">
        <v>1568</v>
      </c>
      <c r="O991" t="s">
        <v>1568</v>
      </c>
      <c r="P991" t="s">
        <v>1568</v>
      </c>
      <c r="Q991" t="s">
        <v>1568</v>
      </c>
      <c r="R991" t="s">
        <v>1568</v>
      </c>
      <c r="S991" t="s">
        <v>1568</v>
      </c>
      <c r="T991" t="s">
        <v>1568</v>
      </c>
      <c r="U991" t="s">
        <v>1568</v>
      </c>
      <c r="V991" t="s">
        <v>1764</v>
      </c>
      <c r="W991" t="s">
        <v>1407</v>
      </c>
      <c r="X991" t="s">
        <v>61</v>
      </c>
      <c r="Y991" t="s">
        <v>1587</v>
      </c>
    </row>
    <row r="992" spans="1:25" ht="16" x14ac:dyDescent="0.2">
      <c r="A992" t="s">
        <v>1568</v>
      </c>
      <c r="B992" t="s">
        <v>1413</v>
      </c>
      <c r="C992" t="s">
        <v>1568</v>
      </c>
      <c r="D992" t="s">
        <v>1568</v>
      </c>
      <c r="E992" t="s">
        <v>36</v>
      </c>
      <c r="F992" t="s">
        <v>1768</v>
      </c>
      <c r="G992" t="s">
        <v>1313</v>
      </c>
      <c r="H992" t="s">
        <v>1568</v>
      </c>
      <c r="I992" t="s">
        <v>1314</v>
      </c>
      <c r="J992" t="s">
        <v>1568</v>
      </c>
      <c r="K992" t="s">
        <v>1568</v>
      </c>
      <c r="L992" t="s">
        <v>1568</v>
      </c>
      <c r="M992" t="s">
        <v>1568</v>
      </c>
      <c r="N992" t="s">
        <v>1568</v>
      </c>
      <c r="O992" t="s">
        <v>1568</v>
      </c>
      <c r="P992" t="s">
        <v>1568</v>
      </c>
      <c r="Q992" t="s">
        <v>1568</v>
      </c>
      <c r="R992" t="s">
        <v>1568</v>
      </c>
      <c r="S992" t="s">
        <v>1568</v>
      </c>
      <c r="T992" t="s">
        <v>1568</v>
      </c>
      <c r="U992" t="s">
        <v>1568</v>
      </c>
      <c r="V992" t="s">
        <v>1592</v>
      </c>
      <c r="W992" t="s">
        <v>1315</v>
      </c>
      <c r="X992" t="s">
        <v>61</v>
      </c>
      <c r="Y992" t="s">
        <v>1587</v>
      </c>
    </row>
    <row r="993" spans="1:25" ht="16" x14ac:dyDescent="0.2">
      <c r="A993" t="s">
        <v>1568</v>
      </c>
      <c r="B993" t="s">
        <v>1413</v>
      </c>
      <c r="C993" t="s">
        <v>1568</v>
      </c>
      <c r="D993" t="s">
        <v>1568</v>
      </c>
      <c r="E993" t="s">
        <v>43</v>
      </c>
      <c r="F993" t="s">
        <v>1768</v>
      </c>
      <c r="G993" t="s">
        <v>1316</v>
      </c>
      <c r="H993" t="s">
        <v>1568</v>
      </c>
      <c r="I993" t="s">
        <v>1317</v>
      </c>
      <c r="J993" t="s">
        <v>1568</v>
      </c>
      <c r="K993" t="s">
        <v>1568</v>
      </c>
      <c r="L993" t="s">
        <v>1568</v>
      </c>
      <c r="M993" t="s">
        <v>1568</v>
      </c>
      <c r="N993" t="s">
        <v>1568</v>
      </c>
      <c r="O993" t="s">
        <v>1568</v>
      </c>
      <c r="P993" t="s">
        <v>1568</v>
      </c>
      <c r="Q993" t="s">
        <v>1568</v>
      </c>
      <c r="R993" t="s">
        <v>1568</v>
      </c>
      <c r="S993" t="s">
        <v>1568</v>
      </c>
      <c r="T993" t="s">
        <v>1568</v>
      </c>
      <c r="U993" t="s">
        <v>1568</v>
      </c>
      <c r="V993" t="s">
        <v>1592</v>
      </c>
      <c r="W993" t="s">
        <v>1318</v>
      </c>
      <c r="X993" t="s">
        <v>61</v>
      </c>
      <c r="Y993" t="s">
        <v>1587</v>
      </c>
    </row>
    <row r="994" spans="1:25" ht="16" x14ac:dyDescent="0.2">
      <c r="A994" t="s">
        <v>1568</v>
      </c>
      <c r="B994" t="s">
        <v>1413</v>
      </c>
      <c r="C994" t="s">
        <v>1568</v>
      </c>
      <c r="D994" t="s">
        <v>1568</v>
      </c>
      <c r="E994" t="s">
        <v>47</v>
      </c>
      <c r="F994" t="s">
        <v>1768</v>
      </c>
      <c r="G994" t="s">
        <v>1319</v>
      </c>
      <c r="H994" t="s">
        <v>1568</v>
      </c>
      <c r="I994" t="s">
        <v>1320</v>
      </c>
      <c r="J994" t="s">
        <v>1568</v>
      </c>
      <c r="K994" t="s">
        <v>1568</v>
      </c>
      <c r="L994" t="s">
        <v>1568</v>
      </c>
      <c r="M994" t="s">
        <v>1568</v>
      </c>
      <c r="N994" t="s">
        <v>1568</v>
      </c>
      <c r="O994" t="s">
        <v>1568</v>
      </c>
      <c r="P994" t="s">
        <v>1568</v>
      </c>
      <c r="Q994" t="s">
        <v>1568</v>
      </c>
      <c r="R994" t="s">
        <v>1568</v>
      </c>
      <c r="S994" t="s">
        <v>1568</v>
      </c>
      <c r="T994" t="s">
        <v>1568</v>
      </c>
      <c r="U994" t="s">
        <v>1568</v>
      </c>
      <c r="V994" t="s">
        <v>1592</v>
      </c>
      <c r="W994" t="s">
        <v>1321</v>
      </c>
      <c r="X994" t="s">
        <v>61</v>
      </c>
      <c r="Y994" t="s">
        <v>1587</v>
      </c>
    </row>
    <row r="995" spans="1:25" ht="16" x14ac:dyDescent="0.2">
      <c r="A995" t="s">
        <v>1568</v>
      </c>
      <c r="B995" t="s">
        <v>1413</v>
      </c>
      <c r="C995" t="s">
        <v>1568</v>
      </c>
      <c r="D995" t="s">
        <v>1568</v>
      </c>
      <c r="E995" t="s">
        <v>51</v>
      </c>
      <c r="F995" t="s">
        <v>1768</v>
      </c>
      <c r="G995" t="s">
        <v>1322</v>
      </c>
      <c r="H995" t="s">
        <v>1568</v>
      </c>
      <c r="I995" t="s">
        <v>1323</v>
      </c>
      <c r="J995" t="s">
        <v>1568</v>
      </c>
      <c r="K995" t="s">
        <v>1568</v>
      </c>
      <c r="L995" t="s">
        <v>1568</v>
      </c>
      <c r="M995" t="s">
        <v>1568</v>
      </c>
      <c r="N995" t="s">
        <v>1568</v>
      </c>
      <c r="O995" t="s">
        <v>1568</v>
      </c>
      <c r="P995" t="s">
        <v>1568</v>
      </c>
      <c r="Q995" t="s">
        <v>1568</v>
      </c>
      <c r="R995" t="s">
        <v>1568</v>
      </c>
      <c r="S995" t="s">
        <v>1568</v>
      </c>
      <c r="T995" t="s">
        <v>1568</v>
      </c>
      <c r="U995" t="s">
        <v>1568</v>
      </c>
      <c r="V995" t="s">
        <v>1592</v>
      </c>
      <c r="W995" t="s">
        <v>1324</v>
      </c>
      <c r="X995" t="s">
        <v>61</v>
      </c>
      <c r="Y995" t="s">
        <v>1587</v>
      </c>
    </row>
    <row r="996" spans="1:25" ht="16" x14ac:dyDescent="0.2">
      <c r="A996" t="s">
        <v>1568</v>
      </c>
      <c r="B996" t="s">
        <v>1413</v>
      </c>
      <c r="C996" t="s">
        <v>1568</v>
      </c>
      <c r="D996" t="s">
        <v>1568</v>
      </c>
      <c r="E996" t="s">
        <v>55</v>
      </c>
      <c r="F996" t="s">
        <v>1768</v>
      </c>
      <c r="G996" t="s">
        <v>1325</v>
      </c>
      <c r="H996" t="s">
        <v>1568</v>
      </c>
      <c r="I996" t="s">
        <v>1326</v>
      </c>
      <c r="J996" t="s">
        <v>1568</v>
      </c>
      <c r="K996" t="s">
        <v>1568</v>
      </c>
      <c r="L996" t="s">
        <v>1568</v>
      </c>
      <c r="M996" t="s">
        <v>1568</v>
      </c>
      <c r="N996" t="s">
        <v>1568</v>
      </c>
      <c r="O996" t="s">
        <v>1568</v>
      </c>
      <c r="P996" t="s">
        <v>1568</v>
      </c>
      <c r="Q996" t="s">
        <v>1568</v>
      </c>
      <c r="R996" t="s">
        <v>1568</v>
      </c>
      <c r="S996" t="s">
        <v>1568</v>
      </c>
      <c r="T996" t="s">
        <v>1568</v>
      </c>
      <c r="U996" t="s">
        <v>1568</v>
      </c>
      <c r="V996" t="s">
        <v>1592</v>
      </c>
      <c r="W996" t="s">
        <v>1327</v>
      </c>
      <c r="X996" t="s">
        <v>61</v>
      </c>
      <c r="Y996" t="s">
        <v>1587</v>
      </c>
    </row>
    <row r="997" spans="1:25" ht="16" x14ac:dyDescent="0.2">
      <c r="A997" t="s">
        <v>1568</v>
      </c>
      <c r="B997" t="s">
        <v>1414</v>
      </c>
      <c r="C997" t="s">
        <v>1568</v>
      </c>
      <c r="D997" t="s">
        <v>1568</v>
      </c>
      <c r="E997" t="s">
        <v>36</v>
      </c>
      <c r="F997" t="s">
        <v>1769</v>
      </c>
      <c r="G997" t="s">
        <v>1329</v>
      </c>
      <c r="H997" t="s">
        <v>1568</v>
      </c>
      <c r="I997" t="s">
        <v>1330</v>
      </c>
      <c r="J997" t="s">
        <v>1568</v>
      </c>
      <c r="K997" t="s">
        <v>1568</v>
      </c>
      <c r="L997" t="s">
        <v>1568</v>
      </c>
      <c r="M997" t="s">
        <v>1568</v>
      </c>
      <c r="N997" t="s">
        <v>1568</v>
      </c>
      <c r="O997" t="s">
        <v>1568</v>
      </c>
      <c r="P997" t="s">
        <v>1568</v>
      </c>
      <c r="Q997" t="s">
        <v>1568</v>
      </c>
      <c r="R997" t="s">
        <v>1568</v>
      </c>
      <c r="S997" t="s">
        <v>1568</v>
      </c>
      <c r="T997" t="s">
        <v>1568</v>
      </c>
      <c r="U997" t="s">
        <v>1568</v>
      </c>
      <c r="V997" t="s">
        <v>1592</v>
      </c>
      <c r="W997" t="s">
        <v>1331</v>
      </c>
      <c r="X997" t="s">
        <v>61</v>
      </c>
      <c r="Y997" t="s">
        <v>1587</v>
      </c>
    </row>
    <row r="998" spans="1:25" ht="16" x14ac:dyDescent="0.2">
      <c r="A998" t="s">
        <v>1568</v>
      </c>
      <c r="B998" t="s">
        <v>1414</v>
      </c>
      <c r="C998" t="s">
        <v>1568</v>
      </c>
      <c r="D998" t="s">
        <v>1568</v>
      </c>
      <c r="E998" t="s">
        <v>43</v>
      </c>
      <c r="F998" t="s">
        <v>1769</v>
      </c>
      <c r="G998" t="s">
        <v>1332</v>
      </c>
      <c r="H998" t="s">
        <v>1568</v>
      </c>
      <c r="I998" t="s">
        <v>1333</v>
      </c>
      <c r="J998" t="s">
        <v>1568</v>
      </c>
      <c r="K998" t="s">
        <v>1568</v>
      </c>
      <c r="L998" t="s">
        <v>1568</v>
      </c>
      <c r="M998" t="s">
        <v>1568</v>
      </c>
      <c r="N998" t="s">
        <v>1568</v>
      </c>
      <c r="O998" t="s">
        <v>1568</v>
      </c>
      <c r="P998" t="s">
        <v>1568</v>
      </c>
      <c r="Q998" t="s">
        <v>1568</v>
      </c>
      <c r="R998" t="s">
        <v>1568</v>
      </c>
      <c r="S998" t="s">
        <v>1568</v>
      </c>
      <c r="T998" t="s">
        <v>1568</v>
      </c>
      <c r="U998" t="s">
        <v>1568</v>
      </c>
      <c r="V998" t="s">
        <v>1592</v>
      </c>
      <c r="W998" t="s">
        <v>1334</v>
      </c>
      <c r="X998" t="s">
        <v>61</v>
      </c>
      <c r="Y998" t="s">
        <v>1587</v>
      </c>
    </row>
    <row r="999" spans="1:25" ht="16" x14ac:dyDescent="0.2">
      <c r="A999" t="s">
        <v>1568</v>
      </c>
      <c r="B999" t="s">
        <v>1414</v>
      </c>
      <c r="C999" t="s">
        <v>1568</v>
      </c>
      <c r="D999" t="s">
        <v>1568</v>
      </c>
      <c r="E999" t="s">
        <v>47</v>
      </c>
      <c r="F999" t="s">
        <v>1769</v>
      </c>
      <c r="G999" t="s">
        <v>1335</v>
      </c>
      <c r="H999" t="s">
        <v>1568</v>
      </c>
      <c r="I999" t="s">
        <v>1336</v>
      </c>
      <c r="J999" t="s">
        <v>1568</v>
      </c>
      <c r="K999" t="s">
        <v>1568</v>
      </c>
      <c r="L999" t="s">
        <v>1568</v>
      </c>
      <c r="M999" t="s">
        <v>1568</v>
      </c>
      <c r="N999" t="s">
        <v>1568</v>
      </c>
      <c r="O999" t="s">
        <v>1568</v>
      </c>
      <c r="P999" t="s">
        <v>1568</v>
      </c>
      <c r="Q999" t="s">
        <v>1568</v>
      </c>
      <c r="R999" t="s">
        <v>1568</v>
      </c>
      <c r="S999" t="s">
        <v>1568</v>
      </c>
      <c r="T999" t="s">
        <v>1568</v>
      </c>
      <c r="U999" t="s">
        <v>1568</v>
      </c>
      <c r="V999" t="s">
        <v>1592</v>
      </c>
      <c r="W999" t="s">
        <v>1337</v>
      </c>
      <c r="X999" t="s">
        <v>61</v>
      </c>
      <c r="Y999" t="s">
        <v>1587</v>
      </c>
    </row>
    <row r="1000" spans="1:25" ht="16" x14ac:dyDescent="0.2">
      <c r="A1000" t="s">
        <v>1568</v>
      </c>
      <c r="B1000" t="s">
        <v>1414</v>
      </c>
      <c r="C1000" t="s">
        <v>1568</v>
      </c>
      <c r="D1000" t="s">
        <v>1568</v>
      </c>
      <c r="E1000" t="s">
        <v>51</v>
      </c>
      <c r="F1000" t="s">
        <v>1769</v>
      </c>
      <c r="G1000" t="s">
        <v>1338</v>
      </c>
      <c r="H1000" t="s">
        <v>1568</v>
      </c>
      <c r="I1000" t="s">
        <v>1339</v>
      </c>
      <c r="J1000" t="s">
        <v>1568</v>
      </c>
      <c r="K1000" t="s">
        <v>1568</v>
      </c>
      <c r="L1000" t="s">
        <v>1568</v>
      </c>
      <c r="M1000" t="s">
        <v>1568</v>
      </c>
      <c r="N1000" t="s">
        <v>1568</v>
      </c>
      <c r="O1000" t="s">
        <v>1568</v>
      </c>
      <c r="P1000" t="s">
        <v>1568</v>
      </c>
      <c r="Q1000" t="s">
        <v>1568</v>
      </c>
      <c r="R1000" t="s">
        <v>1568</v>
      </c>
      <c r="S1000" t="s">
        <v>1568</v>
      </c>
      <c r="T1000" t="s">
        <v>1568</v>
      </c>
      <c r="U1000" t="s">
        <v>1568</v>
      </c>
      <c r="V1000" t="s">
        <v>1592</v>
      </c>
      <c r="W1000" t="s">
        <v>1340</v>
      </c>
      <c r="X1000" t="s">
        <v>61</v>
      </c>
      <c r="Y1000" t="s">
        <v>1587</v>
      </c>
    </row>
    <row r="1001" spans="1:25" ht="16" x14ac:dyDescent="0.2">
      <c r="A1001" t="s">
        <v>1568</v>
      </c>
      <c r="B1001" t="s">
        <v>1414</v>
      </c>
      <c r="C1001" t="s">
        <v>1568</v>
      </c>
      <c r="D1001" t="s">
        <v>1568</v>
      </c>
      <c r="E1001" t="s">
        <v>55</v>
      </c>
      <c r="F1001" t="s">
        <v>1769</v>
      </c>
      <c r="G1001" t="s">
        <v>1341</v>
      </c>
      <c r="H1001" t="s">
        <v>1568</v>
      </c>
      <c r="I1001" t="s">
        <v>1342</v>
      </c>
      <c r="J1001" t="s">
        <v>1568</v>
      </c>
      <c r="K1001" t="s">
        <v>1568</v>
      </c>
      <c r="L1001" t="s">
        <v>1568</v>
      </c>
      <c r="M1001" t="s">
        <v>1568</v>
      </c>
      <c r="N1001" t="s">
        <v>1568</v>
      </c>
      <c r="O1001" t="s">
        <v>1568</v>
      </c>
      <c r="P1001" t="s">
        <v>1568</v>
      </c>
      <c r="Q1001" t="s">
        <v>1568</v>
      </c>
      <c r="R1001" t="s">
        <v>1568</v>
      </c>
      <c r="S1001" t="s">
        <v>1568</v>
      </c>
      <c r="T1001" t="s">
        <v>1568</v>
      </c>
      <c r="U1001" t="s">
        <v>1568</v>
      </c>
      <c r="V1001" t="s">
        <v>1592</v>
      </c>
      <c r="W1001" t="s">
        <v>1343</v>
      </c>
      <c r="X1001" t="s">
        <v>61</v>
      </c>
      <c r="Y1001" t="s">
        <v>1587</v>
      </c>
    </row>
    <row r="1002" spans="1:25" ht="16" x14ac:dyDescent="0.2">
      <c r="A1002" t="s">
        <v>1568</v>
      </c>
      <c r="B1002" t="s">
        <v>1415</v>
      </c>
      <c r="C1002" t="s">
        <v>1568</v>
      </c>
      <c r="D1002" t="s">
        <v>1568</v>
      </c>
      <c r="E1002" t="s">
        <v>36</v>
      </c>
      <c r="F1002" t="s">
        <v>1770</v>
      </c>
      <c r="G1002" t="s">
        <v>1345</v>
      </c>
      <c r="H1002" t="s">
        <v>1568</v>
      </c>
      <c r="I1002" t="s">
        <v>1346</v>
      </c>
      <c r="J1002" t="s">
        <v>1568</v>
      </c>
      <c r="K1002" t="s">
        <v>1568</v>
      </c>
      <c r="L1002" t="s">
        <v>1568</v>
      </c>
      <c r="M1002" t="s">
        <v>1568</v>
      </c>
      <c r="N1002" t="s">
        <v>1568</v>
      </c>
      <c r="O1002" t="s">
        <v>1568</v>
      </c>
      <c r="P1002" t="s">
        <v>1568</v>
      </c>
      <c r="Q1002" t="s">
        <v>1568</v>
      </c>
      <c r="R1002" t="s">
        <v>1568</v>
      </c>
      <c r="S1002" t="s">
        <v>1568</v>
      </c>
      <c r="T1002" t="s">
        <v>1568</v>
      </c>
      <c r="U1002" t="s">
        <v>1568</v>
      </c>
      <c r="V1002" t="s">
        <v>1592</v>
      </c>
      <c r="W1002" t="s">
        <v>1347</v>
      </c>
      <c r="X1002" t="s">
        <v>61</v>
      </c>
      <c r="Y1002" t="s">
        <v>1587</v>
      </c>
    </row>
    <row r="1003" spans="1:25" ht="16" x14ac:dyDescent="0.2">
      <c r="A1003" t="s">
        <v>1568</v>
      </c>
      <c r="B1003" t="s">
        <v>1415</v>
      </c>
      <c r="C1003" t="s">
        <v>1568</v>
      </c>
      <c r="D1003" t="s">
        <v>1568</v>
      </c>
      <c r="E1003" t="s">
        <v>43</v>
      </c>
      <c r="F1003" t="s">
        <v>1770</v>
      </c>
      <c r="G1003" t="s">
        <v>1348</v>
      </c>
      <c r="H1003" t="s">
        <v>1568</v>
      </c>
      <c r="I1003" t="s">
        <v>1349</v>
      </c>
      <c r="J1003" t="s">
        <v>1568</v>
      </c>
      <c r="K1003" t="s">
        <v>1568</v>
      </c>
      <c r="L1003" t="s">
        <v>1568</v>
      </c>
      <c r="M1003" t="s">
        <v>1568</v>
      </c>
      <c r="N1003" t="s">
        <v>1568</v>
      </c>
      <c r="O1003" t="s">
        <v>1568</v>
      </c>
      <c r="P1003" t="s">
        <v>1568</v>
      </c>
      <c r="Q1003" t="s">
        <v>1568</v>
      </c>
      <c r="R1003" t="s">
        <v>1568</v>
      </c>
      <c r="S1003" t="s">
        <v>1568</v>
      </c>
      <c r="T1003" t="s">
        <v>1568</v>
      </c>
      <c r="U1003" t="s">
        <v>1568</v>
      </c>
      <c r="V1003" t="s">
        <v>1592</v>
      </c>
      <c r="W1003" t="s">
        <v>1350</v>
      </c>
      <c r="X1003" t="s">
        <v>61</v>
      </c>
      <c r="Y1003" t="s">
        <v>1587</v>
      </c>
    </row>
    <row r="1004" spans="1:25" ht="16" x14ac:dyDescent="0.2">
      <c r="A1004" t="s">
        <v>1568</v>
      </c>
      <c r="B1004" t="s">
        <v>1415</v>
      </c>
      <c r="C1004" t="s">
        <v>1568</v>
      </c>
      <c r="D1004" t="s">
        <v>1568</v>
      </c>
      <c r="E1004" t="s">
        <v>47</v>
      </c>
      <c r="F1004" t="s">
        <v>1770</v>
      </c>
      <c r="G1004" t="s">
        <v>1351</v>
      </c>
      <c r="H1004" t="s">
        <v>1568</v>
      </c>
      <c r="I1004" t="s">
        <v>1352</v>
      </c>
      <c r="J1004" t="s">
        <v>1568</v>
      </c>
      <c r="K1004" t="s">
        <v>1568</v>
      </c>
      <c r="L1004" t="s">
        <v>1568</v>
      </c>
      <c r="M1004" t="s">
        <v>1568</v>
      </c>
      <c r="N1004" t="s">
        <v>1568</v>
      </c>
      <c r="O1004" t="s">
        <v>1568</v>
      </c>
      <c r="P1004" t="s">
        <v>1568</v>
      </c>
      <c r="Q1004" t="s">
        <v>1568</v>
      </c>
      <c r="R1004" t="s">
        <v>1568</v>
      </c>
      <c r="S1004" t="s">
        <v>1568</v>
      </c>
      <c r="T1004" t="s">
        <v>1568</v>
      </c>
      <c r="U1004" t="s">
        <v>1568</v>
      </c>
      <c r="V1004" t="s">
        <v>1592</v>
      </c>
      <c r="W1004" t="s">
        <v>1353</v>
      </c>
      <c r="X1004" t="s">
        <v>61</v>
      </c>
      <c r="Y1004" t="s">
        <v>1587</v>
      </c>
    </row>
    <row r="1005" spans="1:25" ht="16" x14ac:dyDescent="0.2">
      <c r="A1005" t="s">
        <v>1568</v>
      </c>
      <c r="B1005" t="s">
        <v>1415</v>
      </c>
      <c r="C1005" t="s">
        <v>1568</v>
      </c>
      <c r="D1005" t="s">
        <v>1568</v>
      </c>
      <c r="E1005" t="s">
        <v>51</v>
      </c>
      <c r="F1005" t="s">
        <v>1770</v>
      </c>
      <c r="G1005" t="s">
        <v>1354</v>
      </c>
      <c r="H1005" t="s">
        <v>1568</v>
      </c>
      <c r="I1005" t="s">
        <v>1355</v>
      </c>
      <c r="J1005" t="s">
        <v>1568</v>
      </c>
      <c r="K1005" t="s">
        <v>1568</v>
      </c>
      <c r="L1005" t="s">
        <v>1568</v>
      </c>
      <c r="M1005" t="s">
        <v>1568</v>
      </c>
      <c r="N1005" t="s">
        <v>1568</v>
      </c>
      <c r="O1005" t="s">
        <v>1568</v>
      </c>
      <c r="P1005" t="s">
        <v>1568</v>
      </c>
      <c r="Q1005" t="s">
        <v>1568</v>
      </c>
      <c r="R1005" t="s">
        <v>1568</v>
      </c>
      <c r="S1005" t="s">
        <v>1568</v>
      </c>
      <c r="T1005" t="s">
        <v>1568</v>
      </c>
      <c r="U1005" t="s">
        <v>1568</v>
      </c>
      <c r="V1005" t="s">
        <v>1592</v>
      </c>
      <c r="W1005" t="s">
        <v>1356</v>
      </c>
      <c r="X1005" t="s">
        <v>61</v>
      </c>
      <c r="Y1005" t="s">
        <v>1587</v>
      </c>
    </row>
    <row r="1006" spans="1:25" ht="16" x14ac:dyDescent="0.2">
      <c r="A1006" t="s">
        <v>1568</v>
      </c>
      <c r="B1006" t="s">
        <v>1415</v>
      </c>
      <c r="C1006" t="s">
        <v>1568</v>
      </c>
      <c r="D1006" t="s">
        <v>1568</v>
      </c>
      <c r="E1006" t="s">
        <v>55</v>
      </c>
      <c r="F1006" t="s">
        <v>1770</v>
      </c>
      <c r="G1006" t="s">
        <v>1357</v>
      </c>
      <c r="H1006" t="s">
        <v>1568</v>
      </c>
      <c r="I1006" t="s">
        <v>1358</v>
      </c>
      <c r="J1006" t="s">
        <v>1568</v>
      </c>
      <c r="K1006" t="s">
        <v>1568</v>
      </c>
      <c r="L1006" t="s">
        <v>1568</v>
      </c>
      <c r="M1006" t="s">
        <v>1568</v>
      </c>
      <c r="N1006" t="s">
        <v>1568</v>
      </c>
      <c r="O1006" t="s">
        <v>1568</v>
      </c>
      <c r="P1006" t="s">
        <v>1568</v>
      </c>
      <c r="Q1006" t="s">
        <v>1568</v>
      </c>
      <c r="R1006" t="s">
        <v>1568</v>
      </c>
      <c r="S1006" t="s">
        <v>1568</v>
      </c>
      <c r="T1006" t="s">
        <v>1568</v>
      </c>
      <c r="U1006" t="s">
        <v>1568</v>
      </c>
      <c r="V1006" t="s">
        <v>1592</v>
      </c>
      <c r="W1006" t="s">
        <v>1359</v>
      </c>
      <c r="X1006" t="s">
        <v>61</v>
      </c>
      <c r="Y1006" t="s">
        <v>1587</v>
      </c>
    </row>
    <row r="1007" spans="1:25" ht="16" x14ac:dyDescent="0.2">
      <c r="A1007" t="s">
        <v>1568</v>
      </c>
      <c r="B1007" t="s">
        <v>1416</v>
      </c>
      <c r="C1007" t="s">
        <v>1568</v>
      </c>
      <c r="D1007" t="s">
        <v>1568</v>
      </c>
      <c r="E1007" t="s">
        <v>36</v>
      </c>
      <c r="F1007" t="s">
        <v>1772</v>
      </c>
      <c r="G1007" t="s">
        <v>1418</v>
      </c>
      <c r="H1007" t="s">
        <v>1568</v>
      </c>
      <c r="I1007" t="s">
        <v>1419</v>
      </c>
      <c r="J1007" t="s">
        <v>1568</v>
      </c>
      <c r="K1007" t="s">
        <v>1568</v>
      </c>
      <c r="L1007" t="s">
        <v>1568</v>
      </c>
      <c r="M1007" t="s">
        <v>1568</v>
      </c>
      <c r="N1007" t="s">
        <v>1568</v>
      </c>
      <c r="O1007" t="s">
        <v>1568</v>
      </c>
      <c r="P1007" t="s">
        <v>1568</v>
      </c>
      <c r="Q1007" t="s">
        <v>1568</v>
      </c>
      <c r="R1007" t="s">
        <v>1568</v>
      </c>
      <c r="S1007" t="s">
        <v>1568</v>
      </c>
      <c r="T1007" t="s">
        <v>1568</v>
      </c>
      <c r="U1007" t="s">
        <v>1568</v>
      </c>
      <c r="V1007" t="s">
        <v>1760</v>
      </c>
      <c r="W1007" t="s">
        <v>1420</v>
      </c>
      <c r="X1007" t="s">
        <v>30</v>
      </c>
      <c r="Y1007" t="s">
        <v>1572</v>
      </c>
    </row>
    <row r="1008" spans="1:25" ht="16" x14ac:dyDescent="0.2">
      <c r="A1008" t="s">
        <v>1568</v>
      </c>
      <c r="B1008" t="s">
        <v>1416</v>
      </c>
      <c r="C1008" t="s">
        <v>1568</v>
      </c>
      <c r="D1008" t="s">
        <v>1568</v>
      </c>
      <c r="E1008" t="s">
        <v>43</v>
      </c>
      <c r="F1008" t="s">
        <v>1772</v>
      </c>
      <c r="G1008" t="s">
        <v>1421</v>
      </c>
      <c r="H1008" t="s">
        <v>1568</v>
      </c>
      <c r="I1008" t="s">
        <v>1422</v>
      </c>
      <c r="J1008" t="s">
        <v>1568</v>
      </c>
      <c r="K1008" t="s">
        <v>1568</v>
      </c>
      <c r="L1008" t="s">
        <v>1568</v>
      </c>
      <c r="M1008" t="s">
        <v>1568</v>
      </c>
      <c r="N1008" t="s">
        <v>1568</v>
      </c>
      <c r="O1008" t="s">
        <v>1568</v>
      </c>
      <c r="P1008" t="s">
        <v>1568</v>
      </c>
      <c r="Q1008" t="s">
        <v>1568</v>
      </c>
      <c r="R1008" t="s">
        <v>1568</v>
      </c>
      <c r="S1008" t="s">
        <v>1568</v>
      </c>
      <c r="T1008" t="s">
        <v>1568</v>
      </c>
      <c r="U1008" t="s">
        <v>1568</v>
      </c>
      <c r="V1008" t="s">
        <v>47</v>
      </c>
      <c r="W1008" t="s">
        <v>1423</v>
      </c>
      <c r="X1008" t="s">
        <v>30</v>
      </c>
      <c r="Y1008" t="s">
        <v>1572</v>
      </c>
    </row>
    <row r="1009" spans="1:25" ht="16" x14ac:dyDescent="0.2">
      <c r="A1009" t="s">
        <v>1568</v>
      </c>
      <c r="B1009" t="s">
        <v>1416</v>
      </c>
      <c r="C1009" t="s">
        <v>1568</v>
      </c>
      <c r="D1009" t="s">
        <v>1568</v>
      </c>
      <c r="E1009" t="s">
        <v>47</v>
      </c>
      <c r="F1009" t="s">
        <v>1772</v>
      </c>
      <c r="G1009" t="s">
        <v>1424</v>
      </c>
      <c r="H1009" t="s">
        <v>1568</v>
      </c>
      <c r="I1009" t="s">
        <v>1425</v>
      </c>
      <c r="J1009" t="s">
        <v>1568</v>
      </c>
      <c r="K1009" t="s">
        <v>1568</v>
      </c>
      <c r="L1009" t="s">
        <v>1568</v>
      </c>
      <c r="M1009" t="s">
        <v>1568</v>
      </c>
      <c r="N1009" t="s">
        <v>1568</v>
      </c>
      <c r="O1009" t="s">
        <v>1568</v>
      </c>
      <c r="P1009" t="s">
        <v>1568</v>
      </c>
      <c r="Q1009" t="s">
        <v>1568</v>
      </c>
      <c r="R1009" t="s">
        <v>1568</v>
      </c>
      <c r="S1009" t="s">
        <v>1568</v>
      </c>
      <c r="T1009" t="s">
        <v>1568</v>
      </c>
      <c r="U1009" t="s">
        <v>1568</v>
      </c>
      <c r="V1009" t="s">
        <v>1740</v>
      </c>
      <c r="W1009" t="s">
        <v>1426</v>
      </c>
      <c r="X1009" t="s">
        <v>30</v>
      </c>
      <c r="Y1009" t="s">
        <v>1572</v>
      </c>
    </row>
    <row r="1010" spans="1:25" ht="16" x14ac:dyDescent="0.2">
      <c r="A1010" t="s">
        <v>1568</v>
      </c>
      <c r="B1010" t="s">
        <v>1416</v>
      </c>
      <c r="C1010" t="s">
        <v>1568</v>
      </c>
      <c r="D1010" t="s">
        <v>1568</v>
      </c>
      <c r="E1010" t="s">
        <v>51</v>
      </c>
      <c r="F1010" t="s">
        <v>1772</v>
      </c>
      <c r="G1010" t="s">
        <v>1427</v>
      </c>
      <c r="H1010" t="s">
        <v>1568</v>
      </c>
      <c r="I1010" t="s">
        <v>1428</v>
      </c>
      <c r="J1010" t="s">
        <v>1568</v>
      </c>
      <c r="K1010" t="s">
        <v>1568</v>
      </c>
      <c r="L1010" t="s">
        <v>1568</v>
      </c>
      <c r="M1010" t="s">
        <v>1568</v>
      </c>
      <c r="N1010" t="s">
        <v>1568</v>
      </c>
      <c r="O1010" t="s">
        <v>1568</v>
      </c>
      <c r="P1010" t="s">
        <v>1568</v>
      </c>
      <c r="Q1010" t="s">
        <v>1568</v>
      </c>
      <c r="R1010" t="s">
        <v>1568</v>
      </c>
      <c r="S1010" t="s">
        <v>1568</v>
      </c>
      <c r="T1010" t="s">
        <v>1568</v>
      </c>
      <c r="U1010" t="s">
        <v>1568</v>
      </c>
      <c r="V1010" t="s">
        <v>1729</v>
      </c>
      <c r="W1010" t="s">
        <v>1429</v>
      </c>
      <c r="X1010" t="s">
        <v>30</v>
      </c>
      <c r="Y1010" t="s">
        <v>1572</v>
      </c>
    </row>
    <row r="1011" spans="1:25" ht="16" x14ac:dyDescent="0.2">
      <c r="A1011" t="s">
        <v>1568</v>
      </c>
      <c r="B1011" t="s">
        <v>1416</v>
      </c>
      <c r="C1011" t="s">
        <v>1568</v>
      </c>
      <c r="D1011" t="s">
        <v>1568</v>
      </c>
      <c r="E1011" t="s">
        <v>55</v>
      </c>
      <c r="F1011" t="s">
        <v>1772</v>
      </c>
      <c r="G1011" t="s">
        <v>1430</v>
      </c>
      <c r="H1011" t="s">
        <v>1568</v>
      </c>
      <c r="I1011" t="s">
        <v>1431</v>
      </c>
      <c r="J1011" t="s">
        <v>1568</v>
      </c>
      <c r="K1011" t="s">
        <v>1568</v>
      </c>
      <c r="L1011" t="s">
        <v>1568</v>
      </c>
      <c r="M1011" t="s">
        <v>1568</v>
      </c>
      <c r="N1011" t="s">
        <v>1568</v>
      </c>
      <c r="O1011" t="s">
        <v>1568</v>
      </c>
      <c r="P1011" t="s">
        <v>1568</v>
      </c>
      <c r="Q1011" t="s">
        <v>1568</v>
      </c>
      <c r="R1011" t="s">
        <v>1568</v>
      </c>
      <c r="S1011" t="s">
        <v>1568</v>
      </c>
      <c r="T1011" t="s">
        <v>1568</v>
      </c>
      <c r="U1011" t="s">
        <v>1568</v>
      </c>
      <c r="V1011" t="s">
        <v>1740</v>
      </c>
      <c r="W1011" t="s">
        <v>1432</v>
      </c>
      <c r="X1011" t="s">
        <v>30</v>
      </c>
      <c r="Y1011" t="s">
        <v>1572</v>
      </c>
    </row>
    <row r="1012" spans="1:25" ht="16" x14ac:dyDescent="0.2">
      <c r="A1012" t="s">
        <v>1568</v>
      </c>
      <c r="B1012" t="s">
        <v>1433</v>
      </c>
      <c r="C1012" t="s">
        <v>1568</v>
      </c>
      <c r="D1012" t="s">
        <v>1568</v>
      </c>
      <c r="E1012" t="s">
        <v>36</v>
      </c>
      <c r="F1012" t="s">
        <v>1777</v>
      </c>
      <c r="G1012" t="s">
        <v>1434</v>
      </c>
      <c r="H1012" t="s">
        <v>1568</v>
      </c>
      <c r="I1012" t="s">
        <v>1435</v>
      </c>
      <c r="J1012" t="s">
        <v>1568</v>
      </c>
      <c r="K1012" t="s">
        <v>1568</v>
      </c>
      <c r="L1012" t="s">
        <v>1568</v>
      </c>
      <c r="M1012" t="s">
        <v>1568</v>
      </c>
      <c r="N1012" t="s">
        <v>1568</v>
      </c>
      <c r="O1012" t="s">
        <v>1568</v>
      </c>
      <c r="P1012" t="s">
        <v>1568</v>
      </c>
      <c r="Q1012" t="s">
        <v>1568</v>
      </c>
      <c r="R1012" t="s">
        <v>1568</v>
      </c>
      <c r="S1012" t="s">
        <v>1568</v>
      </c>
      <c r="T1012" t="s">
        <v>1568</v>
      </c>
      <c r="U1012" t="s">
        <v>1568</v>
      </c>
      <c r="V1012" t="s">
        <v>1741</v>
      </c>
      <c r="W1012" t="s">
        <v>1436</v>
      </c>
      <c r="X1012" t="s">
        <v>30</v>
      </c>
      <c r="Y1012" t="s">
        <v>1572</v>
      </c>
    </row>
    <row r="1013" spans="1:25" ht="16" x14ac:dyDescent="0.2">
      <c r="A1013" t="s">
        <v>1568</v>
      </c>
      <c r="B1013" t="s">
        <v>1433</v>
      </c>
      <c r="C1013" t="s">
        <v>1568</v>
      </c>
      <c r="D1013" t="s">
        <v>1568</v>
      </c>
      <c r="E1013" t="s">
        <v>43</v>
      </c>
      <c r="F1013" t="s">
        <v>1777</v>
      </c>
      <c r="G1013" t="s">
        <v>1437</v>
      </c>
      <c r="H1013" t="s">
        <v>1568</v>
      </c>
      <c r="I1013" t="s">
        <v>1438</v>
      </c>
      <c r="J1013" t="s">
        <v>1568</v>
      </c>
      <c r="K1013" t="s">
        <v>1568</v>
      </c>
      <c r="L1013" t="s">
        <v>1568</v>
      </c>
      <c r="M1013" t="s">
        <v>1568</v>
      </c>
      <c r="N1013" t="s">
        <v>1568</v>
      </c>
      <c r="O1013" t="s">
        <v>1568</v>
      </c>
      <c r="P1013" t="s">
        <v>1568</v>
      </c>
      <c r="Q1013" t="s">
        <v>1568</v>
      </c>
      <c r="R1013" t="s">
        <v>1568</v>
      </c>
      <c r="S1013" t="s">
        <v>1568</v>
      </c>
      <c r="T1013" t="s">
        <v>1568</v>
      </c>
      <c r="U1013" t="s">
        <v>1568</v>
      </c>
      <c r="V1013" t="s">
        <v>47</v>
      </c>
      <c r="W1013" t="s">
        <v>1439</v>
      </c>
      <c r="X1013" t="s">
        <v>30</v>
      </c>
      <c r="Y1013" t="s">
        <v>1572</v>
      </c>
    </row>
    <row r="1014" spans="1:25" ht="16" x14ac:dyDescent="0.2">
      <c r="A1014" t="s">
        <v>1568</v>
      </c>
      <c r="B1014" t="s">
        <v>1433</v>
      </c>
      <c r="C1014" t="s">
        <v>1568</v>
      </c>
      <c r="D1014" t="s">
        <v>1568</v>
      </c>
      <c r="E1014" t="s">
        <v>47</v>
      </c>
      <c r="F1014" t="s">
        <v>1777</v>
      </c>
      <c r="G1014" t="s">
        <v>1440</v>
      </c>
      <c r="H1014" t="s">
        <v>1568</v>
      </c>
      <c r="I1014" t="s">
        <v>1441</v>
      </c>
      <c r="J1014" t="s">
        <v>1568</v>
      </c>
      <c r="K1014" t="s">
        <v>1568</v>
      </c>
      <c r="L1014" t="s">
        <v>1568</v>
      </c>
      <c r="M1014" t="s">
        <v>1568</v>
      </c>
      <c r="N1014" t="s">
        <v>1568</v>
      </c>
      <c r="O1014" t="s">
        <v>1568</v>
      </c>
      <c r="P1014" t="s">
        <v>1568</v>
      </c>
      <c r="Q1014" t="s">
        <v>1568</v>
      </c>
      <c r="R1014" t="s">
        <v>1568</v>
      </c>
      <c r="S1014" t="s">
        <v>1568</v>
      </c>
      <c r="T1014" t="s">
        <v>1568</v>
      </c>
      <c r="U1014" t="s">
        <v>1568</v>
      </c>
      <c r="V1014" t="s">
        <v>1696</v>
      </c>
      <c r="W1014" t="s">
        <v>1442</v>
      </c>
      <c r="X1014" t="s">
        <v>30</v>
      </c>
      <c r="Y1014" t="s">
        <v>1572</v>
      </c>
    </row>
    <row r="1015" spans="1:25" ht="16" x14ac:dyDescent="0.2">
      <c r="A1015" t="s">
        <v>1568</v>
      </c>
      <c r="B1015" t="s">
        <v>1433</v>
      </c>
      <c r="C1015" t="s">
        <v>1568</v>
      </c>
      <c r="D1015" t="s">
        <v>1568</v>
      </c>
      <c r="E1015" t="s">
        <v>51</v>
      </c>
      <c r="F1015" t="s">
        <v>1777</v>
      </c>
      <c r="G1015" t="s">
        <v>1443</v>
      </c>
      <c r="H1015" t="s">
        <v>1568</v>
      </c>
      <c r="I1015" t="s">
        <v>1444</v>
      </c>
      <c r="J1015" t="s">
        <v>1568</v>
      </c>
      <c r="K1015" t="s">
        <v>1568</v>
      </c>
      <c r="L1015" t="s">
        <v>1568</v>
      </c>
      <c r="M1015" t="s">
        <v>1568</v>
      </c>
      <c r="N1015" t="s">
        <v>1568</v>
      </c>
      <c r="O1015" t="s">
        <v>1568</v>
      </c>
      <c r="P1015" t="s">
        <v>1568</v>
      </c>
      <c r="Q1015" t="s">
        <v>1568</v>
      </c>
      <c r="R1015" t="s">
        <v>1568</v>
      </c>
      <c r="S1015" t="s">
        <v>1568</v>
      </c>
      <c r="T1015" t="s">
        <v>1568</v>
      </c>
      <c r="U1015" t="s">
        <v>1568</v>
      </c>
      <c r="V1015" t="s">
        <v>1729</v>
      </c>
      <c r="W1015" t="s">
        <v>1445</v>
      </c>
      <c r="X1015" t="s">
        <v>30</v>
      </c>
      <c r="Y1015" t="s">
        <v>1572</v>
      </c>
    </row>
    <row r="1016" spans="1:25" ht="16" x14ac:dyDescent="0.2">
      <c r="A1016" t="s">
        <v>1568</v>
      </c>
      <c r="B1016" t="s">
        <v>1433</v>
      </c>
      <c r="C1016" t="s">
        <v>1568</v>
      </c>
      <c r="D1016" t="s">
        <v>1568</v>
      </c>
      <c r="E1016" t="s">
        <v>55</v>
      </c>
      <c r="F1016" t="s">
        <v>1777</v>
      </c>
      <c r="G1016" t="s">
        <v>1446</v>
      </c>
      <c r="H1016" t="s">
        <v>1568</v>
      </c>
      <c r="I1016" t="s">
        <v>1447</v>
      </c>
      <c r="J1016" t="s">
        <v>1568</v>
      </c>
      <c r="K1016" t="s">
        <v>1568</v>
      </c>
      <c r="L1016" t="s">
        <v>1568</v>
      </c>
      <c r="M1016" t="s">
        <v>1568</v>
      </c>
      <c r="N1016" t="s">
        <v>1568</v>
      </c>
      <c r="O1016" t="s">
        <v>1568</v>
      </c>
      <c r="P1016" t="s">
        <v>1568</v>
      </c>
      <c r="Q1016" t="s">
        <v>1568</v>
      </c>
      <c r="R1016" t="s">
        <v>1568</v>
      </c>
      <c r="S1016" t="s">
        <v>1568</v>
      </c>
      <c r="T1016" t="s">
        <v>1568</v>
      </c>
      <c r="U1016" t="s">
        <v>1568</v>
      </c>
      <c r="V1016" t="s">
        <v>55</v>
      </c>
      <c r="W1016" t="s">
        <v>1448</v>
      </c>
      <c r="X1016" t="s">
        <v>30</v>
      </c>
      <c r="Y1016" t="s">
        <v>1572</v>
      </c>
    </row>
    <row r="1017" spans="1:25" ht="16" x14ac:dyDescent="0.2">
      <c r="A1017" t="s">
        <v>1568</v>
      </c>
      <c r="B1017" t="s">
        <v>1449</v>
      </c>
      <c r="C1017" t="s">
        <v>1568</v>
      </c>
      <c r="D1017" t="s">
        <v>1568</v>
      </c>
      <c r="E1017" t="s">
        <v>36</v>
      </c>
      <c r="F1017" t="s">
        <v>1773</v>
      </c>
      <c r="G1017" t="s">
        <v>1450</v>
      </c>
      <c r="H1017" t="s">
        <v>1568</v>
      </c>
      <c r="I1017" t="s">
        <v>1451</v>
      </c>
      <c r="J1017" t="s">
        <v>1568</v>
      </c>
      <c r="K1017" t="s">
        <v>1568</v>
      </c>
      <c r="L1017" t="s">
        <v>1568</v>
      </c>
      <c r="M1017" t="s">
        <v>1568</v>
      </c>
      <c r="N1017" t="s">
        <v>1568</v>
      </c>
      <c r="O1017" t="s">
        <v>1568</v>
      </c>
      <c r="P1017" t="s">
        <v>1568</v>
      </c>
      <c r="Q1017" t="s">
        <v>1568</v>
      </c>
      <c r="R1017" t="s">
        <v>1568</v>
      </c>
      <c r="S1017" t="s">
        <v>1568</v>
      </c>
      <c r="T1017" t="s">
        <v>1568</v>
      </c>
      <c r="U1017" t="s">
        <v>1568</v>
      </c>
      <c r="V1017" t="s">
        <v>1592</v>
      </c>
      <c r="W1017" t="s">
        <v>1452</v>
      </c>
      <c r="X1017" t="s">
        <v>30</v>
      </c>
      <c r="Y1017" t="s">
        <v>1572</v>
      </c>
    </row>
    <row r="1018" spans="1:25" ht="16" x14ac:dyDescent="0.2">
      <c r="A1018" t="s">
        <v>1568</v>
      </c>
      <c r="B1018" t="s">
        <v>1449</v>
      </c>
      <c r="C1018" t="s">
        <v>1568</v>
      </c>
      <c r="D1018" t="s">
        <v>1568</v>
      </c>
      <c r="E1018" t="s">
        <v>43</v>
      </c>
      <c r="F1018" t="s">
        <v>1773</v>
      </c>
      <c r="G1018" t="s">
        <v>1453</v>
      </c>
      <c r="H1018" t="s">
        <v>1568</v>
      </c>
      <c r="I1018" t="s">
        <v>1454</v>
      </c>
      <c r="J1018" t="s">
        <v>1568</v>
      </c>
      <c r="K1018" t="s">
        <v>1568</v>
      </c>
      <c r="L1018" t="s">
        <v>1568</v>
      </c>
      <c r="M1018" t="s">
        <v>1568</v>
      </c>
      <c r="N1018" t="s">
        <v>1568</v>
      </c>
      <c r="O1018" t="s">
        <v>1568</v>
      </c>
      <c r="P1018" t="s">
        <v>1568</v>
      </c>
      <c r="Q1018" t="s">
        <v>1568</v>
      </c>
      <c r="R1018" t="s">
        <v>1568</v>
      </c>
      <c r="S1018" t="s">
        <v>1568</v>
      </c>
      <c r="T1018" t="s">
        <v>1568</v>
      </c>
      <c r="U1018" t="s">
        <v>1568</v>
      </c>
      <c r="V1018" t="s">
        <v>1778</v>
      </c>
      <c r="W1018" t="s">
        <v>1455</v>
      </c>
      <c r="X1018" t="s">
        <v>30</v>
      </c>
      <c r="Y1018" t="s">
        <v>1572</v>
      </c>
    </row>
    <row r="1019" spans="1:25" ht="16" x14ac:dyDescent="0.2">
      <c r="A1019" t="s">
        <v>1568</v>
      </c>
      <c r="B1019" t="s">
        <v>1449</v>
      </c>
      <c r="C1019" t="s">
        <v>1568</v>
      </c>
      <c r="D1019" t="s">
        <v>1568</v>
      </c>
      <c r="E1019" t="s">
        <v>47</v>
      </c>
      <c r="F1019" t="s">
        <v>1773</v>
      </c>
      <c r="G1019" t="s">
        <v>1456</v>
      </c>
      <c r="H1019" t="s">
        <v>1568</v>
      </c>
      <c r="I1019" t="s">
        <v>1457</v>
      </c>
      <c r="J1019" t="s">
        <v>1568</v>
      </c>
      <c r="K1019" t="s">
        <v>1568</v>
      </c>
      <c r="L1019" t="s">
        <v>1568</v>
      </c>
      <c r="M1019" t="s">
        <v>1568</v>
      </c>
      <c r="N1019" t="s">
        <v>1568</v>
      </c>
      <c r="O1019" t="s">
        <v>1568</v>
      </c>
      <c r="P1019" t="s">
        <v>1568</v>
      </c>
      <c r="Q1019" t="s">
        <v>1568</v>
      </c>
      <c r="R1019" t="s">
        <v>1568</v>
      </c>
      <c r="S1019" t="s">
        <v>1568</v>
      </c>
      <c r="T1019" t="s">
        <v>1568</v>
      </c>
      <c r="U1019" t="s">
        <v>1568</v>
      </c>
      <c r="V1019" t="s">
        <v>1779</v>
      </c>
      <c r="W1019" t="s">
        <v>1458</v>
      </c>
      <c r="X1019" t="s">
        <v>30</v>
      </c>
      <c r="Y1019" t="s">
        <v>1572</v>
      </c>
    </row>
    <row r="1020" spans="1:25" ht="16" x14ac:dyDescent="0.2">
      <c r="A1020" t="s">
        <v>1568</v>
      </c>
      <c r="B1020" t="s">
        <v>1449</v>
      </c>
      <c r="C1020" t="s">
        <v>1568</v>
      </c>
      <c r="D1020" t="s">
        <v>1568</v>
      </c>
      <c r="E1020" t="s">
        <v>51</v>
      </c>
      <c r="F1020" t="s">
        <v>1773</v>
      </c>
      <c r="G1020" t="s">
        <v>1459</v>
      </c>
      <c r="H1020" t="s">
        <v>1568</v>
      </c>
      <c r="I1020" t="s">
        <v>1460</v>
      </c>
      <c r="J1020" t="s">
        <v>1568</v>
      </c>
      <c r="K1020" t="s">
        <v>1568</v>
      </c>
      <c r="L1020" t="s">
        <v>1568</v>
      </c>
      <c r="M1020" t="s">
        <v>1568</v>
      </c>
      <c r="N1020" t="s">
        <v>1568</v>
      </c>
      <c r="O1020" t="s">
        <v>1568</v>
      </c>
      <c r="P1020" t="s">
        <v>1568</v>
      </c>
      <c r="Q1020" t="s">
        <v>1568</v>
      </c>
      <c r="R1020" t="s">
        <v>1568</v>
      </c>
      <c r="S1020" t="s">
        <v>1568</v>
      </c>
      <c r="T1020" t="s">
        <v>1568</v>
      </c>
      <c r="U1020" t="s">
        <v>1568</v>
      </c>
      <c r="V1020" t="s">
        <v>1681</v>
      </c>
      <c r="W1020" t="s">
        <v>1461</v>
      </c>
      <c r="X1020" t="s">
        <v>30</v>
      </c>
      <c r="Y1020" t="s">
        <v>1572</v>
      </c>
    </row>
    <row r="1021" spans="1:25" ht="16" x14ac:dyDescent="0.2">
      <c r="A1021" t="s">
        <v>1568</v>
      </c>
      <c r="B1021" t="s">
        <v>1449</v>
      </c>
      <c r="C1021" t="s">
        <v>1568</v>
      </c>
      <c r="D1021" t="s">
        <v>1568</v>
      </c>
      <c r="E1021" t="s">
        <v>55</v>
      </c>
      <c r="F1021" t="s">
        <v>1773</v>
      </c>
      <c r="G1021" t="s">
        <v>1462</v>
      </c>
      <c r="H1021" t="s">
        <v>1568</v>
      </c>
      <c r="I1021" t="s">
        <v>1463</v>
      </c>
      <c r="J1021" t="s">
        <v>1568</v>
      </c>
      <c r="K1021" t="s">
        <v>1568</v>
      </c>
      <c r="L1021" t="s">
        <v>1568</v>
      </c>
      <c r="M1021" t="s">
        <v>1568</v>
      </c>
      <c r="N1021" t="s">
        <v>1568</v>
      </c>
      <c r="O1021" t="s">
        <v>1568</v>
      </c>
      <c r="P1021" t="s">
        <v>1568</v>
      </c>
      <c r="Q1021" t="s">
        <v>1568</v>
      </c>
      <c r="R1021" t="s">
        <v>1568</v>
      </c>
      <c r="S1021" t="s">
        <v>1568</v>
      </c>
      <c r="T1021" t="s">
        <v>1568</v>
      </c>
      <c r="U1021" t="s">
        <v>1568</v>
      </c>
      <c r="V1021" t="s">
        <v>1592</v>
      </c>
      <c r="W1021" t="s">
        <v>1464</v>
      </c>
      <c r="X1021" t="s">
        <v>30</v>
      </c>
      <c r="Y1021" t="s">
        <v>1572</v>
      </c>
    </row>
    <row r="1022" spans="1:25" ht="16" x14ac:dyDescent="0.2">
      <c r="A1022" t="s">
        <v>1568</v>
      </c>
      <c r="B1022" t="s">
        <v>1465</v>
      </c>
      <c r="C1022" t="s">
        <v>1568</v>
      </c>
      <c r="D1022" t="s">
        <v>1568</v>
      </c>
      <c r="E1022" t="s">
        <v>36</v>
      </c>
      <c r="F1022" t="s">
        <v>1780</v>
      </c>
      <c r="G1022" t="s">
        <v>1466</v>
      </c>
      <c r="H1022" t="s">
        <v>1568</v>
      </c>
      <c r="I1022" t="s">
        <v>1467</v>
      </c>
      <c r="J1022" t="s">
        <v>1568</v>
      </c>
      <c r="K1022" t="s">
        <v>1568</v>
      </c>
      <c r="L1022" t="s">
        <v>1568</v>
      </c>
      <c r="M1022" t="s">
        <v>1568</v>
      </c>
      <c r="N1022" t="s">
        <v>1568</v>
      </c>
      <c r="O1022" t="s">
        <v>1568</v>
      </c>
      <c r="P1022" t="s">
        <v>1568</v>
      </c>
      <c r="Q1022" t="s">
        <v>1568</v>
      </c>
      <c r="R1022" t="s">
        <v>1568</v>
      </c>
      <c r="S1022" t="s">
        <v>1568</v>
      </c>
      <c r="T1022" t="s">
        <v>1568</v>
      </c>
      <c r="U1022" t="s">
        <v>1568</v>
      </c>
      <c r="V1022" t="s">
        <v>43</v>
      </c>
      <c r="W1022" t="s">
        <v>1468</v>
      </c>
      <c r="X1022" t="s">
        <v>30</v>
      </c>
      <c r="Y1022" t="s">
        <v>1572</v>
      </c>
    </row>
    <row r="1023" spans="1:25" ht="16" x14ac:dyDescent="0.2">
      <c r="A1023" t="s">
        <v>1568</v>
      </c>
      <c r="B1023" t="s">
        <v>1465</v>
      </c>
      <c r="C1023" t="s">
        <v>1568</v>
      </c>
      <c r="D1023" t="s">
        <v>1568</v>
      </c>
      <c r="E1023" t="s">
        <v>43</v>
      </c>
      <c r="F1023" t="s">
        <v>1780</v>
      </c>
      <c r="G1023" t="s">
        <v>1469</v>
      </c>
      <c r="H1023" t="s">
        <v>1568</v>
      </c>
      <c r="I1023" t="s">
        <v>1470</v>
      </c>
      <c r="J1023" t="s">
        <v>1568</v>
      </c>
      <c r="K1023" t="s">
        <v>1568</v>
      </c>
      <c r="L1023" t="s">
        <v>1568</v>
      </c>
      <c r="M1023" t="s">
        <v>1568</v>
      </c>
      <c r="N1023" t="s">
        <v>1568</v>
      </c>
      <c r="O1023" t="s">
        <v>1568</v>
      </c>
      <c r="P1023" t="s">
        <v>1568</v>
      </c>
      <c r="Q1023" t="s">
        <v>1568</v>
      </c>
      <c r="R1023" t="s">
        <v>1568</v>
      </c>
      <c r="S1023" t="s">
        <v>1568</v>
      </c>
      <c r="T1023" t="s">
        <v>1568</v>
      </c>
      <c r="U1023" t="s">
        <v>1568</v>
      </c>
      <c r="V1023" t="s">
        <v>55</v>
      </c>
      <c r="W1023" t="s">
        <v>1471</v>
      </c>
      <c r="X1023" t="s">
        <v>30</v>
      </c>
      <c r="Y1023" t="s">
        <v>1572</v>
      </c>
    </row>
    <row r="1024" spans="1:25" ht="16" x14ac:dyDescent="0.2">
      <c r="A1024" t="s">
        <v>1568</v>
      </c>
      <c r="B1024" t="s">
        <v>1465</v>
      </c>
      <c r="C1024" t="s">
        <v>1568</v>
      </c>
      <c r="D1024" t="s">
        <v>1568</v>
      </c>
      <c r="E1024" t="s">
        <v>47</v>
      </c>
      <c r="F1024" t="s">
        <v>1780</v>
      </c>
      <c r="G1024" t="s">
        <v>1472</v>
      </c>
      <c r="H1024" t="s">
        <v>1568</v>
      </c>
      <c r="I1024" t="s">
        <v>1473</v>
      </c>
      <c r="J1024" t="s">
        <v>1568</v>
      </c>
      <c r="K1024" t="s">
        <v>1568</v>
      </c>
      <c r="L1024" t="s">
        <v>1568</v>
      </c>
      <c r="M1024" t="s">
        <v>1568</v>
      </c>
      <c r="N1024" t="s">
        <v>1568</v>
      </c>
      <c r="O1024" t="s">
        <v>1568</v>
      </c>
      <c r="P1024" t="s">
        <v>1568</v>
      </c>
      <c r="Q1024" t="s">
        <v>1568</v>
      </c>
      <c r="R1024" t="s">
        <v>1568</v>
      </c>
      <c r="S1024" t="s">
        <v>1568</v>
      </c>
      <c r="T1024" t="s">
        <v>1568</v>
      </c>
      <c r="U1024" t="s">
        <v>1568</v>
      </c>
      <c r="V1024" t="s">
        <v>1665</v>
      </c>
      <c r="W1024" t="s">
        <v>1474</v>
      </c>
      <c r="X1024" t="s">
        <v>30</v>
      </c>
      <c r="Y1024" t="s">
        <v>1572</v>
      </c>
    </row>
    <row r="1025" spans="1:25" ht="16" x14ac:dyDescent="0.2">
      <c r="A1025" t="s">
        <v>1568</v>
      </c>
      <c r="B1025" t="s">
        <v>1465</v>
      </c>
      <c r="C1025" t="s">
        <v>1568</v>
      </c>
      <c r="D1025" t="s">
        <v>1568</v>
      </c>
      <c r="E1025" t="s">
        <v>51</v>
      </c>
      <c r="F1025" t="s">
        <v>1780</v>
      </c>
      <c r="G1025" t="s">
        <v>1475</v>
      </c>
      <c r="H1025" t="s">
        <v>1568</v>
      </c>
      <c r="I1025" t="s">
        <v>1476</v>
      </c>
      <c r="J1025" t="s">
        <v>1568</v>
      </c>
      <c r="K1025" t="s">
        <v>1568</v>
      </c>
      <c r="L1025" t="s">
        <v>1568</v>
      </c>
      <c r="M1025" t="s">
        <v>1568</v>
      </c>
      <c r="N1025" t="s">
        <v>1568</v>
      </c>
      <c r="O1025" t="s">
        <v>1568</v>
      </c>
      <c r="P1025" t="s">
        <v>1568</v>
      </c>
      <c r="Q1025" t="s">
        <v>1568</v>
      </c>
      <c r="R1025" t="s">
        <v>1568</v>
      </c>
      <c r="S1025" t="s">
        <v>1568</v>
      </c>
      <c r="T1025" t="s">
        <v>1568</v>
      </c>
      <c r="U1025" t="s">
        <v>1568</v>
      </c>
      <c r="V1025" t="s">
        <v>36</v>
      </c>
      <c r="W1025" t="s">
        <v>1477</v>
      </c>
      <c r="X1025" t="s">
        <v>30</v>
      </c>
      <c r="Y1025" t="s">
        <v>1572</v>
      </c>
    </row>
    <row r="1026" spans="1:25" ht="16" x14ac:dyDescent="0.2">
      <c r="A1026" t="s">
        <v>1568</v>
      </c>
      <c r="B1026" t="s">
        <v>1465</v>
      </c>
      <c r="C1026" t="s">
        <v>1568</v>
      </c>
      <c r="D1026" t="s">
        <v>1568</v>
      </c>
      <c r="E1026" t="s">
        <v>55</v>
      </c>
      <c r="F1026" t="s">
        <v>1780</v>
      </c>
      <c r="G1026" t="s">
        <v>1478</v>
      </c>
      <c r="H1026" t="s">
        <v>1568</v>
      </c>
      <c r="I1026" t="s">
        <v>1479</v>
      </c>
      <c r="J1026" t="s">
        <v>1568</v>
      </c>
      <c r="K1026" t="s">
        <v>1568</v>
      </c>
      <c r="L1026" t="s">
        <v>1568</v>
      </c>
      <c r="M1026" t="s">
        <v>1568</v>
      </c>
      <c r="N1026" t="s">
        <v>1568</v>
      </c>
      <c r="O1026" t="s">
        <v>1568</v>
      </c>
      <c r="P1026" t="s">
        <v>1568</v>
      </c>
      <c r="Q1026" t="s">
        <v>1568</v>
      </c>
      <c r="R1026" t="s">
        <v>1568</v>
      </c>
      <c r="S1026" t="s">
        <v>1568</v>
      </c>
      <c r="T1026" t="s">
        <v>1568</v>
      </c>
      <c r="U1026" t="s">
        <v>1568</v>
      </c>
      <c r="V1026" t="s">
        <v>1695</v>
      </c>
      <c r="W1026" t="s">
        <v>1480</v>
      </c>
      <c r="X1026" t="s">
        <v>30</v>
      </c>
      <c r="Y1026" t="s">
        <v>1572</v>
      </c>
    </row>
    <row r="1027" spans="1:25" ht="16" x14ac:dyDescent="0.2">
      <c r="A1027" t="s">
        <v>1568</v>
      </c>
      <c r="B1027" t="s">
        <v>1481</v>
      </c>
      <c r="C1027" t="s">
        <v>1568</v>
      </c>
      <c r="D1027" t="s">
        <v>1568</v>
      </c>
      <c r="E1027" t="s">
        <v>43</v>
      </c>
      <c r="F1027" t="s">
        <v>1772</v>
      </c>
      <c r="G1027" t="s">
        <v>1421</v>
      </c>
      <c r="H1027" t="s">
        <v>1568</v>
      </c>
      <c r="I1027" t="s">
        <v>1422</v>
      </c>
      <c r="J1027" t="s">
        <v>1568</v>
      </c>
      <c r="K1027" t="s">
        <v>1568</v>
      </c>
      <c r="L1027" t="s">
        <v>1568</v>
      </c>
      <c r="M1027" t="s">
        <v>1568</v>
      </c>
      <c r="N1027" t="s">
        <v>1568</v>
      </c>
      <c r="O1027" t="s">
        <v>1568</v>
      </c>
      <c r="P1027" t="s">
        <v>1568</v>
      </c>
      <c r="Q1027" t="s">
        <v>1568</v>
      </c>
      <c r="R1027" t="s">
        <v>1568</v>
      </c>
      <c r="S1027" t="s">
        <v>1568</v>
      </c>
      <c r="T1027" t="s">
        <v>1568</v>
      </c>
      <c r="U1027" t="s">
        <v>1568</v>
      </c>
      <c r="V1027" t="s">
        <v>1665</v>
      </c>
      <c r="W1027" t="s">
        <v>1423</v>
      </c>
      <c r="X1027" t="s">
        <v>61</v>
      </c>
      <c r="Y1027" t="s">
        <v>1587</v>
      </c>
    </row>
    <row r="1028" spans="1:25" ht="16" x14ac:dyDescent="0.2">
      <c r="A1028" t="s">
        <v>1568</v>
      </c>
      <c r="B1028" t="s">
        <v>1481</v>
      </c>
      <c r="C1028" t="s">
        <v>1568</v>
      </c>
      <c r="D1028" t="s">
        <v>1568</v>
      </c>
      <c r="E1028" t="s">
        <v>47</v>
      </c>
      <c r="F1028" t="s">
        <v>1772</v>
      </c>
      <c r="G1028" t="s">
        <v>1424</v>
      </c>
      <c r="H1028" t="s">
        <v>1568</v>
      </c>
      <c r="I1028" t="s">
        <v>1425</v>
      </c>
      <c r="J1028" t="s">
        <v>1568</v>
      </c>
      <c r="K1028" t="s">
        <v>1568</v>
      </c>
      <c r="L1028" t="s">
        <v>1568</v>
      </c>
      <c r="M1028" t="s">
        <v>1568</v>
      </c>
      <c r="N1028" t="s">
        <v>1568</v>
      </c>
      <c r="O1028" t="s">
        <v>1568</v>
      </c>
      <c r="P1028" t="s">
        <v>1568</v>
      </c>
      <c r="Q1028" t="s">
        <v>1568</v>
      </c>
      <c r="R1028" t="s">
        <v>1568</v>
      </c>
      <c r="S1028" t="s">
        <v>1568</v>
      </c>
      <c r="T1028" t="s">
        <v>1568</v>
      </c>
      <c r="U1028" t="s">
        <v>1568</v>
      </c>
      <c r="V1028" t="s">
        <v>1695</v>
      </c>
      <c r="W1028" t="s">
        <v>1426</v>
      </c>
      <c r="X1028" t="s">
        <v>61</v>
      </c>
      <c r="Y1028" t="s">
        <v>1587</v>
      </c>
    </row>
    <row r="1029" spans="1:25" ht="16" x14ac:dyDescent="0.2">
      <c r="A1029" t="s">
        <v>1568</v>
      </c>
      <c r="B1029" t="s">
        <v>1481</v>
      </c>
      <c r="C1029" t="s">
        <v>1568</v>
      </c>
      <c r="D1029" t="s">
        <v>1568</v>
      </c>
      <c r="E1029" t="s">
        <v>51</v>
      </c>
      <c r="F1029" t="s">
        <v>1772</v>
      </c>
      <c r="G1029" t="s">
        <v>1427</v>
      </c>
      <c r="H1029" t="s">
        <v>1568</v>
      </c>
      <c r="I1029" t="s">
        <v>1428</v>
      </c>
      <c r="J1029" t="s">
        <v>1568</v>
      </c>
      <c r="K1029" t="s">
        <v>1568</v>
      </c>
      <c r="L1029" t="s">
        <v>1568</v>
      </c>
      <c r="M1029" t="s">
        <v>1568</v>
      </c>
      <c r="N1029" t="s">
        <v>1568</v>
      </c>
      <c r="O1029" t="s">
        <v>1568</v>
      </c>
      <c r="P1029" t="s">
        <v>1568</v>
      </c>
      <c r="Q1029" t="s">
        <v>1568</v>
      </c>
      <c r="R1029" t="s">
        <v>1568</v>
      </c>
      <c r="S1029" t="s">
        <v>1568</v>
      </c>
      <c r="T1029" t="s">
        <v>1568</v>
      </c>
      <c r="U1029" t="s">
        <v>1568</v>
      </c>
      <c r="V1029" t="s">
        <v>884</v>
      </c>
      <c r="W1029" t="s">
        <v>1429</v>
      </c>
      <c r="X1029" t="s">
        <v>61</v>
      </c>
      <c r="Y1029" t="s">
        <v>1587</v>
      </c>
    </row>
    <row r="1030" spans="1:25" ht="16" x14ac:dyDescent="0.2">
      <c r="A1030" t="s">
        <v>1568</v>
      </c>
      <c r="B1030" t="s">
        <v>1482</v>
      </c>
      <c r="C1030" t="s">
        <v>1568</v>
      </c>
      <c r="D1030" t="s">
        <v>1568</v>
      </c>
      <c r="E1030" t="s">
        <v>36</v>
      </c>
      <c r="F1030" t="s">
        <v>1773</v>
      </c>
      <c r="G1030" t="s">
        <v>1450</v>
      </c>
      <c r="H1030" t="s">
        <v>1568</v>
      </c>
      <c r="I1030" t="s">
        <v>1451</v>
      </c>
      <c r="J1030" t="s">
        <v>1568</v>
      </c>
      <c r="K1030" t="s">
        <v>1568</v>
      </c>
      <c r="L1030" t="s">
        <v>1568</v>
      </c>
      <c r="M1030" t="s">
        <v>1568</v>
      </c>
      <c r="N1030" t="s">
        <v>1568</v>
      </c>
      <c r="O1030" t="s">
        <v>1568</v>
      </c>
      <c r="P1030" t="s">
        <v>1568</v>
      </c>
      <c r="Q1030" t="s">
        <v>1568</v>
      </c>
      <c r="R1030" t="s">
        <v>1568</v>
      </c>
      <c r="S1030" t="s">
        <v>1568</v>
      </c>
      <c r="T1030" t="s">
        <v>1568</v>
      </c>
      <c r="U1030" t="s">
        <v>1568</v>
      </c>
      <c r="V1030" t="s">
        <v>1592</v>
      </c>
      <c r="W1030" t="s">
        <v>1452</v>
      </c>
      <c r="X1030" t="s">
        <v>59</v>
      </c>
      <c r="Y1030" t="s">
        <v>1581</v>
      </c>
    </row>
    <row r="1031" spans="1:25" ht="16" x14ac:dyDescent="0.2">
      <c r="A1031" t="s">
        <v>1568</v>
      </c>
      <c r="B1031" t="s">
        <v>1482</v>
      </c>
      <c r="C1031" t="s">
        <v>1568</v>
      </c>
      <c r="D1031" t="s">
        <v>1568</v>
      </c>
      <c r="E1031" t="s">
        <v>43</v>
      </c>
      <c r="F1031" t="s">
        <v>1773</v>
      </c>
      <c r="G1031" t="s">
        <v>1453</v>
      </c>
      <c r="H1031" t="s">
        <v>1568</v>
      </c>
      <c r="I1031" t="s">
        <v>1454</v>
      </c>
      <c r="J1031" t="s">
        <v>1568</v>
      </c>
      <c r="K1031" t="s">
        <v>1568</v>
      </c>
      <c r="L1031" t="s">
        <v>1568</v>
      </c>
      <c r="M1031" t="s">
        <v>1568</v>
      </c>
      <c r="N1031" t="s">
        <v>1568</v>
      </c>
      <c r="O1031" t="s">
        <v>1568</v>
      </c>
      <c r="P1031" t="s">
        <v>1568</v>
      </c>
      <c r="Q1031" t="s">
        <v>1568</v>
      </c>
      <c r="R1031" t="s">
        <v>1568</v>
      </c>
      <c r="S1031" t="s">
        <v>1568</v>
      </c>
      <c r="T1031" t="s">
        <v>1568</v>
      </c>
      <c r="U1031" t="s">
        <v>1568</v>
      </c>
      <c r="V1031" t="s">
        <v>1781</v>
      </c>
      <c r="W1031" t="s">
        <v>1455</v>
      </c>
      <c r="X1031" t="s">
        <v>59</v>
      </c>
      <c r="Y1031" t="s">
        <v>1581</v>
      </c>
    </row>
    <row r="1032" spans="1:25" ht="16" x14ac:dyDescent="0.2">
      <c r="A1032" t="s">
        <v>1568</v>
      </c>
      <c r="B1032" t="s">
        <v>1482</v>
      </c>
      <c r="C1032" t="s">
        <v>1568</v>
      </c>
      <c r="D1032" t="s">
        <v>1568</v>
      </c>
      <c r="E1032" t="s">
        <v>47</v>
      </c>
      <c r="F1032" t="s">
        <v>1773</v>
      </c>
      <c r="G1032" t="s">
        <v>1456</v>
      </c>
      <c r="H1032" t="s">
        <v>1568</v>
      </c>
      <c r="I1032" t="s">
        <v>1457</v>
      </c>
      <c r="J1032" t="s">
        <v>1568</v>
      </c>
      <c r="K1032" t="s">
        <v>1568</v>
      </c>
      <c r="L1032" t="s">
        <v>1568</v>
      </c>
      <c r="M1032" t="s">
        <v>1568</v>
      </c>
      <c r="N1032" t="s">
        <v>1568</v>
      </c>
      <c r="O1032" t="s">
        <v>1568</v>
      </c>
      <c r="P1032" t="s">
        <v>1568</v>
      </c>
      <c r="Q1032" t="s">
        <v>1568</v>
      </c>
      <c r="R1032" t="s">
        <v>1568</v>
      </c>
      <c r="S1032" t="s">
        <v>1568</v>
      </c>
      <c r="T1032" t="s">
        <v>1568</v>
      </c>
      <c r="U1032" t="s">
        <v>1568</v>
      </c>
      <c r="V1032" t="s">
        <v>1753</v>
      </c>
      <c r="W1032" t="s">
        <v>1458</v>
      </c>
      <c r="X1032" t="s">
        <v>59</v>
      </c>
      <c r="Y1032" t="s">
        <v>1581</v>
      </c>
    </row>
    <row r="1033" spans="1:25" ht="16" x14ac:dyDescent="0.2">
      <c r="A1033" t="s">
        <v>1568</v>
      </c>
      <c r="B1033" t="s">
        <v>1482</v>
      </c>
      <c r="C1033" t="s">
        <v>1568</v>
      </c>
      <c r="D1033" t="s">
        <v>1568</v>
      </c>
      <c r="E1033" t="s">
        <v>51</v>
      </c>
      <c r="F1033" t="s">
        <v>1773</v>
      </c>
      <c r="G1033" t="s">
        <v>1459</v>
      </c>
      <c r="H1033" t="s">
        <v>1568</v>
      </c>
      <c r="I1033" t="s">
        <v>1460</v>
      </c>
      <c r="J1033" t="s">
        <v>1568</v>
      </c>
      <c r="K1033" t="s">
        <v>1568</v>
      </c>
      <c r="L1033" t="s">
        <v>1568</v>
      </c>
      <c r="M1033" t="s">
        <v>1568</v>
      </c>
      <c r="N1033" t="s">
        <v>1568</v>
      </c>
      <c r="O1033" t="s">
        <v>1568</v>
      </c>
      <c r="P1033" t="s">
        <v>1568</v>
      </c>
      <c r="Q1033" t="s">
        <v>1568</v>
      </c>
      <c r="R1033" t="s">
        <v>1568</v>
      </c>
      <c r="S1033" t="s">
        <v>1568</v>
      </c>
      <c r="T1033" t="s">
        <v>1568</v>
      </c>
      <c r="U1033" t="s">
        <v>1568</v>
      </c>
      <c r="V1033" t="s">
        <v>1630</v>
      </c>
      <c r="W1033" t="s">
        <v>1461</v>
      </c>
      <c r="X1033" t="s">
        <v>59</v>
      </c>
      <c r="Y1033" t="s">
        <v>1581</v>
      </c>
    </row>
    <row r="1034" spans="1:25" ht="16" x14ac:dyDescent="0.2">
      <c r="A1034" t="s">
        <v>1568</v>
      </c>
      <c r="B1034" t="s">
        <v>1482</v>
      </c>
      <c r="C1034" t="s">
        <v>1568</v>
      </c>
      <c r="D1034" t="s">
        <v>1568</v>
      </c>
      <c r="E1034" t="s">
        <v>55</v>
      </c>
      <c r="F1034" t="s">
        <v>1773</v>
      </c>
      <c r="G1034" t="s">
        <v>1462</v>
      </c>
      <c r="H1034" t="s">
        <v>1568</v>
      </c>
      <c r="I1034" t="s">
        <v>1463</v>
      </c>
      <c r="J1034" t="s">
        <v>1568</v>
      </c>
      <c r="K1034" t="s">
        <v>1568</v>
      </c>
      <c r="L1034" t="s">
        <v>1568</v>
      </c>
      <c r="M1034" t="s">
        <v>1568</v>
      </c>
      <c r="N1034" t="s">
        <v>1568</v>
      </c>
      <c r="O1034" t="s">
        <v>1568</v>
      </c>
      <c r="P1034" t="s">
        <v>1568</v>
      </c>
      <c r="Q1034" t="s">
        <v>1568</v>
      </c>
      <c r="R1034" t="s">
        <v>1568</v>
      </c>
      <c r="S1034" t="s">
        <v>1568</v>
      </c>
      <c r="T1034" t="s">
        <v>1568</v>
      </c>
      <c r="U1034" t="s">
        <v>1568</v>
      </c>
      <c r="V1034" t="s">
        <v>1592</v>
      </c>
      <c r="W1034" t="s">
        <v>1464</v>
      </c>
      <c r="X1034" t="s">
        <v>59</v>
      </c>
      <c r="Y1034" t="s">
        <v>1581</v>
      </c>
    </row>
    <row r="1035" spans="1:25" ht="16" x14ac:dyDescent="0.2">
      <c r="A1035" t="s">
        <v>1568</v>
      </c>
      <c r="B1035" t="s">
        <v>1483</v>
      </c>
      <c r="C1035" t="s">
        <v>1568</v>
      </c>
      <c r="D1035" t="s">
        <v>1568</v>
      </c>
      <c r="E1035" t="s">
        <v>43</v>
      </c>
      <c r="F1035" t="s">
        <v>1777</v>
      </c>
      <c r="G1035" t="s">
        <v>1437</v>
      </c>
      <c r="H1035" t="s">
        <v>1568</v>
      </c>
      <c r="I1035" t="s">
        <v>1438</v>
      </c>
      <c r="J1035" t="s">
        <v>1568</v>
      </c>
      <c r="K1035" t="s">
        <v>1568</v>
      </c>
      <c r="L1035" t="s">
        <v>1568</v>
      </c>
      <c r="M1035" t="s">
        <v>1568</v>
      </c>
      <c r="N1035" t="s">
        <v>1568</v>
      </c>
      <c r="O1035" t="s">
        <v>1568</v>
      </c>
      <c r="P1035" t="s">
        <v>1568</v>
      </c>
      <c r="Q1035" t="s">
        <v>1568</v>
      </c>
      <c r="R1035" t="s">
        <v>1568</v>
      </c>
      <c r="S1035" t="s">
        <v>1568</v>
      </c>
      <c r="T1035" t="s">
        <v>1568</v>
      </c>
      <c r="U1035" t="s">
        <v>1568</v>
      </c>
      <c r="V1035" t="s">
        <v>1782</v>
      </c>
      <c r="W1035" t="s">
        <v>1439</v>
      </c>
      <c r="X1035" t="s">
        <v>61</v>
      </c>
      <c r="Y1035" t="s">
        <v>1587</v>
      </c>
    </row>
    <row r="1036" spans="1:25" ht="16" x14ac:dyDescent="0.2">
      <c r="A1036" t="s">
        <v>1568</v>
      </c>
      <c r="B1036" t="s">
        <v>1483</v>
      </c>
      <c r="C1036" t="s">
        <v>1568</v>
      </c>
      <c r="D1036" t="s">
        <v>1568</v>
      </c>
      <c r="E1036" t="s">
        <v>47</v>
      </c>
      <c r="F1036" t="s">
        <v>1777</v>
      </c>
      <c r="G1036" t="s">
        <v>1440</v>
      </c>
      <c r="H1036" t="s">
        <v>1568</v>
      </c>
      <c r="I1036" t="s">
        <v>1441</v>
      </c>
      <c r="J1036" t="s">
        <v>1568</v>
      </c>
      <c r="K1036" t="s">
        <v>1568</v>
      </c>
      <c r="L1036" t="s">
        <v>1568</v>
      </c>
      <c r="M1036" t="s">
        <v>1568</v>
      </c>
      <c r="N1036" t="s">
        <v>1568</v>
      </c>
      <c r="O1036" t="s">
        <v>1568</v>
      </c>
      <c r="P1036" t="s">
        <v>1568</v>
      </c>
      <c r="Q1036" t="s">
        <v>1568</v>
      </c>
      <c r="R1036" t="s">
        <v>1568</v>
      </c>
      <c r="S1036" t="s">
        <v>1568</v>
      </c>
      <c r="T1036" t="s">
        <v>1568</v>
      </c>
      <c r="U1036" t="s">
        <v>1568</v>
      </c>
      <c r="V1036" t="s">
        <v>1665</v>
      </c>
      <c r="W1036" t="s">
        <v>1442</v>
      </c>
      <c r="X1036" t="s">
        <v>61</v>
      </c>
      <c r="Y1036" t="s">
        <v>1587</v>
      </c>
    </row>
    <row r="1037" spans="1:25" ht="16" x14ac:dyDescent="0.2">
      <c r="A1037" t="s">
        <v>1568</v>
      </c>
      <c r="B1037" t="s">
        <v>1484</v>
      </c>
      <c r="C1037" t="s">
        <v>1568</v>
      </c>
      <c r="D1037" t="s">
        <v>1568</v>
      </c>
      <c r="E1037" t="s">
        <v>36</v>
      </c>
      <c r="F1037" t="s">
        <v>1773</v>
      </c>
      <c r="G1037" t="s">
        <v>1450</v>
      </c>
      <c r="H1037" t="s">
        <v>1568</v>
      </c>
      <c r="I1037" t="s">
        <v>1451</v>
      </c>
      <c r="J1037" t="s">
        <v>1568</v>
      </c>
      <c r="K1037" t="s">
        <v>1568</v>
      </c>
      <c r="L1037" t="s">
        <v>1568</v>
      </c>
      <c r="M1037" t="s">
        <v>1568</v>
      </c>
      <c r="N1037" t="s">
        <v>1568</v>
      </c>
      <c r="O1037" t="s">
        <v>1568</v>
      </c>
      <c r="P1037" t="s">
        <v>1568</v>
      </c>
      <c r="Q1037" t="s">
        <v>1568</v>
      </c>
      <c r="R1037" t="s">
        <v>1568</v>
      </c>
      <c r="S1037" t="s">
        <v>1568</v>
      </c>
      <c r="T1037" t="s">
        <v>1568</v>
      </c>
      <c r="U1037" t="s">
        <v>1568</v>
      </c>
      <c r="V1037" t="s">
        <v>1592</v>
      </c>
      <c r="W1037" t="s">
        <v>1452</v>
      </c>
      <c r="X1037" t="s">
        <v>61</v>
      </c>
      <c r="Y1037" t="s">
        <v>1587</v>
      </c>
    </row>
    <row r="1038" spans="1:25" ht="16" x14ac:dyDescent="0.2">
      <c r="A1038" t="s">
        <v>1568</v>
      </c>
      <c r="B1038" t="s">
        <v>1484</v>
      </c>
      <c r="C1038" t="s">
        <v>1568</v>
      </c>
      <c r="D1038" t="s">
        <v>1568</v>
      </c>
      <c r="E1038" t="s">
        <v>43</v>
      </c>
      <c r="F1038" t="s">
        <v>1773</v>
      </c>
      <c r="G1038" t="s">
        <v>1453</v>
      </c>
      <c r="H1038" t="s">
        <v>1568</v>
      </c>
      <c r="I1038" t="s">
        <v>1454</v>
      </c>
      <c r="J1038" t="s">
        <v>1568</v>
      </c>
      <c r="K1038" t="s">
        <v>1568</v>
      </c>
      <c r="L1038" t="s">
        <v>1568</v>
      </c>
      <c r="M1038" t="s">
        <v>1568</v>
      </c>
      <c r="N1038" t="s">
        <v>1568</v>
      </c>
      <c r="O1038" t="s">
        <v>1568</v>
      </c>
      <c r="P1038" t="s">
        <v>1568</v>
      </c>
      <c r="Q1038" t="s">
        <v>1568</v>
      </c>
      <c r="R1038" t="s">
        <v>1568</v>
      </c>
      <c r="S1038" t="s">
        <v>1568</v>
      </c>
      <c r="T1038" t="s">
        <v>1568</v>
      </c>
      <c r="U1038" t="s">
        <v>1568</v>
      </c>
      <c r="V1038" t="s">
        <v>1630</v>
      </c>
      <c r="W1038" t="s">
        <v>1455</v>
      </c>
      <c r="X1038" t="s">
        <v>61</v>
      </c>
      <c r="Y1038" t="s">
        <v>1587</v>
      </c>
    </row>
    <row r="1039" spans="1:25" ht="16" x14ac:dyDescent="0.2">
      <c r="A1039" t="s">
        <v>1568</v>
      </c>
      <c r="B1039" t="s">
        <v>1484</v>
      </c>
      <c r="C1039" t="s">
        <v>1568</v>
      </c>
      <c r="D1039" t="s">
        <v>1568</v>
      </c>
      <c r="E1039" t="s">
        <v>47</v>
      </c>
      <c r="F1039" t="s">
        <v>1773</v>
      </c>
      <c r="G1039" t="s">
        <v>1456</v>
      </c>
      <c r="H1039" t="s">
        <v>1568</v>
      </c>
      <c r="I1039" t="s">
        <v>1457</v>
      </c>
      <c r="J1039" t="s">
        <v>1568</v>
      </c>
      <c r="K1039" t="s">
        <v>1568</v>
      </c>
      <c r="L1039" t="s">
        <v>1568</v>
      </c>
      <c r="M1039" t="s">
        <v>1568</v>
      </c>
      <c r="N1039" t="s">
        <v>1568</v>
      </c>
      <c r="O1039" t="s">
        <v>1568</v>
      </c>
      <c r="P1039" t="s">
        <v>1568</v>
      </c>
      <c r="Q1039" t="s">
        <v>1568</v>
      </c>
      <c r="R1039" t="s">
        <v>1568</v>
      </c>
      <c r="S1039" t="s">
        <v>1568</v>
      </c>
      <c r="T1039" t="s">
        <v>1568</v>
      </c>
      <c r="U1039" t="s">
        <v>1568</v>
      </c>
      <c r="V1039" t="s">
        <v>1736</v>
      </c>
      <c r="W1039" t="s">
        <v>1458</v>
      </c>
      <c r="X1039" t="s">
        <v>61</v>
      </c>
      <c r="Y1039" t="s">
        <v>1587</v>
      </c>
    </row>
    <row r="1040" spans="1:25" ht="16" x14ac:dyDescent="0.2">
      <c r="A1040" t="s">
        <v>1568</v>
      </c>
      <c r="B1040" t="s">
        <v>1484</v>
      </c>
      <c r="C1040" t="s">
        <v>1568</v>
      </c>
      <c r="D1040" t="s">
        <v>1568</v>
      </c>
      <c r="E1040" t="s">
        <v>51</v>
      </c>
      <c r="F1040" t="s">
        <v>1773</v>
      </c>
      <c r="G1040" t="s">
        <v>1459</v>
      </c>
      <c r="H1040" t="s">
        <v>1568</v>
      </c>
      <c r="I1040" t="s">
        <v>1460</v>
      </c>
      <c r="J1040" t="s">
        <v>1568</v>
      </c>
      <c r="K1040" t="s">
        <v>1568</v>
      </c>
      <c r="L1040" t="s">
        <v>1568</v>
      </c>
      <c r="M1040" t="s">
        <v>1568</v>
      </c>
      <c r="N1040" t="s">
        <v>1568</v>
      </c>
      <c r="O1040" t="s">
        <v>1568</v>
      </c>
      <c r="P1040" t="s">
        <v>1568</v>
      </c>
      <c r="Q1040" t="s">
        <v>1568</v>
      </c>
      <c r="R1040" t="s">
        <v>1568</v>
      </c>
      <c r="S1040" t="s">
        <v>1568</v>
      </c>
      <c r="T1040" t="s">
        <v>1568</v>
      </c>
      <c r="U1040" t="s">
        <v>1568</v>
      </c>
      <c r="V1040" t="s">
        <v>1783</v>
      </c>
      <c r="W1040" t="s">
        <v>1461</v>
      </c>
      <c r="X1040" t="s">
        <v>61</v>
      </c>
      <c r="Y1040" t="s">
        <v>1587</v>
      </c>
    </row>
    <row r="1041" spans="1:25" ht="16" x14ac:dyDescent="0.2">
      <c r="A1041" t="s">
        <v>1568</v>
      </c>
      <c r="B1041" t="s">
        <v>1484</v>
      </c>
      <c r="C1041" t="s">
        <v>1568</v>
      </c>
      <c r="D1041" t="s">
        <v>1568</v>
      </c>
      <c r="E1041" t="s">
        <v>55</v>
      </c>
      <c r="F1041" t="s">
        <v>1773</v>
      </c>
      <c r="G1041" t="s">
        <v>1462</v>
      </c>
      <c r="H1041" t="s">
        <v>1568</v>
      </c>
      <c r="I1041" t="s">
        <v>1463</v>
      </c>
      <c r="J1041" t="s">
        <v>1568</v>
      </c>
      <c r="K1041" t="s">
        <v>1568</v>
      </c>
      <c r="L1041" t="s">
        <v>1568</v>
      </c>
      <c r="M1041" t="s">
        <v>1568</v>
      </c>
      <c r="N1041" t="s">
        <v>1568</v>
      </c>
      <c r="O1041" t="s">
        <v>1568</v>
      </c>
      <c r="P1041" t="s">
        <v>1568</v>
      </c>
      <c r="Q1041" t="s">
        <v>1568</v>
      </c>
      <c r="R1041" t="s">
        <v>1568</v>
      </c>
      <c r="S1041" t="s">
        <v>1568</v>
      </c>
      <c r="T1041" t="s">
        <v>1568</v>
      </c>
      <c r="U1041" t="s">
        <v>1568</v>
      </c>
      <c r="V1041" t="s">
        <v>1592</v>
      </c>
      <c r="W1041" t="s">
        <v>1464</v>
      </c>
      <c r="X1041" t="s">
        <v>61</v>
      </c>
      <c r="Y1041" t="s">
        <v>1587</v>
      </c>
    </row>
    <row r="1042" spans="1:25" ht="16" x14ac:dyDescent="0.2">
      <c r="A1042" t="s">
        <v>1568</v>
      </c>
      <c r="B1042" t="s">
        <v>1485</v>
      </c>
      <c r="C1042" t="s">
        <v>1568</v>
      </c>
      <c r="D1042" t="s">
        <v>1568</v>
      </c>
      <c r="E1042" t="s">
        <v>36</v>
      </c>
      <c r="F1042" t="s">
        <v>1780</v>
      </c>
      <c r="G1042" t="s">
        <v>1466</v>
      </c>
      <c r="H1042" t="s">
        <v>1568</v>
      </c>
      <c r="I1042" t="s">
        <v>1467</v>
      </c>
      <c r="J1042" t="s">
        <v>1568</v>
      </c>
      <c r="K1042" t="s">
        <v>1568</v>
      </c>
      <c r="L1042" t="s">
        <v>1568</v>
      </c>
      <c r="M1042" t="s">
        <v>1568</v>
      </c>
      <c r="N1042" t="s">
        <v>1568</v>
      </c>
      <c r="O1042" t="s">
        <v>1568</v>
      </c>
      <c r="P1042" t="s">
        <v>1568</v>
      </c>
      <c r="Q1042" t="s">
        <v>1568</v>
      </c>
      <c r="R1042" t="s">
        <v>1568</v>
      </c>
      <c r="S1042" t="s">
        <v>1568</v>
      </c>
      <c r="T1042" t="s">
        <v>1568</v>
      </c>
      <c r="U1042" t="s">
        <v>1568</v>
      </c>
      <c r="V1042" t="s">
        <v>1665</v>
      </c>
      <c r="W1042" t="s">
        <v>1468</v>
      </c>
      <c r="X1042" t="s">
        <v>61</v>
      </c>
      <c r="Y1042" t="s">
        <v>1587</v>
      </c>
    </row>
    <row r="1043" spans="1:25" ht="16" x14ac:dyDescent="0.2">
      <c r="A1043" t="s">
        <v>1568</v>
      </c>
      <c r="B1043" t="s">
        <v>1485</v>
      </c>
      <c r="C1043" t="s">
        <v>1568</v>
      </c>
      <c r="D1043" t="s">
        <v>1568</v>
      </c>
      <c r="E1043" t="s">
        <v>47</v>
      </c>
      <c r="F1043" t="s">
        <v>1780</v>
      </c>
      <c r="G1043" t="s">
        <v>1472</v>
      </c>
      <c r="H1043" t="s">
        <v>1568</v>
      </c>
      <c r="I1043" t="s">
        <v>1473</v>
      </c>
      <c r="J1043" t="s">
        <v>1568</v>
      </c>
      <c r="K1043" t="s">
        <v>1568</v>
      </c>
      <c r="L1043" t="s">
        <v>1568</v>
      </c>
      <c r="M1043" t="s">
        <v>1568</v>
      </c>
      <c r="N1043" t="s">
        <v>1568</v>
      </c>
      <c r="O1043" t="s">
        <v>1568</v>
      </c>
      <c r="P1043" t="s">
        <v>1568</v>
      </c>
      <c r="Q1043" t="s">
        <v>1568</v>
      </c>
      <c r="R1043" t="s">
        <v>1568</v>
      </c>
      <c r="S1043" t="s">
        <v>1568</v>
      </c>
      <c r="T1043" t="s">
        <v>1568</v>
      </c>
      <c r="U1043" t="s">
        <v>1568</v>
      </c>
      <c r="V1043" t="s">
        <v>1665</v>
      </c>
      <c r="W1043" t="s">
        <v>1474</v>
      </c>
      <c r="X1043" t="s">
        <v>61</v>
      </c>
      <c r="Y1043" t="s">
        <v>1587</v>
      </c>
    </row>
    <row r="1044" spans="1:25" ht="16" x14ac:dyDescent="0.2">
      <c r="A1044" t="s">
        <v>1568</v>
      </c>
      <c r="B1044" t="s">
        <v>1486</v>
      </c>
      <c r="C1044" t="s">
        <v>1568</v>
      </c>
      <c r="D1044" t="s">
        <v>1568</v>
      </c>
      <c r="E1044" t="s">
        <v>36</v>
      </c>
      <c r="F1044" t="s">
        <v>1784</v>
      </c>
      <c r="G1044" t="s">
        <v>1488</v>
      </c>
      <c r="H1044" t="s">
        <v>1568</v>
      </c>
      <c r="I1044" t="s">
        <v>1489</v>
      </c>
      <c r="J1044" t="s">
        <v>1568</v>
      </c>
      <c r="K1044" t="s">
        <v>1568</v>
      </c>
      <c r="L1044" t="s">
        <v>1568</v>
      </c>
      <c r="M1044" t="s">
        <v>1568</v>
      </c>
      <c r="N1044" t="s">
        <v>1568</v>
      </c>
      <c r="O1044" t="s">
        <v>1568</v>
      </c>
      <c r="P1044" t="s">
        <v>1568</v>
      </c>
      <c r="Q1044" t="s">
        <v>1568</v>
      </c>
      <c r="R1044" t="s">
        <v>1568</v>
      </c>
      <c r="S1044" t="s">
        <v>1568</v>
      </c>
      <c r="T1044" t="s">
        <v>1568</v>
      </c>
      <c r="U1044" t="s">
        <v>1568</v>
      </c>
      <c r="V1044" t="s">
        <v>1740</v>
      </c>
      <c r="W1044" t="s">
        <v>1490</v>
      </c>
      <c r="X1044" t="s">
        <v>30</v>
      </c>
      <c r="Y1044" t="s">
        <v>1572</v>
      </c>
    </row>
    <row r="1045" spans="1:25" ht="16" x14ac:dyDescent="0.2">
      <c r="A1045" t="s">
        <v>1568</v>
      </c>
      <c r="B1045" t="s">
        <v>1486</v>
      </c>
      <c r="C1045" t="s">
        <v>1568</v>
      </c>
      <c r="D1045" t="s">
        <v>1568</v>
      </c>
      <c r="E1045" t="s">
        <v>43</v>
      </c>
      <c r="F1045" t="s">
        <v>1784</v>
      </c>
      <c r="G1045" t="s">
        <v>1491</v>
      </c>
      <c r="H1045" t="s">
        <v>1568</v>
      </c>
      <c r="I1045" t="s">
        <v>1492</v>
      </c>
      <c r="J1045" t="s">
        <v>1568</v>
      </c>
      <c r="K1045" t="s">
        <v>1568</v>
      </c>
      <c r="L1045" t="s">
        <v>1568</v>
      </c>
      <c r="M1045" t="s">
        <v>1568</v>
      </c>
      <c r="N1045" t="s">
        <v>1568</v>
      </c>
      <c r="O1045" t="s">
        <v>1568</v>
      </c>
      <c r="P1045" t="s">
        <v>1568</v>
      </c>
      <c r="Q1045" t="s">
        <v>1568</v>
      </c>
      <c r="R1045" t="s">
        <v>1568</v>
      </c>
      <c r="S1045" t="s">
        <v>1568</v>
      </c>
      <c r="T1045" t="s">
        <v>1568</v>
      </c>
      <c r="U1045" t="s">
        <v>1568</v>
      </c>
      <c r="V1045" t="s">
        <v>1727</v>
      </c>
      <c r="W1045" t="s">
        <v>1493</v>
      </c>
      <c r="X1045" t="s">
        <v>30</v>
      </c>
      <c r="Y1045" t="s">
        <v>1572</v>
      </c>
    </row>
    <row r="1046" spans="1:25" ht="16" x14ac:dyDescent="0.2">
      <c r="A1046" t="s">
        <v>1568</v>
      </c>
      <c r="B1046" t="s">
        <v>1486</v>
      </c>
      <c r="C1046" t="s">
        <v>1568</v>
      </c>
      <c r="D1046" t="s">
        <v>1568</v>
      </c>
      <c r="E1046" t="s">
        <v>47</v>
      </c>
      <c r="F1046" t="s">
        <v>1784</v>
      </c>
      <c r="G1046" t="s">
        <v>1494</v>
      </c>
      <c r="H1046" t="s">
        <v>1568</v>
      </c>
      <c r="I1046" t="s">
        <v>1495</v>
      </c>
      <c r="J1046" t="s">
        <v>1568</v>
      </c>
      <c r="K1046" t="s">
        <v>1568</v>
      </c>
      <c r="L1046" t="s">
        <v>1568</v>
      </c>
      <c r="M1046" t="s">
        <v>1568</v>
      </c>
      <c r="N1046" t="s">
        <v>1568</v>
      </c>
      <c r="O1046" t="s">
        <v>1568</v>
      </c>
      <c r="P1046" t="s">
        <v>1568</v>
      </c>
      <c r="Q1046" t="s">
        <v>1568</v>
      </c>
      <c r="R1046" t="s">
        <v>1568</v>
      </c>
      <c r="S1046" t="s">
        <v>1568</v>
      </c>
      <c r="T1046" t="s">
        <v>1568</v>
      </c>
      <c r="U1046" t="s">
        <v>1568</v>
      </c>
      <c r="V1046" t="s">
        <v>1696</v>
      </c>
      <c r="W1046" t="s">
        <v>1496</v>
      </c>
      <c r="X1046" t="s">
        <v>30</v>
      </c>
      <c r="Y1046" t="s">
        <v>1572</v>
      </c>
    </row>
    <row r="1047" spans="1:25" ht="16" x14ac:dyDescent="0.2">
      <c r="A1047" t="s">
        <v>1568</v>
      </c>
      <c r="B1047" t="s">
        <v>1486</v>
      </c>
      <c r="C1047" t="s">
        <v>1568</v>
      </c>
      <c r="D1047" t="s">
        <v>1568</v>
      </c>
      <c r="E1047" t="s">
        <v>51</v>
      </c>
      <c r="F1047" t="s">
        <v>1784</v>
      </c>
      <c r="G1047" t="s">
        <v>1497</v>
      </c>
      <c r="H1047" t="s">
        <v>1568</v>
      </c>
      <c r="I1047" t="s">
        <v>1498</v>
      </c>
      <c r="J1047" t="s">
        <v>1568</v>
      </c>
      <c r="K1047" t="s">
        <v>1568</v>
      </c>
      <c r="L1047" t="s">
        <v>1568</v>
      </c>
      <c r="M1047" t="s">
        <v>1568</v>
      </c>
      <c r="N1047" t="s">
        <v>1568</v>
      </c>
      <c r="O1047" t="s">
        <v>1568</v>
      </c>
      <c r="P1047" t="s">
        <v>1568</v>
      </c>
      <c r="Q1047" t="s">
        <v>1568</v>
      </c>
      <c r="R1047" t="s">
        <v>1568</v>
      </c>
      <c r="S1047" t="s">
        <v>1568</v>
      </c>
      <c r="T1047" t="s">
        <v>1568</v>
      </c>
      <c r="U1047" t="s">
        <v>1568</v>
      </c>
      <c r="V1047" t="s">
        <v>1742</v>
      </c>
      <c r="W1047" t="s">
        <v>1499</v>
      </c>
      <c r="X1047" t="s">
        <v>30</v>
      </c>
      <c r="Y1047" t="s">
        <v>1572</v>
      </c>
    </row>
    <row r="1048" spans="1:25" ht="16" x14ac:dyDescent="0.2">
      <c r="A1048" t="s">
        <v>1568</v>
      </c>
      <c r="B1048" t="s">
        <v>1486</v>
      </c>
      <c r="C1048" t="s">
        <v>1568</v>
      </c>
      <c r="D1048" t="s">
        <v>1568</v>
      </c>
      <c r="E1048" t="s">
        <v>55</v>
      </c>
      <c r="F1048" t="s">
        <v>1784</v>
      </c>
      <c r="G1048" t="s">
        <v>1500</v>
      </c>
      <c r="H1048" t="s">
        <v>1568</v>
      </c>
      <c r="I1048" t="s">
        <v>1501</v>
      </c>
      <c r="J1048" t="s">
        <v>1568</v>
      </c>
      <c r="K1048" t="s">
        <v>1568</v>
      </c>
      <c r="L1048" t="s">
        <v>1568</v>
      </c>
      <c r="M1048" t="s">
        <v>1568</v>
      </c>
      <c r="N1048" t="s">
        <v>1568</v>
      </c>
      <c r="O1048" t="s">
        <v>1568</v>
      </c>
      <c r="P1048" t="s">
        <v>1568</v>
      </c>
      <c r="Q1048" t="s">
        <v>1568</v>
      </c>
      <c r="R1048" t="s">
        <v>1568</v>
      </c>
      <c r="S1048" t="s">
        <v>1568</v>
      </c>
      <c r="T1048" t="s">
        <v>1568</v>
      </c>
      <c r="U1048" t="s">
        <v>1568</v>
      </c>
      <c r="V1048" t="s">
        <v>1738</v>
      </c>
      <c r="W1048" t="s">
        <v>1502</v>
      </c>
      <c r="X1048" t="s">
        <v>30</v>
      </c>
      <c r="Y1048" t="s">
        <v>1572</v>
      </c>
    </row>
    <row r="1049" spans="1:25" ht="16" x14ac:dyDescent="0.2">
      <c r="A1049" t="s">
        <v>1568</v>
      </c>
      <c r="B1049" t="s">
        <v>1503</v>
      </c>
      <c r="C1049" t="s">
        <v>1568</v>
      </c>
      <c r="D1049" t="s">
        <v>1568</v>
      </c>
      <c r="E1049" t="s">
        <v>36</v>
      </c>
      <c r="F1049" t="s">
        <v>1785</v>
      </c>
      <c r="G1049" t="s">
        <v>1504</v>
      </c>
      <c r="H1049" t="s">
        <v>1568</v>
      </c>
      <c r="I1049" t="s">
        <v>1505</v>
      </c>
      <c r="J1049" t="s">
        <v>1568</v>
      </c>
      <c r="K1049" t="s">
        <v>1568</v>
      </c>
      <c r="L1049" t="s">
        <v>1568</v>
      </c>
      <c r="M1049" t="s">
        <v>1568</v>
      </c>
      <c r="N1049" t="s">
        <v>1568</v>
      </c>
      <c r="O1049" t="s">
        <v>1568</v>
      </c>
      <c r="P1049" t="s">
        <v>1568</v>
      </c>
      <c r="Q1049" t="s">
        <v>1568</v>
      </c>
      <c r="R1049" t="s">
        <v>1568</v>
      </c>
      <c r="S1049" t="s">
        <v>1568</v>
      </c>
      <c r="T1049" t="s">
        <v>1568</v>
      </c>
      <c r="U1049" t="s">
        <v>1568</v>
      </c>
      <c r="V1049" t="s">
        <v>55</v>
      </c>
      <c r="W1049" t="s">
        <v>1506</v>
      </c>
      <c r="X1049" t="s">
        <v>30</v>
      </c>
      <c r="Y1049" t="s">
        <v>1572</v>
      </c>
    </row>
    <row r="1050" spans="1:25" ht="16" x14ac:dyDescent="0.2">
      <c r="A1050" t="s">
        <v>1568</v>
      </c>
      <c r="B1050" t="s">
        <v>1503</v>
      </c>
      <c r="C1050" t="s">
        <v>1568</v>
      </c>
      <c r="D1050" t="s">
        <v>1568</v>
      </c>
      <c r="E1050" t="s">
        <v>43</v>
      </c>
      <c r="F1050" t="s">
        <v>1785</v>
      </c>
      <c r="G1050" t="s">
        <v>1507</v>
      </c>
      <c r="H1050" t="s">
        <v>1568</v>
      </c>
      <c r="I1050" t="s">
        <v>1508</v>
      </c>
      <c r="J1050" t="s">
        <v>1568</v>
      </c>
      <c r="K1050" t="s">
        <v>1568</v>
      </c>
      <c r="L1050" t="s">
        <v>1568</v>
      </c>
      <c r="M1050" t="s">
        <v>1568</v>
      </c>
      <c r="N1050" t="s">
        <v>1568</v>
      </c>
      <c r="O1050" t="s">
        <v>1568</v>
      </c>
      <c r="P1050" t="s">
        <v>1568</v>
      </c>
      <c r="Q1050" t="s">
        <v>1568</v>
      </c>
      <c r="R1050" t="s">
        <v>1568</v>
      </c>
      <c r="S1050" t="s">
        <v>1568</v>
      </c>
      <c r="T1050" t="s">
        <v>1568</v>
      </c>
      <c r="U1050" t="s">
        <v>1568</v>
      </c>
      <c r="V1050" t="s">
        <v>1665</v>
      </c>
      <c r="W1050" t="s">
        <v>1509</v>
      </c>
      <c r="X1050" t="s">
        <v>30</v>
      </c>
      <c r="Y1050" t="s">
        <v>1572</v>
      </c>
    </row>
    <row r="1051" spans="1:25" ht="16" x14ac:dyDescent="0.2">
      <c r="A1051" t="s">
        <v>1568</v>
      </c>
      <c r="B1051" t="s">
        <v>1503</v>
      </c>
      <c r="C1051" t="s">
        <v>1568</v>
      </c>
      <c r="D1051" t="s">
        <v>1568</v>
      </c>
      <c r="E1051" t="s">
        <v>47</v>
      </c>
      <c r="F1051" t="s">
        <v>1785</v>
      </c>
      <c r="G1051" t="s">
        <v>1510</v>
      </c>
      <c r="H1051" t="s">
        <v>1568</v>
      </c>
      <c r="I1051" t="s">
        <v>1511</v>
      </c>
      <c r="J1051" t="s">
        <v>1568</v>
      </c>
      <c r="K1051" t="s">
        <v>1568</v>
      </c>
      <c r="L1051" t="s">
        <v>1568</v>
      </c>
      <c r="M1051" t="s">
        <v>1568</v>
      </c>
      <c r="N1051" t="s">
        <v>1568</v>
      </c>
      <c r="O1051" t="s">
        <v>1568</v>
      </c>
      <c r="P1051" t="s">
        <v>1568</v>
      </c>
      <c r="Q1051" t="s">
        <v>1568</v>
      </c>
      <c r="R1051" t="s">
        <v>1568</v>
      </c>
      <c r="S1051" t="s">
        <v>1568</v>
      </c>
      <c r="T1051" t="s">
        <v>1568</v>
      </c>
      <c r="U1051" t="s">
        <v>1568</v>
      </c>
      <c r="V1051" t="s">
        <v>1695</v>
      </c>
      <c r="W1051" t="s">
        <v>1512</v>
      </c>
      <c r="X1051" t="s">
        <v>30</v>
      </c>
      <c r="Y1051" t="s">
        <v>1572</v>
      </c>
    </row>
    <row r="1052" spans="1:25" ht="16" x14ac:dyDescent="0.2">
      <c r="A1052" t="s">
        <v>1568</v>
      </c>
      <c r="B1052" t="s">
        <v>1503</v>
      </c>
      <c r="C1052" t="s">
        <v>1568</v>
      </c>
      <c r="D1052" t="s">
        <v>1568</v>
      </c>
      <c r="E1052" t="s">
        <v>51</v>
      </c>
      <c r="F1052" t="s">
        <v>1785</v>
      </c>
      <c r="G1052" t="s">
        <v>1513</v>
      </c>
      <c r="H1052" t="s">
        <v>1568</v>
      </c>
      <c r="I1052" t="s">
        <v>1514</v>
      </c>
      <c r="J1052" t="s">
        <v>1568</v>
      </c>
      <c r="K1052" t="s">
        <v>1568</v>
      </c>
      <c r="L1052" t="s">
        <v>1568</v>
      </c>
      <c r="M1052" t="s">
        <v>1568</v>
      </c>
      <c r="N1052" t="s">
        <v>1568</v>
      </c>
      <c r="O1052" t="s">
        <v>1568</v>
      </c>
      <c r="P1052" t="s">
        <v>1568</v>
      </c>
      <c r="Q1052" t="s">
        <v>1568</v>
      </c>
      <c r="R1052" t="s">
        <v>1568</v>
      </c>
      <c r="S1052" t="s">
        <v>1568</v>
      </c>
      <c r="T1052" t="s">
        <v>1568</v>
      </c>
      <c r="U1052" t="s">
        <v>1568</v>
      </c>
      <c r="V1052" t="s">
        <v>1695</v>
      </c>
      <c r="W1052" t="s">
        <v>1515</v>
      </c>
      <c r="X1052" t="s">
        <v>30</v>
      </c>
      <c r="Y1052" t="s">
        <v>1572</v>
      </c>
    </row>
    <row r="1053" spans="1:25" ht="16" x14ac:dyDescent="0.2">
      <c r="A1053" t="s">
        <v>1568</v>
      </c>
      <c r="B1053" t="s">
        <v>1503</v>
      </c>
      <c r="C1053" t="s">
        <v>1568</v>
      </c>
      <c r="D1053" t="s">
        <v>1568</v>
      </c>
      <c r="E1053" t="s">
        <v>55</v>
      </c>
      <c r="F1053" t="s">
        <v>1785</v>
      </c>
      <c r="G1053" t="s">
        <v>1516</v>
      </c>
      <c r="H1053" t="s">
        <v>1568</v>
      </c>
      <c r="I1053" t="s">
        <v>1517</v>
      </c>
      <c r="J1053" t="s">
        <v>1568</v>
      </c>
      <c r="K1053" t="s">
        <v>1568</v>
      </c>
      <c r="L1053" t="s">
        <v>1568</v>
      </c>
      <c r="M1053" t="s">
        <v>1568</v>
      </c>
      <c r="N1053" t="s">
        <v>1568</v>
      </c>
      <c r="O1053" t="s">
        <v>1568</v>
      </c>
      <c r="P1053" t="s">
        <v>1568</v>
      </c>
      <c r="Q1053" t="s">
        <v>1568</v>
      </c>
      <c r="R1053" t="s">
        <v>1568</v>
      </c>
      <c r="S1053" t="s">
        <v>1568</v>
      </c>
      <c r="T1053" t="s">
        <v>1568</v>
      </c>
      <c r="U1053" t="s">
        <v>1568</v>
      </c>
      <c r="V1053" t="s">
        <v>36</v>
      </c>
      <c r="W1053" t="s">
        <v>1518</v>
      </c>
      <c r="X1053" t="s">
        <v>30</v>
      </c>
      <c r="Y1053" t="s">
        <v>1572</v>
      </c>
    </row>
    <row r="1054" spans="1:25" ht="16" x14ac:dyDescent="0.2">
      <c r="A1054" t="s">
        <v>1568</v>
      </c>
      <c r="B1054" t="s">
        <v>1519</v>
      </c>
      <c r="C1054" t="s">
        <v>1568</v>
      </c>
      <c r="D1054" t="s">
        <v>1568</v>
      </c>
      <c r="E1054" t="s">
        <v>36</v>
      </c>
      <c r="F1054" t="s">
        <v>1785</v>
      </c>
      <c r="G1054" t="s">
        <v>1504</v>
      </c>
      <c r="H1054" t="s">
        <v>1568</v>
      </c>
      <c r="I1054" t="s">
        <v>1505</v>
      </c>
      <c r="J1054" t="s">
        <v>1568</v>
      </c>
      <c r="K1054" t="s">
        <v>1568</v>
      </c>
      <c r="L1054" t="s">
        <v>1568</v>
      </c>
      <c r="M1054" t="s">
        <v>1568</v>
      </c>
      <c r="N1054" t="s">
        <v>1568</v>
      </c>
      <c r="O1054" t="s">
        <v>1568</v>
      </c>
      <c r="P1054" t="s">
        <v>1568</v>
      </c>
      <c r="Q1054" t="s">
        <v>1568</v>
      </c>
      <c r="R1054" t="s">
        <v>1568</v>
      </c>
      <c r="S1054" t="s">
        <v>1568</v>
      </c>
      <c r="T1054" t="s">
        <v>1568</v>
      </c>
      <c r="U1054" t="s">
        <v>1568</v>
      </c>
      <c r="V1054" t="s">
        <v>55</v>
      </c>
      <c r="W1054" t="s">
        <v>1506</v>
      </c>
      <c r="X1054" t="s">
        <v>59</v>
      </c>
      <c r="Y1054" t="s">
        <v>1581</v>
      </c>
    </row>
    <row r="1055" spans="1:25" ht="16" x14ac:dyDescent="0.2">
      <c r="A1055" t="s">
        <v>1568</v>
      </c>
      <c r="B1055" t="s">
        <v>1519</v>
      </c>
      <c r="C1055" t="s">
        <v>1568</v>
      </c>
      <c r="D1055" t="s">
        <v>1568</v>
      </c>
      <c r="E1055" t="s">
        <v>47</v>
      </c>
      <c r="F1055" t="s">
        <v>1785</v>
      </c>
      <c r="G1055" t="s">
        <v>1510</v>
      </c>
      <c r="H1055" t="s">
        <v>1568</v>
      </c>
      <c r="I1055" t="s">
        <v>1511</v>
      </c>
      <c r="J1055" t="s">
        <v>1568</v>
      </c>
      <c r="K1055" t="s">
        <v>1568</v>
      </c>
      <c r="L1055" t="s">
        <v>1568</v>
      </c>
      <c r="M1055" t="s">
        <v>1568</v>
      </c>
      <c r="N1055" t="s">
        <v>1568</v>
      </c>
      <c r="O1055" t="s">
        <v>1568</v>
      </c>
      <c r="P1055" t="s">
        <v>1568</v>
      </c>
      <c r="Q1055" t="s">
        <v>1568</v>
      </c>
      <c r="R1055" t="s">
        <v>1568</v>
      </c>
      <c r="S1055" t="s">
        <v>1568</v>
      </c>
      <c r="T1055" t="s">
        <v>1568</v>
      </c>
      <c r="U1055" t="s">
        <v>1568</v>
      </c>
      <c r="V1055" t="s">
        <v>55</v>
      </c>
      <c r="W1055" t="s">
        <v>1512</v>
      </c>
      <c r="X1055" t="s">
        <v>59</v>
      </c>
      <c r="Y1055" t="s">
        <v>1581</v>
      </c>
    </row>
    <row r="1056" spans="1:25" ht="16" x14ac:dyDescent="0.2">
      <c r="A1056" t="s">
        <v>1568</v>
      </c>
      <c r="B1056" t="s">
        <v>1519</v>
      </c>
      <c r="C1056" t="s">
        <v>1568</v>
      </c>
      <c r="D1056" t="s">
        <v>1568</v>
      </c>
      <c r="E1056" t="s">
        <v>51</v>
      </c>
      <c r="F1056" t="s">
        <v>1785</v>
      </c>
      <c r="G1056" t="s">
        <v>1513</v>
      </c>
      <c r="H1056" t="s">
        <v>1568</v>
      </c>
      <c r="I1056" t="s">
        <v>1514</v>
      </c>
      <c r="J1056" t="s">
        <v>1568</v>
      </c>
      <c r="K1056" t="s">
        <v>1568</v>
      </c>
      <c r="L1056" t="s">
        <v>1568</v>
      </c>
      <c r="M1056" t="s">
        <v>1568</v>
      </c>
      <c r="N1056" t="s">
        <v>1568</v>
      </c>
      <c r="O1056" t="s">
        <v>1568</v>
      </c>
      <c r="P1056" t="s">
        <v>1568</v>
      </c>
      <c r="Q1056" t="s">
        <v>1568</v>
      </c>
      <c r="R1056" t="s">
        <v>1568</v>
      </c>
      <c r="S1056" t="s">
        <v>1568</v>
      </c>
      <c r="T1056" t="s">
        <v>1568</v>
      </c>
      <c r="U1056" t="s">
        <v>1568</v>
      </c>
      <c r="V1056" t="s">
        <v>1738</v>
      </c>
      <c r="W1056" t="s">
        <v>1515</v>
      </c>
      <c r="X1056" t="s">
        <v>59</v>
      </c>
      <c r="Y1056" t="s">
        <v>1581</v>
      </c>
    </row>
    <row r="1057" spans="1:25" ht="16" x14ac:dyDescent="0.2">
      <c r="A1057" t="s">
        <v>1568</v>
      </c>
      <c r="B1057" t="s">
        <v>1520</v>
      </c>
      <c r="C1057" t="s">
        <v>1568</v>
      </c>
      <c r="D1057" t="s">
        <v>1568</v>
      </c>
      <c r="E1057" t="s">
        <v>36</v>
      </c>
      <c r="F1057" t="s">
        <v>1785</v>
      </c>
      <c r="G1057" t="s">
        <v>1504</v>
      </c>
      <c r="H1057" t="s">
        <v>1568</v>
      </c>
      <c r="I1057" t="s">
        <v>1505</v>
      </c>
      <c r="J1057" t="s">
        <v>1568</v>
      </c>
      <c r="K1057" t="s">
        <v>1568</v>
      </c>
      <c r="L1057" t="s">
        <v>1568</v>
      </c>
      <c r="M1057" t="s">
        <v>1568</v>
      </c>
      <c r="N1057" t="s">
        <v>1568</v>
      </c>
      <c r="O1057" t="s">
        <v>1568</v>
      </c>
      <c r="P1057" t="s">
        <v>1568</v>
      </c>
      <c r="Q1057" t="s">
        <v>1568</v>
      </c>
      <c r="R1057" t="s">
        <v>1568</v>
      </c>
      <c r="S1057" t="s">
        <v>1568</v>
      </c>
      <c r="T1057" t="s">
        <v>1568</v>
      </c>
      <c r="U1057" t="s">
        <v>1568</v>
      </c>
      <c r="V1057" t="s">
        <v>55</v>
      </c>
      <c r="W1057" t="s">
        <v>1506</v>
      </c>
      <c r="X1057" t="s">
        <v>61</v>
      </c>
      <c r="Y1057" t="s">
        <v>1587</v>
      </c>
    </row>
    <row r="1058" spans="1:25" ht="16" x14ac:dyDescent="0.2">
      <c r="A1058" t="s">
        <v>1568</v>
      </c>
      <c r="B1058" t="s">
        <v>1520</v>
      </c>
      <c r="C1058" t="s">
        <v>1568</v>
      </c>
      <c r="D1058" t="s">
        <v>1568</v>
      </c>
      <c r="E1058" t="s">
        <v>47</v>
      </c>
      <c r="F1058" t="s">
        <v>1785</v>
      </c>
      <c r="G1058" t="s">
        <v>1510</v>
      </c>
      <c r="H1058" t="s">
        <v>1568</v>
      </c>
      <c r="I1058" t="s">
        <v>1511</v>
      </c>
      <c r="J1058" t="s">
        <v>1568</v>
      </c>
      <c r="K1058" t="s">
        <v>1568</v>
      </c>
      <c r="L1058" t="s">
        <v>1568</v>
      </c>
      <c r="M1058" t="s">
        <v>1568</v>
      </c>
      <c r="N1058" t="s">
        <v>1568</v>
      </c>
      <c r="O1058" t="s">
        <v>1568</v>
      </c>
      <c r="P1058" t="s">
        <v>1568</v>
      </c>
      <c r="Q1058" t="s">
        <v>1568</v>
      </c>
      <c r="R1058" t="s">
        <v>1568</v>
      </c>
      <c r="S1058" t="s">
        <v>1568</v>
      </c>
      <c r="T1058" t="s">
        <v>1568</v>
      </c>
      <c r="U1058" t="s">
        <v>1568</v>
      </c>
      <c r="V1058" t="s">
        <v>55</v>
      </c>
      <c r="W1058" t="s">
        <v>1512</v>
      </c>
      <c r="X1058" t="s">
        <v>61</v>
      </c>
      <c r="Y1058" t="s">
        <v>1587</v>
      </c>
    </row>
    <row r="1059" spans="1:25" ht="16" x14ac:dyDescent="0.2">
      <c r="A1059" t="s">
        <v>1568</v>
      </c>
      <c r="B1059" t="s">
        <v>1520</v>
      </c>
      <c r="C1059" t="s">
        <v>1568</v>
      </c>
      <c r="D1059" t="s">
        <v>1568</v>
      </c>
      <c r="E1059" t="s">
        <v>51</v>
      </c>
      <c r="F1059" t="s">
        <v>1785</v>
      </c>
      <c r="G1059" t="s">
        <v>1513</v>
      </c>
      <c r="H1059" t="s">
        <v>1568</v>
      </c>
      <c r="I1059" t="s">
        <v>1514</v>
      </c>
      <c r="J1059" t="s">
        <v>1568</v>
      </c>
      <c r="K1059" t="s">
        <v>1568</v>
      </c>
      <c r="L1059" t="s">
        <v>1568</v>
      </c>
      <c r="M1059" t="s">
        <v>1568</v>
      </c>
      <c r="N1059" t="s">
        <v>1568</v>
      </c>
      <c r="O1059" t="s">
        <v>1568</v>
      </c>
      <c r="P1059" t="s">
        <v>1568</v>
      </c>
      <c r="Q1059" t="s">
        <v>1568</v>
      </c>
      <c r="R1059" t="s">
        <v>1568</v>
      </c>
      <c r="S1059" t="s">
        <v>1568</v>
      </c>
      <c r="T1059" t="s">
        <v>1568</v>
      </c>
      <c r="U1059" t="s">
        <v>1568</v>
      </c>
      <c r="V1059" t="s">
        <v>1738</v>
      </c>
      <c r="W1059" t="s">
        <v>1515</v>
      </c>
      <c r="X1059" t="s">
        <v>61</v>
      </c>
      <c r="Y1059" t="s">
        <v>1587</v>
      </c>
    </row>
    <row r="1060" spans="1:25" ht="16" x14ac:dyDescent="0.2">
      <c r="A1060" t="s">
        <v>1568</v>
      </c>
      <c r="B1060" t="s">
        <v>1521</v>
      </c>
      <c r="C1060" t="s">
        <v>1568</v>
      </c>
      <c r="D1060" t="s">
        <v>1568</v>
      </c>
      <c r="E1060" t="s">
        <v>36</v>
      </c>
      <c r="F1060" t="s">
        <v>1786</v>
      </c>
      <c r="G1060" t="s">
        <v>1522</v>
      </c>
      <c r="H1060" t="s">
        <v>1568</v>
      </c>
      <c r="I1060" t="s">
        <v>1523</v>
      </c>
      <c r="J1060" t="s">
        <v>1568</v>
      </c>
      <c r="K1060" t="s">
        <v>1568</v>
      </c>
      <c r="L1060" t="s">
        <v>1568</v>
      </c>
      <c r="M1060" t="s">
        <v>1568</v>
      </c>
      <c r="N1060" t="s">
        <v>1568</v>
      </c>
      <c r="O1060" t="s">
        <v>1568</v>
      </c>
      <c r="P1060" t="s">
        <v>1568</v>
      </c>
      <c r="Q1060" t="s">
        <v>1568</v>
      </c>
      <c r="R1060" t="s">
        <v>1568</v>
      </c>
      <c r="S1060" t="s">
        <v>1568</v>
      </c>
      <c r="T1060" t="s">
        <v>1568</v>
      </c>
      <c r="U1060" t="s">
        <v>1568</v>
      </c>
      <c r="V1060" t="s">
        <v>1738</v>
      </c>
      <c r="W1060" t="s">
        <v>1524</v>
      </c>
      <c r="X1060" t="s">
        <v>30</v>
      </c>
      <c r="Y1060" t="s">
        <v>1572</v>
      </c>
    </row>
    <row r="1061" spans="1:25" ht="16" x14ac:dyDescent="0.2">
      <c r="A1061" t="s">
        <v>1568</v>
      </c>
      <c r="B1061" t="s">
        <v>1521</v>
      </c>
      <c r="C1061" t="s">
        <v>1568</v>
      </c>
      <c r="D1061" t="s">
        <v>1568</v>
      </c>
      <c r="E1061" t="s">
        <v>43</v>
      </c>
      <c r="F1061" t="s">
        <v>1786</v>
      </c>
      <c r="G1061" t="s">
        <v>1525</v>
      </c>
      <c r="H1061" t="s">
        <v>1568</v>
      </c>
      <c r="I1061" t="s">
        <v>1526</v>
      </c>
      <c r="J1061" t="s">
        <v>1568</v>
      </c>
      <c r="K1061" t="s">
        <v>1568</v>
      </c>
      <c r="L1061" t="s">
        <v>1568</v>
      </c>
      <c r="M1061" t="s">
        <v>1568</v>
      </c>
      <c r="N1061" t="s">
        <v>1568</v>
      </c>
      <c r="O1061" t="s">
        <v>1568</v>
      </c>
      <c r="P1061" t="s">
        <v>1568</v>
      </c>
      <c r="Q1061" t="s">
        <v>1568</v>
      </c>
      <c r="R1061" t="s">
        <v>1568</v>
      </c>
      <c r="S1061" t="s">
        <v>1568</v>
      </c>
      <c r="T1061" t="s">
        <v>1568</v>
      </c>
      <c r="U1061" t="s">
        <v>1568</v>
      </c>
      <c r="V1061" t="s">
        <v>1629</v>
      </c>
      <c r="W1061" t="s">
        <v>1527</v>
      </c>
      <c r="X1061" t="s">
        <v>30</v>
      </c>
      <c r="Y1061" t="s">
        <v>1572</v>
      </c>
    </row>
    <row r="1062" spans="1:25" ht="16" x14ac:dyDescent="0.2">
      <c r="A1062" t="s">
        <v>1568</v>
      </c>
      <c r="B1062" t="s">
        <v>1521</v>
      </c>
      <c r="C1062" t="s">
        <v>1568</v>
      </c>
      <c r="D1062" t="s">
        <v>1568</v>
      </c>
      <c r="E1062" t="s">
        <v>47</v>
      </c>
      <c r="F1062" t="s">
        <v>1786</v>
      </c>
      <c r="G1062" t="s">
        <v>1528</v>
      </c>
      <c r="H1062" t="s">
        <v>1568</v>
      </c>
      <c r="I1062" t="s">
        <v>1529</v>
      </c>
      <c r="J1062" t="s">
        <v>1568</v>
      </c>
      <c r="K1062" t="s">
        <v>1568</v>
      </c>
      <c r="L1062" t="s">
        <v>1568</v>
      </c>
      <c r="M1062" t="s">
        <v>1568</v>
      </c>
      <c r="N1062" t="s">
        <v>1568</v>
      </c>
      <c r="O1062" t="s">
        <v>1568</v>
      </c>
      <c r="P1062" t="s">
        <v>1568</v>
      </c>
      <c r="Q1062" t="s">
        <v>1568</v>
      </c>
      <c r="R1062" t="s">
        <v>1568</v>
      </c>
      <c r="S1062" t="s">
        <v>1568</v>
      </c>
      <c r="T1062" t="s">
        <v>1568</v>
      </c>
      <c r="U1062" t="s">
        <v>1568</v>
      </c>
      <c r="V1062" t="s">
        <v>1696</v>
      </c>
      <c r="W1062" t="s">
        <v>1530</v>
      </c>
      <c r="X1062" t="s">
        <v>30</v>
      </c>
      <c r="Y1062" t="s">
        <v>1572</v>
      </c>
    </row>
    <row r="1063" spans="1:25" ht="16" x14ac:dyDescent="0.2">
      <c r="A1063" t="s">
        <v>1568</v>
      </c>
      <c r="B1063" t="s">
        <v>1521</v>
      </c>
      <c r="C1063" t="s">
        <v>1568</v>
      </c>
      <c r="D1063" t="s">
        <v>1568</v>
      </c>
      <c r="E1063" t="s">
        <v>51</v>
      </c>
      <c r="F1063" t="s">
        <v>1786</v>
      </c>
      <c r="G1063" t="s">
        <v>1531</v>
      </c>
      <c r="H1063" t="s">
        <v>1568</v>
      </c>
      <c r="I1063" t="s">
        <v>1532</v>
      </c>
      <c r="J1063" t="s">
        <v>1568</v>
      </c>
      <c r="K1063" t="s">
        <v>1568</v>
      </c>
      <c r="L1063" t="s">
        <v>1568</v>
      </c>
      <c r="M1063" t="s">
        <v>1568</v>
      </c>
      <c r="N1063" t="s">
        <v>1568</v>
      </c>
      <c r="O1063" t="s">
        <v>1568</v>
      </c>
      <c r="P1063" t="s">
        <v>1568</v>
      </c>
      <c r="Q1063" t="s">
        <v>1568</v>
      </c>
      <c r="R1063" t="s">
        <v>1568</v>
      </c>
      <c r="S1063" t="s">
        <v>1568</v>
      </c>
      <c r="T1063" t="s">
        <v>1568</v>
      </c>
      <c r="U1063" t="s">
        <v>1568</v>
      </c>
      <c r="V1063" t="s">
        <v>1633</v>
      </c>
      <c r="W1063" t="s">
        <v>1533</v>
      </c>
      <c r="X1063" t="s">
        <v>30</v>
      </c>
      <c r="Y1063" t="s">
        <v>1572</v>
      </c>
    </row>
    <row r="1064" spans="1:25" ht="16" x14ac:dyDescent="0.2">
      <c r="A1064" t="s">
        <v>1568</v>
      </c>
      <c r="B1064" t="s">
        <v>1521</v>
      </c>
      <c r="C1064" t="s">
        <v>1568</v>
      </c>
      <c r="D1064" t="s">
        <v>1568</v>
      </c>
      <c r="E1064" t="s">
        <v>55</v>
      </c>
      <c r="F1064" t="s">
        <v>1786</v>
      </c>
      <c r="G1064" t="s">
        <v>1534</v>
      </c>
      <c r="H1064" t="s">
        <v>1568</v>
      </c>
      <c r="I1064" t="s">
        <v>1535</v>
      </c>
      <c r="J1064" t="s">
        <v>1568</v>
      </c>
      <c r="K1064" t="s">
        <v>1568</v>
      </c>
      <c r="L1064" t="s">
        <v>1568</v>
      </c>
      <c r="M1064" t="s">
        <v>1568</v>
      </c>
      <c r="N1064" t="s">
        <v>1568</v>
      </c>
      <c r="O1064" t="s">
        <v>1568</v>
      </c>
      <c r="P1064" t="s">
        <v>1568</v>
      </c>
      <c r="Q1064" t="s">
        <v>1568</v>
      </c>
      <c r="R1064" t="s">
        <v>1568</v>
      </c>
      <c r="S1064" t="s">
        <v>1568</v>
      </c>
      <c r="T1064" t="s">
        <v>1568</v>
      </c>
      <c r="U1064" t="s">
        <v>1568</v>
      </c>
      <c r="V1064" t="s">
        <v>1729</v>
      </c>
      <c r="W1064" t="s">
        <v>1536</v>
      </c>
      <c r="X1064" t="s">
        <v>30</v>
      </c>
      <c r="Y1064" t="s">
        <v>1572</v>
      </c>
    </row>
    <row r="1065" spans="1:25" ht="16" x14ac:dyDescent="0.2">
      <c r="A1065" t="s">
        <v>1568</v>
      </c>
      <c r="B1065" t="s">
        <v>1537</v>
      </c>
      <c r="C1065" t="s">
        <v>1568</v>
      </c>
      <c r="D1065" t="s">
        <v>1568</v>
      </c>
      <c r="E1065" t="s">
        <v>36</v>
      </c>
      <c r="F1065" t="s">
        <v>1771</v>
      </c>
      <c r="G1065" t="s">
        <v>1375</v>
      </c>
      <c r="H1065" t="s">
        <v>1568</v>
      </c>
      <c r="I1065" t="s">
        <v>1376</v>
      </c>
      <c r="J1065" t="s">
        <v>1568</v>
      </c>
      <c r="K1065" t="s">
        <v>1568</v>
      </c>
      <c r="L1065" t="s">
        <v>1568</v>
      </c>
      <c r="M1065" t="s">
        <v>1568</v>
      </c>
      <c r="N1065" t="s">
        <v>1568</v>
      </c>
      <c r="O1065" t="s">
        <v>1568</v>
      </c>
      <c r="P1065" t="s">
        <v>1568</v>
      </c>
      <c r="Q1065" t="s">
        <v>1568</v>
      </c>
      <c r="R1065" t="s">
        <v>1568</v>
      </c>
      <c r="S1065" t="s">
        <v>1568</v>
      </c>
      <c r="T1065" t="s">
        <v>1568</v>
      </c>
      <c r="U1065" t="s">
        <v>1568</v>
      </c>
      <c r="V1065" t="s">
        <v>1592</v>
      </c>
      <c r="W1065" t="s">
        <v>1377</v>
      </c>
      <c r="X1065" t="s">
        <v>30</v>
      </c>
      <c r="Y1065" t="s">
        <v>1572</v>
      </c>
    </row>
    <row r="1066" spans="1:25" ht="16" x14ac:dyDescent="0.2">
      <c r="A1066" t="s">
        <v>1568</v>
      </c>
      <c r="B1066" t="s">
        <v>1537</v>
      </c>
      <c r="C1066" t="s">
        <v>1568</v>
      </c>
      <c r="D1066" t="s">
        <v>1568</v>
      </c>
      <c r="E1066" t="s">
        <v>43</v>
      </c>
      <c r="F1066" t="s">
        <v>1771</v>
      </c>
      <c r="G1066" t="s">
        <v>1378</v>
      </c>
      <c r="H1066" t="s">
        <v>1568</v>
      </c>
      <c r="I1066" t="s">
        <v>1379</v>
      </c>
      <c r="J1066" t="s">
        <v>1568</v>
      </c>
      <c r="K1066" t="s">
        <v>1568</v>
      </c>
      <c r="L1066" t="s">
        <v>1568</v>
      </c>
      <c r="M1066" t="s">
        <v>1568</v>
      </c>
      <c r="N1066" t="s">
        <v>1568</v>
      </c>
      <c r="O1066" t="s">
        <v>1568</v>
      </c>
      <c r="P1066" t="s">
        <v>1568</v>
      </c>
      <c r="Q1066" t="s">
        <v>1568</v>
      </c>
      <c r="R1066" t="s">
        <v>1568</v>
      </c>
      <c r="S1066" t="s">
        <v>1568</v>
      </c>
      <c r="T1066" t="s">
        <v>1568</v>
      </c>
      <c r="U1066" t="s">
        <v>1568</v>
      </c>
      <c r="V1066" t="s">
        <v>1787</v>
      </c>
      <c r="W1066" t="s">
        <v>1380</v>
      </c>
      <c r="X1066" t="s">
        <v>30</v>
      </c>
      <c r="Y1066" t="s">
        <v>1572</v>
      </c>
    </row>
    <row r="1067" spans="1:25" ht="16" x14ac:dyDescent="0.2">
      <c r="A1067" t="s">
        <v>1568</v>
      </c>
      <c r="B1067" t="s">
        <v>1537</v>
      </c>
      <c r="C1067" t="s">
        <v>1568</v>
      </c>
      <c r="D1067" t="s">
        <v>1568</v>
      </c>
      <c r="E1067" t="s">
        <v>47</v>
      </c>
      <c r="F1067" t="s">
        <v>1771</v>
      </c>
      <c r="G1067" t="s">
        <v>1381</v>
      </c>
      <c r="H1067" t="s">
        <v>1568</v>
      </c>
      <c r="I1067" t="s">
        <v>1382</v>
      </c>
      <c r="J1067" t="s">
        <v>1568</v>
      </c>
      <c r="K1067" t="s">
        <v>1568</v>
      </c>
      <c r="L1067" t="s">
        <v>1568</v>
      </c>
      <c r="M1067" t="s">
        <v>1568</v>
      </c>
      <c r="N1067" t="s">
        <v>1568</v>
      </c>
      <c r="O1067" t="s">
        <v>1568</v>
      </c>
      <c r="P1067" t="s">
        <v>1568</v>
      </c>
      <c r="Q1067" t="s">
        <v>1568</v>
      </c>
      <c r="R1067" t="s">
        <v>1568</v>
      </c>
      <c r="S1067" t="s">
        <v>1568</v>
      </c>
      <c r="T1067" t="s">
        <v>1568</v>
      </c>
      <c r="U1067" t="s">
        <v>1568</v>
      </c>
      <c r="V1067" t="s">
        <v>1788</v>
      </c>
      <c r="W1067" t="s">
        <v>1383</v>
      </c>
      <c r="X1067" t="s">
        <v>30</v>
      </c>
      <c r="Y1067" t="s">
        <v>1572</v>
      </c>
    </row>
    <row r="1068" spans="1:25" ht="16" x14ac:dyDescent="0.2">
      <c r="A1068" t="s">
        <v>1568</v>
      </c>
      <c r="B1068" t="s">
        <v>1537</v>
      </c>
      <c r="C1068" t="s">
        <v>1568</v>
      </c>
      <c r="D1068" t="s">
        <v>1568</v>
      </c>
      <c r="E1068" t="s">
        <v>51</v>
      </c>
      <c r="F1068" t="s">
        <v>1771</v>
      </c>
      <c r="G1068" t="s">
        <v>1384</v>
      </c>
      <c r="H1068" t="s">
        <v>1568</v>
      </c>
      <c r="I1068" t="s">
        <v>1385</v>
      </c>
      <c r="J1068" t="s">
        <v>1568</v>
      </c>
      <c r="K1068" t="s">
        <v>1568</v>
      </c>
      <c r="L1068" t="s">
        <v>1568</v>
      </c>
      <c r="M1068" t="s">
        <v>1568</v>
      </c>
      <c r="N1068" t="s">
        <v>1568</v>
      </c>
      <c r="O1068" t="s">
        <v>1568</v>
      </c>
      <c r="P1068" t="s">
        <v>1568</v>
      </c>
      <c r="Q1068" t="s">
        <v>1568</v>
      </c>
      <c r="R1068" t="s">
        <v>1568</v>
      </c>
      <c r="S1068" t="s">
        <v>1568</v>
      </c>
      <c r="T1068" t="s">
        <v>1568</v>
      </c>
      <c r="U1068" t="s">
        <v>1568</v>
      </c>
      <c r="V1068" t="s">
        <v>1789</v>
      </c>
      <c r="W1068" t="s">
        <v>1386</v>
      </c>
      <c r="X1068" t="s">
        <v>30</v>
      </c>
      <c r="Y1068" t="s">
        <v>1572</v>
      </c>
    </row>
    <row r="1069" spans="1:25" ht="16" x14ac:dyDescent="0.2">
      <c r="A1069" t="s">
        <v>1568</v>
      </c>
      <c r="B1069" t="s">
        <v>1537</v>
      </c>
      <c r="C1069" t="s">
        <v>1568</v>
      </c>
      <c r="D1069" t="s">
        <v>1568</v>
      </c>
      <c r="E1069" t="s">
        <v>55</v>
      </c>
      <c r="F1069" t="s">
        <v>1771</v>
      </c>
      <c r="G1069" t="s">
        <v>1387</v>
      </c>
      <c r="H1069" t="s">
        <v>1568</v>
      </c>
      <c r="I1069" t="s">
        <v>1388</v>
      </c>
      <c r="J1069" t="s">
        <v>1568</v>
      </c>
      <c r="K1069" t="s">
        <v>1568</v>
      </c>
      <c r="L1069" t="s">
        <v>1568</v>
      </c>
      <c r="M1069" t="s">
        <v>1568</v>
      </c>
      <c r="N1069" t="s">
        <v>1568</v>
      </c>
      <c r="O1069" t="s">
        <v>1568</v>
      </c>
      <c r="P1069" t="s">
        <v>1568</v>
      </c>
      <c r="Q1069" t="s">
        <v>1568</v>
      </c>
      <c r="R1069" t="s">
        <v>1568</v>
      </c>
      <c r="S1069" t="s">
        <v>1568</v>
      </c>
      <c r="T1069" t="s">
        <v>1568</v>
      </c>
      <c r="U1069" t="s">
        <v>1568</v>
      </c>
      <c r="V1069" t="s">
        <v>1592</v>
      </c>
      <c r="W1069" t="s">
        <v>1389</v>
      </c>
      <c r="X1069" t="s">
        <v>30</v>
      </c>
      <c r="Y1069" t="s">
        <v>1572</v>
      </c>
    </row>
    <row r="1070" spans="1:25" ht="16" x14ac:dyDescent="0.2">
      <c r="A1070" t="s">
        <v>1568</v>
      </c>
      <c r="B1070" t="s">
        <v>1538</v>
      </c>
      <c r="C1070" t="s">
        <v>1568</v>
      </c>
      <c r="D1070" t="s">
        <v>1568</v>
      </c>
      <c r="E1070" t="s">
        <v>36</v>
      </c>
      <c r="F1070" t="s">
        <v>1786</v>
      </c>
      <c r="G1070" t="s">
        <v>1522</v>
      </c>
      <c r="H1070" t="s">
        <v>1568</v>
      </c>
      <c r="I1070" t="s">
        <v>1523</v>
      </c>
      <c r="J1070" t="s">
        <v>1568</v>
      </c>
      <c r="K1070" t="s">
        <v>1568</v>
      </c>
      <c r="L1070" t="s">
        <v>1568</v>
      </c>
      <c r="M1070" t="s">
        <v>1568</v>
      </c>
      <c r="N1070" t="s">
        <v>1568</v>
      </c>
      <c r="O1070" t="s">
        <v>1568</v>
      </c>
      <c r="P1070" t="s">
        <v>1568</v>
      </c>
      <c r="Q1070" t="s">
        <v>1568</v>
      </c>
      <c r="R1070" t="s">
        <v>1568</v>
      </c>
      <c r="S1070" t="s">
        <v>1568</v>
      </c>
      <c r="T1070" t="s">
        <v>1568</v>
      </c>
      <c r="U1070" t="s">
        <v>1568</v>
      </c>
      <c r="V1070" t="s">
        <v>1664</v>
      </c>
      <c r="W1070" t="s">
        <v>1524</v>
      </c>
      <c r="X1070" t="s">
        <v>59</v>
      </c>
      <c r="Y1070" t="s">
        <v>1581</v>
      </c>
    </row>
    <row r="1071" spans="1:25" ht="16" x14ac:dyDescent="0.2">
      <c r="A1071" t="s">
        <v>1568</v>
      </c>
      <c r="B1071" t="s">
        <v>1539</v>
      </c>
      <c r="C1071" t="s">
        <v>1568</v>
      </c>
      <c r="D1071" t="s">
        <v>1568</v>
      </c>
      <c r="E1071" t="s">
        <v>36</v>
      </c>
      <c r="F1071" t="s">
        <v>1771</v>
      </c>
      <c r="G1071" t="s">
        <v>1375</v>
      </c>
      <c r="H1071" t="s">
        <v>1568</v>
      </c>
      <c r="I1071" t="s">
        <v>1376</v>
      </c>
      <c r="J1071" t="s">
        <v>1568</v>
      </c>
      <c r="K1071" t="s">
        <v>1568</v>
      </c>
      <c r="L1071" t="s">
        <v>1568</v>
      </c>
      <c r="M1071" t="s">
        <v>1568</v>
      </c>
      <c r="N1071" t="s">
        <v>1568</v>
      </c>
      <c r="O1071" t="s">
        <v>1568</v>
      </c>
      <c r="P1071" t="s">
        <v>1568</v>
      </c>
      <c r="Q1071" t="s">
        <v>1568</v>
      </c>
      <c r="R1071" t="s">
        <v>1568</v>
      </c>
      <c r="S1071" t="s">
        <v>1568</v>
      </c>
      <c r="T1071" t="s">
        <v>1568</v>
      </c>
      <c r="U1071" t="s">
        <v>1568</v>
      </c>
      <c r="V1071" t="s">
        <v>1592</v>
      </c>
      <c r="W1071" t="s">
        <v>1377</v>
      </c>
      <c r="X1071" t="s">
        <v>59</v>
      </c>
      <c r="Y1071" t="s">
        <v>1581</v>
      </c>
    </row>
    <row r="1072" spans="1:25" ht="16" x14ac:dyDescent="0.2">
      <c r="A1072" t="s">
        <v>1568</v>
      </c>
      <c r="B1072" t="s">
        <v>1539</v>
      </c>
      <c r="C1072" t="s">
        <v>1568</v>
      </c>
      <c r="D1072" t="s">
        <v>1568</v>
      </c>
      <c r="E1072" t="s">
        <v>43</v>
      </c>
      <c r="F1072" t="s">
        <v>1771</v>
      </c>
      <c r="G1072" t="s">
        <v>1378</v>
      </c>
      <c r="H1072" t="s">
        <v>1568</v>
      </c>
      <c r="I1072" t="s">
        <v>1379</v>
      </c>
      <c r="J1072" t="s">
        <v>1568</v>
      </c>
      <c r="K1072" t="s">
        <v>1568</v>
      </c>
      <c r="L1072" t="s">
        <v>1568</v>
      </c>
      <c r="M1072" t="s">
        <v>1568</v>
      </c>
      <c r="N1072" t="s">
        <v>1568</v>
      </c>
      <c r="O1072" t="s">
        <v>1568</v>
      </c>
      <c r="P1072" t="s">
        <v>1568</v>
      </c>
      <c r="Q1072" t="s">
        <v>1568</v>
      </c>
      <c r="R1072" t="s">
        <v>1568</v>
      </c>
      <c r="S1072" t="s">
        <v>1568</v>
      </c>
      <c r="T1072" t="s">
        <v>1568</v>
      </c>
      <c r="U1072" t="s">
        <v>1568</v>
      </c>
      <c r="V1072" t="s">
        <v>1677</v>
      </c>
      <c r="W1072" t="s">
        <v>1380</v>
      </c>
      <c r="X1072" t="s">
        <v>59</v>
      </c>
      <c r="Y1072" t="s">
        <v>1581</v>
      </c>
    </row>
    <row r="1073" spans="1:25" ht="16" x14ac:dyDescent="0.2">
      <c r="A1073" t="s">
        <v>1568</v>
      </c>
      <c r="B1073" t="s">
        <v>1539</v>
      </c>
      <c r="C1073" t="s">
        <v>1568</v>
      </c>
      <c r="D1073" t="s">
        <v>1568</v>
      </c>
      <c r="E1073" t="s">
        <v>47</v>
      </c>
      <c r="F1073" t="s">
        <v>1771</v>
      </c>
      <c r="G1073" t="s">
        <v>1381</v>
      </c>
      <c r="H1073" t="s">
        <v>1568</v>
      </c>
      <c r="I1073" t="s">
        <v>1382</v>
      </c>
      <c r="J1073" t="s">
        <v>1568</v>
      </c>
      <c r="K1073" t="s">
        <v>1568</v>
      </c>
      <c r="L1073" t="s">
        <v>1568</v>
      </c>
      <c r="M1073" t="s">
        <v>1568</v>
      </c>
      <c r="N1073" t="s">
        <v>1568</v>
      </c>
      <c r="O1073" t="s">
        <v>1568</v>
      </c>
      <c r="P1073" t="s">
        <v>1568</v>
      </c>
      <c r="Q1073" t="s">
        <v>1568</v>
      </c>
      <c r="R1073" t="s">
        <v>1568</v>
      </c>
      <c r="S1073" t="s">
        <v>1568</v>
      </c>
      <c r="T1073" t="s">
        <v>1568</v>
      </c>
      <c r="U1073" t="s">
        <v>1568</v>
      </c>
      <c r="V1073" t="s">
        <v>1723</v>
      </c>
      <c r="W1073" t="s">
        <v>1383</v>
      </c>
      <c r="X1073" t="s">
        <v>59</v>
      </c>
      <c r="Y1073" t="s">
        <v>1581</v>
      </c>
    </row>
    <row r="1074" spans="1:25" ht="16" x14ac:dyDescent="0.2">
      <c r="A1074" t="s">
        <v>1568</v>
      </c>
      <c r="B1074" t="s">
        <v>1539</v>
      </c>
      <c r="C1074" t="s">
        <v>1568</v>
      </c>
      <c r="D1074" t="s">
        <v>1568</v>
      </c>
      <c r="E1074" t="s">
        <v>51</v>
      </c>
      <c r="F1074" t="s">
        <v>1771</v>
      </c>
      <c r="G1074" t="s">
        <v>1384</v>
      </c>
      <c r="H1074" t="s">
        <v>1568</v>
      </c>
      <c r="I1074" t="s">
        <v>1385</v>
      </c>
      <c r="J1074" t="s">
        <v>1568</v>
      </c>
      <c r="K1074" t="s">
        <v>1568</v>
      </c>
      <c r="L1074" t="s">
        <v>1568</v>
      </c>
      <c r="M1074" t="s">
        <v>1568</v>
      </c>
      <c r="N1074" t="s">
        <v>1568</v>
      </c>
      <c r="O1074" t="s">
        <v>1568</v>
      </c>
      <c r="P1074" t="s">
        <v>1568</v>
      </c>
      <c r="Q1074" t="s">
        <v>1568</v>
      </c>
      <c r="R1074" t="s">
        <v>1568</v>
      </c>
      <c r="S1074" t="s">
        <v>1568</v>
      </c>
      <c r="T1074" t="s">
        <v>1568</v>
      </c>
      <c r="U1074" t="s">
        <v>1568</v>
      </c>
      <c r="V1074" t="s">
        <v>1790</v>
      </c>
      <c r="W1074" t="s">
        <v>1386</v>
      </c>
      <c r="X1074" t="s">
        <v>59</v>
      </c>
      <c r="Y1074" t="s">
        <v>1581</v>
      </c>
    </row>
    <row r="1075" spans="1:25" ht="16" x14ac:dyDescent="0.2">
      <c r="A1075" t="s">
        <v>1568</v>
      </c>
      <c r="B1075" t="s">
        <v>1539</v>
      </c>
      <c r="C1075" t="s">
        <v>1568</v>
      </c>
      <c r="D1075" t="s">
        <v>1568</v>
      </c>
      <c r="E1075" t="s">
        <v>55</v>
      </c>
      <c r="F1075" t="s">
        <v>1771</v>
      </c>
      <c r="G1075" t="s">
        <v>1387</v>
      </c>
      <c r="H1075" t="s">
        <v>1568</v>
      </c>
      <c r="I1075" t="s">
        <v>1388</v>
      </c>
      <c r="J1075" t="s">
        <v>1568</v>
      </c>
      <c r="K1075" t="s">
        <v>1568</v>
      </c>
      <c r="L1075" t="s">
        <v>1568</v>
      </c>
      <c r="M1075" t="s">
        <v>1568</v>
      </c>
      <c r="N1075" t="s">
        <v>1568</v>
      </c>
      <c r="O1075" t="s">
        <v>1568</v>
      </c>
      <c r="P1075" t="s">
        <v>1568</v>
      </c>
      <c r="Q1075" t="s">
        <v>1568</v>
      </c>
      <c r="R1075" t="s">
        <v>1568</v>
      </c>
      <c r="S1075" t="s">
        <v>1568</v>
      </c>
      <c r="T1075" t="s">
        <v>1568</v>
      </c>
      <c r="U1075" t="s">
        <v>1568</v>
      </c>
      <c r="V1075" t="s">
        <v>1592</v>
      </c>
      <c r="W1075" t="s">
        <v>1389</v>
      </c>
      <c r="X1075" t="s">
        <v>59</v>
      </c>
      <c r="Y1075" t="s">
        <v>1581</v>
      </c>
    </row>
    <row r="1076" spans="1:25" ht="16" x14ac:dyDescent="0.2">
      <c r="A1076" t="s">
        <v>1568</v>
      </c>
      <c r="B1076" t="s">
        <v>1540</v>
      </c>
      <c r="C1076" t="s">
        <v>1568</v>
      </c>
      <c r="D1076" t="s">
        <v>1568</v>
      </c>
      <c r="E1076" t="s">
        <v>36</v>
      </c>
      <c r="F1076" t="s">
        <v>1771</v>
      </c>
      <c r="G1076" t="s">
        <v>1375</v>
      </c>
      <c r="H1076" t="s">
        <v>1568</v>
      </c>
      <c r="I1076" t="s">
        <v>1376</v>
      </c>
      <c r="J1076" t="s">
        <v>1568</v>
      </c>
      <c r="K1076" t="s">
        <v>1568</v>
      </c>
      <c r="L1076" t="s">
        <v>1568</v>
      </c>
      <c r="M1076" t="s">
        <v>1568</v>
      </c>
      <c r="N1076" t="s">
        <v>1568</v>
      </c>
      <c r="O1076" t="s">
        <v>1568</v>
      </c>
      <c r="P1076" t="s">
        <v>1568</v>
      </c>
      <c r="Q1076" t="s">
        <v>1568</v>
      </c>
      <c r="R1076" t="s">
        <v>1568</v>
      </c>
      <c r="S1076" t="s">
        <v>1568</v>
      </c>
      <c r="T1076" t="s">
        <v>1568</v>
      </c>
      <c r="U1076" t="s">
        <v>1568</v>
      </c>
      <c r="V1076" t="s">
        <v>1592</v>
      </c>
      <c r="W1076" t="s">
        <v>1377</v>
      </c>
      <c r="X1076" t="s">
        <v>61</v>
      </c>
      <c r="Y1076" t="s">
        <v>1587</v>
      </c>
    </row>
    <row r="1077" spans="1:25" ht="16" x14ac:dyDescent="0.2">
      <c r="A1077" t="s">
        <v>1568</v>
      </c>
      <c r="B1077" t="s">
        <v>1540</v>
      </c>
      <c r="C1077" t="s">
        <v>1568</v>
      </c>
      <c r="D1077" t="s">
        <v>1568</v>
      </c>
      <c r="E1077" t="s">
        <v>43</v>
      </c>
      <c r="F1077" t="s">
        <v>1771</v>
      </c>
      <c r="G1077" t="s">
        <v>1378</v>
      </c>
      <c r="H1077" t="s">
        <v>1568</v>
      </c>
      <c r="I1077" t="s">
        <v>1379</v>
      </c>
      <c r="J1077" t="s">
        <v>1568</v>
      </c>
      <c r="K1077" t="s">
        <v>1568</v>
      </c>
      <c r="L1077" t="s">
        <v>1568</v>
      </c>
      <c r="M1077" t="s">
        <v>1568</v>
      </c>
      <c r="N1077" t="s">
        <v>1568</v>
      </c>
      <c r="O1077" t="s">
        <v>1568</v>
      </c>
      <c r="P1077" t="s">
        <v>1568</v>
      </c>
      <c r="Q1077" t="s">
        <v>1568</v>
      </c>
      <c r="R1077" t="s">
        <v>1568</v>
      </c>
      <c r="S1077" t="s">
        <v>1568</v>
      </c>
      <c r="T1077" t="s">
        <v>1568</v>
      </c>
      <c r="U1077" t="s">
        <v>1568</v>
      </c>
      <c r="V1077" t="s">
        <v>1790</v>
      </c>
      <c r="W1077" t="s">
        <v>1380</v>
      </c>
      <c r="X1077" t="s">
        <v>61</v>
      </c>
      <c r="Y1077" t="s">
        <v>1587</v>
      </c>
    </row>
    <row r="1078" spans="1:25" ht="16" x14ac:dyDescent="0.2">
      <c r="A1078" t="s">
        <v>1568</v>
      </c>
      <c r="B1078" t="s">
        <v>1540</v>
      </c>
      <c r="C1078" t="s">
        <v>1568</v>
      </c>
      <c r="D1078" t="s">
        <v>1568</v>
      </c>
      <c r="E1078" t="s">
        <v>47</v>
      </c>
      <c r="F1078" t="s">
        <v>1771</v>
      </c>
      <c r="G1078" t="s">
        <v>1381</v>
      </c>
      <c r="H1078" t="s">
        <v>1568</v>
      </c>
      <c r="I1078" t="s">
        <v>1382</v>
      </c>
      <c r="J1078" t="s">
        <v>1568</v>
      </c>
      <c r="K1078" t="s">
        <v>1568</v>
      </c>
      <c r="L1078" t="s">
        <v>1568</v>
      </c>
      <c r="M1078" t="s">
        <v>1568</v>
      </c>
      <c r="N1078" t="s">
        <v>1568</v>
      </c>
      <c r="O1078" t="s">
        <v>1568</v>
      </c>
      <c r="P1078" t="s">
        <v>1568</v>
      </c>
      <c r="Q1078" t="s">
        <v>1568</v>
      </c>
      <c r="R1078" t="s">
        <v>1568</v>
      </c>
      <c r="S1078" t="s">
        <v>1568</v>
      </c>
      <c r="T1078" t="s">
        <v>1568</v>
      </c>
      <c r="U1078" t="s">
        <v>1568</v>
      </c>
      <c r="V1078" t="s">
        <v>1748</v>
      </c>
      <c r="W1078" t="s">
        <v>1383</v>
      </c>
      <c r="X1078" t="s">
        <v>61</v>
      </c>
      <c r="Y1078" t="s">
        <v>1587</v>
      </c>
    </row>
    <row r="1079" spans="1:25" ht="16" x14ac:dyDescent="0.2">
      <c r="A1079" t="s">
        <v>1568</v>
      </c>
      <c r="B1079" t="s">
        <v>1540</v>
      </c>
      <c r="C1079" t="s">
        <v>1568</v>
      </c>
      <c r="D1079" t="s">
        <v>1568</v>
      </c>
      <c r="E1079" t="s">
        <v>51</v>
      </c>
      <c r="F1079" t="s">
        <v>1771</v>
      </c>
      <c r="G1079" t="s">
        <v>1384</v>
      </c>
      <c r="H1079" t="s">
        <v>1568</v>
      </c>
      <c r="I1079" t="s">
        <v>1385</v>
      </c>
      <c r="J1079" t="s">
        <v>1568</v>
      </c>
      <c r="K1079" t="s">
        <v>1568</v>
      </c>
      <c r="L1079" t="s">
        <v>1568</v>
      </c>
      <c r="M1079" t="s">
        <v>1568</v>
      </c>
      <c r="N1079" t="s">
        <v>1568</v>
      </c>
      <c r="O1079" t="s">
        <v>1568</v>
      </c>
      <c r="P1079" t="s">
        <v>1568</v>
      </c>
      <c r="Q1079" t="s">
        <v>1568</v>
      </c>
      <c r="R1079" t="s">
        <v>1568</v>
      </c>
      <c r="S1079" t="s">
        <v>1568</v>
      </c>
      <c r="T1079" t="s">
        <v>1568</v>
      </c>
      <c r="U1079" t="s">
        <v>1568</v>
      </c>
      <c r="V1079" t="s">
        <v>1791</v>
      </c>
      <c r="W1079" t="s">
        <v>1386</v>
      </c>
      <c r="X1079" t="s">
        <v>61</v>
      </c>
      <c r="Y1079" t="s">
        <v>1587</v>
      </c>
    </row>
    <row r="1080" spans="1:25" ht="16" x14ac:dyDescent="0.2">
      <c r="A1080" t="s">
        <v>1568</v>
      </c>
      <c r="B1080" t="s">
        <v>1540</v>
      </c>
      <c r="C1080" t="s">
        <v>1568</v>
      </c>
      <c r="D1080" t="s">
        <v>1568</v>
      </c>
      <c r="E1080" t="s">
        <v>55</v>
      </c>
      <c r="F1080" t="s">
        <v>1771</v>
      </c>
      <c r="G1080" t="s">
        <v>1387</v>
      </c>
      <c r="H1080" t="s">
        <v>1568</v>
      </c>
      <c r="I1080" t="s">
        <v>1388</v>
      </c>
      <c r="J1080" t="s">
        <v>1568</v>
      </c>
      <c r="K1080" t="s">
        <v>1568</v>
      </c>
      <c r="L1080" t="s">
        <v>1568</v>
      </c>
      <c r="M1080" t="s">
        <v>1568</v>
      </c>
      <c r="N1080" t="s">
        <v>1568</v>
      </c>
      <c r="O1080" t="s">
        <v>1568</v>
      </c>
      <c r="P1080" t="s">
        <v>1568</v>
      </c>
      <c r="Q1080" t="s">
        <v>1568</v>
      </c>
      <c r="R1080" t="s">
        <v>1568</v>
      </c>
      <c r="S1080" t="s">
        <v>1568</v>
      </c>
      <c r="T1080" t="s">
        <v>1568</v>
      </c>
      <c r="U1080" t="s">
        <v>1568</v>
      </c>
      <c r="V1080" t="s">
        <v>1592</v>
      </c>
      <c r="W1080" t="s">
        <v>1389</v>
      </c>
      <c r="X1080" t="s">
        <v>61</v>
      </c>
      <c r="Y1080" t="s">
        <v>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Orders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 bhandari</cp:lastModifiedBy>
  <dcterms:modified xsi:type="dcterms:W3CDTF">2026-06-02T06:21:34Z</dcterms:modified>
</cp:coreProperties>
</file>