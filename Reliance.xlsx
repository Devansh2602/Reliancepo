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E2070C77-EC40-AB4B-BCDF-C2803FB2F80C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E3" i="1" a="1"/>
  <c r="AE3" i="1" s="1"/>
  <c r="AE4" i="1" a="1"/>
  <c r="AE4" i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/>
  <c r="AE11" i="1" a="1"/>
  <c r="AE11" i="1" s="1"/>
  <c r="AE12" i="1" a="1"/>
  <c r="AE12" i="1"/>
  <c r="AE13" i="1" a="1"/>
  <c r="AE13" i="1" s="1"/>
  <c r="AE14" i="1" a="1"/>
  <c r="AE14" i="1"/>
  <c r="AE15" i="1" a="1"/>
  <c r="AE15" i="1" s="1"/>
  <c r="AE16" i="1" a="1"/>
  <c r="AE16" i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/>
  <c r="AE27" i="1" a="1"/>
  <c r="AE27" i="1" s="1"/>
  <c r="AE28" i="1" a="1"/>
  <c r="AE28" i="1"/>
  <c r="AE29" i="1" a="1"/>
  <c r="AE29" i="1" s="1"/>
  <c r="AE30" i="1" a="1"/>
  <c r="AE30" i="1"/>
  <c r="AE31" i="1" a="1"/>
  <c r="AE31" i="1" s="1"/>
  <c r="AE32" i="1" a="1"/>
  <c r="AE32" i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/>
  <c r="AE43" i="1" a="1"/>
  <c r="AE43" i="1" s="1"/>
  <c r="AE44" i="1" a="1"/>
  <c r="AE44" i="1"/>
  <c r="AE45" i="1" a="1"/>
  <c r="AE45" i="1" s="1"/>
  <c r="AE46" i="1" a="1"/>
  <c r="AE46" i="1"/>
  <c r="AE47" i="1" a="1"/>
  <c r="AE47" i="1" s="1"/>
  <c r="AE48" i="1" a="1"/>
  <c r="AE48" i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/>
  <c r="AE59" i="1" a="1"/>
  <c r="AE59" i="1" s="1"/>
  <c r="AE60" i="1" a="1"/>
  <c r="AE60" i="1"/>
  <c r="AE61" i="1" a="1"/>
  <c r="AE61" i="1" s="1"/>
  <c r="AE62" i="1" a="1"/>
  <c r="AE62" i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/>
  <c r="AE75" i="1" a="1"/>
  <c r="AE75" i="1" s="1"/>
  <c r="AE76" i="1" a="1"/>
  <c r="AE76" i="1"/>
  <c r="AE77" i="1" a="1"/>
  <c r="AE77" i="1" s="1"/>
  <c r="AE78" i="1" a="1"/>
  <c r="AE78" i="1"/>
  <c r="AE79" i="1" a="1"/>
  <c r="AE79" i="1" s="1"/>
  <c r="AE80" i="1" a="1"/>
  <c r="AE80" i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/>
  <c r="AE91" i="1" a="1"/>
  <c r="AE91" i="1" s="1"/>
  <c r="AE92" i="1" a="1"/>
  <c r="AE92" i="1"/>
  <c r="AE93" i="1" a="1"/>
  <c r="AE93" i="1" s="1"/>
  <c r="AE94" i="1" a="1"/>
  <c r="AE94" i="1"/>
  <c r="AE95" i="1" a="1"/>
  <c r="AE95" i="1" s="1"/>
  <c r="AE96" i="1" a="1"/>
  <c r="AE96" i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/>
  <c r="AE107" i="1" a="1"/>
  <c r="AE107" i="1" s="1"/>
  <c r="AE108" i="1" a="1"/>
  <c r="AE108" i="1"/>
  <c r="AE109" i="1" a="1"/>
  <c r="AE109" i="1" s="1"/>
  <c r="AE110" i="1" a="1"/>
  <c r="AE110" i="1"/>
  <c r="AE111" i="1" a="1"/>
  <c r="AE111" i="1" s="1"/>
  <c r="AE112" i="1" a="1"/>
  <c r="AE112" i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/>
  <c r="AE123" i="1" a="1"/>
  <c r="AE123" i="1" s="1"/>
  <c r="AE124" i="1" a="1"/>
  <c r="AE124" i="1"/>
  <c r="AE125" i="1" a="1"/>
  <c r="AE125" i="1" s="1"/>
  <c r="AE126" i="1" a="1"/>
  <c r="AE126" i="1" s="1"/>
  <c r="AE127" i="1" a="1"/>
  <c r="AE127" i="1" s="1"/>
  <c r="AE128" i="1" a="1"/>
  <c r="AE128" i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/>
  <c r="AE139" i="1" a="1"/>
  <c r="AE139" i="1" s="1"/>
  <c r="AE140" i="1" a="1"/>
  <c r="AE140" i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/>
  <c r="AE155" i="1" a="1"/>
  <c r="AE155" i="1" s="1"/>
  <c r="AE156" i="1" a="1"/>
  <c r="AE156" i="1"/>
  <c r="AE157" i="1" a="1"/>
  <c r="AE157" i="1" s="1"/>
  <c r="AE158" i="1" a="1"/>
  <c r="AE158" i="1"/>
  <c r="AE159" i="1" a="1"/>
  <c r="AE159" i="1" s="1"/>
  <c r="AE160" i="1" a="1"/>
  <c r="AE160" i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/>
  <c r="AE171" i="1" a="1"/>
  <c r="AE171" i="1" s="1"/>
  <c r="AE172" i="1" a="1"/>
  <c r="AE172" i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/>
  <c r="AE187" i="1" a="1"/>
  <c r="AE187" i="1" s="1"/>
  <c r="AE188" i="1" a="1"/>
  <c r="AE188" i="1" s="1"/>
  <c r="AE189" i="1" a="1"/>
  <c r="AE189" i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/>
  <c r="AE205" i="1" a="1"/>
  <c r="AE205" i="1" s="1"/>
  <c r="AE206" i="1" a="1"/>
  <c r="AE206" i="1" s="1"/>
  <c r="AE207" i="1" a="1"/>
  <c r="AE207" i="1" s="1"/>
  <c r="AE208" i="1" a="1"/>
  <c r="AE208" i="1"/>
  <c r="AE209" i="1" a="1"/>
  <c r="AE209" i="1" s="1"/>
  <c r="AE210" i="1" a="1"/>
  <c r="AE210" i="1" s="1"/>
  <c r="AE211" i="1" a="1"/>
  <c r="AE211" i="1" s="1"/>
  <c r="AE212" i="1" a="1"/>
  <c r="AE212" i="1"/>
  <c r="AE213" i="1" a="1"/>
  <c r="AE213" i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/>
  <c r="AE219" i="1" a="1"/>
  <c r="AE219" i="1" s="1"/>
  <c r="AE220" i="1" a="1"/>
  <c r="AE220" i="1" s="1"/>
  <c r="AE221" i="1" a="1"/>
  <c r="AE221" i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/>
  <c r="AE250" i="1" a="1"/>
  <c r="AE250" i="1"/>
  <c r="AE251" i="1" a="1"/>
  <c r="AE251" i="1" s="1"/>
  <c r="AE252" i="1" a="1"/>
  <c r="AE252" i="1" s="1"/>
  <c r="AE253" i="1" a="1"/>
  <c r="AE253" i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/>
  <c r="AE269" i="1" a="1"/>
  <c r="AE269" i="1" s="1"/>
  <c r="AE270" i="1" a="1"/>
  <c r="AE270" i="1" s="1"/>
  <c r="AE271" i="1" a="1"/>
  <c r="AE271" i="1" s="1"/>
  <c r="AE272" i="1" a="1"/>
  <c r="AE272" i="1"/>
  <c r="AE273" i="1" a="1"/>
  <c r="AE273" i="1" s="1"/>
  <c r="AE274" i="1" a="1"/>
  <c r="AE274" i="1" s="1"/>
  <c r="AE275" i="1" a="1"/>
  <c r="AE275" i="1" s="1"/>
  <c r="AE276" i="1" a="1"/>
  <c r="AE276" i="1"/>
  <c r="AE277" i="1" a="1"/>
  <c r="AE277" i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/>
  <c r="AE283" i="1" a="1"/>
  <c r="AE283" i="1" s="1"/>
  <c r="AE284" i="1" a="1"/>
  <c r="AE284" i="1" s="1"/>
  <c r="AE285" i="1" a="1"/>
  <c r="AE285" i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/>
  <c r="AE314" i="1" a="1"/>
  <c r="AE314" i="1"/>
  <c r="AE315" i="1" a="1"/>
  <c r="AE315" i="1" s="1"/>
  <c r="AE316" i="1" a="1"/>
  <c r="AE316" i="1" s="1"/>
  <c r="AE317" i="1" a="1"/>
  <c r="AE317" i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/>
  <c r="AE333" i="1" a="1"/>
  <c r="AE333" i="1" s="1"/>
  <c r="AE334" i="1" a="1"/>
  <c r="AE334" i="1" s="1"/>
  <c r="AE335" i="1" a="1"/>
  <c r="AE335" i="1" s="1"/>
  <c r="AE336" i="1" a="1"/>
  <c r="AE336" i="1"/>
  <c r="AE337" i="1" a="1"/>
  <c r="AE337" i="1" s="1"/>
  <c r="AE338" i="1" a="1"/>
  <c r="AE338" i="1" s="1"/>
  <c r="AE339" i="1" a="1"/>
  <c r="AE339" i="1" s="1"/>
  <c r="AE340" i="1" a="1"/>
  <c r="AE340" i="1"/>
  <c r="AE341" i="1" a="1"/>
  <c r="AE341" i="1"/>
  <c r="AE342" i="1" a="1"/>
  <c r="AE342" i="1" s="1"/>
  <c r="AE343" i="1" a="1"/>
  <c r="AE343" i="1" s="1"/>
  <c r="AE344" i="1" a="1"/>
  <c r="AE344" i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/>
  <c r="AE582" i="1" a="1"/>
  <c r="AE582" i="1" s="1"/>
  <c r="AE583" i="1" a="1"/>
  <c r="AE583" i="1" s="1"/>
  <c r="AE584" i="1" a="1"/>
  <c r="AE584" i="1"/>
  <c r="AE585" i="1" a="1"/>
  <c r="AE585" i="1"/>
  <c r="AE586" i="1" a="1"/>
  <c r="AE586" i="1"/>
  <c r="AE587" i="1" a="1"/>
  <c r="AE587" i="1" s="1"/>
  <c r="AE588" i="1" a="1"/>
  <c r="AE588" i="1" s="1"/>
  <c r="AE589" i="1" a="1"/>
  <c r="AE589" i="1" s="1"/>
  <c r="AE590" i="1" a="1"/>
  <c r="AE590" i="1"/>
  <c r="AE591" i="1" a="1"/>
  <c r="AE591" i="1" s="1"/>
  <c r="AE592" i="1" a="1"/>
  <c r="AE592" i="1"/>
  <c r="AE593" i="1" a="1"/>
  <c r="AE593" i="1"/>
  <c r="AE594" i="1" a="1"/>
  <c r="AE594" i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/>
  <c r="AE601" i="1" a="1"/>
  <c r="AE601" i="1"/>
  <c r="AE602" i="1" a="1"/>
  <c r="AE602" i="1" s="1"/>
  <c r="AE603" i="1" a="1"/>
  <c r="AE603" i="1" s="1"/>
  <c r="AE604" i="1" a="1"/>
  <c r="AE604" i="1"/>
  <c r="AE605" i="1" a="1"/>
  <c r="AE605" i="1" s="1"/>
  <c r="AE606" i="1" a="1"/>
  <c r="AE606" i="1" s="1"/>
  <c r="AE607" i="1" a="1"/>
  <c r="AE607" i="1" s="1"/>
  <c r="AE608" i="1" a="1"/>
  <c r="AE608" i="1" s="1"/>
  <c r="AE609" i="1" a="1"/>
  <c r="AE609" i="1"/>
  <c r="AE610" i="1" a="1"/>
  <c r="AE610" i="1"/>
  <c r="AE611" i="1" a="1"/>
  <c r="AE611" i="1" s="1"/>
  <c r="AE612" i="1" a="1"/>
  <c r="AE612" i="1"/>
  <c r="AE613" i="1" a="1"/>
  <c r="AE613" i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/>
  <c r="AE619" i="1" a="1"/>
  <c r="AE619" i="1" s="1"/>
  <c r="AE620" i="1" a="1"/>
  <c r="AE620" i="1"/>
  <c r="AE621" i="1" a="1"/>
  <c r="AE621" i="1"/>
  <c r="AE622" i="1" a="1"/>
  <c r="AE622" i="1"/>
  <c r="AE623" i="1" a="1"/>
  <c r="AE623" i="1" s="1"/>
  <c r="AE624" i="1" a="1"/>
  <c r="AE624" i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/>
  <c r="AE630" i="1" a="1"/>
  <c r="AE630" i="1"/>
  <c r="AE631" i="1" a="1"/>
  <c r="AE631" i="1" s="1"/>
  <c r="AE632" i="1" a="1"/>
  <c r="AE632" i="1"/>
  <c r="AE633" i="1" a="1"/>
  <c r="AE633" i="1"/>
  <c r="AE634" i="1" a="1"/>
  <c r="AE634" i="1" s="1"/>
  <c r="AE635" i="1" a="1"/>
  <c r="AE635" i="1" s="1"/>
  <c r="AE636" i="1" a="1"/>
  <c r="AE636" i="1"/>
  <c r="AE637" i="1" a="1"/>
  <c r="AE637" i="1" s="1"/>
  <c r="AE638" i="1" a="1"/>
  <c r="AE638" i="1"/>
  <c r="AE639" i="1" a="1"/>
  <c r="AE639" i="1" s="1"/>
  <c r="AE640" i="1" a="1"/>
  <c r="AE640" i="1" s="1"/>
  <c r="AE641" i="1" a="1"/>
  <c r="AE641" i="1"/>
  <c r="AE642" i="1" a="1"/>
  <c r="AE642" i="1"/>
  <c r="AE643" i="1" a="1"/>
  <c r="AE643" i="1" s="1"/>
  <c r="AE644" i="1" a="1"/>
  <c r="AE644" i="1"/>
  <c r="AE645" i="1" a="1"/>
  <c r="AE645" i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/>
  <c r="AE651" i="1" a="1"/>
  <c r="AE651" i="1" s="1"/>
  <c r="AE652" i="1" a="1"/>
  <c r="AE652" i="1"/>
  <c r="AE653" i="1" a="1"/>
  <c r="AE653" i="1"/>
  <c r="AE654" i="1" a="1"/>
  <c r="AE654" i="1"/>
  <c r="AE655" i="1" a="1"/>
  <c r="AE655" i="1" s="1"/>
  <c r="AE656" i="1" a="1"/>
  <c r="AE656" i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/>
  <c r="AE662" i="1" a="1"/>
  <c r="AE662" i="1" s="1"/>
  <c r="AE663" i="1" a="1"/>
  <c r="AE663" i="1" s="1"/>
  <c r="AE664" i="1" a="1"/>
  <c r="AE664" i="1"/>
  <c r="AE665" i="1" a="1"/>
  <c r="AE665" i="1"/>
  <c r="AE666" i="1" a="1"/>
  <c r="AE666" i="1"/>
  <c r="AE667" i="1" a="1"/>
  <c r="AE667" i="1" s="1"/>
  <c r="AE668" i="1" a="1"/>
  <c r="AE668" i="1"/>
  <c r="AE669" i="1" a="1"/>
  <c r="AE669" i="1" s="1"/>
  <c r="AE670" i="1" a="1"/>
  <c r="AE670" i="1"/>
  <c r="AE671" i="1" a="1"/>
  <c r="AE671" i="1" s="1"/>
  <c r="AE672" i="1" a="1"/>
  <c r="AE672" i="1" s="1"/>
  <c r="AE673" i="1" a="1"/>
  <c r="AE673" i="1"/>
  <c r="AE674" i="1" a="1"/>
  <c r="AE674" i="1"/>
  <c r="AE675" i="1" a="1"/>
  <c r="AE675" i="1" s="1"/>
  <c r="AE676" i="1" a="1"/>
  <c r="AE676" i="1"/>
  <c r="AE677" i="1" a="1"/>
  <c r="AE677" i="1"/>
  <c r="AE678" i="1" a="1"/>
  <c r="AE678" i="1" s="1"/>
  <c r="AE679" i="1" a="1"/>
  <c r="AE679" i="1" s="1"/>
  <c r="AE680" i="1" a="1"/>
  <c r="AE680" i="1"/>
  <c r="AE681" i="1" a="1"/>
  <c r="AE681" i="1" s="1"/>
  <c r="AE682" i="1" a="1"/>
  <c r="AE682" i="1"/>
  <c r="AE683" i="1" a="1"/>
  <c r="AE683" i="1" s="1"/>
  <c r="AE684" i="1" a="1"/>
  <c r="AE684" i="1"/>
  <c r="AE685" i="1" a="1"/>
  <c r="AE685" i="1"/>
  <c r="AE686" i="1" a="1"/>
  <c r="AE686" i="1"/>
  <c r="AE687" i="1" a="1"/>
  <c r="AE687" i="1" s="1"/>
  <c r="AE688" i="1" a="1"/>
  <c r="AE688" i="1"/>
  <c r="AE689" i="1" a="1"/>
  <c r="AE689" i="1"/>
  <c r="AE690" i="1" a="1"/>
  <c r="AE690" i="1" s="1"/>
  <c r="AE691" i="1" a="1"/>
  <c r="AE691" i="1" s="1"/>
  <c r="AE692" i="1" a="1"/>
  <c r="AE692" i="1" s="1"/>
  <c r="AE693" i="1" a="1"/>
  <c r="AE693" i="1"/>
  <c r="AE694" i="1" a="1"/>
  <c r="AE694" i="1"/>
  <c r="AE695" i="1" a="1"/>
  <c r="AE695" i="1" s="1"/>
  <c r="AE696" i="1" a="1"/>
  <c r="AE696" i="1"/>
  <c r="AE697" i="1" a="1"/>
  <c r="AE697" i="1"/>
  <c r="AE698" i="1" a="1"/>
  <c r="AE698" i="1"/>
  <c r="AE699" i="1" a="1"/>
  <c r="AE699" i="1" s="1"/>
  <c r="AE700" i="1" a="1"/>
  <c r="AE700" i="1"/>
  <c r="AE701" i="1" a="1"/>
  <c r="AE701" i="1" s="1"/>
  <c r="AE702" i="1" a="1"/>
  <c r="AE702" i="1"/>
  <c r="AE703" i="1" a="1"/>
  <c r="AE703" i="1" s="1"/>
  <c r="AE704" i="1" a="1"/>
  <c r="AE704" i="1" s="1"/>
  <c r="AE705" i="1" a="1"/>
  <c r="AE705" i="1"/>
  <c r="AE706" i="1" a="1"/>
  <c r="AE706" i="1"/>
  <c r="AE707" i="1" a="1"/>
  <c r="AE707" i="1" s="1"/>
  <c r="AE708" i="1" a="1"/>
  <c r="AE708" i="1"/>
  <c r="AE709" i="1" a="1"/>
  <c r="AE709" i="1"/>
  <c r="AE710" i="1" a="1"/>
  <c r="AE710" i="1" s="1"/>
  <c r="AE711" i="1" a="1"/>
  <c r="AE711" i="1" s="1"/>
  <c r="AE712" i="1" a="1"/>
  <c r="AE712" i="1"/>
  <c r="AE713" i="1" a="1"/>
  <c r="AE713" i="1" s="1"/>
  <c r="AE714" i="1" a="1"/>
  <c r="AE714" i="1"/>
  <c r="AE715" i="1" a="1"/>
  <c r="AE715" i="1" s="1"/>
  <c r="AE716" i="1" a="1"/>
  <c r="AE716" i="1"/>
  <c r="AE717" i="1" a="1"/>
  <c r="AE717" i="1"/>
  <c r="AE718" i="1" a="1"/>
  <c r="AE718" i="1"/>
  <c r="AE719" i="1" a="1"/>
  <c r="AE719" i="1" s="1"/>
  <c r="AE720" i="1" a="1"/>
  <c r="AE720" i="1"/>
  <c r="AE721" i="1" a="1"/>
  <c r="AE721" i="1"/>
  <c r="AE722" i="1" a="1"/>
  <c r="AE722" i="1" s="1"/>
  <c r="AE723" i="1" a="1"/>
  <c r="AE723" i="1" s="1"/>
  <c r="AE724" i="1" a="1"/>
  <c r="AE724" i="1"/>
  <c r="AE725" i="1" a="1"/>
  <c r="AE725" i="1"/>
  <c r="AE726" i="1" a="1"/>
  <c r="AE726" i="1"/>
  <c r="AE727" i="1" a="1"/>
  <c r="AE727" i="1" s="1"/>
  <c r="AE728" i="1" a="1"/>
  <c r="AE728" i="1"/>
  <c r="AE729" i="1" a="1"/>
  <c r="AE729" i="1"/>
  <c r="AE730" i="1" a="1"/>
  <c r="AE730" i="1"/>
  <c r="AE731" i="1" a="1"/>
  <c r="AE731" i="1" s="1"/>
  <c r="AE732" i="1" a="1"/>
  <c r="AE732" i="1"/>
  <c r="AE733" i="1" a="1"/>
  <c r="AE733" i="1"/>
  <c r="AE734" i="1" a="1"/>
  <c r="AE734" i="1"/>
  <c r="AE735" i="1" a="1"/>
  <c r="AE735" i="1" s="1"/>
  <c r="AE736" i="1" a="1"/>
  <c r="AE736" i="1" s="1"/>
  <c r="AE737" i="1" a="1"/>
  <c r="AE737" i="1"/>
  <c r="AE738" i="1" a="1"/>
  <c r="AE738" i="1"/>
  <c r="AE739" i="1" a="1"/>
  <c r="AE739" i="1" s="1"/>
  <c r="AE740" i="1" a="1"/>
  <c r="AE740" i="1"/>
  <c r="AE741" i="1" a="1"/>
  <c r="AE741" i="1"/>
  <c r="AE742" i="1" a="1"/>
  <c r="AE742" i="1"/>
  <c r="AE743" i="1" a="1"/>
  <c r="AE743" i="1" s="1"/>
  <c r="AE744" i="1" a="1"/>
  <c r="AE744" i="1"/>
  <c r="AE745" i="1" a="1"/>
  <c r="AE745" i="1" s="1"/>
  <c r="AE746" i="1" a="1"/>
  <c r="AE746" i="1"/>
  <c r="AE747" i="1" a="1"/>
  <c r="AE747" i="1" s="1"/>
  <c r="AE748" i="1" a="1"/>
  <c r="AE748" i="1"/>
  <c r="AE749" i="1" a="1"/>
  <c r="AE749" i="1"/>
  <c r="AE750" i="1" a="1"/>
  <c r="AE750" i="1"/>
  <c r="AE751" i="1" a="1"/>
  <c r="AE751" i="1" s="1"/>
  <c r="AE752" i="1" a="1"/>
  <c r="AE752" i="1"/>
  <c r="AE753" i="1" a="1"/>
  <c r="AE753" i="1"/>
  <c r="AE754" i="1" a="1"/>
  <c r="AE754" i="1" s="1"/>
  <c r="AE755" i="1" a="1"/>
  <c r="AE755" i="1" s="1"/>
  <c r="AE756" i="1" a="1"/>
  <c r="AE756" i="1"/>
  <c r="AE757" i="1" a="1"/>
  <c r="AE757" i="1"/>
  <c r="AE758" i="1" a="1"/>
  <c r="AE758" i="1"/>
  <c r="AE759" i="1" a="1"/>
  <c r="AE759" i="1" s="1"/>
  <c r="AE760" i="1" a="1"/>
  <c r="AE760" i="1"/>
  <c r="AE761" i="1" a="1"/>
  <c r="AE761" i="1"/>
  <c r="AE762" i="1" a="1"/>
  <c r="AE762" i="1"/>
  <c r="AE763" i="1" a="1"/>
  <c r="AE763" i="1" s="1"/>
  <c r="AE764" i="1" a="1"/>
  <c r="AE764" i="1"/>
  <c r="AE765" i="1" a="1"/>
  <c r="AE765" i="1"/>
  <c r="AE766" i="1" a="1"/>
  <c r="AE766" i="1"/>
  <c r="AE767" i="1" a="1"/>
  <c r="AE767" i="1" s="1"/>
  <c r="AE768" i="1" a="1"/>
  <c r="AE768" i="1" s="1"/>
  <c r="AE769" i="1" a="1"/>
  <c r="AE769" i="1"/>
  <c r="AE770" i="1" a="1"/>
  <c r="AE770" i="1"/>
  <c r="AE771" i="1" a="1"/>
  <c r="AE771" i="1" s="1"/>
  <c r="AE772" i="1" a="1"/>
  <c r="AE772" i="1"/>
  <c r="AE773" i="1" a="1"/>
  <c r="AE773" i="1"/>
  <c r="AE774" i="1" a="1"/>
  <c r="AE774" i="1"/>
  <c r="AE775" i="1" a="1"/>
  <c r="AE775" i="1" s="1"/>
  <c r="AE776" i="1" a="1"/>
  <c r="AE776" i="1"/>
  <c r="AE777" i="1" a="1"/>
  <c r="AE777" i="1" s="1"/>
  <c r="AE778" i="1" a="1"/>
  <c r="AE778" i="1"/>
  <c r="AE779" i="1" a="1"/>
  <c r="AE779" i="1" s="1"/>
  <c r="AE780" i="1" a="1"/>
  <c r="AE780" i="1"/>
  <c r="AE781" i="1" a="1"/>
  <c r="AE781" i="1"/>
  <c r="AE782" i="1" a="1"/>
  <c r="AE782" i="1"/>
  <c r="AE783" i="1" a="1"/>
  <c r="AE783" i="1" s="1"/>
  <c r="AE784" i="1" a="1"/>
  <c r="AE784" i="1"/>
  <c r="AE785" i="1" a="1"/>
  <c r="AE785" i="1"/>
  <c r="AE786" i="1" a="1"/>
  <c r="AE786" i="1" s="1"/>
  <c r="AE787" i="1" a="1"/>
  <c r="AE787" i="1" s="1"/>
  <c r="AE788" i="1" a="1"/>
  <c r="AE788" i="1"/>
  <c r="AE789" i="1" a="1"/>
  <c r="AE789" i="1"/>
  <c r="AE790" i="1" a="1"/>
  <c r="AE790" i="1"/>
  <c r="AE791" i="1" a="1"/>
  <c r="AE791" i="1" s="1"/>
  <c r="AE792" i="1" a="1"/>
  <c r="AE792" i="1"/>
  <c r="AE793" i="1" a="1"/>
  <c r="AE793" i="1"/>
  <c r="AE794" i="1" a="1"/>
  <c r="AE794" i="1"/>
  <c r="AE795" i="1" a="1"/>
  <c r="AE795" i="1" s="1"/>
  <c r="AE796" i="1" a="1"/>
  <c r="AE796" i="1"/>
  <c r="AE797" i="1" a="1"/>
  <c r="AE797" i="1"/>
  <c r="AE798" i="1" a="1"/>
  <c r="AE798" i="1"/>
  <c r="AE799" i="1" a="1"/>
  <c r="AE799" i="1" s="1"/>
  <c r="AE800" i="1" a="1"/>
  <c r="AE800" i="1" s="1"/>
  <c r="AE801" i="1" a="1"/>
  <c r="AE801" i="1"/>
  <c r="AE802" i="1" a="1"/>
  <c r="AE802" i="1"/>
  <c r="AE803" i="1" a="1"/>
  <c r="AE803" i="1" s="1"/>
  <c r="AE804" i="1" a="1"/>
  <c r="AE804" i="1"/>
  <c r="AE805" i="1" a="1"/>
  <c r="AE805" i="1"/>
  <c r="AE806" i="1" a="1"/>
  <c r="AE806" i="1"/>
  <c r="AE807" i="1" a="1"/>
  <c r="AE807" i="1" s="1"/>
  <c r="AE808" i="1" a="1"/>
  <c r="AE808" i="1"/>
  <c r="AE809" i="1" a="1"/>
  <c r="AE809" i="1" s="1"/>
  <c r="AE810" i="1" a="1"/>
  <c r="AE810" i="1"/>
  <c r="AE811" i="1" a="1"/>
  <c r="AE811" i="1" s="1"/>
  <c r="AE812" i="1" a="1"/>
  <c r="AE812" i="1"/>
  <c r="AE813" i="1" a="1"/>
  <c r="AE813" i="1"/>
  <c r="AE814" i="1" a="1"/>
  <c r="AE814" i="1"/>
  <c r="AE815" i="1" a="1"/>
  <c r="AE815" i="1" s="1"/>
  <c r="AE816" i="1" a="1"/>
  <c r="AE816" i="1"/>
  <c r="AE817" i="1" a="1"/>
  <c r="AE817" i="1"/>
  <c r="AE818" i="1" a="1"/>
  <c r="AE818" i="1" s="1"/>
  <c r="AE819" i="1" a="1"/>
  <c r="AE819" i="1" s="1"/>
  <c r="AE820" i="1" a="1"/>
  <c r="AE820" i="1"/>
  <c r="AE821" i="1" a="1"/>
  <c r="AE821" i="1"/>
  <c r="AE822" i="1" a="1"/>
  <c r="AE822" i="1"/>
  <c r="AE823" i="1" a="1"/>
  <c r="AE823" i="1" s="1"/>
  <c r="AE824" i="1" a="1"/>
  <c r="AE824" i="1"/>
  <c r="AE825" i="1" a="1"/>
  <c r="AE825" i="1"/>
  <c r="AE826" i="1" a="1"/>
  <c r="AE826" i="1"/>
  <c r="AE827" i="1" a="1"/>
  <c r="AE827" i="1" s="1"/>
  <c r="AE828" i="1" a="1"/>
  <c r="AE828" i="1"/>
  <c r="AE829" i="1" a="1"/>
  <c r="AE829" i="1"/>
  <c r="AE830" i="1" a="1"/>
  <c r="AE830" i="1"/>
  <c r="AE831" i="1" a="1"/>
  <c r="AE831" i="1" s="1"/>
  <c r="AE832" i="1" a="1"/>
  <c r="AE832" i="1" s="1"/>
  <c r="AE833" i="1" a="1"/>
  <c r="AE833" i="1"/>
  <c r="AE834" i="1" a="1"/>
  <c r="AE834" i="1"/>
  <c r="AE835" i="1" a="1"/>
  <c r="AE835" i="1" s="1"/>
  <c r="AE836" i="1" a="1"/>
  <c r="AE836" i="1"/>
  <c r="AE837" i="1" a="1"/>
  <c r="AE837" i="1"/>
  <c r="AE838" i="1" a="1"/>
  <c r="AE838" i="1"/>
  <c r="AE839" i="1" a="1"/>
  <c r="AE839" i="1" s="1"/>
  <c r="AE840" i="1" a="1"/>
  <c r="AE840" i="1"/>
  <c r="AE841" i="1" a="1"/>
  <c r="AE841" i="1" s="1"/>
  <c r="AE842" i="1" a="1"/>
  <c r="AE842" i="1"/>
  <c r="AE843" i="1" a="1"/>
  <c r="AE843" i="1" s="1"/>
  <c r="AE844" i="1" a="1"/>
  <c r="AE844" i="1"/>
  <c r="AE845" i="1" a="1"/>
  <c r="AE845" i="1"/>
  <c r="AE846" i="1" a="1"/>
  <c r="AE846" i="1"/>
  <c r="AE847" i="1" a="1"/>
  <c r="AE847" i="1" s="1"/>
  <c r="AE848" i="1" a="1"/>
  <c r="AE848" i="1"/>
  <c r="AE849" i="1" a="1"/>
  <c r="AE849" i="1"/>
  <c r="AE850" i="1" a="1"/>
  <c r="AE850" i="1" s="1"/>
  <c r="AE851" i="1" a="1"/>
  <c r="AE851" i="1" s="1"/>
  <c r="AE852" i="1" a="1"/>
  <c r="AE852" i="1"/>
  <c r="AE853" i="1" a="1"/>
  <c r="AE853" i="1"/>
  <c r="AE854" i="1" a="1"/>
  <c r="AE854" i="1"/>
  <c r="AE855" i="1" a="1"/>
  <c r="AE855" i="1" s="1"/>
  <c r="AE856" i="1" a="1"/>
  <c r="AE856" i="1"/>
  <c r="AE857" i="1" a="1"/>
  <c r="AE857" i="1"/>
  <c r="AE858" i="1" a="1"/>
  <c r="AE858" i="1"/>
  <c r="AE859" i="1" a="1"/>
  <c r="AE859" i="1" s="1"/>
  <c r="AE860" i="1" a="1"/>
  <c r="AE860" i="1"/>
  <c r="AE861" i="1" a="1"/>
  <c r="AE861" i="1"/>
  <c r="AE862" i="1" a="1"/>
  <c r="AE862" i="1"/>
  <c r="AE863" i="1" a="1"/>
  <c r="AE863" i="1" s="1"/>
  <c r="AE864" i="1" a="1"/>
  <c r="AE864" i="1"/>
  <c r="AE865" i="1" a="1"/>
  <c r="AE865" i="1"/>
  <c r="AE866" i="1" a="1"/>
  <c r="AE866" i="1"/>
  <c r="AE867" i="1" a="1"/>
  <c r="AE867" i="1" s="1"/>
  <c r="AE868" i="1" a="1"/>
  <c r="AE868" i="1"/>
  <c r="AE869" i="1" a="1"/>
  <c r="AE869" i="1"/>
  <c r="AE870" i="1" a="1"/>
  <c r="AE870" i="1"/>
  <c r="AE871" i="1" a="1"/>
  <c r="AE871" i="1" s="1"/>
  <c r="AE872" i="1" a="1"/>
  <c r="AE872" i="1"/>
  <c r="AE873" i="1" a="1"/>
  <c r="AE873" i="1"/>
  <c r="AE874" i="1" a="1"/>
  <c r="AE874" i="1"/>
  <c r="AE875" i="1" a="1"/>
  <c r="AE875" i="1" s="1"/>
  <c r="AE876" i="1" a="1"/>
  <c r="AE876" i="1"/>
  <c r="AE877" i="1" a="1"/>
  <c r="AE877" i="1"/>
  <c r="AE878" i="1" a="1"/>
  <c r="AE878" i="1"/>
  <c r="AE879" i="1" a="1"/>
  <c r="AE879" i="1" s="1"/>
  <c r="AE880" i="1" a="1"/>
  <c r="AE880" i="1"/>
  <c r="AE881" i="1" a="1"/>
  <c r="AE881" i="1"/>
  <c r="AE882" i="1" a="1"/>
  <c r="AE882" i="1"/>
  <c r="AE883" i="1" a="1"/>
  <c r="AE883" i="1" s="1"/>
  <c r="AE884" i="1" a="1"/>
  <c r="AE884" i="1"/>
  <c r="AE885" i="1" a="1"/>
  <c r="AE885" i="1"/>
  <c r="AE886" i="1" a="1"/>
  <c r="AE886" i="1"/>
  <c r="AE887" i="1" a="1"/>
  <c r="AE887" i="1" s="1"/>
  <c r="AE888" i="1" a="1"/>
  <c r="AE888" i="1"/>
  <c r="AE889" i="1" a="1"/>
  <c r="AE889" i="1"/>
  <c r="AE890" i="1" a="1"/>
  <c r="AE890" i="1"/>
  <c r="AE891" i="1" a="1"/>
  <c r="AE891" i="1" s="1"/>
  <c r="AE892" i="1" a="1"/>
  <c r="AE892" i="1"/>
  <c r="AE893" i="1" a="1"/>
  <c r="AE893" i="1"/>
  <c r="AE894" i="1" a="1"/>
  <c r="AE894" i="1"/>
  <c r="AE895" i="1" a="1"/>
  <c r="AE895" i="1" s="1"/>
  <c r="AE896" i="1" a="1"/>
  <c r="AE896" i="1"/>
  <c r="AE897" i="1" a="1"/>
  <c r="AE897" i="1"/>
  <c r="AE898" i="1" a="1"/>
  <c r="AE898" i="1"/>
  <c r="AE899" i="1" a="1"/>
  <c r="AE899" i="1" s="1"/>
  <c r="AE900" i="1" a="1"/>
  <c r="AE900" i="1"/>
  <c r="AE901" i="1" a="1"/>
  <c r="AE901" i="1"/>
  <c r="AE902" i="1" a="1"/>
  <c r="AE902" i="1"/>
  <c r="AE903" i="1" a="1"/>
  <c r="AE903" i="1" s="1"/>
  <c r="AE904" i="1" a="1"/>
  <c r="AE904" i="1"/>
  <c r="AE905" i="1" a="1"/>
  <c r="AE905" i="1"/>
  <c r="AE906" i="1" a="1"/>
  <c r="AE906" i="1"/>
  <c r="AE907" i="1" a="1"/>
  <c r="AE907" i="1" s="1"/>
  <c r="AE908" i="1" a="1"/>
  <c r="AE908" i="1"/>
  <c r="AE909" i="1" a="1"/>
  <c r="AE909" i="1"/>
  <c r="AE910" i="1" a="1"/>
  <c r="AE910" i="1"/>
  <c r="AE911" i="1" a="1"/>
  <c r="AE911" i="1" s="1"/>
  <c r="AE912" i="1" a="1"/>
  <c r="AE912" i="1"/>
  <c r="AE913" i="1" a="1"/>
  <c r="AE913" i="1"/>
  <c r="AE914" i="1" a="1"/>
  <c r="AE914" i="1"/>
  <c r="AE915" i="1" a="1"/>
  <c r="AE915" i="1" s="1"/>
  <c r="AE916" i="1" a="1"/>
  <c r="AE916" i="1"/>
  <c r="AE917" i="1" a="1"/>
  <c r="AE917" i="1"/>
  <c r="AE918" i="1" a="1"/>
  <c r="AE918" i="1"/>
  <c r="AE919" i="1" a="1"/>
  <c r="AE919" i="1" s="1"/>
  <c r="AE920" i="1" a="1"/>
  <c r="AE920" i="1"/>
  <c r="AE921" i="1" a="1"/>
  <c r="AE921" i="1"/>
  <c r="AE922" i="1" a="1"/>
  <c r="AE922" i="1"/>
  <c r="AE923" i="1" a="1"/>
  <c r="AE923" i="1" s="1"/>
  <c r="AE924" i="1" a="1"/>
  <c r="AE924" i="1"/>
  <c r="AE925" i="1" a="1"/>
  <c r="AE925" i="1"/>
  <c r="AE926" i="1" a="1"/>
  <c r="AE926" i="1"/>
  <c r="AE927" i="1" a="1"/>
  <c r="AE927" i="1" s="1"/>
  <c r="AE928" i="1" a="1"/>
  <c r="AE928" i="1"/>
  <c r="AE929" i="1" a="1"/>
  <c r="AE929" i="1"/>
  <c r="AE930" i="1" a="1"/>
  <c r="AE930" i="1"/>
  <c r="AE931" i="1" a="1"/>
  <c r="AE931" i="1" s="1"/>
  <c r="AE932" i="1" a="1"/>
  <c r="AE932" i="1"/>
  <c r="AE933" i="1" a="1"/>
  <c r="AE933" i="1"/>
  <c r="AE934" i="1" a="1"/>
  <c r="AE934" i="1"/>
  <c r="AE935" i="1" a="1"/>
  <c r="AE935" i="1" s="1"/>
  <c r="AE936" i="1" a="1"/>
  <c r="AE936" i="1"/>
  <c r="AE937" i="1" a="1"/>
  <c r="AE937" i="1"/>
  <c r="AE938" i="1" a="1"/>
  <c r="AE938" i="1"/>
  <c r="AE939" i="1" a="1"/>
  <c r="AE939" i="1" s="1"/>
  <c r="AE940" i="1" a="1"/>
  <c r="AE940" i="1"/>
  <c r="AE941" i="1" a="1"/>
  <c r="AE941" i="1"/>
  <c r="AE942" i="1" a="1"/>
  <c r="AE942" i="1"/>
  <c r="AE943" i="1" a="1"/>
  <c r="AE943" i="1" s="1"/>
  <c r="AE944" i="1" a="1"/>
  <c r="AE944" i="1"/>
  <c r="AE945" i="1" a="1"/>
  <c r="AE945" i="1"/>
  <c r="AE946" i="1" a="1"/>
  <c r="AE946" i="1"/>
  <c r="AE947" i="1" a="1"/>
  <c r="AE947" i="1" s="1"/>
  <c r="AE948" i="1" a="1"/>
  <c r="AE948" i="1"/>
  <c r="AE949" i="1" a="1"/>
  <c r="AE949" i="1"/>
  <c r="AE950" i="1" a="1"/>
  <c r="AE950" i="1"/>
  <c r="AE951" i="1" a="1"/>
  <c r="AE951" i="1" s="1"/>
  <c r="AE952" i="1" a="1"/>
  <c r="AE952" i="1"/>
  <c r="AE953" i="1" a="1"/>
  <c r="AE953" i="1"/>
  <c r="AE954" i="1" a="1"/>
  <c r="AE954" i="1" s="1"/>
  <c r="AE955" i="1" a="1"/>
  <c r="AE955" i="1" s="1"/>
  <c r="AE956" i="1" a="1"/>
  <c r="AE956" i="1"/>
  <c r="AE957" i="1" a="1"/>
  <c r="AE957" i="1"/>
  <c r="AE958" i="1" a="1"/>
  <c r="AE958" i="1"/>
  <c r="AE959" i="1" a="1"/>
  <c r="AE959" i="1" s="1"/>
  <c r="AE960" i="1" a="1"/>
  <c r="AE960" i="1"/>
  <c r="AE961" i="1" a="1"/>
  <c r="AE961" i="1"/>
  <c r="AE962" i="1" a="1"/>
  <c r="AE962" i="1"/>
  <c r="AE963" i="1" a="1"/>
  <c r="AE963" i="1" s="1"/>
  <c r="AE964" i="1" a="1"/>
  <c r="AE964" i="1"/>
  <c r="AE965" i="1" a="1"/>
  <c r="AE965" i="1"/>
  <c r="AE966" i="1" a="1"/>
  <c r="AE966" i="1"/>
  <c r="AE967" i="1" a="1"/>
  <c r="AE967" i="1" s="1"/>
  <c r="AE968" i="1" a="1"/>
  <c r="AE968" i="1"/>
  <c r="AE969" i="1" a="1"/>
  <c r="AE969" i="1"/>
  <c r="AE970" i="1" a="1"/>
  <c r="AE970" i="1"/>
  <c r="AE971" i="1" a="1"/>
  <c r="AE971" i="1" s="1"/>
  <c r="AE972" i="1" a="1"/>
  <c r="AE972" i="1"/>
  <c r="AE973" i="1" a="1"/>
  <c r="AE973" i="1"/>
  <c r="AE974" i="1" a="1"/>
  <c r="AE974" i="1"/>
  <c r="AE975" i="1" a="1"/>
  <c r="AE975" i="1" s="1"/>
  <c r="AE976" i="1" a="1"/>
  <c r="AE976" i="1"/>
  <c r="AE977" i="1" a="1"/>
  <c r="AE977" i="1"/>
  <c r="AE978" i="1" a="1"/>
  <c r="AE978" i="1"/>
  <c r="AE979" i="1" a="1"/>
  <c r="AE979" i="1" s="1"/>
  <c r="AE980" i="1" a="1"/>
  <c r="AE980" i="1"/>
  <c r="AE981" i="1" a="1"/>
  <c r="AE981" i="1"/>
  <c r="AE982" i="1" a="1"/>
  <c r="AE982" i="1"/>
  <c r="AE983" i="1" a="1"/>
  <c r="AE983" i="1" s="1"/>
  <c r="AE984" i="1" a="1"/>
  <c r="AE984" i="1"/>
  <c r="AE985" i="1" a="1"/>
  <c r="AE985" i="1"/>
  <c r="AE986" i="1" a="1"/>
  <c r="AE986" i="1"/>
  <c r="AE987" i="1" a="1"/>
  <c r="AE987" i="1" s="1"/>
  <c r="AE988" i="1" a="1"/>
  <c r="AE988" i="1"/>
  <c r="AE989" i="1" a="1"/>
  <c r="AE989" i="1"/>
  <c r="AE990" i="1" a="1"/>
  <c r="AE990" i="1"/>
  <c r="AE991" i="1" a="1"/>
  <c r="AE991" i="1" s="1"/>
  <c r="AE992" i="1" a="1"/>
  <c r="AE992" i="1"/>
  <c r="AE993" i="1" a="1"/>
  <c r="AE993" i="1"/>
  <c r="AE994" i="1" a="1"/>
  <c r="AE994" i="1"/>
  <c r="AE995" i="1" a="1"/>
  <c r="AE995" i="1" s="1"/>
  <c r="AE996" i="1" a="1"/>
  <c r="AE996" i="1"/>
  <c r="AE997" i="1" a="1"/>
  <c r="AE997" i="1"/>
  <c r="AE998" i="1" a="1"/>
  <c r="AE998" i="1"/>
  <c r="AE999" i="1" a="1"/>
  <c r="AE999" i="1" s="1"/>
  <c r="AE1000" i="1" a="1"/>
  <c r="AE1000" i="1"/>
  <c r="AE1001" i="1" a="1"/>
  <c r="AE1001" i="1"/>
  <c r="AE1002" i="1" a="1"/>
  <c r="AE1002" i="1"/>
  <c r="AE1003" i="1" a="1"/>
  <c r="AE1003" i="1" s="1"/>
  <c r="AE1004" i="1" a="1"/>
  <c r="AE1004" i="1"/>
  <c r="AE1005" i="1" a="1"/>
  <c r="AE1005" i="1"/>
  <c r="AE1006" i="1" a="1"/>
  <c r="AE1006" i="1"/>
  <c r="AE1007" i="1" a="1"/>
  <c r="AE1007" i="1" s="1"/>
  <c r="AE1008" i="1" a="1"/>
  <c r="AE1008" i="1"/>
  <c r="AE1009" i="1" a="1"/>
  <c r="AE1009" i="1"/>
  <c r="AE1010" i="1" a="1"/>
  <c r="AE1010" i="1"/>
  <c r="AE1011" i="1" a="1"/>
  <c r="AE1011" i="1" s="1"/>
  <c r="AE1012" i="1" a="1"/>
  <c r="AE1012" i="1"/>
  <c r="AE1013" i="1" a="1"/>
  <c r="AE1013" i="1"/>
  <c r="AE1014" i="1" a="1"/>
  <c r="AE1014" i="1"/>
  <c r="AE1015" i="1" a="1"/>
  <c r="AE1015" i="1" s="1"/>
  <c r="AE1016" i="1" a="1"/>
  <c r="AE1016" i="1"/>
  <c r="AE1017" i="1" a="1"/>
  <c r="AE1017" i="1"/>
  <c r="AE1018" i="1" a="1"/>
  <c r="AE1018" i="1"/>
  <c r="AE1019" i="1" a="1"/>
  <c r="AE1019" i="1" s="1"/>
  <c r="AE1020" i="1" a="1"/>
  <c r="AE1020" i="1"/>
  <c r="AE1021" i="1" a="1"/>
  <c r="AE1021" i="1"/>
  <c r="AE1022" i="1" a="1"/>
  <c r="AE1022" i="1"/>
  <c r="AE1023" i="1" a="1"/>
  <c r="AE1023" i="1" s="1"/>
  <c r="AE1024" i="1" a="1"/>
  <c r="AE1024" i="1"/>
  <c r="AE1025" i="1" a="1"/>
  <c r="AE1025" i="1"/>
  <c r="AE1026" i="1" a="1"/>
  <c r="AE1026" i="1"/>
  <c r="AE1027" i="1" a="1"/>
  <c r="AE1027" i="1" s="1"/>
  <c r="AE1028" i="1" a="1"/>
  <c r="AE1028" i="1"/>
  <c r="AE1029" i="1" a="1"/>
  <c r="AE1029" i="1"/>
  <c r="AE1030" i="1" a="1"/>
  <c r="AE1030" i="1"/>
  <c r="AE1031" i="1" a="1"/>
  <c r="AE1031" i="1" s="1"/>
  <c r="AE1032" i="1" a="1"/>
  <c r="AE1032" i="1"/>
  <c r="AE1033" i="1" a="1"/>
  <c r="AE1033" i="1"/>
  <c r="AE1034" i="1" a="1"/>
  <c r="AE1034" i="1"/>
  <c r="AE1035" i="1" a="1"/>
  <c r="AE1035" i="1" s="1"/>
  <c r="AE1036" i="1" a="1"/>
  <c r="AE1036" i="1"/>
  <c r="AE1037" i="1" a="1"/>
  <c r="AE1037" i="1"/>
  <c r="AE1038" i="1" a="1"/>
  <c r="AE1038" i="1"/>
  <c r="AE1039" i="1" a="1"/>
  <c r="AE1039" i="1" s="1"/>
  <c r="AE1040" i="1" a="1"/>
  <c r="AE1040" i="1"/>
  <c r="AE1041" i="1" a="1"/>
  <c r="AE1041" i="1"/>
  <c r="AE1042" i="1" a="1"/>
  <c r="AE1042" i="1"/>
  <c r="AE1043" i="1" a="1"/>
  <c r="AE1043" i="1" s="1"/>
  <c r="AE1044" i="1" a="1"/>
  <c r="AE1044" i="1"/>
  <c r="AE1045" i="1" a="1"/>
  <c r="AE1045" i="1"/>
  <c r="AE1046" i="1" a="1"/>
  <c r="AE1046" i="1"/>
  <c r="AE1047" i="1" a="1"/>
  <c r="AE1047" i="1" s="1"/>
  <c r="AE1048" i="1" a="1"/>
  <c r="AE1048" i="1"/>
  <c r="AE1049" i="1" a="1"/>
  <c r="AE1049" i="1"/>
  <c r="AE1050" i="1" a="1"/>
  <c r="AE1050" i="1"/>
  <c r="AE1051" i="1" a="1"/>
  <c r="AE1051" i="1" s="1"/>
  <c r="AE1052" i="1" a="1"/>
  <c r="AE1052" i="1"/>
  <c r="AE1053" i="1" a="1"/>
  <c r="AE1053" i="1"/>
  <c r="AE1054" i="1" a="1"/>
  <c r="AE1054" i="1"/>
  <c r="AE1055" i="1" a="1"/>
  <c r="AE1055" i="1" s="1"/>
  <c r="AE1056" i="1" a="1"/>
  <c r="AE1056" i="1"/>
  <c r="AE1057" i="1" a="1"/>
  <c r="AE1057" i="1"/>
  <c r="AE1058" i="1" a="1"/>
  <c r="AE1058" i="1"/>
  <c r="AE1059" i="1" a="1"/>
  <c r="AE1059" i="1" s="1"/>
  <c r="AE1060" i="1" a="1"/>
  <c r="AE1060" i="1"/>
  <c r="AE1061" i="1" a="1"/>
  <c r="AE1061" i="1"/>
  <c r="AE1062" i="1" a="1"/>
  <c r="AE1062" i="1" s="1"/>
  <c r="AE1063" i="1" a="1"/>
  <c r="AE1063" i="1" s="1"/>
  <c r="AE1064" i="1" a="1"/>
  <c r="AE1064" i="1"/>
  <c r="AE1065" i="1" a="1"/>
  <c r="AE1065" i="1"/>
  <c r="AE1066" i="1" a="1"/>
  <c r="AE1066" i="1"/>
  <c r="AE1067" i="1" a="1"/>
  <c r="AE1067" i="1" s="1"/>
  <c r="AE1068" i="1" a="1"/>
  <c r="AE1068" i="1"/>
  <c r="AE1069" i="1" a="1"/>
  <c r="AE1069" i="1"/>
  <c r="AE1070" i="1" a="1"/>
  <c r="AE1070" i="1"/>
  <c r="AE1071" i="1" a="1"/>
  <c r="AE1071" i="1" s="1"/>
  <c r="AE1072" i="1" a="1"/>
  <c r="AE1072" i="1"/>
  <c r="AE1073" i="1" a="1"/>
  <c r="AE1073" i="1"/>
  <c r="AE1074" i="1" a="1"/>
  <c r="AE1074" i="1"/>
  <c r="AE2" i="1" a="1"/>
  <c r="AE2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<sst xmlns="http://schemas.openxmlformats.org/spreadsheetml/2006/main" count="40972" uniqueCount="1793">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</sst>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9" fillId="3" borderId="2" xfId="0" applyFont="1" applyFill="1" applyBorder="1" applyAlignment="1">
      <alignment vertical="top" wrapText="1"/>
    </xf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3" fillId="0" borderId="0" xfId="0" applyFont="1"/>
    <xf numFmtId="0" fontId="10" fillId="0" borderId="0" xfId="0" applyFont="1"/>
    <xf numFmtId="0" fontId="2" fillId="0" borderId="0" xfId="0" applyFont="1" applyProtection="1">
      <protection locked="0"/>
    </xf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74"/>
  <sheetViews>
    <sheetView tabSelected="1" workbookViewId="0">
      <selection activeCell="E11" sqref="E11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3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</row>
    <row r="2" spans="1:33" ht="15.75" customHeight="1" x14ac:dyDescent="0.2">
      <c r="A2" s="4" t="s">
        <v>30</v>
      </c>
      <c r="B2" s="13">
        <v>5114202424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</row>
    <row r="3" spans="1:33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</row>
    <row r="4" spans="1:33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</row>
    <row r="5" spans="1:33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</row>
    <row r="6" spans="1:33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</row>
    <row r="7" spans="1:33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</row>
    <row r="8" spans="1:33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</row>
    <row r="9" spans="1:33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</row>
    <row r="10" spans="1:33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</row>
    <row r="11" spans="1:33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</row>
    <row r="12" spans="1:33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</row>
    <row r="13" spans="1:33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</row>
    <row r="14" spans="1:33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</row>
    <row r="15" spans="1:33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</row>
    <row r="16" spans="1:33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</row>
    <row r="17" spans="1:33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</row>
    <row r="18" spans="1:33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</row>
    <row r="19" spans="1:33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</row>
    <row r="20" spans="1:33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</row>
    <row r="21" spans="1:33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</row>
    <row r="22" spans="1:33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</row>
    <row r="23" spans="1:33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</row>
    <row r="24" spans="1:33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</row>
    <row r="25" spans="1:33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</row>
    <row r="26" spans="1:33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</row>
    <row r="27" spans="1:33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</row>
    <row r="28" spans="1:33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</row>
    <row r="29" spans="1:33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</row>
    <row r="30" spans="1:33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</row>
    <row r="31" spans="1:33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</row>
    <row r="32" spans="1:33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</row>
    <row r="33" spans="1:33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</row>
    <row r="34" spans="1:33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</row>
    <row r="35" spans="1:33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</row>
    <row r="36" spans="1:33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</row>
    <row r="37" spans="1:33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</row>
    <row r="38" spans="1:33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</row>
    <row r="39" spans="1:33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</row>
    <row r="40" spans="1:33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</row>
    <row r="41" spans="1:33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</row>
    <row r="42" spans="1:33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</row>
    <row r="43" spans="1:33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</row>
    <row r="44" spans="1:33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</row>
    <row r="45" spans="1:33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</row>
    <row r="46" spans="1:33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</row>
    <row r="47" spans="1:33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</row>
    <row r="48" spans="1:33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</row>
    <row r="49" spans="1:33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</row>
    <row r="50" spans="1:33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</row>
    <row r="51" spans="1:33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</row>
    <row r="52" spans="1:33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</row>
    <row r="53" spans="1:33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</row>
    <row r="54" spans="1:33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</row>
    <row r="55" spans="1:33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</row>
    <row r="56" spans="1:33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</row>
    <row r="57" spans="1:33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</row>
    <row r="58" spans="1:33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</row>
    <row r="59" spans="1:33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</row>
    <row r="60" spans="1:33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</row>
    <row r="61" spans="1:33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</row>
    <row r="62" spans="1:33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</row>
    <row r="63" spans="1:33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</row>
    <row r="64" spans="1:33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</row>
    <row r="65" spans="1:33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</row>
    <row r="66" spans="1:33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</row>
    <row r="67" spans="1:33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9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0">IF(A67="SZAF","Bangalore",IF(A67="SAEX","JHAJJAR",IF(A67="S0EU","HARIPAL","")))</f>
        <v>HARIPAL</v>
      </c>
    </row>
    <row r="68" spans="1:33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9"/>
        <v>GREEN</v>
      </c>
      <c r="AG68" s="11" t="str">
        <f t="shared" si="10"/>
        <v>HARIPAL</v>
      </c>
    </row>
    <row r="69" spans="1:33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9"/>
        <v>GREEN</v>
      </c>
      <c r="AG69" s="11" t="str">
        <f t="shared" si="10"/>
        <v>HARIPAL</v>
      </c>
    </row>
    <row r="70" spans="1:33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9"/>
        <v>GREEN</v>
      </c>
      <c r="AG70" s="11" t="str">
        <f t="shared" si="10"/>
        <v>HARIPAL</v>
      </c>
    </row>
    <row r="71" spans="1:33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9"/>
        <v>GREEN</v>
      </c>
      <c r="AG71" s="11" t="str">
        <f t="shared" si="10"/>
        <v>HARIPAL</v>
      </c>
    </row>
    <row r="72" spans="1:33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9"/>
        <v>GREEN</v>
      </c>
      <c r="AG72" s="11" t="str">
        <f t="shared" si="10"/>
        <v>HARIPAL</v>
      </c>
    </row>
    <row r="73" spans="1:33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9"/>
        <v>GREEN</v>
      </c>
      <c r="AG73" s="11" t="str">
        <f t="shared" si="10"/>
        <v>HARIPAL</v>
      </c>
    </row>
    <row r="74" spans="1:33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9"/>
        <v>GREEN</v>
      </c>
      <c r="AG74" s="11" t="str">
        <f t="shared" si="10"/>
        <v>HARIPAL</v>
      </c>
    </row>
    <row r="75" spans="1:33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9"/>
        <v>GREEN</v>
      </c>
      <c r="AG75" s="11" t="str">
        <f t="shared" si="10"/>
        <v>HARIPAL</v>
      </c>
    </row>
    <row r="76" spans="1:33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9"/>
        <v>GREEN</v>
      </c>
      <c r="AG76" s="11" t="str">
        <f t="shared" si="10"/>
        <v>HARIPAL</v>
      </c>
    </row>
    <row r="77" spans="1:33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9"/>
        <v>NAVY</v>
      </c>
      <c r="AG77" s="11" t="str">
        <f t="shared" si="10"/>
        <v>JHAJJAR</v>
      </c>
    </row>
    <row r="78" spans="1:33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9"/>
        <v>NAVY</v>
      </c>
      <c r="AG78" s="11" t="str">
        <f t="shared" si="10"/>
        <v>JHAJJAR</v>
      </c>
    </row>
    <row r="79" spans="1:33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9"/>
        <v>NAVY</v>
      </c>
      <c r="AG79" s="11" t="str">
        <f t="shared" si="10"/>
        <v>JHAJJAR</v>
      </c>
    </row>
    <row r="80" spans="1:33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9"/>
        <v>NAVY</v>
      </c>
      <c r="AG80" s="11" t="str">
        <f t="shared" si="10"/>
        <v>JHAJJAR</v>
      </c>
    </row>
    <row r="81" spans="1:33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9"/>
        <v>NAVY</v>
      </c>
      <c r="AG81" s="11" t="str">
        <f t="shared" si="10"/>
        <v>JHAJJAR</v>
      </c>
    </row>
    <row r="82" spans="1:33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9"/>
        <v>OFF WHITE</v>
      </c>
      <c r="AG82" s="11" t="str">
        <f t="shared" si="10"/>
        <v>JHAJJAR</v>
      </c>
    </row>
    <row r="83" spans="1:33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9"/>
        <v>OFF WHITE</v>
      </c>
      <c r="AG83" s="11" t="str">
        <f t="shared" si="10"/>
        <v>JHAJJAR</v>
      </c>
    </row>
    <row r="84" spans="1:33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9"/>
        <v>OFF WHITE</v>
      </c>
      <c r="AG84" s="11" t="str">
        <f t="shared" si="10"/>
        <v>JHAJJAR</v>
      </c>
    </row>
    <row r="85" spans="1:33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9"/>
        <v>OFF WHITE</v>
      </c>
      <c r="AG85" s="11" t="str">
        <f t="shared" si="10"/>
        <v>JHAJJAR</v>
      </c>
    </row>
    <row r="86" spans="1:33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9"/>
        <v>OFF WHITE</v>
      </c>
      <c r="AG86" s="11" t="str">
        <f t="shared" si="10"/>
        <v>JHAJJAR</v>
      </c>
    </row>
    <row r="87" spans="1:33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9"/>
        <v>BLACK</v>
      </c>
      <c r="AG87" s="11" t="str">
        <f t="shared" si="10"/>
        <v>HARIPAL</v>
      </c>
    </row>
    <row r="88" spans="1:33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9"/>
        <v>BLACK</v>
      </c>
      <c r="AG88" s="11" t="str">
        <f t="shared" si="10"/>
        <v>HARIPAL</v>
      </c>
    </row>
    <row r="89" spans="1:33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9"/>
        <v>BLACK</v>
      </c>
      <c r="AG89" s="11" t="str">
        <f t="shared" si="10"/>
        <v>HARIPAL</v>
      </c>
    </row>
    <row r="90" spans="1:33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9"/>
        <v>BLACK</v>
      </c>
      <c r="AG90" s="11" t="str">
        <f t="shared" si="10"/>
        <v>HARIPAL</v>
      </c>
    </row>
    <row r="91" spans="1:33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9"/>
        <v>BLACK</v>
      </c>
      <c r="AG91" s="11" t="str">
        <f t="shared" si="10"/>
        <v>HARIPAL</v>
      </c>
    </row>
    <row r="92" spans="1:33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9"/>
        <v>NAVY</v>
      </c>
      <c r="AG92" s="11" t="str">
        <f t="shared" si="10"/>
        <v>HARIPAL</v>
      </c>
    </row>
    <row r="93" spans="1:33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9"/>
        <v>NAVY</v>
      </c>
      <c r="AG93" s="11" t="str">
        <f t="shared" si="10"/>
        <v>HARIPAL</v>
      </c>
    </row>
    <row r="94" spans="1:33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9"/>
        <v>NAVY</v>
      </c>
      <c r="AG94" s="11" t="str">
        <f t="shared" si="10"/>
        <v>HARIPAL</v>
      </c>
    </row>
    <row r="95" spans="1:33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9"/>
        <v>NAVY</v>
      </c>
      <c r="AG95" s="11" t="str">
        <f t="shared" si="10"/>
        <v>HARIPAL</v>
      </c>
    </row>
    <row r="96" spans="1:33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9"/>
        <v>NAVY</v>
      </c>
      <c r="AG96" s="11" t="str">
        <f t="shared" si="10"/>
        <v>HARIPAL</v>
      </c>
    </row>
    <row r="97" spans="1:33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9"/>
        <v>OFF WHITE</v>
      </c>
      <c r="AG97" s="11" t="str">
        <f t="shared" si="10"/>
        <v>HARIPAL</v>
      </c>
    </row>
    <row r="98" spans="1:33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9"/>
        <v>OFF WHITE</v>
      </c>
      <c r="AG98" s="11" t="str">
        <f t="shared" si="10"/>
        <v>HARIPAL</v>
      </c>
    </row>
    <row r="99" spans="1:33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9"/>
        <v>OFF WHITE</v>
      </c>
      <c r="AG99" s="11" t="str">
        <f t="shared" si="10"/>
        <v>HARIPAL</v>
      </c>
    </row>
    <row r="100" spans="1:33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9"/>
        <v>OFF WHITE</v>
      </c>
      <c r="AG100" s="11" t="str">
        <f t="shared" si="10"/>
        <v>HARIPAL</v>
      </c>
    </row>
    <row r="101" spans="1:33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9"/>
        <v>OFF WHITE</v>
      </c>
      <c r="AG101" s="11" t="str">
        <f t="shared" si="10"/>
        <v>HARIPAL</v>
      </c>
    </row>
    <row r="102" spans="1:33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9"/>
        <v>MUSTARD</v>
      </c>
      <c r="AG102" s="11" t="str">
        <f t="shared" si="10"/>
        <v>Bangalore</v>
      </c>
    </row>
    <row r="103" spans="1:33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9"/>
        <v>MUSTARD</v>
      </c>
      <c r="AG103" s="11" t="str">
        <f t="shared" si="10"/>
        <v>Bangalore</v>
      </c>
    </row>
    <row r="104" spans="1:33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9"/>
        <v>MUSTARD</v>
      </c>
      <c r="AG104" s="11" t="str">
        <f t="shared" si="10"/>
        <v>Bangalore</v>
      </c>
    </row>
    <row r="105" spans="1:33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9"/>
        <v>MUSTARD</v>
      </c>
      <c r="AG105" s="11" t="str">
        <f t="shared" si="10"/>
        <v>Bangalore</v>
      </c>
    </row>
    <row r="106" spans="1:33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9"/>
        <v>MUSTARD</v>
      </c>
      <c r="AG106" s="11" t="str">
        <f t="shared" si="10"/>
        <v>Bangalore</v>
      </c>
    </row>
    <row r="107" spans="1:33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9"/>
        <v>LIME GREEN</v>
      </c>
      <c r="AG107" s="11" t="str">
        <f t="shared" si="10"/>
        <v>Bangalore</v>
      </c>
    </row>
    <row r="108" spans="1:33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9"/>
        <v>LIME GREEN</v>
      </c>
      <c r="AG108" s="11" t="str">
        <f t="shared" si="10"/>
        <v>Bangalore</v>
      </c>
    </row>
    <row r="109" spans="1:33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9"/>
        <v>LIME GREEN</v>
      </c>
      <c r="AG109" s="11" t="str">
        <f t="shared" si="10"/>
        <v>Bangalore</v>
      </c>
    </row>
    <row r="110" spans="1:33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9"/>
        <v>LIME GREEN</v>
      </c>
      <c r="AG110" s="11" t="str">
        <f t="shared" si="10"/>
        <v>Bangalore</v>
      </c>
    </row>
    <row r="111" spans="1:33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9"/>
        <v>LIME GREEN</v>
      </c>
      <c r="AG111" s="11" t="str">
        <f t="shared" si="10"/>
        <v>Bangalore</v>
      </c>
    </row>
    <row r="112" spans="1:33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9"/>
        <v>LIME GREEN</v>
      </c>
      <c r="AG112" s="11" t="str">
        <f t="shared" si="10"/>
        <v>Bangalore</v>
      </c>
    </row>
    <row r="113" spans="1:33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9"/>
        <v>LIME GREEN</v>
      </c>
      <c r="AG113" s="11" t="str">
        <f t="shared" si="10"/>
        <v>Bangalore</v>
      </c>
    </row>
    <row r="114" spans="1:33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9"/>
        <v>LIME GREEN</v>
      </c>
      <c r="AG114" s="11" t="str">
        <f t="shared" si="10"/>
        <v>Bangalore</v>
      </c>
    </row>
    <row r="115" spans="1:33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9"/>
        <v>LIME GREEN</v>
      </c>
      <c r="AG115" s="11" t="str">
        <f t="shared" si="10"/>
        <v>Bangalore</v>
      </c>
    </row>
    <row r="116" spans="1:33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9"/>
        <v>LIME GREEN</v>
      </c>
      <c r="AG116" s="11" t="str">
        <f t="shared" si="10"/>
        <v>Bangalore</v>
      </c>
    </row>
    <row r="117" spans="1:33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9"/>
        <v>MUSTARD</v>
      </c>
      <c r="AG117" s="11" t="str">
        <f t="shared" si="10"/>
        <v>JHAJJAR</v>
      </c>
    </row>
    <row r="118" spans="1:33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9"/>
        <v>MUSTARD</v>
      </c>
      <c r="AG118" s="11" t="str">
        <f t="shared" si="10"/>
        <v>JHAJJAR</v>
      </c>
    </row>
    <row r="119" spans="1:33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9"/>
        <v>MUSTARD</v>
      </c>
      <c r="AG119" s="11" t="str">
        <f t="shared" si="10"/>
        <v>JHAJJAR</v>
      </c>
    </row>
    <row r="120" spans="1:33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9"/>
        <v>MUSTARD</v>
      </c>
      <c r="AG120" s="11" t="str">
        <f t="shared" si="10"/>
        <v>JHAJJAR</v>
      </c>
    </row>
    <row r="121" spans="1:33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9"/>
        <v>MUSTARD</v>
      </c>
      <c r="AG121" s="11" t="str">
        <f t="shared" si="10"/>
        <v>JHAJJAR</v>
      </c>
    </row>
    <row r="122" spans="1:33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9"/>
        <v>MUSTARD</v>
      </c>
      <c r="AG122" s="11" t="str">
        <f t="shared" si="10"/>
        <v>Bangalore</v>
      </c>
    </row>
    <row r="123" spans="1:33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9"/>
        <v>MUSTARD</v>
      </c>
      <c r="AG123" s="11" t="str">
        <f t="shared" si="10"/>
        <v>Bangalore</v>
      </c>
    </row>
    <row r="124" spans="1:33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9"/>
        <v>MUSTARD</v>
      </c>
      <c r="AG124" s="11" t="str">
        <f t="shared" si="10"/>
        <v>Bangalore</v>
      </c>
    </row>
    <row r="125" spans="1:33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9"/>
        <v>MUSTARD</v>
      </c>
      <c r="AG125" s="11" t="str">
        <f t="shared" si="10"/>
        <v>Bangalore</v>
      </c>
    </row>
    <row r="126" spans="1:33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9"/>
        <v>MUSTARD</v>
      </c>
      <c r="AG126" s="11" t="str">
        <f t="shared" si="10"/>
        <v>Bangalore</v>
      </c>
    </row>
    <row r="127" spans="1:33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9"/>
        <v>LIME GREEN</v>
      </c>
      <c r="AG127" s="11" t="str">
        <f t="shared" si="10"/>
        <v>JHAJJAR</v>
      </c>
    </row>
    <row r="128" spans="1:33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9"/>
        <v>LIME GREEN</v>
      </c>
      <c r="AG128" s="11" t="str">
        <f t="shared" si="10"/>
        <v>JHAJJAR</v>
      </c>
    </row>
    <row r="129" spans="1:33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9"/>
        <v>LIME GREEN</v>
      </c>
      <c r="AG129" s="11" t="str">
        <f t="shared" si="10"/>
        <v>JHAJJAR</v>
      </c>
    </row>
    <row r="130" spans="1:33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9"/>
        <v>LIME GREEN</v>
      </c>
      <c r="AG130" s="11" t="str">
        <f t="shared" si="10"/>
        <v>JHAJJAR</v>
      </c>
    </row>
    <row r="131" spans="1:33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1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2">IF(A131="SZAF","Bangalore",IF(A131="SAEX","JHAJJAR",IF(A131="S0EU","HARIPAL","")))</f>
        <v>JHAJJAR</v>
      </c>
    </row>
    <row r="132" spans="1:33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1"/>
        <v>MUSTARD</v>
      </c>
      <c r="AG132" s="11" t="str">
        <f t="shared" si="12"/>
        <v>Bangalore</v>
      </c>
    </row>
    <row r="133" spans="1:33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1"/>
        <v>MUSTARD</v>
      </c>
      <c r="AG133" s="11" t="str">
        <f t="shared" si="12"/>
        <v>Bangalore</v>
      </c>
    </row>
    <row r="134" spans="1:33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1"/>
        <v>MUSTARD</v>
      </c>
      <c r="AG134" s="11" t="str">
        <f t="shared" si="12"/>
        <v>Bangalore</v>
      </c>
    </row>
    <row r="135" spans="1:33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1"/>
        <v>MUSTARD</v>
      </c>
      <c r="AG135" s="11" t="str">
        <f t="shared" si="12"/>
        <v>Bangalore</v>
      </c>
    </row>
    <row r="136" spans="1:33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1"/>
        <v>MUSTARD</v>
      </c>
      <c r="AG136" s="11" t="str">
        <f t="shared" si="12"/>
        <v>Bangalore</v>
      </c>
    </row>
    <row r="137" spans="1:33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1"/>
        <v>LIME GREEN</v>
      </c>
      <c r="AG137" s="11" t="str">
        <f t="shared" si="12"/>
        <v>JHAJJAR</v>
      </c>
    </row>
    <row r="138" spans="1:33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1"/>
        <v>LIME GREEN</v>
      </c>
      <c r="AG138" s="11" t="str">
        <f t="shared" si="12"/>
        <v>JHAJJAR</v>
      </c>
    </row>
    <row r="139" spans="1:33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1"/>
        <v>LIME GREEN</v>
      </c>
      <c r="AG139" s="11" t="str">
        <f t="shared" si="12"/>
        <v>JHAJJAR</v>
      </c>
    </row>
    <row r="140" spans="1:33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1"/>
        <v>LIME GREEN</v>
      </c>
      <c r="AG140" s="11" t="str">
        <f t="shared" si="12"/>
        <v>JHAJJAR</v>
      </c>
    </row>
    <row r="141" spans="1:33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1"/>
        <v>LIME GREEN</v>
      </c>
      <c r="AG141" s="11" t="str">
        <f t="shared" si="12"/>
        <v>JHAJJAR</v>
      </c>
    </row>
    <row r="142" spans="1:33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1"/>
        <v>MAROON</v>
      </c>
      <c r="AG142" s="11" t="str">
        <f t="shared" si="12"/>
        <v>Bangalore</v>
      </c>
    </row>
    <row r="143" spans="1:33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1"/>
        <v>MAROON</v>
      </c>
      <c r="AG143" s="11" t="str">
        <f t="shared" si="12"/>
        <v>Bangalore</v>
      </c>
    </row>
    <row r="144" spans="1:33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1"/>
        <v>MAROON</v>
      </c>
      <c r="AG144" s="11" t="str">
        <f t="shared" si="12"/>
        <v>Bangalore</v>
      </c>
    </row>
    <row r="145" spans="1:33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1"/>
        <v>MAROON</v>
      </c>
      <c r="AG145" s="11" t="str">
        <f t="shared" si="12"/>
        <v>Bangalore</v>
      </c>
    </row>
    <row r="146" spans="1:33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1"/>
        <v>MAROON</v>
      </c>
      <c r="AG146" s="11" t="str">
        <f t="shared" si="12"/>
        <v>Bangalore</v>
      </c>
    </row>
    <row r="147" spans="1:33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1"/>
        <v>MUSTARD</v>
      </c>
      <c r="AG147" s="11" t="str">
        <f t="shared" si="12"/>
        <v>HARIPAL</v>
      </c>
    </row>
    <row r="148" spans="1:33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1"/>
        <v>MUSTARD</v>
      </c>
      <c r="AG148" s="11" t="str">
        <f t="shared" si="12"/>
        <v>HARIPAL</v>
      </c>
    </row>
    <row r="149" spans="1:33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1"/>
        <v>MUSTARD</v>
      </c>
      <c r="AG149" s="11" t="str">
        <f t="shared" si="12"/>
        <v>HARIPAL</v>
      </c>
    </row>
    <row r="150" spans="1:33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1"/>
        <v>MUSTARD</v>
      </c>
      <c r="AG150" s="11" t="str">
        <f t="shared" si="12"/>
        <v>HARIPAL</v>
      </c>
    </row>
    <row r="151" spans="1:33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1"/>
        <v>MUSTARD</v>
      </c>
      <c r="AG151" s="11" t="str">
        <f t="shared" si="12"/>
        <v>HARIPAL</v>
      </c>
    </row>
    <row r="152" spans="1:33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1"/>
        <v>MUSTARD</v>
      </c>
      <c r="AG152" s="11" t="str">
        <f t="shared" si="12"/>
        <v>JHAJJAR</v>
      </c>
    </row>
    <row r="153" spans="1:33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1"/>
        <v>MUSTARD</v>
      </c>
      <c r="AG153" s="11" t="str">
        <f t="shared" si="12"/>
        <v>JHAJJAR</v>
      </c>
    </row>
    <row r="154" spans="1:33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1"/>
        <v>MUSTARD</v>
      </c>
      <c r="AG154" s="11" t="str">
        <f t="shared" si="12"/>
        <v>JHAJJAR</v>
      </c>
    </row>
    <row r="155" spans="1:33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1"/>
        <v>MUSTARD</v>
      </c>
      <c r="AG155" s="11" t="str">
        <f t="shared" si="12"/>
        <v>JHAJJAR</v>
      </c>
    </row>
    <row r="156" spans="1:33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1"/>
        <v>MUSTARD</v>
      </c>
      <c r="AG156" s="11" t="str">
        <f t="shared" si="12"/>
        <v>JHAJJAR</v>
      </c>
    </row>
    <row r="157" spans="1:33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1"/>
        <v>LIME GREEN</v>
      </c>
      <c r="AG157" s="11" t="str">
        <f t="shared" si="12"/>
        <v>HARIPAL</v>
      </c>
    </row>
    <row r="158" spans="1:33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1"/>
        <v>LIME GREEN</v>
      </c>
      <c r="AG158" s="11" t="str">
        <f t="shared" si="12"/>
        <v>HARIPAL</v>
      </c>
    </row>
    <row r="159" spans="1:33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1"/>
        <v>LIME GREEN</v>
      </c>
      <c r="AG159" s="11" t="str">
        <f t="shared" si="12"/>
        <v>HARIPAL</v>
      </c>
    </row>
    <row r="160" spans="1:33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1"/>
        <v>LIME GREEN</v>
      </c>
      <c r="AG160" s="11" t="str">
        <f t="shared" si="12"/>
        <v>HARIPAL</v>
      </c>
    </row>
    <row r="161" spans="1:33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1"/>
        <v>LIME GREEN</v>
      </c>
      <c r="AG161" s="11" t="str">
        <f t="shared" si="12"/>
        <v>HARIPAL</v>
      </c>
    </row>
    <row r="162" spans="1:33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1"/>
        <v>MUSTARD</v>
      </c>
      <c r="AG162" s="11" t="str">
        <f t="shared" si="12"/>
        <v>JHAJJAR</v>
      </c>
    </row>
    <row r="163" spans="1:33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1"/>
        <v>MUSTARD</v>
      </c>
      <c r="AG163" s="11" t="str">
        <f t="shared" si="12"/>
        <v>JHAJJAR</v>
      </c>
    </row>
    <row r="164" spans="1:33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1"/>
        <v>MUSTARD</v>
      </c>
      <c r="AG164" s="11" t="str">
        <f t="shared" si="12"/>
        <v>JHAJJAR</v>
      </c>
    </row>
    <row r="165" spans="1:33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1"/>
        <v>MUSTARD</v>
      </c>
      <c r="AG165" s="11" t="str">
        <f t="shared" si="12"/>
        <v>JHAJJAR</v>
      </c>
    </row>
    <row r="166" spans="1:33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1"/>
        <v>MUSTARD</v>
      </c>
      <c r="AG166" s="11" t="str">
        <f t="shared" si="12"/>
        <v>JHAJJAR</v>
      </c>
    </row>
    <row r="167" spans="1:33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1"/>
        <v>LIME GREEN</v>
      </c>
      <c r="AG167" s="11" t="str">
        <f t="shared" si="12"/>
        <v>HARIPAL</v>
      </c>
    </row>
    <row r="168" spans="1:33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1"/>
        <v>LIME GREEN</v>
      </c>
      <c r="AG168" s="11" t="str">
        <f t="shared" si="12"/>
        <v>HARIPAL</v>
      </c>
    </row>
    <row r="169" spans="1:33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1"/>
        <v>LIME GREEN</v>
      </c>
      <c r="AG169" s="11" t="str">
        <f t="shared" si="12"/>
        <v>HARIPAL</v>
      </c>
    </row>
    <row r="170" spans="1:33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1"/>
        <v>LIME GREEN</v>
      </c>
      <c r="AG170" s="11" t="str">
        <f t="shared" si="12"/>
        <v>HARIPAL</v>
      </c>
    </row>
    <row r="171" spans="1:33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1"/>
        <v>LIME GREEN</v>
      </c>
      <c r="AG171" s="11" t="str">
        <f t="shared" si="12"/>
        <v>HARIPAL</v>
      </c>
    </row>
    <row r="172" spans="1:33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1"/>
        <v>MAROON</v>
      </c>
      <c r="AG172" s="11" t="str">
        <f t="shared" si="12"/>
        <v>JHAJJAR</v>
      </c>
    </row>
    <row r="173" spans="1:33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1"/>
        <v>MAROON</v>
      </c>
      <c r="AG173" s="11" t="str">
        <f t="shared" si="12"/>
        <v>JHAJJAR</v>
      </c>
    </row>
    <row r="174" spans="1:33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1"/>
        <v>MAROON</v>
      </c>
      <c r="AG174" s="11" t="str">
        <f t="shared" si="12"/>
        <v>JHAJJAR</v>
      </c>
    </row>
    <row r="175" spans="1:33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1"/>
        <v>MAROON</v>
      </c>
      <c r="AG175" s="11" t="str">
        <f t="shared" si="12"/>
        <v>JHAJJAR</v>
      </c>
    </row>
    <row r="176" spans="1:33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1"/>
        <v>MAROON</v>
      </c>
      <c r="AG176" s="11" t="str">
        <f t="shared" si="12"/>
        <v>JHAJJAR</v>
      </c>
    </row>
    <row r="177" spans="1:33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1"/>
        <v>MUSTARD</v>
      </c>
      <c r="AG177" s="11" t="str">
        <f t="shared" si="12"/>
        <v>HARIPAL</v>
      </c>
    </row>
    <row r="178" spans="1:33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1"/>
        <v>MUSTARD</v>
      </c>
      <c r="AG178" s="11" t="str">
        <f t="shared" si="12"/>
        <v>HARIPAL</v>
      </c>
    </row>
    <row r="179" spans="1:33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1"/>
        <v>MUSTARD</v>
      </c>
      <c r="AG179" s="11" t="str">
        <f t="shared" si="12"/>
        <v>HARIPAL</v>
      </c>
    </row>
    <row r="180" spans="1:33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1"/>
        <v>MUSTARD</v>
      </c>
      <c r="AG180" s="11" t="str">
        <f t="shared" si="12"/>
        <v>HARIPAL</v>
      </c>
    </row>
    <row r="181" spans="1:33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1"/>
        <v>MUSTARD</v>
      </c>
      <c r="AG181" s="11" t="str">
        <f t="shared" si="12"/>
        <v>HARIPAL</v>
      </c>
    </row>
    <row r="182" spans="1:33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1"/>
        <v>MUSTARD</v>
      </c>
      <c r="AG182" s="11" t="str">
        <f t="shared" si="12"/>
        <v>HARIPAL</v>
      </c>
    </row>
    <row r="183" spans="1:33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1"/>
        <v>MUSTARD</v>
      </c>
      <c r="AG183" s="11" t="str">
        <f t="shared" si="12"/>
        <v>HARIPAL</v>
      </c>
    </row>
    <row r="184" spans="1:33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1"/>
        <v>MUSTARD</v>
      </c>
      <c r="AG184" s="11" t="str">
        <f t="shared" si="12"/>
        <v>HARIPAL</v>
      </c>
    </row>
    <row r="185" spans="1:33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1"/>
        <v>MUSTARD</v>
      </c>
      <c r="AG185" s="11" t="str">
        <f t="shared" si="12"/>
        <v>HARIPAL</v>
      </c>
    </row>
    <row r="186" spans="1:33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1"/>
        <v>MUSTARD</v>
      </c>
      <c r="AG186" s="11" t="str">
        <f t="shared" si="12"/>
        <v>HARIPAL</v>
      </c>
    </row>
    <row r="187" spans="1:33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1"/>
        <v>MAROON</v>
      </c>
      <c r="AG187" s="11" t="str">
        <f t="shared" si="12"/>
        <v>HARIPAL</v>
      </c>
    </row>
    <row r="188" spans="1:33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1"/>
        <v>MAROON</v>
      </c>
      <c r="AG188" s="11" t="str">
        <f t="shared" si="12"/>
        <v>HARIPAL</v>
      </c>
    </row>
    <row r="189" spans="1:33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1"/>
        <v>MAROON</v>
      </c>
      <c r="AG189" s="11" t="str">
        <f t="shared" si="12"/>
        <v>HARIPAL</v>
      </c>
    </row>
    <row r="190" spans="1:33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1"/>
        <v>MAROON</v>
      </c>
      <c r="AG190" s="11" t="str">
        <f t="shared" si="12"/>
        <v>HARIPAL</v>
      </c>
    </row>
    <row r="191" spans="1:33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1"/>
        <v>MAROON</v>
      </c>
      <c r="AG191" s="11" t="str">
        <f t="shared" si="12"/>
        <v>HARIPAL</v>
      </c>
    </row>
    <row r="192" spans="1:33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1"/>
        <v>PINK</v>
      </c>
      <c r="AG192" s="11" t="str">
        <f t="shared" si="12"/>
        <v>Bangalore</v>
      </c>
    </row>
    <row r="193" spans="1:33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1"/>
        <v>PINK</v>
      </c>
      <c r="AG193" s="11" t="str">
        <f t="shared" si="12"/>
        <v>Bangalore</v>
      </c>
    </row>
    <row r="194" spans="1:33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1"/>
        <v>PINK</v>
      </c>
      <c r="AG194" s="11" t="str">
        <f t="shared" si="12"/>
        <v>Bangalore</v>
      </c>
    </row>
    <row r="195" spans="1:33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3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4">IF(A195="SZAF","Bangalore",IF(A195="SAEX","JHAJJAR",IF(A195="S0EU","HARIPAL","")))</f>
        <v>Bangalore</v>
      </c>
    </row>
    <row r="196" spans="1:33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3"/>
        <v>PINK</v>
      </c>
      <c r="AG196" s="11" t="str">
        <f t="shared" si="14"/>
        <v>Bangalore</v>
      </c>
    </row>
    <row r="197" spans="1:33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3"/>
        <v>CORAL</v>
      </c>
      <c r="AG197" s="11" t="str">
        <f t="shared" si="14"/>
        <v>Bangalore</v>
      </c>
    </row>
    <row r="198" spans="1:33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3"/>
        <v>CORAL</v>
      </c>
      <c r="AG198" s="11" t="str">
        <f t="shared" si="14"/>
        <v>Bangalore</v>
      </c>
    </row>
    <row r="199" spans="1:33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3"/>
        <v>CORAL</v>
      </c>
      <c r="AG199" s="11" t="str">
        <f t="shared" si="14"/>
        <v>Bangalore</v>
      </c>
    </row>
    <row r="200" spans="1:33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3"/>
        <v>CORAL</v>
      </c>
      <c r="AG200" s="11" t="str">
        <f t="shared" si="14"/>
        <v>Bangalore</v>
      </c>
    </row>
    <row r="201" spans="1:33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3"/>
        <v>CORAL</v>
      </c>
      <c r="AG201" s="11" t="str">
        <f t="shared" si="14"/>
        <v>Bangalore</v>
      </c>
    </row>
    <row r="202" spans="1:33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3"/>
        <v>MAROON</v>
      </c>
      <c r="AG202" s="11" t="str">
        <f t="shared" si="14"/>
        <v>Bangalore</v>
      </c>
    </row>
    <row r="203" spans="1:33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3"/>
        <v>MAROON</v>
      </c>
      <c r="AG203" s="11" t="str">
        <f t="shared" si="14"/>
        <v>Bangalore</v>
      </c>
    </row>
    <row r="204" spans="1:33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3"/>
        <v>MAROON</v>
      </c>
      <c r="AG204" s="11" t="str">
        <f t="shared" si="14"/>
        <v>Bangalore</v>
      </c>
    </row>
    <row r="205" spans="1:33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3"/>
        <v>MAROON</v>
      </c>
      <c r="AG205" s="11" t="str">
        <f t="shared" si="14"/>
        <v>Bangalore</v>
      </c>
    </row>
    <row r="206" spans="1:33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3"/>
        <v>MAROON</v>
      </c>
      <c r="AG206" s="11" t="str">
        <f t="shared" si="14"/>
        <v>Bangalore</v>
      </c>
    </row>
    <row r="207" spans="1:33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3"/>
        <v>PINK</v>
      </c>
      <c r="AG207" s="11" t="str">
        <f t="shared" si="14"/>
        <v>JHAJJAR</v>
      </c>
    </row>
    <row r="208" spans="1:33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3"/>
        <v>PINK</v>
      </c>
      <c r="AG208" s="11" t="str">
        <f t="shared" si="14"/>
        <v>JHAJJAR</v>
      </c>
    </row>
    <row r="209" spans="1:33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3"/>
        <v>PINK</v>
      </c>
      <c r="AG209" s="11" t="str">
        <f t="shared" si="14"/>
        <v>JHAJJAR</v>
      </c>
    </row>
    <row r="210" spans="1:33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3"/>
        <v>PINK</v>
      </c>
      <c r="AG210" s="11" t="str">
        <f t="shared" si="14"/>
        <v>JHAJJAR</v>
      </c>
    </row>
    <row r="211" spans="1:33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3"/>
        <v>PINK</v>
      </c>
      <c r="AG211" s="11" t="str">
        <f t="shared" si="14"/>
        <v>JHAJJAR</v>
      </c>
    </row>
    <row r="212" spans="1:33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3"/>
        <v>MUSTARD</v>
      </c>
      <c r="AG212" s="11" t="str">
        <f t="shared" si="14"/>
        <v>Bangalore</v>
      </c>
    </row>
    <row r="213" spans="1:33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3"/>
        <v>MUSTARD</v>
      </c>
      <c r="AG213" s="11" t="str">
        <f t="shared" si="14"/>
        <v>Bangalore</v>
      </c>
    </row>
    <row r="214" spans="1:33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3"/>
        <v>MUSTARD</v>
      </c>
      <c r="AG214" s="11" t="str">
        <f t="shared" si="14"/>
        <v>Bangalore</v>
      </c>
    </row>
    <row r="215" spans="1:33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3"/>
        <v>MUSTARD</v>
      </c>
      <c r="AG215" s="11" t="str">
        <f t="shared" si="14"/>
        <v>Bangalore</v>
      </c>
    </row>
    <row r="216" spans="1:33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3"/>
        <v>MUSTARD</v>
      </c>
      <c r="AG216" s="11" t="str">
        <f t="shared" si="14"/>
        <v>Bangalore</v>
      </c>
    </row>
    <row r="217" spans="1:33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3"/>
        <v>MAROON</v>
      </c>
      <c r="AG217" s="11" t="str">
        <f t="shared" si="14"/>
        <v>Bangalore</v>
      </c>
    </row>
    <row r="218" spans="1:33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3"/>
        <v>MAROON</v>
      </c>
      <c r="AG218" s="11" t="str">
        <f t="shared" si="14"/>
        <v>Bangalore</v>
      </c>
    </row>
    <row r="219" spans="1:33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3"/>
        <v>MAROON</v>
      </c>
      <c r="AG219" s="11" t="str">
        <f t="shared" si="14"/>
        <v>Bangalore</v>
      </c>
    </row>
    <row r="220" spans="1:33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3"/>
        <v>MAROON</v>
      </c>
      <c r="AG220" s="11" t="str">
        <f t="shared" si="14"/>
        <v>Bangalore</v>
      </c>
    </row>
    <row r="221" spans="1:33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3"/>
        <v>MAROON</v>
      </c>
      <c r="AG221" s="11" t="str">
        <f t="shared" si="14"/>
        <v>Bangalore</v>
      </c>
    </row>
    <row r="222" spans="1:33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3"/>
        <v>CORAL</v>
      </c>
      <c r="AG222" s="11" t="str">
        <f t="shared" si="14"/>
        <v>JHAJJAR</v>
      </c>
    </row>
    <row r="223" spans="1:33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3"/>
        <v>CORAL</v>
      </c>
      <c r="AG223" s="11" t="str">
        <f t="shared" si="14"/>
        <v>JHAJJAR</v>
      </c>
    </row>
    <row r="224" spans="1:33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3"/>
        <v>CORAL</v>
      </c>
      <c r="AG224" s="11" t="str">
        <f t="shared" si="14"/>
        <v>JHAJJAR</v>
      </c>
    </row>
    <row r="225" spans="1:33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3"/>
        <v>CORAL</v>
      </c>
      <c r="AG225" s="11" t="str">
        <f t="shared" si="14"/>
        <v>JHAJJAR</v>
      </c>
    </row>
    <row r="226" spans="1:33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3"/>
        <v>CORAL</v>
      </c>
      <c r="AG226" s="11" t="str">
        <f t="shared" si="14"/>
        <v>JHAJJAR</v>
      </c>
    </row>
    <row r="227" spans="1:33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3"/>
        <v>MAROON</v>
      </c>
      <c r="AG227" s="11" t="str">
        <f t="shared" si="14"/>
        <v>JHAJJAR</v>
      </c>
    </row>
    <row r="228" spans="1:33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3"/>
        <v>MAROON</v>
      </c>
      <c r="AG228" s="11" t="str">
        <f t="shared" si="14"/>
        <v>JHAJJAR</v>
      </c>
    </row>
    <row r="229" spans="1:33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3"/>
        <v>MAROON</v>
      </c>
      <c r="AG229" s="11" t="str">
        <f t="shared" si="14"/>
        <v>JHAJJAR</v>
      </c>
    </row>
    <row r="230" spans="1:33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3"/>
        <v>MAROON</v>
      </c>
      <c r="AG230" s="11" t="str">
        <f t="shared" si="14"/>
        <v>JHAJJAR</v>
      </c>
    </row>
    <row r="231" spans="1:33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3"/>
        <v>MAROON</v>
      </c>
      <c r="AG231" s="11" t="str">
        <f t="shared" si="14"/>
        <v>JHAJJAR</v>
      </c>
    </row>
    <row r="232" spans="1:33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3"/>
        <v>PINK</v>
      </c>
      <c r="AG232" s="11" t="str">
        <f t="shared" si="14"/>
        <v>HARIPAL</v>
      </c>
    </row>
    <row r="233" spans="1:33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3"/>
        <v>PINK</v>
      </c>
      <c r="AG233" s="11" t="str">
        <f t="shared" si="14"/>
        <v>HARIPAL</v>
      </c>
    </row>
    <row r="234" spans="1:33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3"/>
        <v>PINK</v>
      </c>
      <c r="AG234" s="11" t="str">
        <f t="shared" si="14"/>
        <v>HARIPAL</v>
      </c>
    </row>
    <row r="235" spans="1:33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3"/>
        <v>PINK</v>
      </c>
      <c r="AG235" s="11" t="str">
        <f t="shared" si="14"/>
        <v>HARIPAL</v>
      </c>
    </row>
    <row r="236" spans="1:33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3"/>
        <v>PINK</v>
      </c>
      <c r="AG236" s="11" t="str">
        <f t="shared" si="14"/>
        <v>HARIPAL</v>
      </c>
    </row>
    <row r="237" spans="1:33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3"/>
        <v>MUSTARD</v>
      </c>
      <c r="AG237" s="11" t="str">
        <f t="shared" si="14"/>
        <v>JHAJJAR</v>
      </c>
    </row>
    <row r="238" spans="1:33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3"/>
        <v>MUSTARD</v>
      </c>
      <c r="AG238" s="11" t="str">
        <f t="shared" si="14"/>
        <v>JHAJJAR</v>
      </c>
    </row>
    <row r="239" spans="1:33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3"/>
        <v>MUSTARD</v>
      </c>
      <c r="AG239" s="11" t="str">
        <f t="shared" si="14"/>
        <v>JHAJJAR</v>
      </c>
    </row>
    <row r="240" spans="1:33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3"/>
        <v>MUSTARD</v>
      </c>
      <c r="AG240" s="11" t="str">
        <f t="shared" si="14"/>
        <v>JHAJJAR</v>
      </c>
    </row>
    <row r="241" spans="1:33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3"/>
        <v>MUSTARD</v>
      </c>
      <c r="AG241" s="11" t="str">
        <f t="shared" si="14"/>
        <v>JHAJJAR</v>
      </c>
    </row>
    <row r="242" spans="1:33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3"/>
        <v>MAROON</v>
      </c>
      <c r="AG242" s="11" t="str">
        <f t="shared" si="14"/>
        <v>JHAJJAR</v>
      </c>
    </row>
    <row r="243" spans="1:33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3"/>
        <v>MAROON</v>
      </c>
      <c r="AG243" s="11" t="str">
        <f t="shared" si="14"/>
        <v>JHAJJAR</v>
      </c>
    </row>
    <row r="244" spans="1:33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3"/>
        <v>MAROON</v>
      </c>
      <c r="AG244" s="11" t="str">
        <f t="shared" si="14"/>
        <v>JHAJJAR</v>
      </c>
    </row>
    <row r="245" spans="1:33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3"/>
        <v>MAROON</v>
      </c>
      <c r="AG245" s="11" t="str">
        <f t="shared" si="14"/>
        <v>JHAJJAR</v>
      </c>
    </row>
    <row r="246" spans="1:33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3"/>
        <v>MAROON</v>
      </c>
      <c r="AG246" s="11" t="str">
        <f t="shared" si="14"/>
        <v>JHAJJAR</v>
      </c>
    </row>
    <row r="247" spans="1:33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3"/>
        <v>CORAL</v>
      </c>
      <c r="AG247" s="11" t="str">
        <f t="shared" si="14"/>
        <v>HARIPAL</v>
      </c>
    </row>
    <row r="248" spans="1:33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3"/>
        <v>CORAL</v>
      </c>
      <c r="AG248" s="11" t="str">
        <f t="shared" si="14"/>
        <v>HARIPAL</v>
      </c>
    </row>
    <row r="249" spans="1:33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3"/>
        <v>CORAL</v>
      </c>
      <c r="AG249" s="11" t="str">
        <f t="shared" si="14"/>
        <v>HARIPAL</v>
      </c>
    </row>
    <row r="250" spans="1:33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3"/>
        <v>CORAL</v>
      </c>
      <c r="AG250" s="11" t="str">
        <f t="shared" si="14"/>
        <v>HARIPAL</v>
      </c>
    </row>
    <row r="251" spans="1:33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3"/>
        <v>CORAL</v>
      </c>
      <c r="AG251" s="11" t="str">
        <f t="shared" si="14"/>
        <v>HARIPAL</v>
      </c>
    </row>
    <row r="252" spans="1:33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3"/>
        <v>MAROON</v>
      </c>
      <c r="AG252" s="11" t="str">
        <f t="shared" si="14"/>
        <v>HARIPAL</v>
      </c>
    </row>
    <row r="253" spans="1:33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3"/>
        <v>MAROON</v>
      </c>
      <c r="AG253" s="11" t="str">
        <f t="shared" si="14"/>
        <v>HARIPAL</v>
      </c>
    </row>
    <row r="254" spans="1:33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3"/>
        <v>MAROON</v>
      </c>
      <c r="AG254" s="11" t="str">
        <f t="shared" si="14"/>
        <v>HARIPAL</v>
      </c>
    </row>
    <row r="255" spans="1:33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3"/>
        <v>MAROON</v>
      </c>
      <c r="AG255" s="11" t="str">
        <f t="shared" si="14"/>
        <v>HARIPAL</v>
      </c>
    </row>
    <row r="256" spans="1:33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3"/>
        <v>MAROON</v>
      </c>
      <c r="AG256" s="11" t="str">
        <f t="shared" si="14"/>
        <v>HARIPAL</v>
      </c>
    </row>
    <row r="257" spans="1:33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16">IF(ISNUMBER(SEARCH("(RP)",J257)),"RP","DC")</f>
        <v>DC</v>
      </c>
      <c r="Z257" s="8">
        <f t="shared" ref="Z257:Z511" si="17">IF(ISNUMBER(SEARCH("(RP)",J257)),O257,IF(RIGHT(TRIM(J257),3)=", S",O257,0))</f>
        <v>0</v>
      </c>
      <c r="AA257" s="8">
        <f t="shared" ref="AA257:AA511" si="18">IF(ISNUMBER(SEARCH("(RP)",J257)),O257,IF(RIGHT(TRIM(J257),3)=", M",O257,0))</f>
        <v>0</v>
      </c>
      <c r="AB257" s="8">
        <f t="shared" ref="AB257:AB511" si="19">IF(ISNUMBER(SEARCH("(RP)",J257)),O257,IF(RIGHT(TRIM(J257),3)=", L",O257,0))</f>
        <v>0</v>
      </c>
      <c r="AC257" s="8">
        <f t="shared" ref="AC257:AC511" si="20">IF(ISNUMBER(SEARCH("(RP)",J257)),O257,IF(RIGHT(TRIM(J257),4)=", XL",O257,0))</f>
        <v>0</v>
      </c>
      <c r="AD257" s="8">
        <f t="shared" ref="AD257:AD511" si="21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3"/>
        <v>MUSTARD</v>
      </c>
      <c r="AG257" s="11" t="str">
        <f t="shared" si="14"/>
        <v>HARIPAL</v>
      </c>
    </row>
    <row r="258" spans="1:33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5"/>
        <v>441811094</v>
      </c>
      <c r="Y258" s="8" t="str">
        <f t="shared" si="16"/>
        <v>DC</v>
      </c>
      <c r="Z258" s="8">
        <f t="shared" si="17"/>
        <v>0</v>
      </c>
      <c r="AA258" s="8">
        <f t="shared" si="18"/>
        <v>0</v>
      </c>
      <c r="AB258" s="8">
        <f t="shared" si="19"/>
        <v>142</v>
      </c>
      <c r="AC258" s="8">
        <f t="shared" si="20"/>
        <v>0</v>
      </c>
      <c r="AD258" s="8">
        <f t="shared" si="21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3"/>
        <v>MUSTARD</v>
      </c>
      <c r="AG258" s="11" t="str">
        <f t="shared" si="14"/>
        <v>HARIPAL</v>
      </c>
    </row>
    <row r="259" spans="1:33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5"/>
        <v>441811094</v>
      </c>
      <c r="Y259" s="8" t="str">
        <f t="shared" si="16"/>
        <v>DC</v>
      </c>
      <c r="Z259" s="8">
        <f t="shared" si="17"/>
        <v>0</v>
      </c>
      <c r="AA259" s="8">
        <f t="shared" si="18"/>
        <v>142</v>
      </c>
      <c r="AB259" s="8">
        <f t="shared" si="19"/>
        <v>0</v>
      </c>
      <c r="AC259" s="8">
        <f t="shared" si="20"/>
        <v>0</v>
      </c>
      <c r="AD259" s="8">
        <f t="shared" si="21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3">IF(A259="SZAF","Bangalore",IF(A259="SAEX","JHAJJAR",IF(A259="S0EU","HARIPAL","")))</f>
        <v>HARIPAL</v>
      </c>
    </row>
    <row r="260" spans="1:33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5"/>
        <v>441811094</v>
      </c>
      <c r="Y260" s="8" t="str">
        <f t="shared" si="16"/>
        <v>DC</v>
      </c>
      <c r="Z260" s="8">
        <f t="shared" si="17"/>
        <v>30</v>
      </c>
      <c r="AA260" s="8">
        <f t="shared" si="18"/>
        <v>0</v>
      </c>
      <c r="AB260" s="8">
        <f t="shared" si="19"/>
        <v>0</v>
      </c>
      <c r="AC260" s="8">
        <f t="shared" si="20"/>
        <v>0</v>
      </c>
      <c r="AD260" s="8">
        <f t="shared" si="21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2"/>
        <v>MUSTARD</v>
      </c>
      <c r="AG260" s="11" t="str">
        <f t="shared" si="23"/>
        <v>HARIPAL</v>
      </c>
    </row>
    <row r="261" spans="1:33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5"/>
        <v>441811094</v>
      </c>
      <c r="Y261" s="8" t="str">
        <f t="shared" si="16"/>
        <v>DC</v>
      </c>
      <c r="Z261" s="8">
        <f t="shared" si="17"/>
        <v>0</v>
      </c>
      <c r="AA261" s="8">
        <f t="shared" si="18"/>
        <v>0</v>
      </c>
      <c r="AB261" s="8">
        <f t="shared" si="19"/>
        <v>0</v>
      </c>
      <c r="AC261" s="8">
        <f t="shared" si="20"/>
        <v>120</v>
      </c>
      <c r="AD261" s="8">
        <f t="shared" si="21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2"/>
        <v>MUSTARD</v>
      </c>
      <c r="AG261" s="11" t="str">
        <f t="shared" si="23"/>
        <v>HARIPAL</v>
      </c>
    </row>
    <row r="262" spans="1:33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5"/>
        <v>441811094</v>
      </c>
      <c r="Y262" s="8" t="str">
        <f t="shared" si="16"/>
        <v>DC</v>
      </c>
      <c r="Z262" s="8">
        <f t="shared" si="17"/>
        <v>0</v>
      </c>
      <c r="AA262" s="8">
        <f t="shared" si="18"/>
        <v>0</v>
      </c>
      <c r="AB262" s="8">
        <f t="shared" si="19"/>
        <v>0</v>
      </c>
      <c r="AC262" s="8">
        <f t="shared" si="20"/>
        <v>0</v>
      </c>
      <c r="AD262" s="8">
        <f t="shared" si="21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2"/>
        <v>MAROON</v>
      </c>
      <c r="AG262" s="11" t="str">
        <f t="shared" si="23"/>
        <v>HARIPAL</v>
      </c>
    </row>
    <row r="263" spans="1:33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5"/>
        <v>441811094</v>
      </c>
      <c r="Y263" s="8" t="str">
        <f t="shared" si="16"/>
        <v>DC</v>
      </c>
      <c r="Z263" s="8">
        <f t="shared" si="17"/>
        <v>0</v>
      </c>
      <c r="AA263" s="8">
        <f t="shared" si="18"/>
        <v>0</v>
      </c>
      <c r="AB263" s="8">
        <f t="shared" si="19"/>
        <v>142</v>
      </c>
      <c r="AC263" s="8">
        <f t="shared" si="20"/>
        <v>0</v>
      </c>
      <c r="AD263" s="8">
        <f t="shared" si="21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2"/>
        <v>MAROON</v>
      </c>
      <c r="AG263" s="11" t="str">
        <f t="shared" si="23"/>
        <v>HARIPAL</v>
      </c>
    </row>
    <row r="264" spans="1:33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5"/>
        <v>441811094</v>
      </c>
      <c r="Y264" s="8" t="str">
        <f t="shared" si="16"/>
        <v>DC</v>
      </c>
      <c r="Z264" s="8">
        <f t="shared" si="17"/>
        <v>0</v>
      </c>
      <c r="AA264" s="8">
        <f t="shared" si="18"/>
        <v>142</v>
      </c>
      <c r="AB264" s="8">
        <f t="shared" si="19"/>
        <v>0</v>
      </c>
      <c r="AC264" s="8">
        <f t="shared" si="20"/>
        <v>0</v>
      </c>
      <c r="AD264" s="8">
        <f t="shared" si="21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2"/>
        <v>MAROON</v>
      </c>
      <c r="AG264" s="11" t="str">
        <f t="shared" si="23"/>
        <v>HARIPAL</v>
      </c>
    </row>
    <row r="265" spans="1:33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5"/>
        <v>441811094</v>
      </c>
      <c r="Y265" s="8" t="str">
        <f t="shared" si="16"/>
        <v>DC</v>
      </c>
      <c r="Z265" s="8">
        <f t="shared" si="17"/>
        <v>30</v>
      </c>
      <c r="AA265" s="8">
        <f t="shared" si="18"/>
        <v>0</v>
      </c>
      <c r="AB265" s="8">
        <f t="shared" si="19"/>
        <v>0</v>
      </c>
      <c r="AC265" s="8">
        <f t="shared" si="20"/>
        <v>0</v>
      </c>
      <c r="AD265" s="8">
        <f t="shared" si="21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2"/>
        <v>MAROON</v>
      </c>
      <c r="AG265" s="11" t="str">
        <f t="shared" si="23"/>
        <v>HARIPAL</v>
      </c>
    </row>
    <row r="266" spans="1:33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5"/>
        <v>441811094</v>
      </c>
      <c r="Y266" s="8" t="str">
        <f t="shared" si="16"/>
        <v>DC</v>
      </c>
      <c r="Z266" s="8">
        <f t="shared" si="17"/>
        <v>0</v>
      </c>
      <c r="AA266" s="8">
        <f t="shared" si="18"/>
        <v>0</v>
      </c>
      <c r="AB266" s="8">
        <f t="shared" si="19"/>
        <v>0</v>
      </c>
      <c r="AC266" s="8">
        <f t="shared" si="20"/>
        <v>120</v>
      </c>
      <c r="AD266" s="8">
        <f t="shared" si="21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2"/>
        <v>MAROON</v>
      </c>
      <c r="AG266" s="11" t="str">
        <f t="shared" si="23"/>
        <v>HARIPAL</v>
      </c>
    </row>
    <row r="267" spans="1:33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5"/>
        <v>441811012</v>
      </c>
      <c r="Y267" s="8" t="str">
        <f t="shared" si="16"/>
        <v>DC</v>
      </c>
      <c r="Z267" s="8">
        <f t="shared" si="17"/>
        <v>0</v>
      </c>
      <c r="AA267" s="8">
        <f t="shared" si="18"/>
        <v>0</v>
      </c>
      <c r="AB267" s="8">
        <f t="shared" si="19"/>
        <v>0</v>
      </c>
      <c r="AC267" s="8">
        <f t="shared" si="20"/>
        <v>0</v>
      </c>
      <c r="AD267" s="8">
        <f t="shared" si="21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2"/>
        <v>ONION PINK</v>
      </c>
      <c r="AG267" s="11" t="str">
        <f t="shared" si="23"/>
        <v>Bangalore</v>
      </c>
    </row>
    <row r="268" spans="1:33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5"/>
        <v>441811012</v>
      </c>
      <c r="Y268" s="8" t="str">
        <f t="shared" si="16"/>
        <v>DC</v>
      </c>
      <c r="Z268" s="8">
        <f t="shared" si="17"/>
        <v>0</v>
      </c>
      <c r="AA268" s="8">
        <f t="shared" si="18"/>
        <v>0</v>
      </c>
      <c r="AB268" s="8">
        <f t="shared" si="19"/>
        <v>114</v>
      </c>
      <c r="AC268" s="8">
        <f t="shared" si="20"/>
        <v>0</v>
      </c>
      <c r="AD268" s="8">
        <f t="shared" si="21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2"/>
        <v>ONION PINK</v>
      </c>
      <c r="AG268" s="11" t="str">
        <f t="shared" si="23"/>
        <v>Bangalore</v>
      </c>
    </row>
    <row r="269" spans="1:33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5"/>
        <v>441811012</v>
      </c>
      <c r="Y269" s="8" t="str">
        <f t="shared" si="16"/>
        <v>DC</v>
      </c>
      <c r="Z269" s="8">
        <f t="shared" si="17"/>
        <v>0</v>
      </c>
      <c r="AA269" s="8">
        <f t="shared" si="18"/>
        <v>120</v>
      </c>
      <c r="AB269" s="8">
        <f t="shared" si="19"/>
        <v>0</v>
      </c>
      <c r="AC269" s="8">
        <f t="shared" si="20"/>
        <v>0</v>
      </c>
      <c r="AD269" s="8">
        <f t="shared" si="21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2"/>
        <v>ONION PINK</v>
      </c>
      <c r="AG269" s="11" t="str">
        <f t="shared" si="23"/>
        <v>Bangalore</v>
      </c>
    </row>
    <row r="270" spans="1:33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5"/>
        <v>441811012</v>
      </c>
      <c r="Y270" s="8" t="str">
        <f t="shared" si="16"/>
        <v>DC</v>
      </c>
      <c r="Z270" s="8">
        <f t="shared" si="17"/>
        <v>36</v>
      </c>
      <c r="AA270" s="8">
        <f t="shared" si="18"/>
        <v>0</v>
      </c>
      <c r="AB270" s="8">
        <f t="shared" si="19"/>
        <v>0</v>
      </c>
      <c r="AC270" s="8">
        <f t="shared" si="20"/>
        <v>0</v>
      </c>
      <c r="AD270" s="8">
        <f t="shared" si="21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2"/>
        <v>ONION PINK</v>
      </c>
      <c r="AG270" s="11" t="str">
        <f t="shared" si="23"/>
        <v>Bangalore</v>
      </c>
    </row>
    <row r="271" spans="1:33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5"/>
        <v>441811012</v>
      </c>
      <c r="Y271" s="8" t="str">
        <f t="shared" si="16"/>
        <v>DC</v>
      </c>
      <c r="Z271" s="8">
        <f t="shared" si="17"/>
        <v>0</v>
      </c>
      <c r="AA271" s="8">
        <f t="shared" si="18"/>
        <v>0</v>
      </c>
      <c r="AB271" s="8">
        <f t="shared" si="19"/>
        <v>0</v>
      </c>
      <c r="AC271" s="8">
        <f t="shared" si="20"/>
        <v>114</v>
      </c>
      <c r="AD271" s="8">
        <f t="shared" si="21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2"/>
        <v>ONION PINK</v>
      </c>
      <c r="AG271" s="11" t="str">
        <f t="shared" si="23"/>
        <v>Bangalore</v>
      </c>
    </row>
    <row r="272" spans="1:33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5"/>
        <v>441811011</v>
      </c>
      <c r="Y272" s="8" t="str">
        <f t="shared" si="16"/>
        <v>DC</v>
      </c>
      <c r="Z272" s="8">
        <f t="shared" si="17"/>
        <v>0</v>
      </c>
      <c r="AA272" s="8">
        <f t="shared" si="18"/>
        <v>0</v>
      </c>
      <c r="AB272" s="8">
        <f t="shared" si="19"/>
        <v>0</v>
      </c>
      <c r="AC272" s="8">
        <f t="shared" si="20"/>
        <v>0</v>
      </c>
      <c r="AD272" s="8">
        <f t="shared" si="21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2"/>
        <v>TEAL</v>
      </c>
      <c r="AG272" s="11" t="str">
        <f t="shared" si="23"/>
        <v>Bangalore</v>
      </c>
    </row>
    <row r="273" spans="1:33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5"/>
        <v>441811011</v>
      </c>
      <c r="Y273" s="8" t="str">
        <f t="shared" si="16"/>
        <v>DC</v>
      </c>
      <c r="Z273" s="8">
        <f t="shared" si="17"/>
        <v>0</v>
      </c>
      <c r="AA273" s="8">
        <f t="shared" si="18"/>
        <v>0</v>
      </c>
      <c r="AB273" s="8">
        <f t="shared" si="19"/>
        <v>114</v>
      </c>
      <c r="AC273" s="8">
        <f t="shared" si="20"/>
        <v>0</v>
      </c>
      <c r="AD273" s="8">
        <f t="shared" si="21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2"/>
        <v>TEAL</v>
      </c>
      <c r="AG273" s="11" t="str">
        <f t="shared" si="23"/>
        <v>Bangalore</v>
      </c>
    </row>
    <row r="274" spans="1:33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5"/>
        <v>441811011</v>
      </c>
      <c r="Y274" s="8" t="str">
        <f t="shared" si="16"/>
        <v>DC</v>
      </c>
      <c r="Z274" s="8">
        <f t="shared" si="17"/>
        <v>0</v>
      </c>
      <c r="AA274" s="8">
        <f t="shared" si="18"/>
        <v>120</v>
      </c>
      <c r="AB274" s="8">
        <f t="shared" si="19"/>
        <v>0</v>
      </c>
      <c r="AC274" s="8">
        <f t="shared" si="20"/>
        <v>0</v>
      </c>
      <c r="AD274" s="8">
        <f t="shared" si="21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2"/>
        <v>TEAL</v>
      </c>
      <c r="AG274" s="11" t="str">
        <f t="shared" si="23"/>
        <v>Bangalore</v>
      </c>
    </row>
    <row r="275" spans="1:33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5"/>
        <v>441811011</v>
      </c>
      <c r="Y275" s="8" t="str">
        <f t="shared" si="16"/>
        <v>DC</v>
      </c>
      <c r="Z275" s="8">
        <f t="shared" si="17"/>
        <v>36</v>
      </c>
      <c r="AA275" s="8">
        <f t="shared" si="18"/>
        <v>0</v>
      </c>
      <c r="AB275" s="8">
        <f t="shared" si="19"/>
        <v>0</v>
      </c>
      <c r="AC275" s="8">
        <f t="shared" si="20"/>
        <v>0</v>
      </c>
      <c r="AD275" s="8">
        <f t="shared" si="21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2"/>
        <v>TEAL</v>
      </c>
      <c r="AG275" s="11" t="str">
        <f t="shared" si="23"/>
        <v>Bangalore</v>
      </c>
    </row>
    <row r="276" spans="1:33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5"/>
        <v>441811011</v>
      </c>
      <c r="Y276" s="8" t="str">
        <f t="shared" si="16"/>
        <v>DC</v>
      </c>
      <c r="Z276" s="8">
        <f t="shared" si="17"/>
        <v>0</v>
      </c>
      <c r="AA276" s="8">
        <f t="shared" si="18"/>
        <v>0</v>
      </c>
      <c r="AB276" s="8">
        <f t="shared" si="19"/>
        <v>0</v>
      </c>
      <c r="AC276" s="8">
        <f t="shared" si="20"/>
        <v>114</v>
      </c>
      <c r="AD276" s="8">
        <f t="shared" si="21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2"/>
        <v>TEAL</v>
      </c>
      <c r="AG276" s="11" t="str">
        <f t="shared" si="23"/>
        <v>Bangalore</v>
      </c>
    </row>
    <row r="277" spans="1:33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5"/>
        <v>441811009</v>
      </c>
      <c r="Y277" s="8" t="str">
        <f t="shared" si="16"/>
        <v>DC</v>
      </c>
      <c r="Z277" s="8">
        <f t="shared" si="17"/>
        <v>0</v>
      </c>
      <c r="AA277" s="8">
        <f t="shared" si="18"/>
        <v>0</v>
      </c>
      <c r="AB277" s="8">
        <f t="shared" si="19"/>
        <v>0</v>
      </c>
      <c r="AC277" s="8">
        <f t="shared" si="20"/>
        <v>0</v>
      </c>
      <c r="AD277" s="8">
        <f t="shared" si="21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2"/>
        <v>LIME GREEN</v>
      </c>
      <c r="AG277" s="11" t="str">
        <f t="shared" si="23"/>
        <v>Bangalore</v>
      </c>
    </row>
    <row r="278" spans="1:33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5"/>
        <v>441811009</v>
      </c>
      <c r="Y278" s="8" t="str">
        <f t="shared" si="16"/>
        <v>DC</v>
      </c>
      <c r="Z278" s="8">
        <f t="shared" si="17"/>
        <v>0</v>
      </c>
      <c r="AA278" s="8">
        <f t="shared" si="18"/>
        <v>0</v>
      </c>
      <c r="AB278" s="8">
        <f t="shared" si="19"/>
        <v>30</v>
      </c>
      <c r="AC278" s="8">
        <f t="shared" si="20"/>
        <v>0</v>
      </c>
      <c r="AD278" s="8">
        <f t="shared" si="21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2"/>
        <v>LIME GREEN</v>
      </c>
      <c r="AG278" s="11" t="str">
        <f t="shared" si="23"/>
        <v>Bangalore</v>
      </c>
    </row>
    <row r="279" spans="1:33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5"/>
        <v>441811009</v>
      </c>
      <c r="Y279" s="8" t="str">
        <f t="shared" si="16"/>
        <v>DC</v>
      </c>
      <c r="Z279" s="8">
        <f t="shared" si="17"/>
        <v>0</v>
      </c>
      <c r="AA279" s="8">
        <f t="shared" si="18"/>
        <v>32</v>
      </c>
      <c r="AB279" s="8">
        <f t="shared" si="19"/>
        <v>0</v>
      </c>
      <c r="AC279" s="8">
        <f t="shared" si="20"/>
        <v>0</v>
      </c>
      <c r="AD279" s="8">
        <f t="shared" si="21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2"/>
        <v>LIME GREEN</v>
      </c>
      <c r="AG279" s="11" t="str">
        <f t="shared" si="23"/>
        <v>Bangalore</v>
      </c>
    </row>
    <row r="280" spans="1:33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5"/>
        <v>441811009</v>
      </c>
      <c r="Y280" s="8" t="str">
        <f t="shared" si="16"/>
        <v>DC</v>
      </c>
      <c r="Z280" s="8">
        <f t="shared" si="17"/>
        <v>30</v>
      </c>
      <c r="AA280" s="8">
        <f t="shared" si="18"/>
        <v>0</v>
      </c>
      <c r="AB280" s="8">
        <f t="shared" si="19"/>
        <v>0</v>
      </c>
      <c r="AC280" s="8">
        <f t="shared" si="20"/>
        <v>0</v>
      </c>
      <c r="AD280" s="8">
        <f t="shared" si="21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2"/>
        <v>LIME GREEN</v>
      </c>
      <c r="AG280" s="11" t="str">
        <f t="shared" si="23"/>
        <v>Bangalore</v>
      </c>
    </row>
    <row r="281" spans="1:33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5"/>
        <v>441811009</v>
      </c>
      <c r="Y281" s="8" t="str">
        <f t="shared" si="16"/>
        <v>DC</v>
      </c>
      <c r="Z281" s="8">
        <f t="shared" si="17"/>
        <v>0</v>
      </c>
      <c r="AA281" s="8">
        <f t="shared" si="18"/>
        <v>0</v>
      </c>
      <c r="AB281" s="8">
        <f t="shared" si="19"/>
        <v>0</v>
      </c>
      <c r="AC281" s="8">
        <f t="shared" si="20"/>
        <v>30</v>
      </c>
      <c r="AD281" s="8">
        <f t="shared" si="21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2"/>
        <v>LIME GREEN</v>
      </c>
      <c r="AG281" s="11" t="str">
        <f t="shared" si="23"/>
        <v>Bangalore</v>
      </c>
    </row>
    <row r="282" spans="1:33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5"/>
        <v>441811012</v>
      </c>
      <c r="Y282" s="8" t="str">
        <f t="shared" si="16"/>
        <v>DC</v>
      </c>
      <c r="Z282" s="8">
        <f t="shared" si="17"/>
        <v>0</v>
      </c>
      <c r="AA282" s="8">
        <f t="shared" si="18"/>
        <v>0</v>
      </c>
      <c r="AB282" s="8">
        <f t="shared" si="19"/>
        <v>0</v>
      </c>
      <c r="AC282" s="8">
        <f t="shared" si="20"/>
        <v>0</v>
      </c>
      <c r="AD282" s="8">
        <f t="shared" si="21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2"/>
        <v>ONION PINK</v>
      </c>
      <c r="AG282" s="11" t="str">
        <f t="shared" si="23"/>
        <v>JHAJJAR</v>
      </c>
    </row>
    <row r="283" spans="1:33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5"/>
        <v>441811012</v>
      </c>
      <c r="Y283" s="8" t="str">
        <f t="shared" si="16"/>
        <v>DC</v>
      </c>
      <c r="Z283" s="8">
        <f t="shared" si="17"/>
        <v>0</v>
      </c>
      <c r="AA283" s="8">
        <f t="shared" si="18"/>
        <v>0</v>
      </c>
      <c r="AB283" s="8">
        <f t="shared" si="19"/>
        <v>71</v>
      </c>
      <c r="AC283" s="8">
        <f t="shared" si="20"/>
        <v>0</v>
      </c>
      <c r="AD283" s="8">
        <f t="shared" si="21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2"/>
        <v>ONION PINK</v>
      </c>
      <c r="AG283" s="11" t="str">
        <f t="shared" si="23"/>
        <v>JHAJJAR</v>
      </c>
    </row>
    <row r="284" spans="1:33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5"/>
        <v>441811012</v>
      </c>
      <c r="Y284" s="8" t="str">
        <f t="shared" si="16"/>
        <v>DC</v>
      </c>
      <c r="Z284" s="8">
        <f t="shared" si="17"/>
        <v>0</v>
      </c>
      <c r="AA284" s="8">
        <f t="shared" si="18"/>
        <v>75</v>
      </c>
      <c r="AB284" s="8">
        <f t="shared" si="19"/>
        <v>0</v>
      </c>
      <c r="AC284" s="8">
        <f t="shared" si="20"/>
        <v>0</v>
      </c>
      <c r="AD284" s="8">
        <f t="shared" si="21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2"/>
        <v>ONION PINK</v>
      </c>
      <c r="AG284" s="11" t="str">
        <f t="shared" si="23"/>
        <v>JHAJJAR</v>
      </c>
    </row>
    <row r="285" spans="1:33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5"/>
        <v>441811012</v>
      </c>
      <c r="Y285" s="8" t="str">
        <f t="shared" si="16"/>
        <v>DC</v>
      </c>
      <c r="Z285" s="8">
        <f t="shared" si="17"/>
        <v>30</v>
      </c>
      <c r="AA285" s="8">
        <f t="shared" si="18"/>
        <v>0</v>
      </c>
      <c r="AB285" s="8">
        <f t="shared" si="19"/>
        <v>0</v>
      </c>
      <c r="AC285" s="8">
        <f t="shared" si="20"/>
        <v>0</v>
      </c>
      <c r="AD285" s="8">
        <f t="shared" si="21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2"/>
        <v>ONION PINK</v>
      </c>
      <c r="AG285" s="11" t="str">
        <f t="shared" si="23"/>
        <v>JHAJJAR</v>
      </c>
    </row>
    <row r="286" spans="1:33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5"/>
        <v>441811012</v>
      </c>
      <c r="Y286" s="8" t="str">
        <f t="shared" si="16"/>
        <v>DC</v>
      </c>
      <c r="Z286" s="8">
        <f t="shared" si="17"/>
        <v>0</v>
      </c>
      <c r="AA286" s="8">
        <f t="shared" si="18"/>
        <v>0</v>
      </c>
      <c r="AB286" s="8">
        <f t="shared" si="19"/>
        <v>0</v>
      </c>
      <c r="AC286" s="8">
        <f t="shared" si="20"/>
        <v>71</v>
      </c>
      <c r="AD286" s="8">
        <f t="shared" si="21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2"/>
        <v>ONION PINK</v>
      </c>
      <c r="AG286" s="11" t="str">
        <f t="shared" si="23"/>
        <v>JHAJJAR</v>
      </c>
    </row>
    <row r="287" spans="1:33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5"/>
        <v>441811011</v>
      </c>
      <c r="Y287" s="8" t="str">
        <f t="shared" si="16"/>
        <v>DC</v>
      </c>
      <c r="Z287" s="8">
        <f t="shared" si="17"/>
        <v>0</v>
      </c>
      <c r="AA287" s="8">
        <f t="shared" si="18"/>
        <v>0</v>
      </c>
      <c r="AB287" s="8">
        <f t="shared" si="19"/>
        <v>0</v>
      </c>
      <c r="AC287" s="8">
        <f t="shared" si="20"/>
        <v>0</v>
      </c>
      <c r="AD287" s="8">
        <f t="shared" si="21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2"/>
        <v>TEAL</v>
      </c>
      <c r="AG287" s="11" t="str">
        <f t="shared" si="23"/>
        <v>JHAJJAR</v>
      </c>
    </row>
    <row r="288" spans="1:33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5"/>
        <v>441811011</v>
      </c>
      <c r="Y288" s="8" t="str">
        <f t="shared" si="16"/>
        <v>DC</v>
      </c>
      <c r="Z288" s="8">
        <f t="shared" si="17"/>
        <v>0</v>
      </c>
      <c r="AA288" s="8">
        <f t="shared" si="18"/>
        <v>0</v>
      </c>
      <c r="AB288" s="8">
        <f t="shared" si="19"/>
        <v>71</v>
      </c>
      <c r="AC288" s="8">
        <f t="shared" si="20"/>
        <v>0</v>
      </c>
      <c r="AD288" s="8">
        <f t="shared" si="21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2"/>
        <v>TEAL</v>
      </c>
      <c r="AG288" s="11" t="str">
        <f t="shared" si="23"/>
        <v>JHAJJAR</v>
      </c>
    </row>
    <row r="289" spans="1:33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5"/>
        <v>441811011</v>
      </c>
      <c r="Y289" s="8" t="str">
        <f t="shared" si="16"/>
        <v>DC</v>
      </c>
      <c r="Z289" s="8">
        <f t="shared" si="17"/>
        <v>0</v>
      </c>
      <c r="AA289" s="8">
        <f t="shared" si="18"/>
        <v>75</v>
      </c>
      <c r="AB289" s="8">
        <f t="shared" si="19"/>
        <v>0</v>
      </c>
      <c r="AC289" s="8">
        <f t="shared" si="20"/>
        <v>0</v>
      </c>
      <c r="AD289" s="8">
        <f t="shared" si="21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2"/>
        <v>TEAL</v>
      </c>
      <c r="AG289" s="11" t="str">
        <f t="shared" si="23"/>
        <v>JHAJJAR</v>
      </c>
    </row>
    <row r="290" spans="1:33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5"/>
        <v>441811011</v>
      </c>
      <c r="Y290" s="8" t="str">
        <f t="shared" si="16"/>
        <v>DC</v>
      </c>
      <c r="Z290" s="8">
        <f t="shared" si="17"/>
        <v>30</v>
      </c>
      <c r="AA290" s="8">
        <f t="shared" si="18"/>
        <v>0</v>
      </c>
      <c r="AB290" s="8">
        <f t="shared" si="19"/>
        <v>0</v>
      </c>
      <c r="AC290" s="8">
        <f t="shared" si="20"/>
        <v>0</v>
      </c>
      <c r="AD290" s="8">
        <f t="shared" si="21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2"/>
        <v>TEAL</v>
      </c>
      <c r="AG290" s="11" t="str">
        <f t="shared" si="23"/>
        <v>JHAJJAR</v>
      </c>
    </row>
    <row r="291" spans="1:33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5"/>
        <v>441811011</v>
      </c>
      <c r="Y291" s="8" t="str">
        <f t="shared" si="16"/>
        <v>DC</v>
      </c>
      <c r="Z291" s="8">
        <f t="shared" si="17"/>
        <v>0</v>
      </c>
      <c r="AA291" s="8">
        <f t="shared" si="18"/>
        <v>0</v>
      </c>
      <c r="AB291" s="8">
        <f t="shared" si="19"/>
        <v>0</v>
      </c>
      <c r="AC291" s="8">
        <f t="shared" si="20"/>
        <v>71</v>
      </c>
      <c r="AD291" s="8">
        <f t="shared" si="21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2"/>
        <v>TEAL</v>
      </c>
      <c r="AG291" s="11" t="str">
        <f t="shared" si="23"/>
        <v>JHAJJAR</v>
      </c>
    </row>
    <row r="292" spans="1:33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5"/>
        <v>441811009</v>
      </c>
      <c r="Y292" s="8" t="str">
        <f t="shared" si="16"/>
        <v>DC</v>
      </c>
      <c r="Z292" s="8">
        <f t="shared" si="17"/>
        <v>0</v>
      </c>
      <c r="AA292" s="8">
        <f t="shared" si="18"/>
        <v>0</v>
      </c>
      <c r="AB292" s="8">
        <f t="shared" si="19"/>
        <v>0</v>
      </c>
      <c r="AC292" s="8">
        <f t="shared" si="20"/>
        <v>0</v>
      </c>
      <c r="AD292" s="8">
        <f t="shared" si="21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2"/>
        <v>LIME GREEN</v>
      </c>
      <c r="AG292" s="11" t="str">
        <f t="shared" si="23"/>
        <v>JHAJJAR</v>
      </c>
    </row>
    <row r="293" spans="1:33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5"/>
        <v>441811009</v>
      </c>
      <c r="Y293" s="8" t="str">
        <f t="shared" si="16"/>
        <v>DC</v>
      </c>
      <c r="Z293" s="8">
        <f t="shared" si="17"/>
        <v>0</v>
      </c>
      <c r="AA293" s="8">
        <f t="shared" si="18"/>
        <v>0</v>
      </c>
      <c r="AB293" s="8">
        <f t="shared" si="19"/>
        <v>30</v>
      </c>
      <c r="AC293" s="8">
        <f t="shared" si="20"/>
        <v>0</v>
      </c>
      <c r="AD293" s="8">
        <f t="shared" si="21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2"/>
        <v>LIME GREEN</v>
      </c>
      <c r="AG293" s="11" t="str">
        <f t="shared" si="23"/>
        <v>JHAJJAR</v>
      </c>
    </row>
    <row r="294" spans="1:33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5"/>
        <v>441811009</v>
      </c>
      <c r="Y294" s="8" t="str">
        <f t="shared" si="16"/>
        <v>DC</v>
      </c>
      <c r="Z294" s="8">
        <f t="shared" si="17"/>
        <v>0</v>
      </c>
      <c r="AA294" s="8">
        <f t="shared" si="18"/>
        <v>30</v>
      </c>
      <c r="AB294" s="8">
        <f t="shared" si="19"/>
        <v>0</v>
      </c>
      <c r="AC294" s="8">
        <f t="shared" si="20"/>
        <v>0</v>
      </c>
      <c r="AD294" s="8">
        <f t="shared" si="21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2"/>
        <v>LIME GREEN</v>
      </c>
      <c r="AG294" s="11" t="str">
        <f t="shared" si="23"/>
        <v>JHAJJAR</v>
      </c>
    </row>
    <row r="295" spans="1:33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5"/>
        <v>441811009</v>
      </c>
      <c r="Y295" s="8" t="str">
        <f t="shared" si="16"/>
        <v>DC</v>
      </c>
      <c r="Z295" s="8">
        <f t="shared" si="17"/>
        <v>30</v>
      </c>
      <c r="AA295" s="8">
        <f t="shared" si="18"/>
        <v>0</v>
      </c>
      <c r="AB295" s="8">
        <f t="shared" si="19"/>
        <v>0</v>
      </c>
      <c r="AC295" s="8">
        <f t="shared" si="20"/>
        <v>0</v>
      </c>
      <c r="AD295" s="8">
        <f t="shared" si="21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2"/>
        <v>LIME GREEN</v>
      </c>
      <c r="AG295" s="11" t="str">
        <f t="shared" si="23"/>
        <v>JHAJJAR</v>
      </c>
    </row>
    <row r="296" spans="1:33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5"/>
        <v>441811009</v>
      </c>
      <c r="Y296" s="8" t="str">
        <f t="shared" si="16"/>
        <v>DC</v>
      </c>
      <c r="Z296" s="8">
        <f t="shared" si="17"/>
        <v>0</v>
      </c>
      <c r="AA296" s="8">
        <f t="shared" si="18"/>
        <v>0</v>
      </c>
      <c r="AB296" s="8">
        <f t="shared" si="19"/>
        <v>0</v>
      </c>
      <c r="AC296" s="8">
        <f t="shared" si="20"/>
        <v>30</v>
      </c>
      <c r="AD296" s="8">
        <f t="shared" si="21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2"/>
        <v>LIME GREEN</v>
      </c>
      <c r="AG296" s="11" t="str">
        <f t="shared" si="23"/>
        <v>JHAJJAR</v>
      </c>
    </row>
    <row r="297" spans="1:33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5"/>
        <v>441811012</v>
      </c>
      <c r="Y297" s="8" t="str">
        <f t="shared" si="16"/>
        <v>DC</v>
      </c>
      <c r="Z297" s="8">
        <f t="shared" si="17"/>
        <v>0</v>
      </c>
      <c r="AA297" s="8">
        <f t="shared" si="18"/>
        <v>0</v>
      </c>
      <c r="AB297" s="8">
        <f t="shared" si="19"/>
        <v>0</v>
      </c>
      <c r="AC297" s="8">
        <f t="shared" si="20"/>
        <v>0</v>
      </c>
      <c r="AD297" s="8">
        <f t="shared" si="21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2"/>
        <v>ONION PINK</v>
      </c>
      <c r="AG297" s="11" t="str">
        <f t="shared" si="23"/>
        <v>HARIPAL</v>
      </c>
    </row>
    <row r="298" spans="1:33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5"/>
        <v>441811012</v>
      </c>
      <c r="Y298" s="8" t="str">
        <f t="shared" si="16"/>
        <v>DC</v>
      </c>
      <c r="Z298" s="8">
        <f t="shared" si="17"/>
        <v>0</v>
      </c>
      <c r="AA298" s="8">
        <f t="shared" si="18"/>
        <v>0</v>
      </c>
      <c r="AB298" s="8">
        <f t="shared" si="19"/>
        <v>100</v>
      </c>
      <c r="AC298" s="8">
        <f t="shared" si="20"/>
        <v>0</v>
      </c>
      <c r="AD298" s="8">
        <f t="shared" si="21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2"/>
        <v>ONION PINK</v>
      </c>
      <c r="AG298" s="11" t="str">
        <f t="shared" si="23"/>
        <v>HARIPAL</v>
      </c>
    </row>
    <row r="299" spans="1:33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5"/>
        <v>441811012</v>
      </c>
      <c r="Y299" s="8" t="str">
        <f t="shared" si="16"/>
        <v>DC</v>
      </c>
      <c r="Z299" s="8">
        <f t="shared" si="17"/>
        <v>0</v>
      </c>
      <c r="AA299" s="8">
        <f t="shared" si="18"/>
        <v>105</v>
      </c>
      <c r="AB299" s="8">
        <f t="shared" si="19"/>
        <v>0</v>
      </c>
      <c r="AC299" s="8">
        <f t="shared" si="20"/>
        <v>0</v>
      </c>
      <c r="AD299" s="8">
        <f t="shared" si="21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2"/>
        <v>ONION PINK</v>
      </c>
      <c r="AG299" s="11" t="str">
        <f t="shared" si="23"/>
        <v>HARIPAL</v>
      </c>
    </row>
    <row r="300" spans="1:33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5"/>
        <v>441811012</v>
      </c>
      <c r="Y300" s="8" t="str">
        <f t="shared" si="16"/>
        <v>DC</v>
      </c>
      <c r="Z300" s="8">
        <f t="shared" si="17"/>
        <v>31</v>
      </c>
      <c r="AA300" s="8">
        <f t="shared" si="18"/>
        <v>0</v>
      </c>
      <c r="AB300" s="8">
        <f t="shared" si="19"/>
        <v>0</v>
      </c>
      <c r="AC300" s="8">
        <f t="shared" si="20"/>
        <v>0</v>
      </c>
      <c r="AD300" s="8">
        <f t="shared" si="21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2"/>
        <v>ONION PINK</v>
      </c>
      <c r="AG300" s="11" t="str">
        <f t="shared" si="23"/>
        <v>HARIPAL</v>
      </c>
    </row>
    <row r="301" spans="1:33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5"/>
        <v>441811012</v>
      </c>
      <c r="Y301" s="8" t="str">
        <f t="shared" si="16"/>
        <v>DC</v>
      </c>
      <c r="Z301" s="8">
        <f t="shared" si="17"/>
        <v>0</v>
      </c>
      <c r="AA301" s="8">
        <f t="shared" si="18"/>
        <v>0</v>
      </c>
      <c r="AB301" s="8">
        <f t="shared" si="19"/>
        <v>0</v>
      </c>
      <c r="AC301" s="8">
        <f t="shared" si="20"/>
        <v>100</v>
      </c>
      <c r="AD301" s="8">
        <f t="shared" si="21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2"/>
        <v>ONION PINK</v>
      </c>
      <c r="AG301" s="11" t="str">
        <f t="shared" si="23"/>
        <v>HARIPAL</v>
      </c>
    </row>
    <row r="302" spans="1:33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5"/>
        <v>441811011</v>
      </c>
      <c r="Y302" s="8" t="str">
        <f t="shared" si="16"/>
        <v>DC</v>
      </c>
      <c r="Z302" s="8">
        <f t="shared" si="17"/>
        <v>0</v>
      </c>
      <c r="AA302" s="8">
        <f t="shared" si="18"/>
        <v>0</v>
      </c>
      <c r="AB302" s="8">
        <f t="shared" si="19"/>
        <v>0</v>
      </c>
      <c r="AC302" s="8">
        <f t="shared" si="20"/>
        <v>0</v>
      </c>
      <c r="AD302" s="8">
        <f t="shared" si="21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2"/>
        <v>TEAL</v>
      </c>
      <c r="AG302" s="11" t="str">
        <f t="shared" si="23"/>
        <v>HARIPAL</v>
      </c>
    </row>
    <row r="303" spans="1:33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5"/>
        <v>441811011</v>
      </c>
      <c r="Y303" s="8" t="str">
        <f t="shared" si="16"/>
        <v>DC</v>
      </c>
      <c r="Z303" s="8">
        <f t="shared" si="17"/>
        <v>0</v>
      </c>
      <c r="AA303" s="8">
        <f t="shared" si="18"/>
        <v>0</v>
      </c>
      <c r="AB303" s="8">
        <f t="shared" si="19"/>
        <v>100</v>
      </c>
      <c r="AC303" s="8">
        <f t="shared" si="20"/>
        <v>0</v>
      </c>
      <c r="AD303" s="8">
        <f t="shared" si="21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2"/>
        <v>TEAL</v>
      </c>
      <c r="AG303" s="11" t="str">
        <f t="shared" si="23"/>
        <v>HARIPAL</v>
      </c>
    </row>
    <row r="304" spans="1:33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5"/>
        <v>441811011</v>
      </c>
      <c r="Y304" s="8" t="str">
        <f t="shared" si="16"/>
        <v>DC</v>
      </c>
      <c r="Z304" s="8">
        <f t="shared" si="17"/>
        <v>0</v>
      </c>
      <c r="AA304" s="8">
        <f t="shared" si="18"/>
        <v>105</v>
      </c>
      <c r="AB304" s="8">
        <f t="shared" si="19"/>
        <v>0</v>
      </c>
      <c r="AC304" s="8">
        <f t="shared" si="20"/>
        <v>0</v>
      </c>
      <c r="AD304" s="8">
        <f t="shared" si="21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2"/>
        <v>TEAL</v>
      </c>
      <c r="AG304" s="11" t="str">
        <f t="shared" si="23"/>
        <v>HARIPAL</v>
      </c>
    </row>
    <row r="305" spans="1:33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5"/>
        <v>441811011</v>
      </c>
      <c r="Y305" s="8" t="str">
        <f t="shared" si="16"/>
        <v>DC</v>
      </c>
      <c r="Z305" s="8">
        <f t="shared" si="17"/>
        <v>31</v>
      </c>
      <c r="AA305" s="8">
        <f t="shared" si="18"/>
        <v>0</v>
      </c>
      <c r="AB305" s="8">
        <f t="shared" si="19"/>
        <v>0</v>
      </c>
      <c r="AC305" s="8">
        <f t="shared" si="20"/>
        <v>0</v>
      </c>
      <c r="AD305" s="8">
        <f t="shared" si="21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2"/>
        <v>TEAL</v>
      </c>
      <c r="AG305" s="11" t="str">
        <f t="shared" si="23"/>
        <v>HARIPAL</v>
      </c>
    </row>
    <row r="306" spans="1:33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5"/>
        <v>441811011</v>
      </c>
      <c r="Y306" s="8" t="str">
        <f t="shared" si="16"/>
        <v>DC</v>
      </c>
      <c r="Z306" s="8">
        <f t="shared" si="17"/>
        <v>0</v>
      </c>
      <c r="AA306" s="8">
        <f t="shared" si="18"/>
        <v>0</v>
      </c>
      <c r="AB306" s="8">
        <f t="shared" si="19"/>
        <v>0</v>
      </c>
      <c r="AC306" s="8">
        <f t="shared" si="20"/>
        <v>100</v>
      </c>
      <c r="AD306" s="8">
        <f t="shared" si="21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2"/>
        <v>TEAL</v>
      </c>
      <c r="AG306" s="11" t="str">
        <f t="shared" si="23"/>
        <v>HARIPAL</v>
      </c>
    </row>
    <row r="307" spans="1:33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5"/>
        <v>441811009</v>
      </c>
      <c r="Y307" s="8" t="str">
        <f t="shared" si="16"/>
        <v>DC</v>
      </c>
      <c r="Z307" s="8">
        <f t="shared" si="17"/>
        <v>0</v>
      </c>
      <c r="AA307" s="8">
        <f t="shared" si="18"/>
        <v>0</v>
      </c>
      <c r="AB307" s="8">
        <f t="shared" si="19"/>
        <v>0</v>
      </c>
      <c r="AC307" s="8">
        <f t="shared" si="20"/>
        <v>0</v>
      </c>
      <c r="AD307" s="8">
        <f t="shared" si="21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2"/>
        <v>LIME GREEN</v>
      </c>
      <c r="AG307" s="11" t="str">
        <f t="shared" si="23"/>
        <v>HARIPAL</v>
      </c>
    </row>
    <row r="308" spans="1:33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5"/>
        <v>441811009</v>
      </c>
      <c r="Y308" s="8" t="str">
        <f t="shared" si="16"/>
        <v>DC</v>
      </c>
      <c r="Z308" s="8">
        <f t="shared" si="17"/>
        <v>0</v>
      </c>
      <c r="AA308" s="8">
        <f t="shared" si="18"/>
        <v>0</v>
      </c>
      <c r="AB308" s="8">
        <f t="shared" si="19"/>
        <v>30</v>
      </c>
      <c r="AC308" s="8">
        <f t="shared" si="20"/>
        <v>0</v>
      </c>
      <c r="AD308" s="8">
        <f t="shared" si="21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2"/>
        <v>LIME GREEN</v>
      </c>
      <c r="AG308" s="11" t="str">
        <f t="shared" si="23"/>
        <v>HARIPAL</v>
      </c>
    </row>
    <row r="309" spans="1:33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5"/>
        <v>441811009</v>
      </c>
      <c r="Y309" s="8" t="str">
        <f t="shared" si="16"/>
        <v>DC</v>
      </c>
      <c r="Z309" s="8">
        <f t="shared" si="17"/>
        <v>0</v>
      </c>
      <c r="AA309" s="8">
        <f t="shared" si="18"/>
        <v>30</v>
      </c>
      <c r="AB309" s="8">
        <f t="shared" si="19"/>
        <v>0</v>
      </c>
      <c r="AC309" s="8">
        <f t="shared" si="20"/>
        <v>0</v>
      </c>
      <c r="AD309" s="8">
        <f t="shared" si="21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2"/>
        <v>LIME GREEN</v>
      </c>
      <c r="AG309" s="11" t="str">
        <f t="shared" si="23"/>
        <v>HARIPAL</v>
      </c>
    </row>
    <row r="310" spans="1:33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5"/>
        <v>441811009</v>
      </c>
      <c r="Y310" s="8" t="str">
        <f t="shared" si="16"/>
        <v>DC</v>
      </c>
      <c r="Z310" s="8">
        <f t="shared" si="17"/>
        <v>30</v>
      </c>
      <c r="AA310" s="8">
        <f t="shared" si="18"/>
        <v>0</v>
      </c>
      <c r="AB310" s="8">
        <f t="shared" si="19"/>
        <v>0</v>
      </c>
      <c r="AC310" s="8">
        <f t="shared" si="20"/>
        <v>0</v>
      </c>
      <c r="AD310" s="8">
        <f t="shared" si="21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2"/>
        <v>LIME GREEN</v>
      </c>
      <c r="AG310" s="11" t="str">
        <f t="shared" si="23"/>
        <v>HARIPAL</v>
      </c>
    </row>
    <row r="311" spans="1:33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5"/>
        <v>441811009</v>
      </c>
      <c r="Y311" s="8" t="str">
        <f t="shared" si="16"/>
        <v>DC</v>
      </c>
      <c r="Z311" s="8">
        <f t="shared" si="17"/>
        <v>0</v>
      </c>
      <c r="AA311" s="8">
        <f t="shared" si="18"/>
        <v>0</v>
      </c>
      <c r="AB311" s="8">
        <f t="shared" si="19"/>
        <v>0</v>
      </c>
      <c r="AC311" s="8">
        <f t="shared" si="20"/>
        <v>30</v>
      </c>
      <c r="AD311" s="8">
        <f t="shared" si="21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2"/>
        <v>LIME GREEN</v>
      </c>
      <c r="AG311" s="11" t="str">
        <f t="shared" si="23"/>
        <v>HARIPAL</v>
      </c>
    </row>
    <row r="312" spans="1:33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5"/>
        <v>441811012</v>
      </c>
      <c r="Y312" s="8" t="str">
        <f t="shared" si="16"/>
        <v>RP</v>
      </c>
      <c r="Z312" s="8">
        <f t="shared" si="17"/>
        <v>168</v>
      </c>
      <c r="AA312" s="8">
        <f t="shared" si="18"/>
        <v>168</v>
      </c>
      <c r="AB312" s="8">
        <f t="shared" si="19"/>
        <v>168</v>
      </c>
      <c r="AC312" s="8">
        <f t="shared" si="20"/>
        <v>168</v>
      </c>
      <c r="AD312" s="8">
        <f t="shared" si="21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2"/>
        <v>ONION PINK</v>
      </c>
      <c r="AG312" s="11" t="str">
        <f t="shared" si="23"/>
        <v>Bangalore</v>
      </c>
    </row>
    <row r="313" spans="1:33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5"/>
        <v>441811009</v>
      </c>
      <c r="Y313" s="8" t="str">
        <f t="shared" si="16"/>
        <v>RP</v>
      </c>
      <c r="Z313" s="8">
        <f t="shared" si="17"/>
        <v>45</v>
      </c>
      <c r="AA313" s="8">
        <f t="shared" si="18"/>
        <v>45</v>
      </c>
      <c r="AB313" s="8">
        <f t="shared" si="19"/>
        <v>45</v>
      </c>
      <c r="AC313" s="8">
        <f t="shared" si="20"/>
        <v>45</v>
      </c>
      <c r="AD313" s="8">
        <f t="shared" si="21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2"/>
        <v>LIME GREEN</v>
      </c>
      <c r="AG313" s="11" t="str">
        <f t="shared" si="23"/>
        <v>Bangalore</v>
      </c>
    </row>
    <row r="314" spans="1:33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5"/>
        <v>441811100</v>
      </c>
      <c r="Y314" s="8" t="str">
        <f t="shared" si="16"/>
        <v>RP</v>
      </c>
      <c r="Z314" s="8">
        <f t="shared" si="17"/>
        <v>253</v>
      </c>
      <c r="AA314" s="8">
        <f t="shared" si="18"/>
        <v>253</v>
      </c>
      <c r="AB314" s="8">
        <f t="shared" si="19"/>
        <v>253</v>
      </c>
      <c r="AC314" s="8">
        <f t="shared" si="20"/>
        <v>253</v>
      </c>
      <c r="AD314" s="8">
        <f t="shared" si="21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2"/>
        <v>LIME GREEN</v>
      </c>
      <c r="AG314" s="11" t="str">
        <f t="shared" si="23"/>
        <v>Bangalore</v>
      </c>
    </row>
    <row r="315" spans="1:33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5"/>
        <v>441811011</v>
      </c>
      <c r="Y315" s="8" t="str">
        <f t="shared" si="16"/>
        <v>RP</v>
      </c>
      <c r="Z315" s="8">
        <f t="shared" si="17"/>
        <v>168</v>
      </c>
      <c r="AA315" s="8">
        <f t="shared" si="18"/>
        <v>168</v>
      </c>
      <c r="AB315" s="8">
        <f t="shared" si="19"/>
        <v>168</v>
      </c>
      <c r="AC315" s="8">
        <f t="shared" si="20"/>
        <v>168</v>
      </c>
      <c r="AD315" s="8">
        <f t="shared" si="21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2"/>
        <v>TEAL</v>
      </c>
      <c r="AG315" s="11" t="str">
        <f t="shared" si="23"/>
        <v>Bangalore</v>
      </c>
    </row>
    <row r="316" spans="1:33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5"/>
        <v>441811094</v>
      </c>
      <c r="Y316" s="8" t="str">
        <f t="shared" si="16"/>
        <v>RP</v>
      </c>
      <c r="Z316" s="8">
        <f t="shared" si="17"/>
        <v>253</v>
      </c>
      <c r="AA316" s="8">
        <f t="shared" si="18"/>
        <v>253</v>
      </c>
      <c r="AB316" s="8">
        <f t="shared" si="19"/>
        <v>253</v>
      </c>
      <c r="AC316" s="8">
        <f t="shared" si="20"/>
        <v>253</v>
      </c>
      <c r="AD316" s="8">
        <f t="shared" si="21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2"/>
        <v>MUSTARD</v>
      </c>
      <c r="AG316" s="11" t="str">
        <f t="shared" si="23"/>
        <v>Bangalore</v>
      </c>
    </row>
    <row r="317" spans="1:33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5"/>
        <v>441811101</v>
      </c>
      <c r="Y317" s="8" t="str">
        <f t="shared" si="16"/>
        <v>RP</v>
      </c>
      <c r="Z317" s="8">
        <f t="shared" si="17"/>
        <v>241</v>
      </c>
      <c r="AA317" s="8">
        <f t="shared" si="18"/>
        <v>241</v>
      </c>
      <c r="AB317" s="8">
        <f t="shared" si="19"/>
        <v>241</v>
      </c>
      <c r="AC317" s="8">
        <f t="shared" si="20"/>
        <v>241</v>
      </c>
      <c r="AD317" s="8">
        <f t="shared" si="21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2"/>
        <v>LIME GREEN</v>
      </c>
      <c r="AG317" s="11" t="str">
        <f t="shared" si="23"/>
        <v>Bangalore</v>
      </c>
    </row>
    <row r="318" spans="1:33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5"/>
        <v>441811107</v>
      </c>
      <c r="Y318" s="8" t="str">
        <f t="shared" si="16"/>
        <v>RP</v>
      </c>
      <c r="Z318" s="8">
        <f t="shared" si="17"/>
        <v>241</v>
      </c>
      <c r="AA318" s="8">
        <f t="shared" si="18"/>
        <v>241</v>
      </c>
      <c r="AB318" s="8">
        <f t="shared" si="19"/>
        <v>241</v>
      </c>
      <c r="AC318" s="8">
        <f t="shared" si="20"/>
        <v>241</v>
      </c>
      <c r="AD318" s="8">
        <f t="shared" si="21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2"/>
        <v>GREEN</v>
      </c>
      <c r="AG318" s="11" t="str">
        <f t="shared" si="23"/>
        <v>Bangalore</v>
      </c>
    </row>
    <row r="319" spans="1:33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5"/>
        <v>441811097</v>
      </c>
      <c r="Y319" s="8" t="str">
        <f t="shared" si="16"/>
        <v>RP</v>
      </c>
      <c r="Z319" s="8">
        <f t="shared" si="17"/>
        <v>146</v>
      </c>
      <c r="AA319" s="8">
        <f t="shared" si="18"/>
        <v>146</v>
      </c>
      <c r="AB319" s="8">
        <f t="shared" si="19"/>
        <v>146</v>
      </c>
      <c r="AC319" s="8">
        <f t="shared" si="20"/>
        <v>146</v>
      </c>
      <c r="AD319" s="8">
        <f t="shared" si="21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2"/>
        <v>PINK</v>
      </c>
      <c r="AG319" s="11" t="str">
        <f t="shared" si="23"/>
        <v>JHAJJAR</v>
      </c>
    </row>
    <row r="320" spans="1:33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5"/>
        <v>441811104</v>
      </c>
      <c r="Y320" s="8" t="str">
        <f t="shared" si="16"/>
        <v>RP</v>
      </c>
      <c r="Z320" s="8">
        <f t="shared" si="17"/>
        <v>146</v>
      </c>
      <c r="AA320" s="8">
        <f t="shared" si="18"/>
        <v>146</v>
      </c>
      <c r="AB320" s="8">
        <f t="shared" si="19"/>
        <v>146</v>
      </c>
      <c r="AC320" s="8">
        <f t="shared" si="20"/>
        <v>146</v>
      </c>
      <c r="AD320" s="8">
        <f t="shared" si="21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2"/>
        <v>NAVY</v>
      </c>
      <c r="AG320" s="11" t="str">
        <f t="shared" si="23"/>
        <v>JHAJJAR</v>
      </c>
    </row>
    <row r="321" spans="1:33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5"/>
        <v>441811100</v>
      </c>
      <c r="Y321" s="8" t="str">
        <f t="shared" si="16"/>
        <v>RP</v>
      </c>
      <c r="Z321" s="8">
        <f t="shared" si="17"/>
        <v>153</v>
      </c>
      <c r="AA321" s="8">
        <f t="shared" si="18"/>
        <v>153</v>
      </c>
      <c r="AB321" s="8">
        <f t="shared" si="19"/>
        <v>153</v>
      </c>
      <c r="AC321" s="8">
        <f t="shared" si="20"/>
        <v>153</v>
      </c>
      <c r="AD321" s="8">
        <f t="shared" si="21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2"/>
        <v>LIME GREEN</v>
      </c>
      <c r="AG321" s="11" t="str">
        <f t="shared" si="23"/>
        <v>JHAJJAR</v>
      </c>
    </row>
    <row r="322" spans="1:33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5"/>
        <v>441811094</v>
      </c>
      <c r="Y322" s="8" t="str">
        <f t="shared" si="16"/>
        <v>RP</v>
      </c>
      <c r="Z322" s="8">
        <f t="shared" si="17"/>
        <v>153</v>
      </c>
      <c r="AA322" s="8">
        <f t="shared" si="18"/>
        <v>153</v>
      </c>
      <c r="AB322" s="8">
        <f t="shared" si="19"/>
        <v>153</v>
      </c>
      <c r="AC322" s="8">
        <f t="shared" si="20"/>
        <v>153</v>
      </c>
      <c r="AD322" s="8">
        <f t="shared" si="21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2"/>
        <v>MAROON</v>
      </c>
      <c r="AG322" s="11" t="str">
        <f t="shared" si="23"/>
        <v>JHAJJAR</v>
      </c>
    </row>
    <row r="323" spans="1:33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5"/>
        <v>441811107</v>
      </c>
      <c r="Y323" s="8" t="str">
        <f t="shared" si="16"/>
        <v>RP</v>
      </c>
      <c r="Z323" s="8">
        <f t="shared" si="17"/>
        <v>146</v>
      </c>
      <c r="AA323" s="8">
        <f t="shared" si="18"/>
        <v>146</v>
      </c>
      <c r="AB323" s="8">
        <f t="shared" si="19"/>
        <v>146</v>
      </c>
      <c r="AC323" s="8">
        <f t="shared" si="20"/>
        <v>146</v>
      </c>
      <c r="AD323" s="8">
        <f t="shared" si="21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25">IF(A323="SZAF","Bangalore",IF(A323="SAEX","JHAJJAR",IF(A323="S0EU","HARIPAL","")))</f>
        <v>JHAJJAR</v>
      </c>
    </row>
    <row r="324" spans="1:33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5"/>
        <v>441811104</v>
      </c>
      <c r="Y324" s="8" t="str">
        <f t="shared" si="16"/>
        <v>RP</v>
      </c>
      <c r="Z324" s="8">
        <f t="shared" si="17"/>
        <v>174</v>
      </c>
      <c r="AA324" s="8">
        <f t="shared" si="18"/>
        <v>174</v>
      </c>
      <c r="AB324" s="8">
        <f t="shared" si="19"/>
        <v>174</v>
      </c>
      <c r="AC324" s="8">
        <f t="shared" si="20"/>
        <v>174</v>
      </c>
      <c r="AD324" s="8">
        <f t="shared" si="21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4"/>
        <v>NAVY</v>
      </c>
      <c r="AG324" s="11" t="str">
        <f t="shared" si="25"/>
        <v>HARIPAL</v>
      </c>
    </row>
    <row r="325" spans="1:33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5"/>
        <v>441811011</v>
      </c>
      <c r="Y325" s="8" t="str">
        <f t="shared" si="16"/>
        <v>RP</v>
      </c>
      <c r="Z325" s="8">
        <f t="shared" si="17"/>
        <v>147</v>
      </c>
      <c r="AA325" s="8">
        <f t="shared" si="18"/>
        <v>147</v>
      </c>
      <c r="AB325" s="8">
        <f t="shared" si="19"/>
        <v>147</v>
      </c>
      <c r="AC325" s="8">
        <f t="shared" si="20"/>
        <v>147</v>
      </c>
      <c r="AD325" s="8">
        <f t="shared" si="21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4"/>
        <v>TEAL</v>
      </c>
      <c r="AG325" s="11" t="str">
        <f t="shared" si="25"/>
        <v>HARIPAL</v>
      </c>
    </row>
    <row r="326" spans="1:33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5"/>
        <v>441811107</v>
      </c>
      <c r="Y326" s="8" t="str">
        <f t="shared" si="16"/>
        <v>RP</v>
      </c>
      <c r="Z326" s="8">
        <f t="shared" si="17"/>
        <v>174</v>
      </c>
      <c r="AA326" s="8">
        <f t="shared" si="18"/>
        <v>174</v>
      </c>
      <c r="AB326" s="8">
        <f t="shared" si="19"/>
        <v>174</v>
      </c>
      <c r="AC326" s="8">
        <f t="shared" si="20"/>
        <v>174</v>
      </c>
      <c r="AD326" s="8">
        <f t="shared" si="21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4"/>
        <v>GREEN</v>
      </c>
      <c r="AG326" s="11" t="str">
        <f t="shared" si="25"/>
        <v>HARIPAL</v>
      </c>
    </row>
    <row r="327" spans="1:33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5"/>
        <v>441811097</v>
      </c>
      <c r="Y327" s="8" t="str">
        <f t="shared" si="16"/>
        <v>RP</v>
      </c>
      <c r="Z327" s="8">
        <f t="shared" si="17"/>
        <v>241</v>
      </c>
      <c r="AA327" s="8">
        <f t="shared" si="18"/>
        <v>241</v>
      </c>
      <c r="AB327" s="8">
        <f t="shared" si="19"/>
        <v>241</v>
      </c>
      <c r="AC327" s="8">
        <f t="shared" si="20"/>
        <v>241</v>
      </c>
      <c r="AD327" s="8">
        <f t="shared" si="21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4"/>
        <v>PINK</v>
      </c>
      <c r="AG327" s="11" t="str">
        <f t="shared" si="25"/>
        <v>Bangalore</v>
      </c>
    </row>
    <row r="328" spans="1:33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5"/>
        <v>441811094</v>
      </c>
      <c r="Y328" s="8" t="str">
        <f t="shared" si="16"/>
        <v>RP</v>
      </c>
      <c r="Z328" s="8">
        <f t="shared" si="17"/>
        <v>253</v>
      </c>
      <c r="AA328" s="8">
        <f t="shared" si="18"/>
        <v>253</v>
      </c>
      <c r="AB328" s="8">
        <f t="shared" si="19"/>
        <v>253</v>
      </c>
      <c r="AC328" s="8">
        <f t="shared" si="20"/>
        <v>253</v>
      </c>
      <c r="AD328" s="8">
        <f t="shared" si="21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4"/>
        <v>MAROON</v>
      </c>
      <c r="AG328" s="11" t="str">
        <f t="shared" si="25"/>
        <v>Bangalore</v>
      </c>
    </row>
    <row r="329" spans="1:33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5"/>
        <v>441811104</v>
      </c>
      <c r="Y329" s="8" t="str">
        <f t="shared" si="16"/>
        <v>RP</v>
      </c>
      <c r="Z329" s="8">
        <f t="shared" si="17"/>
        <v>241</v>
      </c>
      <c r="AA329" s="8">
        <f t="shared" si="18"/>
        <v>241</v>
      </c>
      <c r="AB329" s="8">
        <f t="shared" si="19"/>
        <v>241</v>
      </c>
      <c r="AC329" s="8">
        <f t="shared" si="20"/>
        <v>241</v>
      </c>
      <c r="AD329" s="8">
        <f t="shared" si="21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4"/>
        <v>NAVY</v>
      </c>
      <c r="AG329" s="11" t="str">
        <f t="shared" si="25"/>
        <v>Bangalore</v>
      </c>
    </row>
    <row r="330" spans="1:33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5"/>
        <v>441811094</v>
      </c>
      <c r="Y330" s="8" t="str">
        <f t="shared" si="16"/>
        <v>RP</v>
      </c>
      <c r="Z330" s="8">
        <f t="shared" si="17"/>
        <v>153</v>
      </c>
      <c r="AA330" s="8">
        <f t="shared" si="18"/>
        <v>153</v>
      </c>
      <c r="AB330" s="8">
        <f t="shared" si="19"/>
        <v>153</v>
      </c>
      <c r="AC330" s="8">
        <f t="shared" si="20"/>
        <v>153</v>
      </c>
      <c r="AD330" s="8">
        <f t="shared" si="21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4"/>
        <v>MUSTARD</v>
      </c>
      <c r="AG330" s="11" t="str">
        <f t="shared" si="25"/>
        <v>JHAJJAR</v>
      </c>
    </row>
    <row r="331" spans="1:33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5"/>
        <v>441811012</v>
      </c>
      <c r="Y331" s="8" t="str">
        <f t="shared" si="16"/>
        <v>RP</v>
      </c>
      <c r="Z331" s="8">
        <f t="shared" si="17"/>
        <v>105</v>
      </c>
      <c r="AA331" s="8">
        <f t="shared" si="18"/>
        <v>105</v>
      </c>
      <c r="AB331" s="8">
        <f t="shared" si="19"/>
        <v>105</v>
      </c>
      <c r="AC331" s="8">
        <f t="shared" si="20"/>
        <v>105</v>
      </c>
      <c r="AD331" s="8">
        <f t="shared" si="21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4"/>
        <v>ONION PINK</v>
      </c>
      <c r="AG331" s="11" t="str">
        <f t="shared" si="25"/>
        <v>JHAJJAR</v>
      </c>
    </row>
    <row r="332" spans="1:33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5"/>
        <v>441811009</v>
      </c>
      <c r="Y332" s="8" t="str">
        <f t="shared" si="16"/>
        <v>RP</v>
      </c>
      <c r="Z332" s="8">
        <f t="shared" si="17"/>
        <v>28</v>
      </c>
      <c r="AA332" s="8">
        <f t="shared" si="18"/>
        <v>28</v>
      </c>
      <c r="AB332" s="8">
        <f t="shared" si="19"/>
        <v>28</v>
      </c>
      <c r="AC332" s="8">
        <f t="shared" si="20"/>
        <v>28</v>
      </c>
      <c r="AD332" s="8">
        <f t="shared" si="21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4"/>
        <v>LIME GREEN</v>
      </c>
      <c r="AG332" s="11" t="str">
        <f t="shared" si="25"/>
        <v>JHAJJAR</v>
      </c>
    </row>
    <row r="333" spans="1:33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5"/>
        <v>441811101</v>
      </c>
      <c r="Y333" s="8" t="str">
        <f t="shared" si="16"/>
        <v>RP</v>
      </c>
      <c r="Z333" s="8">
        <f t="shared" si="17"/>
        <v>146</v>
      </c>
      <c r="AA333" s="8">
        <f t="shared" si="18"/>
        <v>146</v>
      </c>
      <c r="AB333" s="8">
        <f t="shared" si="19"/>
        <v>146</v>
      </c>
      <c r="AC333" s="8">
        <f t="shared" si="20"/>
        <v>146</v>
      </c>
      <c r="AD333" s="8">
        <f t="shared" si="21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4"/>
        <v>LIME GREEN</v>
      </c>
      <c r="AG333" s="11" t="str">
        <f t="shared" si="25"/>
        <v>JHAJJAR</v>
      </c>
    </row>
    <row r="334" spans="1:33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5"/>
        <v>441811011</v>
      </c>
      <c r="Y334" s="8" t="str">
        <f t="shared" si="16"/>
        <v>RP</v>
      </c>
      <c r="Z334" s="8">
        <f t="shared" si="17"/>
        <v>105</v>
      </c>
      <c r="AA334" s="8">
        <f t="shared" si="18"/>
        <v>105</v>
      </c>
      <c r="AB334" s="8">
        <f t="shared" si="19"/>
        <v>105</v>
      </c>
      <c r="AC334" s="8">
        <f t="shared" si="20"/>
        <v>105</v>
      </c>
      <c r="AD334" s="8">
        <f t="shared" si="21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4"/>
        <v>TEAL</v>
      </c>
      <c r="AG334" s="11" t="str">
        <f t="shared" si="25"/>
        <v>JHAJJAR</v>
      </c>
    </row>
    <row r="335" spans="1:33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5"/>
        <v>441811012</v>
      </c>
      <c r="Y335" s="8" t="str">
        <f t="shared" si="16"/>
        <v>RP</v>
      </c>
      <c r="Z335" s="8">
        <f t="shared" si="17"/>
        <v>147</v>
      </c>
      <c r="AA335" s="8">
        <f t="shared" si="18"/>
        <v>147</v>
      </c>
      <c r="AB335" s="8">
        <f t="shared" si="19"/>
        <v>147</v>
      </c>
      <c r="AC335" s="8">
        <f t="shared" si="20"/>
        <v>147</v>
      </c>
      <c r="AD335" s="8">
        <f t="shared" si="21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4"/>
        <v>ONION PINK</v>
      </c>
      <c r="AG335" s="11" t="str">
        <f t="shared" si="25"/>
        <v>HARIPAL</v>
      </c>
    </row>
    <row r="336" spans="1:33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5"/>
        <v>441811094</v>
      </c>
      <c r="Y336" s="8" t="str">
        <f t="shared" si="16"/>
        <v>RP</v>
      </c>
      <c r="Z336" s="8">
        <f t="shared" si="17"/>
        <v>182</v>
      </c>
      <c r="AA336" s="8">
        <f t="shared" si="18"/>
        <v>182</v>
      </c>
      <c r="AB336" s="8">
        <f t="shared" si="19"/>
        <v>182</v>
      </c>
      <c r="AC336" s="8">
        <f t="shared" si="20"/>
        <v>182</v>
      </c>
      <c r="AD336" s="8">
        <f t="shared" si="21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4"/>
        <v>MAROON</v>
      </c>
      <c r="AG336" s="11" t="str">
        <f t="shared" si="25"/>
        <v>HARIPAL</v>
      </c>
    </row>
    <row r="337" spans="1:33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5"/>
        <v>441811009</v>
      </c>
      <c r="Y337" s="8" t="str">
        <f t="shared" si="16"/>
        <v>RP</v>
      </c>
      <c r="Z337" s="8">
        <f t="shared" si="17"/>
        <v>39</v>
      </c>
      <c r="AA337" s="8">
        <f t="shared" si="18"/>
        <v>39</v>
      </c>
      <c r="AB337" s="8">
        <f t="shared" si="19"/>
        <v>39</v>
      </c>
      <c r="AC337" s="8">
        <f t="shared" si="20"/>
        <v>39</v>
      </c>
      <c r="AD337" s="8">
        <f t="shared" si="21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4"/>
        <v>LIME GREEN</v>
      </c>
      <c r="AG337" s="11" t="str">
        <f t="shared" si="25"/>
        <v>HARIPAL</v>
      </c>
    </row>
    <row r="338" spans="1:33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5"/>
        <v>441811097</v>
      </c>
      <c r="Y338" s="8" t="str">
        <f t="shared" si="16"/>
        <v>RP</v>
      </c>
      <c r="Z338" s="8">
        <f t="shared" si="17"/>
        <v>174</v>
      </c>
      <c r="AA338" s="8">
        <f t="shared" si="18"/>
        <v>174</v>
      </c>
      <c r="AB338" s="8">
        <f t="shared" si="19"/>
        <v>174</v>
      </c>
      <c r="AC338" s="8">
        <f t="shared" si="20"/>
        <v>174</v>
      </c>
      <c r="AD338" s="8">
        <f t="shared" si="21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4"/>
        <v>PINK</v>
      </c>
      <c r="AG338" s="11" t="str">
        <f t="shared" si="25"/>
        <v>HARIPAL</v>
      </c>
    </row>
    <row r="339" spans="1:33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5"/>
        <v>441811101</v>
      </c>
      <c r="Y339" s="8" t="str">
        <f t="shared" si="16"/>
        <v>RP</v>
      </c>
      <c r="Z339" s="8">
        <f t="shared" si="17"/>
        <v>174</v>
      </c>
      <c r="AA339" s="8">
        <f t="shared" si="18"/>
        <v>174</v>
      </c>
      <c r="AB339" s="8">
        <f t="shared" si="19"/>
        <v>174</v>
      </c>
      <c r="AC339" s="8">
        <f t="shared" si="20"/>
        <v>174</v>
      </c>
      <c r="AD339" s="8">
        <f t="shared" si="21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4"/>
        <v>LIME GREEN</v>
      </c>
      <c r="AG339" s="11" t="str">
        <f t="shared" si="25"/>
        <v>HARIPAL</v>
      </c>
    </row>
    <row r="340" spans="1:33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5"/>
        <v>441811094</v>
      </c>
      <c r="Y340" s="8" t="str">
        <f t="shared" si="16"/>
        <v>RP</v>
      </c>
      <c r="Z340" s="8">
        <f t="shared" si="17"/>
        <v>182</v>
      </c>
      <c r="AA340" s="8">
        <f t="shared" si="18"/>
        <v>182</v>
      </c>
      <c r="AB340" s="8">
        <f t="shared" si="19"/>
        <v>182</v>
      </c>
      <c r="AC340" s="8">
        <f t="shared" si="20"/>
        <v>182</v>
      </c>
      <c r="AD340" s="8">
        <f t="shared" si="21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4"/>
        <v>MUSTARD</v>
      </c>
      <c r="AG340" s="11" t="str">
        <f t="shared" si="25"/>
        <v>HARIPAL</v>
      </c>
    </row>
    <row r="341" spans="1:33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5"/>
        <v>441811100</v>
      </c>
      <c r="Y341" s="8" t="str">
        <f t="shared" si="16"/>
        <v>RP</v>
      </c>
      <c r="Z341" s="8">
        <f t="shared" si="17"/>
        <v>182</v>
      </c>
      <c r="AA341" s="8">
        <f t="shared" si="18"/>
        <v>182</v>
      </c>
      <c r="AB341" s="8">
        <f t="shared" si="19"/>
        <v>182</v>
      </c>
      <c r="AC341" s="8">
        <f t="shared" si="20"/>
        <v>182</v>
      </c>
      <c r="AD341" s="8">
        <f t="shared" si="21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4"/>
        <v>LIME GREEN</v>
      </c>
      <c r="AG341" s="11" t="str">
        <f t="shared" si="25"/>
        <v>HARIPAL</v>
      </c>
    </row>
    <row r="342" spans="1:33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5"/>
        <v>441811105</v>
      </c>
      <c r="Y342" s="8" t="str">
        <f t="shared" si="16"/>
        <v>RP</v>
      </c>
      <c r="Z342" s="8">
        <f t="shared" si="17"/>
        <v>332</v>
      </c>
      <c r="AA342" s="8">
        <f t="shared" si="18"/>
        <v>332</v>
      </c>
      <c r="AB342" s="8">
        <f t="shared" si="19"/>
        <v>332</v>
      </c>
      <c r="AC342" s="8">
        <f t="shared" si="20"/>
        <v>332</v>
      </c>
      <c r="AD342" s="8">
        <f t="shared" si="21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4"/>
        <v>BLACK</v>
      </c>
      <c r="AG342" s="11" t="str">
        <f t="shared" si="25"/>
        <v>Bangalore</v>
      </c>
    </row>
    <row r="343" spans="1:33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5"/>
        <v>441811098</v>
      </c>
      <c r="Y343" s="8" t="str">
        <f t="shared" si="16"/>
        <v>RP</v>
      </c>
      <c r="Z343" s="8">
        <f t="shared" si="17"/>
        <v>332</v>
      </c>
      <c r="AA343" s="8">
        <f t="shared" si="18"/>
        <v>332</v>
      </c>
      <c r="AB343" s="8">
        <f t="shared" si="19"/>
        <v>332</v>
      </c>
      <c r="AC343" s="8">
        <f t="shared" si="20"/>
        <v>332</v>
      </c>
      <c r="AD343" s="8">
        <f t="shared" si="21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4"/>
        <v>MAROON</v>
      </c>
      <c r="AG343" s="11" t="str">
        <f t="shared" si="25"/>
        <v>Bangalore</v>
      </c>
    </row>
    <row r="344" spans="1:33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5"/>
        <v>441811098</v>
      </c>
      <c r="Y344" s="8" t="str">
        <f t="shared" si="16"/>
        <v>RP</v>
      </c>
      <c r="Z344" s="8">
        <f t="shared" si="17"/>
        <v>332</v>
      </c>
      <c r="AA344" s="8">
        <f t="shared" si="18"/>
        <v>332</v>
      </c>
      <c r="AB344" s="8">
        <f t="shared" si="19"/>
        <v>332</v>
      </c>
      <c r="AC344" s="8">
        <f t="shared" si="20"/>
        <v>332</v>
      </c>
      <c r="AD344" s="8">
        <f t="shared" si="21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4"/>
        <v>MUSTARD</v>
      </c>
      <c r="AG344" s="11" t="str">
        <f t="shared" si="25"/>
        <v>Bangalore</v>
      </c>
    </row>
    <row r="345" spans="1:33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5"/>
        <v>441811099</v>
      </c>
      <c r="Y345" s="8" t="str">
        <f t="shared" si="16"/>
        <v>RP</v>
      </c>
      <c r="Z345" s="8">
        <f t="shared" si="17"/>
        <v>332</v>
      </c>
      <c r="AA345" s="8">
        <f t="shared" si="18"/>
        <v>332</v>
      </c>
      <c r="AB345" s="8">
        <f t="shared" si="19"/>
        <v>332</v>
      </c>
      <c r="AC345" s="8">
        <f t="shared" si="20"/>
        <v>332</v>
      </c>
      <c r="AD345" s="8">
        <f t="shared" si="21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4"/>
        <v>MUSTARD</v>
      </c>
      <c r="AG345" s="11" t="str">
        <f t="shared" si="25"/>
        <v>Bangalore</v>
      </c>
    </row>
    <row r="346" spans="1:33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5"/>
        <v>441811106</v>
      </c>
      <c r="Y346" s="8" t="str">
        <f t="shared" si="16"/>
        <v>RP</v>
      </c>
      <c r="Z346" s="8">
        <f t="shared" si="17"/>
        <v>332</v>
      </c>
      <c r="AA346" s="8">
        <f t="shared" si="18"/>
        <v>332</v>
      </c>
      <c r="AB346" s="8">
        <f t="shared" si="19"/>
        <v>332</v>
      </c>
      <c r="AC346" s="8">
        <f t="shared" si="20"/>
        <v>332</v>
      </c>
      <c r="AD346" s="8">
        <f t="shared" si="21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4"/>
        <v>GREEN</v>
      </c>
      <c r="AG346" s="11" t="str">
        <f t="shared" si="25"/>
        <v>Bangalore</v>
      </c>
    </row>
    <row r="347" spans="1:33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5"/>
        <v>441811103</v>
      </c>
      <c r="Y347" s="8" t="str">
        <f t="shared" si="16"/>
        <v>RP</v>
      </c>
      <c r="Z347" s="8">
        <f t="shared" si="17"/>
        <v>332</v>
      </c>
      <c r="AA347" s="8">
        <f t="shared" si="18"/>
        <v>332</v>
      </c>
      <c r="AB347" s="8">
        <f t="shared" si="19"/>
        <v>332</v>
      </c>
      <c r="AC347" s="8">
        <f t="shared" si="20"/>
        <v>332</v>
      </c>
      <c r="AD347" s="8">
        <f t="shared" si="21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4"/>
        <v>OFF WHITE</v>
      </c>
      <c r="AG347" s="11" t="str">
        <f t="shared" si="25"/>
        <v>Bangalore</v>
      </c>
    </row>
    <row r="348" spans="1:33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5"/>
        <v>441811096</v>
      </c>
      <c r="Y348" s="8" t="str">
        <f t="shared" si="16"/>
        <v>RP</v>
      </c>
      <c r="Z348" s="8">
        <f t="shared" si="17"/>
        <v>332</v>
      </c>
      <c r="AA348" s="8">
        <f t="shared" si="18"/>
        <v>332</v>
      </c>
      <c r="AB348" s="8">
        <f t="shared" si="19"/>
        <v>332</v>
      </c>
      <c r="AC348" s="8">
        <f t="shared" si="20"/>
        <v>332</v>
      </c>
      <c r="AD348" s="8">
        <f t="shared" si="21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4"/>
        <v>CORAL</v>
      </c>
      <c r="AG348" s="11" t="str">
        <f t="shared" si="25"/>
        <v>Bangalore</v>
      </c>
    </row>
    <row r="349" spans="1:33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5"/>
        <v>441811508</v>
      </c>
      <c r="Y349" s="8" t="str">
        <f t="shared" si="16"/>
        <v>RP</v>
      </c>
      <c r="Z349" s="8">
        <f t="shared" si="17"/>
        <v>332</v>
      </c>
      <c r="AA349" s="8">
        <f t="shared" si="18"/>
        <v>332</v>
      </c>
      <c r="AB349" s="8">
        <f t="shared" si="19"/>
        <v>332</v>
      </c>
      <c r="AC349" s="8">
        <f t="shared" si="20"/>
        <v>332</v>
      </c>
      <c r="AD349" s="8">
        <f t="shared" si="21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4"/>
        <v>OFF WHITE</v>
      </c>
      <c r="AG349" s="11" t="str">
        <f t="shared" si="25"/>
        <v>Bangalore</v>
      </c>
    </row>
    <row r="350" spans="1:33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5"/>
        <v>441811102</v>
      </c>
      <c r="Y350" s="8" t="str">
        <f t="shared" si="16"/>
        <v>RP</v>
      </c>
      <c r="Z350" s="8">
        <f t="shared" si="17"/>
        <v>332</v>
      </c>
      <c r="AA350" s="8">
        <f t="shared" si="18"/>
        <v>332</v>
      </c>
      <c r="AB350" s="8">
        <f t="shared" si="19"/>
        <v>332</v>
      </c>
      <c r="AC350" s="8">
        <f t="shared" si="20"/>
        <v>332</v>
      </c>
      <c r="AD350" s="8">
        <f t="shared" si="21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4"/>
        <v>MUSTARD</v>
      </c>
      <c r="AG350" s="11" t="str">
        <f t="shared" si="25"/>
        <v>Bangalore</v>
      </c>
    </row>
    <row r="351" spans="1:33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5"/>
        <v>441811108</v>
      </c>
      <c r="Y351" s="8" t="str">
        <f t="shared" si="16"/>
        <v>RP</v>
      </c>
      <c r="Z351" s="8">
        <f t="shared" si="17"/>
        <v>332</v>
      </c>
      <c r="AA351" s="8">
        <f t="shared" si="18"/>
        <v>332</v>
      </c>
      <c r="AB351" s="8">
        <f t="shared" si="19"/>
        <v>332</v>
      </c>
      <c r="AC351" s="8">
        <f t="shared" si="20"/>
        <v>332</v>
      </c>
      <c r="AD351" s="8">
        <f t="shared" si="21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4"/>
        <v>GOLD</v>
      </c>
      <c r="AG351" s="11" t="str">
        <f t="shared" si="25"/>
        <v>Bangalore</v>
      </c>
    </row>
    <row r="352" spans="1:33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5"/>
        <v>441811095</v>
      </c>
      <c r="Y352" s="8" t="str">
        <f t="shared" si="16"/>
        <v>RP</v>
      </c>
      <c r="Z352" s="8">
        <f t="shared" si="17"/>
        <v>332</v>
      </c>
      <c r="AA352" s="8">
        <f t="shared" si="18"/>
        <v>332</v>
      </c>
      <c r="AB352" s="8">
        <f t="shared" si="19"/>
        <v>332</v>
      </c>
      <c r="AC352" s="8">
        <f t="shared" si="20"/>
        <v>332</v>
      </c>
      <c r="AD352" s="8">
        <f t="shared" si="21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4"/>
        <v>MAROON</v>
      </c>
      <c r="AG352" s="11" t="str">
        <f t="shared" si="25"/>
        <v>Bangalore</v>
      </c>
    </row>
    <row r="353" spans="1:33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5"/>
        <v>441811105</v>
      </c>
      <c r="Y353" s="8" t="str">
        <f t="shared" si="16"/>
        <v>RP</v>
      </c>
      <c r="Z353" s="8">
        <f t="shared" si="17"/>
        <v>208</v>
      </c>
      <c r="AA353" s="8">
        <f t="shared" si="18"/>
        <v>208</v>
      </c>
      <c r="AB353" s="8">
        <f t="shared" si="19"/>
        <v>208</v>
      </c>
      <c r="AC353" s="8">
        <f t="shared" si="20"/>
        <v>208</v>
      </c>
      <c r="AD353" s="8">
        <f t="shared" si="21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4"/>
        <v>BLACK</v>
      </c>
      <c r="AG353" s="11" t="str">
        <f t="shared" si="25"/>
        <v>JHAJJAR</v>
      </c>
    </row>
    <row r="354" spans="1:33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5"/>
        <v>441811098</v>
      </c>
      <c r="Y354" s="8" t="str">
        <f t="shared" si="16"/>
        <v>RP</v>
      </c>
      <c r="Z354" s="8">
        <f t="shared" si="17"/>
        <v>208</v>
      </c>
      <c r="AA354" s="8">
        <f t="shared" si="18"/>
        <v>208</v>
      </c>
      <c r="AB354" s="8">
        <f t="shared" si="19"/>
        <v>208</v>
      </c>
      <c r="AC354" s="8">
        <f t="shared" si="20"/>
        <v>208</v>
      </c>
      <c r="AD354" s="8">
        <f t="shared" si="21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4"/>
        <v>MAROON</v>
      </c>
      <c r="AG354" s="11" t="str">
        <f t="shared" si="25"/>
        <v>JHAJJAR</v>
      </c>
    </row>
    <row r="355" spans="1:33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5"/>
        <v>441811099</v>
      </c>
      <c r="Y355" s="8" t="str">
        <f t="shared" si="16"/>
        <v>RP</v>
      </c>
      <c r="Z355" s="8">
        <f t="shared" si="17"/>
        <v>208</v>
      </c>
      <c r="AA355" s="8">
        <f t="shared" si="18"/>
        <v>208</v>
      </c>
      <c r="AB355" s="8">
        <f t="shared" si="19"/>
        <v>208</v>
      </c>
      <c r="AC355" s="8">
        <f t="shared" si="20"/>
        <v>208</v>
      </c>
      <c r="AD355" s="8">
        <f t="shared" si="21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4"/>
        <v>MUSTARD</v>
      </c>
      <c r="AG355" s="11" t="str">
        <f t="shared" si="25"/>
        <v>JHAJJAR</v>
      </c>
    </row>
    <row r="356" spans="1:33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5"/>
        <v>441811098</v>
      </c>
      <c r="Y356" s="8" t="str">
        <f t="shared" si="16"/>
        <v>RP</v>
      </c>
      <c r="Z356" s="8">
        <f t="shared" si="17"/>
        <v>208</v>
      </c>
      <c r="AA356" s="8">
        <f t="shared" si="18"/>
        <v>208</v>
      </c>
      <c r="AB356" s="8">
        <f t="shared" si="19"/>
        <v>208</v>
      </c>
      <c r="AC356" s="8">
        <f t="shared" si="20"/>
        <v>208</v>
      </c>
      <c r="AD356" s="8">
        <f t="shared" si="21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4"/>
        <v>MUSTARD</v>
      </c>
      <c r="AG356" s="11" t="str">
        <f t="shared" si="25"/>
        <v>JHAJJAR</v>
      </c>
    </row>
    <row r="357" spans="1:33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5"/>
        <v>441811096</v>
      </c>
      <c r="Y357" s="8" t="str">
        <f t="shared" si="16"/>
        <v>RP</v>
      </c>
      <c r="Z357" s="8">
        <f t="shared" si="17"/>
        <v>208</v>
      </c>
      <c r="AA357" s="8">
        <f t="shared" si="18"/>
        <v>208</v>
      </c>
      <c r="AB357" s="8">
        <f t="shared" si="19"/>
        <v>208</v>
      </c>
      <c r="AC357" s="8">
        <f t="shared" si="20"/>
        <v>208</v>
      </c>
      <c r="AD357" s="8">
        <f t="shared" si="21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4"/>
        <v>CORAL</v>
      </c>
      <c r="AG357" s="11" t="str">
        <f t="shared" si="25"/>
        <v>JHAJJAR</v>
      </c>
    </row>
    <row r="358" spans="1:33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5"/>
        <v>441811103</v>
      </c>
      <c r="Y358" s="8" t="str">
        <f t="shared" si="16"/>
        <v>RP</v>
      </c>
      <c r="Z358" s="8">
        <f t="shared" si="17"/>
        <v>208</v>
      </c>
      <c r="AA358" s="8">
        <f t="shared" si="18"/>
        <v>208</v>
      </c>
      <c r="AB358" s="8">
        <f t="shared" si="19"/>
        <v>208</v>
      </c>
      <c r="AC358" s="8">
        <f t="shared" si="20"/>
        <v>208</v>
      </c>
      <c r="AD358" s="8">
        <f t="shared" si="21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4"/>
        <v>OFF WHITE</v>
      </c>
      <c r="AG358" s="11" t="str">
        <f t="shared" si="25"/>
        <v>JHAJJAR</v>
      </c>
    </row>
    <row r="359" spans="1:33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5"/>
        <v>441811106</v>
      </c>
      <c r="Y359" s="8" t="str">
        <f t="shared" si="16"/>
        <v>RP</v>
      </c>
      <c r="Z359" s="8">
        <f t="shared" si="17"/>
        <v>208</v>
      </c>
      <c r="AA359" s="8">
        <f t="shared" si="18"/>
        <v>208</v>
      </c>
      <c r="AB359" s="8">
        <f t="shared" si="19"/>
        <v>208</v>
      </c>
      <c r="AC359" s="8">
        <f t="shared" si="20"/>
        <v>208</v>
      </c>
      <c r="AD359" s="8">
        <f t="shared" si="21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4"/>
        <v>GREEN</v>
      </c>
      <c r="AG359" s="11" t="str">
        <f t="shared" si="25"/>
        <v>JHAJJAR</v>
      </c>
    </row>
    <row r="360" spans="1:33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5"/>
        <v>441811102</v>
      </c>
      <c r="Y360" s="8" t="str">
        <f t="shared" si="16"/>
        <v>RP</v>
      </c>
      <c r="Z360" s="8">
        <f t="shared" si="17"/>
        <v>208</v>
      </c>
      <c r="AA360" s="8">
        <f t="shared" si="18"/>
        <v>208</v>
      </c>
      <c r="AB360" s="8">
        <f t="shared" si="19"/>
        <v>208</v>
      </c>
      <c r="AC360" s="8">
        <f t="shared" si="20"/>
        <v>208</v>
      </c>
      <c r="AD360" s="8">
        <f t="shared" si="21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4"/>
        <v>MUSTARD</v>
      </c>
      <c r="AG360" s="11" t="str">
        <f t="shared" si="25"/>
        <v>JHAJJAR</v>
      </c>
    </row>
    <row r="361" spans="1:33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5"/>
        <v>441811095</v>
      </c>
      <c r="Y361" s="8" t="str">
        <f t="shared" si="16"/>
        <v>RP</v>
      </c>
      <c r="Z361" s="8">
        <f t="shared" si="17"/>
        <v>208</v>
      </c>
      <c r="AA361" s="8">
        <f t="shared" si="18"/>
        <v>208</v>
      </c>
      <c r="AB361" s="8">
        <f t="shared" si="19"/>
        <v>208</v>
      </c>
      <c r="AC361" s="8">
        <f t="shared" si="20"/>
        <v>208</v>
      </c>
      <c r="AD361" s="8">
        <f t="shared" si="21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4"/>
        <v>MAROON</v>
      </c>
      <c r="AG361" s="11" t="str">
        <f t="shared" si="25"/>
        <v>JHAJJAR</v>
      </c>
    </row>
    <row r="362" spans="1:33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5"/>
        <v>441811108</v>
      </c>
      <c r="Y362" s="8" t="str">
        <f t="shared" si="16"/>
        <v>RP</v>
      </c>
      <c r="Z362" s="8">
        <f t="shared" si="17"/>
        <v>208</v>
      </c>
      <c r="AA362" s="8">
        <f t="shared" si="18"/>
        <v>208</v>
      </c>
      <c r="AB362" s="8">
        <f t="shared" si="19"/>
        <v>208</v>
      </c>
      <c r="AC362" s="8">
        <f t="shared" si="20"/>
        <v>208</v>
      </c>
      <c r="AD362" s="8">
        <f t="shared" si="21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4"/>
        <v>GOLD</v>
      </c>
      <c r="AG362" s="11" t="str">
        <f t="shared" si="25"/>
        <v>JHAJJAR</v>
      </c>
    </row>
    <row r="363" spans="1:33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5"/>
        <v>441811508</v>
      </c>
      <c r="Y363" s="8" t="str">
        <f t="shared" si="16"/>
        <v>RP</v>
      </c>
      <c r="Z363" s="8">
        <f t="shared" si="17"/>
        <v>208</v>
      </c>
      <c r="AA363" s="8">
        <f t="shared" si="18"/>
        <v>208</v>
      </c>
      <c r="AB363" s="8">
        <f t="shared" si="19"/>
        <v>208</v>
      </c>
      <c r="AC363" s="8">
        <f t="shared" si="20"/>
        <v>208</v>
      </c>
      <c r="AD363" s="8">
        <f t="shared" si="21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4"/>
        <v>OFF WHITE</v>
      </c>
      <c r="AG363" s="11" t="str">
        <f t="shared" si="25"/>
        <v>JHAJJAR</v>
      </c>
    </row>
    <row r="364" spans="1:33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5"/>
        <v>441811105</v>
      </c>
      <c r="Y364" s="8" t="str">
        <f t="shared" si="16"/>
        <v>RP</v>
      </c>
      <c r="Z364" s="8">
        <f t="shared" si="17"/>
        <v>231</v>
      </c>
      <c r="AA364" s="8">
        <f t="shared" si="18"/>
        <v>231</v>
      </c>
      <c r="AB364" s="8">
        <f t="shared" si="19"/>
        <v>231</v>
      </c>
      <c r="AC364" s="8">
        <f t="shared" si="20"/>
        <v>231</v>
      </c>
      <c r="AD364" s="8">
        <f t="shared" si="21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4"/>
        <v>BLACK</v>
      </c>
      <c r="AG364" s="11" t="str">
        <f t="shared" si="25"/>
        <v>HARIPAL</v>
      </c>
    </row>
    <row r="365" spans="1:33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5"/>
        <v>441811098</v>
      </c>
      <c r="Y365" s="8" t="str">
        <f t="shared" si="16"/>
        <v>RP</v>
      </c>
      <c r="Z365" s="8">
        <f t="shared" si="17"/>
        <v>231</v>
      </c>
      <c r="AA365" s="8">
        <f t="shared" si="18"/>
        <v>231</v>
      </c>
      <c r="AB365" s="8">
        <f t="shared" si="19"/>
        <v>231</v>
      </c>
      <c r="AC365" s="8">
        <f t="shared" si="20"/>
        <v>231</v>
      </c>
      <c r="AD365" s="8">
        <f t="shared" si="21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4"/>
        <v>MAROON</v>
      </c>
      <c r="AG365" s="11" t="str">
        <f t="shared" si="25"/>
        <v>HARIPAL</v>
      </c>
    </row>
    <row r="366" spans="1:33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5"/>
        <v>441811098</v>
      </c>
      <c r="Y366" s="8" t="str">
        <f t="shared" si="16"/>
        <v>RP</v>
      </c>
      <c r="Z366" s="8">
        <f t="shared" si="17"/>
        <v>231</v>
      </c>
      <c r="AA366" s="8">
        <f t="shared" si="18"/>
        <v>231</v>
      </c>
      <c r="AB366" s="8">
        <f t="shared" si="19"/>
        <v>231</v>
      </c>
      <c r="AC366" s="8">
        <f t="shared" si="20"/>
        <v>231</v>
      </c>
      <c r="AD366" s="8">
        <f t="shared" si="21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4"/>
        <v>MUSTARD</v>
      </c>
      <c r="AG366" s="11" t="str">
        <f t="shared" si="25"/>
        <v>HARIPAL</v>
      </c>
    </row>
    <row r="367" spans="1:33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5"/>
        <v>441811099</v>
      </c>
      <c r="Y367" s="8" t="str">
        <f t="shared" si="16"/>
        <v>RP</v>
      </c>
      <c r="Z367" s="8">
        <f t="shared" si="17"/>
        <v>231</v>
      </c>
      <c r="AA367" s="8">
        <f t="shared" si="18"/>
        <v>231</v>
      </c>
      <c r="AB367" s="8">
        <f t="shared" si="19"/>
        <v>231</v>
      </c>
      <c r="AC367" s="8">
        <f t="shared" si="20"/>
        <v>231</v>
      </c>
      <c r="AD367" s="8">
        <f t="shared" si="21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4"/>
        <v>MUSTARD</v>
      </c>
      <c r="AG367" s="11" t="str">
        <f t="shared" si="25"/>
        <v>HARIPAL</v>
      </c>
    </row>
    <row r="368" spans="1:33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5"/>
        <v>441811096</v>
      </c>
      <c r="Y368" s="8" t="str">
        <f t="shared" si="16"/>
        <v>RP</v>
      </c>
      <c r="Z368" s="8">
        <f t="shared" si="17"/>
        <v>231</v>
      </c>
      <c r="AA368" s="8">
        <f t="shared" si="18"/>
        <v>231</v>
      </c>
      <c r="AB368" s="8">
        <f t="shared" si="19"/>
        <v>231</v>
      </c>
      <c r="AC368" s="8">
        <f t="shared" si="20"/>
        <v>231</v>
      </c>
      <c r="AD368" s="8">
        <f t="shared" si="21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4"/>
        <v>CORAL</v>
      </c>
      <c r="AG368" s="11" t="str">
        <f t="shared" si="25"/>
        <v>HARIPAL</v>
      </c>
    </row>
    <row r="369" spans="1:33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5"/>
        <v>441811106</v>
      </c>
      <c r="Y369" s="8" t="str">
        <f t="shared" si="16"/>
        <v>RP</v>
      </c>
      <c r="Z369" s="8">
        <f t="shared" si="17"/>
        <v>231</v>
      </c>
      <c r="AA369" s="8">
        <f t="shared" si="18"/>
        <v>231</v>
      </c>
      <c r="AB369" s="8">
        <f t="shared" si="19"/>
        <v>231</v>
      </c>
      <c r="AC369" s="8">
        <f t="shared" si="20"/>
        <v>231</v>
      </c>
      <c r="AD369" s="8">
        <f t="shared" si="21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4"/>
        <v>GREEN</v>
      </c>
      <c r="AG369" s="11" t="str">
        <f t="shared" si="25"/>
        <v>HARIPAL</v>
      </c>
    </row>
    <row r="370" spans="1:33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5"/>
        <v>441811103</v>
      </c>
      <c r="Y370" s="8" t="str">
        <f t="shared" si="16"/>
        <v>RP</v>
      </c>
      <c r="Z370" s="8">
        <f t="shared" si="17"/>
        <v>231</v>
      </c>
      <c r="AA370" s="8">
        <f t="shared" si="18"/>
        <v>231</v>
      </c>
      <c r="AB370" s="8">
        <f t="shared" si="19"/>
        <v>231</v>
      </c>
      <c r="AC370" s="8">
        <f t="shared" si="20"/>
        <v>231</v>
      </c>
      <c r="AD370" s="8">
        <f t="shared" si="21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4"/>
        <v>OFF WHITE</v>
      </c>
      <c r="AG370" s="11" t="str">
        <f t="shared" si="25"/>
        <v>HARIPAL</v>
      </c>
    </row>
    <row r="371" spans="1:33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5"/>
        <v>441811108</v>
      </c>
      <c r="Y371" s="8" t="str">
        <f t="shared" si="16"/>
        <v>RP</v>
      </c>
      <c r="Z371" s="8">
        <f t="shared" si="17"/>
        <v>231</v>
      </c>
      <c r="AA371" s="8">
        <f t="shared" si="18"/>
        <v>231</v>
      </c>
      <c r="AB371" s="8">
        <f t="shared" si="19"/>
        <v>231</v>
      </c>
      <c r="AC371" s="8">
        <f t="shared" si="20"/>
        <v>231</v>
      </c>
      <c r="AD371" s="8">
        <f t="shared" si="21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4"/>
        <v>GOLD</v>
      </c>
      <c r="AG371" s="11" t="str">
        <f t="shared" si="25"/>
        <v>HARIPAL</v>
      </c>
    </row>
    <row r="372" spans="1:33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5"/>
        <v>441811095</v>
      </c>
      <c r="Y372" s="8" t="str">
        <f t="shared" si="16"/>
        <v>RP</v>
      </c>
      <c r="Z372" s="8">
        <f t="shared" si="17"/>
        <v>231</v>
      </c>
      <c r="AA372" s="8">
        <f t="shared" si="18"/>
        <v>231</v>
      </c>
      <c r="AB372" s="8">
        <f t="shared" si="19"/>
        <v>231</v>
      </c>
      <c r="AC372" s="8">
        <f t="shared" si="20"/>
        <v>231</v>
      </c>
      <c r="AD372" s="8">
        <f t="shared" si="21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4"/>
        <v>MAROON</v>
      </c>
      <c r="AG372" s="11" t="str">
        <f t="shared" si="25"/>
        <v>HARIPAL</v>
      </c>
    </row>
    <row r="373" spans="1:33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5"/>
        <v>441811508</v>
      </c>
      <c r="Y373" s="8" t="str">
        <f t="shared" si="16"/>
        <v>RP</v>
      </c>
      <c r="Z373" s="8">
        <f t="shared" si="17"/>
        <v>231</v>
      </c>
      <c r="AA373" s="8">
        <f t="shared" si="18"/>
        <v>231</v>
      </c>
      <c r="AB373" s="8">
        <f t="shared" si="19"/>
        <v>231</v>
      </c>
      <c r="AC373" s="8">
        <f t="shared" si="20"/>
        <v>231</v>
      </c>
      <c r="AD373" s="8">
        <f t="shared" si="21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4"/>
        <v>OFF WHITE</v>
      </c>
      <c r="AG373" s="11" t="str">
        <f t="shared" si="25"/>
        <v>HARIPAL</v>
      </c>
    </row>
    <row r="374" spans="1:33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5"/>
        <v>441811102</v>
      </c>
      <c r="Y374" s="8" t="str">
        <f t="shared" si="16"/>
        <v>RP</v>
      </c>
      <c r="Z374" s="8">
        <f t="shared" si="17"/>
        <v>231</v>
      </c>
      <c r="AA374" s="8">
        <f t="shared" si="18"/>
        <v>231</v>
      </c>
      <c r="AB374" s="8">
        <f t="shared" si="19"/>
        <v>231</v>
      </c>
      <c r="AC374" s="8">
        <f t="shared" si="20"/>
        <v>231</v>
      </c>
      <c r="AD374" s="8">
        <f t="shared" si="21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4"/>
        <v>MUSTARD</v>
      </c>
      <c r="AG374" s="11" t="str">
        <f t="shared" si="25"/>
        <v>HARIPAL</v>
      </c>
    </row>
    <row r="375" spans="1:33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5"/>
        <v>441853915</v>
      </c>
      <c r="Y375" s="8" t="str">
        <f t="shared" si="16"/>
        <v>DC</v>
      </c>
      <c r="Z375" s="8">
        <f t="shared" si="17"/>
        <v>222</v>
      </c>
      <c r="AA375" s="8">
        <f t="shared" si="18"/>
        <v>0</v>
      </c>
      <c r="AB375" s="8">
        <f t="shared" si="19"/>
        <v>0</v>
      </c>
      <c r="AC375" s="8">
        <f t="shared" si="20"/>
        <v>0</v>
      </c>
      <c r="AD375" s="8">
        <f t="shared" si="21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4"/>
        <v>MUSTARD</v>
      </c>
      <c r="AG375" s="11" t="str">
        <f t="shared" si="25"/>
        <v>Bangalore</v>
      </c>
    </row>
    <row r="376" spans="1:33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5"/>
        <v>441853915</v>
      </c>
      <c r="Y376" s="8" t="str">
        <f t="shared" si="16"/>
        <v>DC</v>
      </c>
      <c r="Z376" s="8">
        <f t="shared" si="17"/>
        <v>0</v>
      </c>
      <c r="AA376" s="8">
        <f t="shared" si="18"/>
        <v>312</v>
      </c>
      <c r="AB376" s="8">
        <f t="shared" si="19"/>
        <v>0</v>
      </c>
      <c r="AC376" s="8">
        <f t="shared" si="20"/>
        <v>0</v>
      </c>
      <c r="AD376" s="8">
        <f t="shared" si="21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4"/>
        <v>MUSTARD</v>
      </c>
      <c r="AG376" s="11" t="str">
        <f t="shared" si="25"/>
        <v>Bangalore</v>
      </c>
    </row>
    <row r="377" spans="1:33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5"/>
        <v>441853915</v>
      </c>
      <c r="Y377" s="8" t="str">
        <f t="shared" si="16"/>
        <v>DC</v>
      </c>
      <c r="Z377" s="8">
        <f t="shared" si="17"/>
        <v>0</v>
      </c>
      <c r="AA377" s="8">
        <f t="shared" si="18"/>
        <v>0</v>
      </c>
      <c r="AB377" s="8">
        <f t="shared" si="19"/>
        <v>305</v>
      </c>
      <c r="AC377" s="8">
        <f t="shared" si="20"/>
        <v>0</v>
      </c>
      <c r="AD377" s="8">
        <f t="shared" si="21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4"/>
        <v>MUSTARD</v>
      </c>
      <c r="AG377" s="11" t="str">
        <f t="shared" si="25"/>
        <v>Bangalore</v>
      </c>
    </row>
    <row r="378" spans="1:33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5"/>
        <v>441853915</v>
      </c>
      <c r="Y378" s="8" t="str">
        <f t="shared" si="16"/>
        <v>DC</v>
      </c>
      <c r="Z378" s="8">
        <f t="shared" si="17"/>
        <v>0</v>
      </c>
      <c r="AA378" s="8">
        <f t="shared" si="18"/>
        <v>0</v>
      </c>
      <c r="AB378" s="8">
        <f t="shared" si="19"/>
        <v>0</v>
      </c>
      <c r="AC378" s="8">
        <f t="shared" si="20"/>
        <v>305</v>
      </c>
      <c r="AD378" s="8">
        <f t="shared" si="21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4"/>
        <v>MUSTARD</v>
      </c>
      <c r="AG378" s="11" t="str">
        <f t="shared" si="25"/>
        <v>Bangalore</v>
      </c>
    </row>
    <row r="379" spans="1:33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5"/>
        <v>441853915</v>
      </c>
      <c r="Y379" s="8" t="str">
        <f t="shared" si="16"/>
        <v>DC</v>
      </c>
      <c r="Z379" s="8">
        <f t="shared" si="17"/>
        <v>0</v>
      </c>
      <c r="AA379" s="8">
        <f t="shared" si="18"/>
        <v>0</v>
      </c>
      <c r="AB379" s="8">
        <f t="shared" si="19"/>
        <v>0</v>
      </c>
      <c r="AC379" s="8">
        <f t="shared" si="20"/>
        <v>0</v>
      </c>
      <c r="AD379" s="8">
        <f t="shared" si="21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4"/>
        <v>MUSTARD</v>
      </c>
      <c r="AG379" s="11" t="str">
        <f t="shared" si="25"/>
        <v>Bangalore</v>
      </c>
    </row>
    <row r="380" spans="1:33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5"/>
        <v>441853915</v>
      </c>
      <c r="Y380" s="8" t="str">
        <f t="shared" si="16"/>
        <v>DC</v>
      </c>
      <c r="Z380" s="8">
        <f t="shared" si="17"/>
        <v>135</v>
      </c>
      <c r="AA380" s="8">
        <f t="shared" si="18"/>
        <v>0</v>
      </c>
      <c r="AB380" s="8">
        <f t="shared" si="19"/>
        <v>0</v>
      </c>
      <c r="AC380" s="8">
        <f t="shared" si="20"/>
        <v>0</v>
      </c>
      <c r="AD380" s="8">
        <f t="shared" si="21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4"/>
        <v>MUSTARD</v>
      </c>
      <c r="AG380" s="11" t="str">
        <f t="shared" si="25"/>
        <v>JHAJJAR</v>
      </c>
    </row>
    <row r="381" spans="1:33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5"/>
        <v>441853915</v>
      </c>
      <c r="Y381" s="8" t="str">
        <f t="shared" si="16"/>
        <v>DC</v>
      </c>
      <c r="Z381" s="8">
        <f t="shared" si="17"/>
        <v>0</v>
      </c>
      <c r="AA381" s="8">
        <f t="shared" si="18"/>
        <v>190</v>
      </c>
      <c r="AB381" s="8">
        <f t="shared" si="19"/>
        <v>0</v>
      </c>
      <c r="AC381" s="8">
        <f t="shared" si="20"/>
        <v>0</v>
      </c>
      <c r="AD381" s="8">
        <f t="shared" si="21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4"/>
        <v>MUSTARD</v>
      </c>
      <c r="AG381" s="11" t="str">
        <f t="shared" si="25"/>
        <v>JHAJJAR</v>
      </c>
    </row>
    <row r="382" spans="1:33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5"/>
        <v>441853915</v>
      </c>
      <c r="Y382" s="8" t="str">
        <f t="shared" si="16"/>
        <v>DC</v>
      </c>
      <c r="Z382" s="8">
        <f t="shared" si="17"/>
        <v>0</v>
      </c>
      <c r="AA382" s="8">
        <f t="shared" si="18"/>
        <v>0</v>
      </c>
      <c r="AB382" s="8">
        <f t="shared" si="19"/>
        <v>186</v>
      </c>
      <c r="AC382" s="8">
        <f t="shared" si="20"/>
        <v>0</v>
      </c>
      <c r="AD382" s="8">
        <f t="shared" si="21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4"/>
        <v>MUSTARD</v>
      </c>
      <c r="AG382" s="11" t="str">
        <f t="shared" si="25"/>
        <v>JHAJJAR</v>
      </c>
    </row>
    <row r="383" spans="1:33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5"/>
        <v>441853915</v>
      </c>
      <c r="Y383" s="8" t="str">
        <f t="shared" si="16"/>
        <v>DC</v>
      </c>
      <c r="Z383" s="8">
        <f t="shared" si="17"/>
        <v>0</v>
      </c>
      <c r="AA383" s="8">
        <f t="shared" si="18"/>
        <v>0</v>
      </c>
      <c r="AB383" s="8">
        <f t="shared" si="19"/>
        <v>0</v>
      </c>
      <c r="AC383" s="8">
        <f t="shared" si="20"/>
        <v>186</v>
      </c>
      <c r="AD383" s="8">
        <f t="shared" si="21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4"/>
        <v>MUSTARD</v>
      </c>
      <c r="AG383" s="11" t="str">
        <f t="shared" si="25"/>
        <v>JHAJJAR</v>
      </c>
    </row>
    <row r="384" spans="1:33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5"/>
        <v>441853915</v>
      </c>
      <c r="Y384" s="8" t="str">
        <f t="shared" si="16"/>
        <v>DC</v>
      </c>
      <c r="Z384" s="8">
        <f t="shared" si="17"/>
        <v>0</v>
      </c>
      <c r="AA384" s="8">
        <f t="shared" si="18"/>
        <v>0</v>
      </c>
      <c r="AB384" s="8">
        <f t="shared" si="19"/>
        <v>0</v>
      </c>
      <c r="AC384" s="8">
        <f t="shared" si="20"/>
        <v>0</v>
      </c>
      <c r="AD384" s="8">
        <f t="shared" si="21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4"/>
        <v>MUSTARD</v>
      </c>
      <c r="AG384" s="11" t="str">
        <f t="shared" si="25"/>
        <v>JHAJJAR</v>
      </c>
    </row>
    <row r="385" spans="1:33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5"/>
        <v>441853915</v>
      </c>
      <c r="Y385" s="8" t="str">
        <f t="shared" si="16"/>
        <v>DC</v>
      </c>
      <c r="Z385" s="8">
        <f t="shared" si="17"/>
        <v>124</v>
      </c>
      <c r="AA385" s="8">
        <f t="shared" si="18"/>
        <v>0</v>
      </c>
      <c r="AB385" s="8">
        <f t="shared" si="19"/>
        <v>0</v>
      </c>
      <c r="AC385" s="8">
        <f t="shared" si="20"/>
        <v>0</v>
      </c>
      <c r="AD385" s="8">
        <f t="shared" si="21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4"/>
        <v>MUSTARD</v>
      </c>
      <c r="AG385" s="11" t="str">
        <f t="shared" si="25"/>
        <v>HARIPAL</v>
      </c>
    </row>
    <row r="386" spans="1:33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5"/>
        <v>441853915</v>
      </c>
      <c r="Y386" s="8" t="str">
        <f t="shared" si="16"/>
        <v>DC</v>
      </c>
      <c r="Z386" s="8">
        <f t="shared" si="17"/>
        <v>0</v>
      </c>
      <c r="AA386" s="8">
        <f t="shared" si="18"/>
        <v>175</v>
      </c>
      <c r="AB386" s="8">
        <f t="shared" si="19"/>
        <v>0</v>
      </c>
      <c r="AC386" s="8">
        <f t="shared" si="20"/>
        <v>0</v>
      </c>
      <c r="AD386" s="8">
        <f t="shared" si="21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4"/>
        <v>MUSTARD</v>
      </c>
      <c r="AG386" s="11" t="str">
        <f t="shared" si="25"/>
        <v>HARIPAL</v>
      </c>
    </row>
    <row r="387" spans="1:33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5"/>
        <v>441853915</v>
      </c>
      <c r="Y387" s="8" t="str">
        <f t="shared" si="16"/>
        <v>DC</v>
      </c>
      <c r="Z387" s="8">
        <f t="shared" si="17"/>
        <v>0</v>
      </c>
      <c r="AA387" s="8">
        <f t="shared" si="18"/>
        <v>0</v>
      </c>
      <c r="AB387" s="8">
        <f t="shared" si="19"/>
        <v>171</v>
      </c>
      <c r="AC387" s="8">
        <f t="shared" si="20"/>
        <v>0</v>
      </c>
      <c r="AD387" s="8">
        <f t="shared" si="21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26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27">IF(A387="SZAF","Bangalore",IF(A387="SAEX","JHAJJAR",IF(A387="S0EU","HARIPAL","")))</f>
        <v>HARIPAL</v>
      </c>
    </row>
    <row r="388" spans="1:33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5"/>
        <v>441853915</v>
      </c>
      <c r="Y388" s="8" t="str">
        <f t="shared" si="16"/>
        <v>DC</v>
      </c>
      <c r="Z388" s="8">
        <f t="shared" si="17"/>
        <v>0</v>
      </c>
      <c r="AA388" s="8">
        <f t="shared" si="18"/>
        <v>0</v>
      </c>
      <c r="AB388" s="8">
        <f t="shared" si="19"/>
        <v>0</v>
      </c>
      <c r="AC388" s="8">
        <f t="shared" si="20"/>
        <v>171</v>
      </c>
      <c r="AD388" s="8">
        <f t="shared" si="21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26"/>
        <v>MUSTARD</v>
      </c>
      <c r="AG388" s="11" t="str">
        <f t="shared" si="27"/>
        <v>HARIPAL</v>
      </c>
    </row>
    <row r="389" spans="1:33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5"/>
        <v>441853915</v>
      </c>
      <c r="Y389" s="8" t="str">
        <f t="shared" si="16"/>
        <v>DC</v>
      </c>
      <c r="Z389" s="8">
        <f t="shared" si="17"/>
        <v>0</v>
      </c>
      <c r="AA389" s="8">
        <f t="shared" si="18"/>
        <v>0</v>
      </c>
      <c r="AB389" s="8">
        <f t="shared" si="19"/>
        <v>0</v>
      </c>
      <c r="AC389" s="8">
        <f t="shared" si="20"/>
        <v>0</v>
      </c>
      <c r="AD389" s="8">
        <f t="shared" si="21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26"/>
        <v>MUSTARD</v>
      </c>
      <c r="AG389" s="11" t="str">
        <f t="shared" si="27"/>
        <v>HARIPAL</v>
      </c>
    </row>
    <row r="390" spans="1:33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5"/>
        <v>441857089</v>
      </c>
      <c r="Y390" s="8" t="str">
        <f t="shared" si="16"/>
        <v>DC</v>
      </c>
      <c r="Z390" s="8">
        <f t="shared" si="17"/>
        <v>106</v>
      </c>
      <c r="AA390" s="8">
        <f t="shared" si="18"/>
        <v>0</v>
      </c>
      <c r="AB390" s="8">
        <f t="shared" si="19"/>
        <v>0</v>
      </c>
      <c r="AC390" s="8">
        <f t="shared" si="20"/>
        <v>0</v>
      </c>
      <c r="AD390" s="8">
        <f t="shared" si="21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26"/>
        <v>BLACK</v>
      </c>
      <c r="AG390" s="11" t="str">
        <f t="shared" si="27"/>
        <v>Bangalore</v>
      </c>
    </row>
    <row r="391" spans="1:33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5"/>
        <v>441857089</v>
      </c>
      <c r="Y391" s="8" t="str">
        <f t="shared" si="16"/>
        <v>DC</v>
      </c>
      <c r="Z391" s="8">
        <f t="shared" si="17"/>
        <v>0</v>
      </c>
      <c r="AA391" s="8">
        <f t="shared" si="18"/>
        <v>161</v>
      </c>
      <c r="AB391" s="8">
        <f t="shared" si="19"/>
        <v>0</v>
      </c>
      <c r="AC391" s="8">
        <f t="shared" si="20"/>
        <v>0</v>
      </c>
      <c r="AD391" s="8">
        <f t="shared" si="21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26"/>
        <v>BLACK</v>
      </c>
      <c r="AG391" s="11" t="str">
        <f t="shared" si="27"/>
        <v>Bangalore</v>
      </c>
    </row>
    <row r="392" spans="1:33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5"/>
        <v>441857089</v>
      </c>
      <c r="Y392" s="8" t="str">
        <f t="shared" si="16"/>
        <v>DC</v>
      </c>
      <c r="Z392" s="8">
        <f t="shared" si="17"/>
        <v>0</v>
      </c>
      <c r="AA392" s="8">
        <f t="shared" si="18"/>
        <v>0</v>
      </c>
      <c r="AB392" s="8">
        <f t="shared" si="19"/>
        <v>169</v>
      </c>
      <c r="AC392" s="8">
        <f t="shared" si="20"/>
        <v>0</v>
      </c>
      <c r="AD392" s="8">
        <f t="shared" si="21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26"/>
        <v>BLACK</v>
      </c>
      <c r="AG392" s="11" t="str">
        <f t="shared" si="27"/>
        <v>Bangalore</v>
      </c>
    </row>
    <row r="393" spans="1:33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5"/>
        <v>441857089</v>
      </c>
      <c r="Y393" s="8" t="str">
        <f t="shared" si="16"/>
        <v>DC</v>
      </c>
      <c r="Z393" s="8">
        <f t="shared" si="17"/>
        <v>0</v>
      </c>
      <c r="AA393" s="8">
        <f t="shared" si="18"/>
        <v>0</v>
      </c>
      <c r="AB393" s="8">
        <f t="shared" si="19"/>
        <v>0</v>
      </c>
      <c r="AC393" s="8">
        <f t="shared" si="20"/>
        <v>180</v>
      </c>
      <c r="AD393" s="8">
        <f t="shared" si="21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26"/>
        <v>BLACK</v>
      </c>
      <c r="AG393" s="11" t="str">
        <f t="shared" si="27"/>
        <v>Bangalore</v>
      </c>
    </row>
    <row r="394" spans="1:33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5"/>
        <v>441857089</v>
      </c>
      <c r="Y394" s="8" t="str">
        <f t="shared" si="16"/>
        <v>DC</v>
      </c>
      <c r="Z394" s="8">
        <f t="shared" si="17"/>
        <v>0</v>
      </c>
      <c r="AA394" s="8">
        <f t="shared" si="18"/>
        <v>0</v>
      </c>
      <c r="AB394" s="8">
        <f t="shared" si="19"/>
        <v>0</v>
      </c>
      <c r="AC394" s="8">
        <f t="shared" si="20"/>
        <v>0</v>
      </c>
      <c r="AD394" s="8">
        <f t="shared" si="21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26"/>
        <v>BLACK</v>
      </c>
      <c r="AG394" s="11" t="str">
        <f t="shared" si="27"/>
        <v>Bangalore</v>
      </c>
    </row>
    <row r="395" spans="1:33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5"/>
        <v>441857089</v>
      </c>
      <c r="Y395" s="8" t="str">
        <f t="shared" si="16"/>
        <v>DC</v>
      </c>
      <c r="Z395" s="8">
        <f t="shared" si="17"/>
        <v>51</v>
      </c>
      <c r="AA395" s="8">
        <f t="shared" si="18"/>
        <v>0</v>
      </c>
      <c r="AB395" s="8">
        <f t="shared" si="19"/>
        <v>0</v>
      </c>
      <c r="AC395" s="8">
        <f t="shared" si="20"/>
        <v>0</v>
      </c>
      <c r="AD395" s="8">
        <f t="shared" si="21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26"/>
        <v>BLACK</v>
      </c>
      <c r="AG395" s="11" t="str">
        <f t="shared" si="27"/>
        <v>HARIPAL</v>
      </c>
    </row>
    <row r="396" spans="1:33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5"/>
        <v>441857089</v>
      </c>
      <c r="Y396" s="8" t="str">
        <f t="shared" si="16"/>
        <v>DC</v>
      </c>
      <c r="Z396" s="8">
        <f t="shared" si="17"/>
        <v>0</v>
      </c>
      <c r="AA396" s="8">
        <f t="shared" si="18"/>
        <v>77</v>
      </c>
      <c r="AB396" s="8">
        <f t="shared" si="19"/>
        <v>0</v>
      </c>
      <c r="AC396" s="8">
        <f t="shared" si="20"/>
        <v>0</v>
      </c>
      <c r="AD396" s="8">
        <f t="shared" si="21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26"/>
        <v>BLACK</v>
      </c>
      <c r="AG396" s="11" t="str">
        <f t="shared" si="27"/>
        <v>HARIPAL</v>
      </c>
    </row>
    <row r="397" spans="1:33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5"/>
        <v>441857089</v>
      </c>
      <c r="Y397" s="8" t="str">
        <f t="shared" si="16"/>
        <v>DC</v>
      </c>
      <c r="Z397" s="8">
        <f t="shared" si="17"/>
        <v>0</v>
      </c>
      <c r="AA397" s="8">
        <f t="shared" si="18"/>
        <v>0</v>
      </c>
      <c r="AB397" s="8">
        <f t="shared" si="19"/>
        <v>80</v>
      </c>
      <c r="AC397" s="8">
        <f t="shared" si="20"/>
        <v>0</v>
      </c>
      <c r="AD397" s="8">
        <f t="shared" si="21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26"/>
        <v>BLACK</v>
      </c>
      <c r="AG397" s="11" t="str">
        <f t="shared" si="27"/>
        <v>HARIPAL</v>
      </c>
    </row>
    <row r="398" spans="1:33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5"/>
        <v>441857089</v>
      </c>
      <c r="Y398" s="8" t="str">
        <f t="shared" si="16"/>
        <v>DC</v>
      </c>
      <c r="Z398" s="8">
        <f t="shared" si="17"/>
        <v>0</v>
      </c>
      <c r="AA398" s="8">
        <f t="shared" si="18"/>
        <v>0</v>
      </c>
      <c r="AB398" s="8">
        <f t="shared" si="19"/>
        <v>0</v>
      </c>
      <c r="AC398" s="8">
        <f t="shared" si="20"/>
        <v>85</v>
      </c>
      <c r="AD398" s="8">
        <f t="shared" si="21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26"/>
        <v>BLACK</v>
      </c>
      <c r="AG398" s="11" t="str">
        <f t="shared" si="27"/>
        <v>HARIPAL</v>
      </c>
    </row>
    <row r="399" spans="1:33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5"/>
        <v>441857089</v>
      </c>
      <c r="Y399" s="8" t="str">
        <f t="shared" si="16"/>
        <v>DC</v>
      </c>
      <c r="Z399" s="8">
        <f t="shared" si="17"/>
        <v>0</v>
      </c>
      <c r="AA399" s="8">
        <f t="shared" si="18"/>
        <v>0</v>
      </c>
      <c r="AB399" s="8">
        <f t="shared" si="19"/>
        <v>0</v>
      </c>
      <c r="AC399" s="8">
        <f t="shared" si="20"/>
        <v>0</v>
      </c>
      <c r="AD399" s="8">
        <f t="shared" si="21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26"/>
        <v>BLACK</v>
      </c>
      <c r="AG399" s="11" t="str">
        <f t="shared" si="27"/>
        <v>HARIPAL</v>
      </c>
    </row>
    <row r="400" spans="1:33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5"/>
        <v>441857193</v>
      </c>
      <c r="Y400" s="8" t="str">
        <f t="shared" si="16"/>
        <v>DC</v>
      </c>
      <c r="Z400" s="8">
        <f t="shared" si="17"/>
        <v>30</v>
      </c>
      <c r="AA400" s="8">
        <f t="shared" si="18"/>
        <v>0</v>
      </c>
      <c r="AB400" s="8">
        <f t="shared" si="19"/>
        <v>0</v>
      </c>
      <c r="AC400" s="8">
        <f t="shared" si="20"/>
        <v>0</v>
      </c>
      <c r="AD400" s="8">
        <f t="shared" si="21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26"/>
        <v>LIME GREEN</v>
      </c>
      <c r="AG400" s="11" t="str">
        <f t="shared" si="27"/>
        <v>Bangalore</v>
      </c>
    </row>
    <row r="401" spans="1:33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5"/>
        <v>441857193</v>
      </c>
      <c r="Y401" s="8" t="str">
        <f t="shared" si="16"/>
        <v>DC</v>
      </c>
      <c r="Z401" s="8">
        <f t="shared" si="17"/>
        <v>0</v>
      </c>
      <c r="AA401" s="8">
        <f t="shared" si="18"/>
        <v>168</v>
      </c>
      <c r="AB401" s="8">
        <f t="shared" si="19"/>
        <v>0</v>
      </c>
      <c r="AC401" s="8">
        <f t="shared" si="20"/>
        <v>0</v>
      </c>
      <c r="AD401" s="8">
        <f t="shared" si="21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26"/>
        <v>LIME GREEN</v>
      </c>
      <c r="AG401" s="11" t="str">
        <f t="shared" si="27"/>
        <v>Bangalore</v>
      </c>
    </row>
    <row r="402" spans="1:33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5"/>
        <v>441857193</v>
      </c>
      <c r="Y402" s="8" t="str">
        <f t="shared" si="16"/>
        <v>DC</v>
      </c>
      <c r="Z402" s="8">
        <f t="shared" si="17"/>
        <v>0</v>
      </c>
      <c r="AA402" s="8">
        <f t="shared" si="18"/>
        <v>0</v>
      </c>
      <c r="AB402" s="8">
        <f t="shared" si="19"/>
        <v>189</v>
      </c>
      <c r="AC402" s="8">
        <f t="shared" si="20"/>
        <v>0</v>
      </c>
      <c r="AD402" s="8">
        <f t="shared" si="21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26"/>
        <v>LIME GREEN</v>
      </c>
      <c r="AG402" s="11" t="str">
        <f t="shared" si="27"/>
        <v>Bangalore</v>
      </c>
    </row>
    <row r="403" spans="1:33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5"/>
        <v>441857193</v>
      </c>
      <c r="Y403" s="8" t="str">
        <f t="shared" si="16"/>
        <v>DC</v>
      </c>
      <c r="Z403" s="8">
        <f t="shared" si="17"/>
        <v>0</v>
      </c>
      <c r="AA403" s="8">
        <f t="shared" si="18"/>
        <v>0</v>
      </c>
      <c r="AB403" s="8">
        <f t="shared" si="19"/>
        <v>0</v>
      </c>
      <c r="AC403" s="8">
        <f t="shared" si="20"/>
        <v>220</v>
      </c>
      <c r="AD403" s="8">
        <f t="shared" si="21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26"/>
        <v>LIME GREEN</v>
      </c>
      <c r="AG403" s="11" t="str">
        <f t="shared" si="27"/>
        <v>Bangalore</v>
      </c>
    </row>
    <row r="404" spans="1:33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5"/>
        <v>441857193</v>
      </c>
      <c r="Y404" s="8" t="str">
        <f t="shared" si="16"/>
        <v>DC</v>
      </c>
      <c r="Z404" s="8">
        <f t="shared" si="17"/>
        <v>0</v>
      </c>
      <c r="AA404" s="8">
        <f t="shared" si="18"/>
        <v>0</v>
      </c>
      <c r="AB404" s="8">
        <f t="shared" si="19"/>
        <v>0</v>
      </c>
      <c r="AC404" s="8">
        <f t="shared" si="20"/>
        <v>0</v>
      </c>
      <c r="AD404" s="8">
        <f t="shared" si="21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26"/>
        <v>LIME GREEN</v>
      </c>
      <c r="AG404" s="11" t="str">
        <f t="shared" si="27"/>
        <v>Bangalore</v>
      </c>
    </row>
    <row r="405" spans="1:33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5"/>
        <v>441857193</v>
      </c>
      <c r="Y405" s="8" t="str">
        <f t="shared" si="16"/>
        <v>DC</v>
      </c>
      <c r="Z405" s="8">
        <f t="shared" si="17"/>
        <v>30</v>
      </c>
      <c r="AA405" s="8">
        <f t="shared" si="18"/>
        <v>0</v>
      </c>
      <c r="AB405" s="8">
        <f t="shared" si="19"/>
        <v>0</v>
      </c>
      <c r="AC405" s="8">
        <f t="shared" si="20"/>
        <v>0</v>
      </c>
      <c r="AD405" s="8">
        <f t="shared" si="21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26"/>
        <v>LIME GREEN</v>
      </c>
      <c r="AG405" s="11" t="str">
        <f t="shared" si="27"/>
        <v>JHAJJAR</v>
      </c>
    </row>
    <row r="406" spans="1:33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5"/>
        <v>441857193</v>
      </c>
      <c r="Y406" s="8" t="str">
        <f t="shared" si="16"/>
        <v>DC</v>
      </c>
      <c r="Z406" s="8">
        <f t="shared" si="17"/>
        <v>0</v>
      </c>
      <c r="AA406" s="8">
        <f t="shared" si="18"/>
        <v>95</v>
      </c>
      <c r="AB406" s="8">
        <f t="shared" si="19"/>
        <v>0</v>
      </c>
      <c r="AC406" s="8">
        <f t="shared" si="20"/>
        <v>0</v>
      </c>
      <c r="AD406" s="8">
        <f t="shared" si="21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26"/>
        <v>LIME GREEN</v>
      </c>
      <c r="AG406" s="11" t="str">
        <f t="shared" si="27"/>
        <v>JHAJJAR</v>
      </c>
    </row>
    <row r="407" spans="1:33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5"/>
        <v>441857193</v>
      </c>
      <c r="Y407" s="8" t="str">
        <f t="shared" si="16"/>
        <v>DC</v>
      </c>
      <c r="Z407" s="8">
        <f t="shared" si="17"/>
        <v>0</v>
      </c>
      <c r="AA407" s="8">
        <f t="shared" si="18"/>
        <v>0</v>
      </c>
      <c r="AB407" s="8">
        <f t="shared" si="19"/>
        <v>107</v>
      </c>
      <c r="AC407" s="8">
        <f t="shared" si="20"/>
        <v>0</v>
      </c>
      <c r="AD407" s="8">
        <f t="shared" si="21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26"/>
        <v>LIME GREEN</v>
      </c>
      <c r="AG407" s="11" t="str">
        <f t="shared" si="27"/>
        <v>JHAJJAR</v>
      </c>
    </row>
    <row r="408" spans="1:33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5"/>
        <v>441857193</v>
      </c>
      <c r="Y408" s="8" t="str">
        <f t="shared" si="16"/>
        <v>DC</v>
      </c>
      <c r="Z408" s="8">
        <f t="shared" si="17"/>
        <v>0</v>
      </c>
      <c r="AA408" s="8">
        <f t="shared" si="18"/>
        <v>0</v>
      </c>
      <c r="AB408" s="8">
        <f t="shared" si="19"/>
        <v>0</v>
      </c>
      <c r="AC408" s="8">
        <f t="shared" si="20"/>
        <v>125</v>
      </c>
      <c r="AD408" s="8">
        <f t="shared" si="21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26"/>
        <v>LIME GREEN</v>
      </c>
      <c r="AG408" s="11" t="str">
        <f t="shared" si="27"/>
        <v>JHAJJAR</v>
      </c>
    </row>
    <row r="409" spans="1:33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5"/>
        <v>441857193</v>
      </c>
      <c r="Y409" s="8" t="str">
        <f t="shared" si="16"/>
        <v>DC</v>
      </c>
      <c r="Z409" s="8">
        <f t="shared" si="17"/>
        <v>0</v>
      </c>
      <c r="AA409" s="8">
        <f t="shared" si="18"/>
        <v>0</v>
      </c>
      <c r="AB409" s="8">
        <f t="shared" si="19"/>
        <v>0</v>
      </c>
      <c r="AC409" s="8">
        <f t="shared" si="20"/>
        <v>0</v>
      </c>
      <c r="AD409" s="8">
        <f t="shared" si="21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26"/>
        <v>LIME GREEN</v>
      </c>
      <c r="AG409" s="11" t="str">
        <f t="shared" si="27"/>
        <v>JHAJJAR</v>
      </c>
    </row>
    <row r="410" spans="1:33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5"/>
        <v>441857193</v>
      </c>
      <c r="Y410" s="8" t="str">
        <f t="shared" si="16"/>
        <v>DC</v>
      </c>
      <c r="Z410" s="8">
        <f t="shared" si="17"/>
        <v>30</v>
      </c>
      <c r="AA410" s="8">
        <f t="shared" si="18"/>
        <v>0</v>
      </c>
      <c r="AB410" s="8">
        <f t="shared" si="19"/>
        <v>0</v>
      </c>
      <c r="AC410" s="8">
        <f t="shared" si="20"/>
        <v>0</v>
      </c>
      <c r="AD410" s="8">
        <f t="shared" si="21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26"/>
        <v>LIME GREEN</v>
      </c>
      <c r="AG410" s="11" t="str">
        <f t="shared" si="27"/>
        <v>HARIPAL</v>
      </c>
    </row>
    <row r="411" spans="1:33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5"/>
        <v>441857193</v>
      </c>
      <c r="Y411" s="8" t="str">
        <f t="shared" si="16"/>
        <v>DC</v>
      </c>
      <c r="Z411" s="8">
        <f t="shared" si="17"/>
        <v>0</v>
      </c>
      <c r="AA411" s="8">
        <f t="shared" si="18"/>
        <v>97</v>
      </c>
      <c r="AB411" s="8">
        <f t="shared" si="19"/>
        <v>0</v>
      </c>
      <c r="AC411" s="8">
        <f t="shared" si="20"/>
        <v>0</v>
      </c>
      <c r="AD411" s="8">
        <f t="shared" si="21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26"/>
        <v>LIME GREEN</v>
      </c>
      <c r="AG411" s="11" t="str">
        <f t="shared" si="27"/>
        <v>HARIPAL</v>
      </c>
    </row>
    <row r="412" spans="1:33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5"/>
        <v>441857193</v>
      </c>
      <c r="Y412" s="8" t="str">
        <f t="shared" si="16"/>
        <v>DC</v>
      </c>
      <c r="Z412" s="8">
        <f t="shared" si="17"/>
        <v>0</v>
      </c>
      <c r="AA412" s="8">
        <f t="shared" si="18"/>
        <v>0</v>
      </c>
      <c r="AB412" s="8">
        <f t="shared" si="19"/>
        <v>109</v>
      </c>
      <c r="AC412" s="8">
        <f t="shared" si="20"/>
        <v>0</v>
      </c>
      <c r="AD412" s="8">
        <f t="shared" si="21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26"/>
        <v>LIME GREEN</v>
      </c>
      <c r="AG412" s="11" t="str">
        <f t="shared" si="27"/>
        <v>HARIPAL</v>
      </c>
    </row>
    <row r="413" spans="1:33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5"/>
        <v>441857193</v>
      </c>
      <c r="Y413" s="8" t="str">
        <f t="shared" si="16"/>
        <v>DC</v>
      </c>
      <c r="Z413" s="8">
        <f t="shared" si="17"/>
        <v>0</v>
      </c>
      <c r="AA413" s="8">
        <f t="shared" si="18"/>
        <v>0</v>
      </c>
      <c r="AB413" s="8">
        <f t="shared" si="19"/>
        <v>0</v>
      </c>
      <c r="AC413" s="8">
        <f t="shared" si="20"/>
        <v>127</v>
      </c>
      <c r="AD413" s="8">
        <f t="shared" si="21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26"/>
        <v>LIME GREEN</v>
      </c>
      <c r="AG413" s="11" t="str">
        <f t="shared" si="27"/>
        <v>HARIPAL</v>
      </c>
    </row>
    <row r="414" spans="1:33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5"/>
        <v>441857193</v>
      </c>
      <c r="Y414" s="8" t="str">
        <f t="shared" si="16"/>
        <v>DC</v>
      </c>
      <c r="Z414" s="8">
        <f t="shared" si="17"/>
        <v>0</v>
      </c>
      <c r="AA414" s="8">
        <f t="shared" si="18"/>
        <v>0</v>
      </c>
      <c r="AB414" s="8">
        <f t="shared" si="19"/>
        <v>0</v>
      </c>
      <c r="AC414" s="8">
        <f t="shared" si="20"/>
        <v>0</v>
      </c>
      <c r="AD414" s="8">
        <f t="shared" si="21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26"/>
        <v>LIME GREEN</v>
      </c>
      <c r="AG414" s="11" t="str">
        <f t="shared" si="27"/>
        <v>HARIPAL</v>
      </c>
    </row>
    <row r="415" spans="1:33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5"/>
        <v>441857192</v>
      </c>
      <c r="Y415" s="8" t="str">
        <f t="shared" si="16"/>
        <v>DC</v>
      </c>
      <c r="Z415" s="8">
        <f t="shared" si="17"/>
        <v>30</v>
      </c>
      <c r="AA415" s="8">
        <f t="shared" si="18"/>
        <v>0</v>
      </c>
      <c r="AB415" s="8">
        <f t="shared" si="19"/>
        <v>0</v>
      </c>
      <c r="AC415" s="8">
        <f t="shared" si="20"/>
        <v>0</v>
      </c>
      <c r="AD415" s="8">
        <f t="shared" si="21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26"/>
        <v>LIME GREEN</v>
      </c>
      <c r="AG415" s="11" t="str">
        <f t="shared" si="27"/>
        <v>Bangalore</v>
      </c>
    </row>
    <row r="416" spans="1:33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5"/>
        <v>441857192</v>
      </c>
      <c r="Y416" s="8" t="str">
        <f t="shared" si="16"/>
        <v>DC</v>
      </c>
      <c r="Z416" s="8">
        <f t="shared" si="17"/>
        <v>0</v>
      </c>
      <c r="AA416" s="8">
        <f t="shared" si="18"/>
        <v>222</v>
      </c>
      <c r="AB416" s="8">
        <f t="shared" si="19"/>
        <v>0</v>
      </c>
      <c r="AC416" s="8">
        <f t="shared" si="20"/>
        <v>0</v>
      </c>
      <c r="AD416" s="8">
        <f t="shared" si="21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26"/>
        <v>LIME GREEN</v>
      </c>
      <c r="AG416" s="11" t="str">
        <f t="shared" si="27"/>
        <v>Bangalore</v>
      </c>
    </row>
    <row r="417" spans="1:33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5"/>
        <v>441857192</v>
      </c>
      <c r="Y417" s="8" t="str">
        <f t="shared" si="16"/>
        <v>DC</v>
      </c>
      <c r="Z417" s="8">
        <f t="shared" si="17"/>
        <v>0</v>
      </c>
      <c r="AA417" s="8">
        <f t="shared" si="18"/>
        <v>0</v>
      </c>
      <c r="AB417" s="8">
        <f t="shared" si="19"/>
        <v>250</v>
      </c>
      <c r="AC417" s="8">
        <f t="shared" si="20"/>
        <v>0</v>
      </c>
      <c r="AD417" s="8">
        <f t="shared" si="21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26"/>
        <v>LIME GREEN</v>
      </c>
      <c r="AG417" s="11" t="str">
        <f t="shared" si="27"/>
        <v>Bangalore</v>
      </c>
    </row>
    <row r="418" spans="1:33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5"/>
        <v>441857192</v>
      </c>
      <c r="Y418" s="8" t="str">
        <f t="shared" si="16"/>
        <v>DC</v>
      </c>
      <c r="Z418" s="8">
        <f t="shared" si="17"/>
        <v>0</v>
      </c>
      <c r="AA418" s="8">
        <f t="shared" si="18"/>
        <v>0</v>
      </c>
      <c r="AB418" s="8">
        <f t="shared" si="19"/>
        <v>0</v>
      </c>
      <c r="AC418" s="8">
        <f t="shared" si="20"/>
        <v>292</v>
      </c>
      <c r="AD418" s="8">
        <f t="shared" si="21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26"/>
        <v>LIME GREEN</v>
      </c>
      <c r="AG418" s="11" t="str">
        <f t="shared" si="27"/>
        <v>Bangalore</v>
      </c>
    </row>
    <row r="419" spans="1:33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5"/>
        <v>441857192</v>
      </c>
      <c r="Y419" s="8" t="str">
        <f t="shared" si="16"/>
        <v>DC</v>
      </c>
      <c r="Z419" s="8">
        <f t="shared" si="17"/>
        <v>0</v>
      </c>
      <c r="AA419" s="8">
        <f t="shared" si="18"/>
        <v>0</v>
      </c>
      <c r="AB419" s="8">
        <f t="shared" si="19"/>
        <v>0</v>
      </c>
      <c r="AC419" s="8">
        <f t="shared" si="20"/>
        <v>0</v>
      </c>
      <c r="AD419" s="8">
        <f t="shared" si="21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26"/>
        <v>LIME GREEN</v>
      </c>
      <c r="AG419" s="11" t="str">
        <f t="shared" si="27"/>
        <v>Bangalore</v>
      </c>
    </row>
    <row r="420" spans="1:33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5"/>
        <v>441857191</v>
      </c>
      <c r="Y420" s="8" t="str">
        <f t="shared" si="16"/>
        <v>DC</v>
      </c>
      <c r="Z420" s="8">
        <f t="shared" si="17"/>
        <v>30</v>
      </c>
      <c r="AA420" s="8">
        <f t="shared" si="18"/>
        <v>0</v>
      </c>
      <c r="AB420" s="8">
        <f t="shared" si="19"/>
        <v>0</v>
      </c>
      <c r="AC420" s="8">
        <f t="shared" si="20"/>
        <v>0</v>
      </c>
      <c r="AD420" s="8">
        <f t="shared" si="21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26"/>
        <v>MAGENTA</v>
      </c>
      <c r="AG420" s="11" t="str">
        <f t="shared" si="27"/>
        <v>Bangalore</v>
      </c>
    </row>
    <row r="421" spans="1:33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5"/>
        <v>441857191</v>
      </c>
      <c r="Y421" s="8" t="str">
        <f t="shared" si="16"/>
        <v>DC</v>
      </c>
      <c r="Z421" s="8">
        <f t="shared" si="17"/>
        <v>0</v>
      </c>
      <c r="AA421" s="8">
        <f t="shared" si="18"/>
        <v>222</v>
      </c>
      <c r="AB421" s="8">
        <f t="shared" si="19"/>
        <v>0</v>
      </c>
      <c r="AC421" s="8">
        <f t="shared" si="20"/>
        <v>0</v>
      </c>
      <c r="AD421" s="8">
        <f t="shared" si="21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26"/>
        <v>MAGENTA</v>
      </c>
      <c r="AG421" s="11" t="str">
        <f t="shared" si="27"/>
        <v>Bangalore</v>
      </c>
    </row>
    <row r="422" spans="1:33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5"/>
        <v>441857191</v>
      </c>
      <c r="Y422" s="8" t="str">
        <f t="shared" si="16"/>
        <v>DC</v>
      </c>
      <c r="Z422" s="8">
        <f t="shared" si="17"/>
        <v>0</v>
      </c>
      <c r="AA422" s="8">
        <f t="shared" si="18"/>
        <v>0</v>
      </c>
      <c r="AB422" s="8">
        <f t="shared" si="19"/>
        <v>250</v>
      </c>
      <c r="AC422" s="8">
        <f t="shared" si="20"/>
        <v>0</v>
      </c>
      <c r="AD422" s="8">
        <f t="shared" si="21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26"/>
        <v>MAGENTA</v>
      </c>
      <c r="AG422" s="11" t="str">
        <f t="shared" si="27"/>
        <v>Bangalore</v>
      </c>
    </row>
    <row r="423" spans="1:33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5"/>
        <v>441857191</v>
      </c>
      <c r="Y423" s="8" t="str">
        <f t="shared" si="16"/>
        <v>DC</v>
      </c>
      <c r="Z423" s="8">
        <f t="shared" si="17"/>
        <v>0</v>
      </c>
      <c r="AA423" s="8">
        <f t="shared" si="18"/>
        <v>0</v>
      </c>
      <c r="AB423" s="8">
        <f t="shared" si="19"/>
        <v>0</v>
      </c>
      <c r="AC423" s="8">
        <f t="shared" si="20"/>
        <v>292</v>
      </c>
      <c r="AD423" s="8">
        <f t="shared" si="21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26"/>
        <v>MAGENTA</v>
      </c>
      <c r="AG423" s="11" t="str">
        <f t="shared" si="27"/>
        <v>Bangalore</v>
      </c>
    </row>
    <row r="424" spans="1:33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5"/>
        <v>441857191</v>
      </c>
      <c r="Y424" s="8" t="str">
        <f t="shared" si="16"/>
        <v>DC</v>
      </c>
      <c r="Z424" s="8">
        <f t="shared" si="17"/>
        <v>0</v>
      </c>
      <c r="AA424" s="8">
        <f t="shared" si="18"/>
        <v>0</v>
      </c>
      <c r="AB424" s="8">
        <f t="shared" si="19"/>
        <v>0</v>
      </c>
      <c r="AC424" s="8">
        <f t="shared" si="20"/>
        <v>0</v>
      </c>
      <c r="AD424" s="8">
        <f t="shared" si="21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26"/>
        <v>MAGENTA</v>
      </c>
      <c r="AG424" s="11" t="str">
        <f t="shared" si="27"/>
        <v>Bangalore</v>
      </c>
    </row>
    <row r="425" spans="1:33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5"/>
        <v>441857190</v>
      </c>
      <c r="Y425" s="8" t="str">
        <f t="shared" si="16"/>
        <v>DC</v>
      </c>
      <c r="Z425" s="8">
        <f t="shared" si="17"/>
        <v>30</v>
      </c>
      <c r="AA425" s="8">
        <f t="shared" si="18"/>
        <v>0</v>
      </c>
      <c r="AB425" s="8">
        <f t="shared" si="19"/>
        <v>0</v>
      </c>
      <c r="AC425" s="8">
        <f t="shared" si="20"/>
        <v>0</v>
      </c>
      <c r="AD425" s="8">
        <f t="shared" si="21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26"/>
        <v>GREEN</v>
      </c>
      <c r="AG425" s="11" t="str">
        <f t="shared" si="27"/>
        <v>Bangalore</v>
      </c>
    </row>
    <row r="426" spans="1:33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5"/>
        <v>441857190</v>
      </c>
      <c r="Y426" s="8" t="str">
        <f t="shared" si="16"/>
        <v>DC</v>
      </c>
      <c r="Z426" s="8">
        <f t="shared" si="17"/>
        <v>0</v>
      </c>
      <c r="AA426" s="8">
        <f t="shared" si="18"/>
        <v>222</v>
      </c>
      <c r="AB426" s="8">
        <f t="shared" si="19"/>
        <v>0</v>
      </c>
      <c r="AC426" s="8">
        <f t="shared" si="20"/>
        <v>0</v>
      </c>
      <c r="AD426" s="8">
        <f t="shared" si="21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26"/>
        <v>GREEN</v>
      </c>
      <c r="AG426" s="11" t="str">
        <f t="shared" si="27"/>
        <v>Bangalore</v>
      </c>
    </row>
    <row r="427" spans="1:33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5"/>
        <v>441857190</v>
      </c>
      <c r="Y427" s="8" t="str">
        <f t="shared" si="16"/>
        <v>DC</v>
      </c>
      <c r="Z427" s="8">
        <f t="shared" si="17"/>
        <v>0</v>
      </c>
      <c r="AA427" s="8">
        <f t="shared" si="18"/>
        <v>0</v>
      </c>
      <c r="AB427" s="8">
        <f t="shared" si="19"/>
        <v>250</v>
      </c>
      <c r="AC427" s="8">
        <f t="shared" si="20"/>
        <v>0</v>
      </c>
      <c r="AD427" s="8">
        <f t="shared" si="21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26"/>
        <v>GREEN</v>
      </c>
      <c r="AG427" s="11" t="str">
        <f t="shared" si="27"/>
        <v>Bangalore</v>
      </c>
    </row>
    <row r="428" spans="1:33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5"/>
        <v>441857190</v>
      </c>
      <c r="Y428" s="8" t="str">
        <f t="shared" si="16"/>
        <v>DC</v>
      </c>
      <c r="Z428" s="8">
        <f t="shared" si="17"/>
        <v>0</v>
      </c>
      <c r="AA428" s="8">
        <f t="shared" si="18"/>
        <v>0</v>
      </c>
      <c r="AB428" s="8">
        <f t="shared" si="19"/>
        <v>0</v>
      </c>
      <c r="AC428" s="8">
        <f t="shared" si="20"/>
        <v>292</v>
      </c>
      <c r="AD428" s="8">
        <f t="shared" si="21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26"/>
        <v>GREEN</v>
      </c>
      <c r="AG428" s="11" t="str">
        <f t="shared" si="27"/>
        <v>Bangalore</v>
      </c>
    </row>
    <row r="429" spans="1:33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5"/>
        <v>441857190</v>
      </c>
      <c r="Y429" s="8" t="str">
        <f t="shared" si="16"/>
        <v>DC</v>
      </c>
      <c r="Z429" s="8">
        <f t="shared" si="17"/>
        <v>0</v>
      </c>
      <c r="AA429" s="8">
        <f t="shared" si="18"/>
        <v>0</v>
      </c>
      <c r="AB429" s="8">
        <f t="shared" si="19"/>
        <v>0</v>
      </c>
      <c r="AC429" s="8">
        <f t="shared" si="20"/>
        <v>0</v>
      </c>
      <c r="AD429" s="8">
        <f t="shared" si="21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26"/>
        <v>GREEN</v>
      </c>
      <c r="AG429" s="11" t="str">
        <f t="shared" si="27"/>
        <v>Bangalore</v>
      </c>
    </row>
    <row r="430" spans="1:33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5"/>
        <v>441857192</v>
      </c>
      <c r="Y430" s="8" t="str">
        <f t="shared" si="16"/>
        <v>DC</v>
      </c>
      <c r="Z430" s="8">
        <f t="shared" si="17"/>
        <v>30</v>
      </c>
      <c r="AA430" s="8">
        <f t="shared" si="18"/>
        <v>0</v>
      </c>
      <c r="AB430" s="8">
        <f t="shared" si="19"/>
        <v>0</v>
      </c>
      <c r="AC430" s="8">
        <f t="shared" si="20"/>
        <v>0</v>
      </c>
      <c r="AD430" s="8">
        <f t="shared" si="21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26"/>
        <v>LIME GREEN</v>
      </c>
      <c r="AG430" s="11" t="str">
        <f t="shared" si="27"/>
        <v>JHAJJAR</v>
      </c>
    </row>
    <row r="431" spans="1:33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5"/>
        <v>441857192</v>
      </c>
      <c r="Y431" s="8" t="str">
        <f t="shared" si="16"/>
        <v>DC</v>
      </c>
      <c r="Z431" s="8">
        <f t="shared" si="17"/>
        <v>0</v>
      </c>
      <c r="AA431" s="8">
        <f t="shared" si="18"/>
        <v>112</v>
      </c>
      <c r="AB431" s="8">
        <f t="shared" si="19"/>
        <v>0</v>
      </c>
      <c r="AC431" s="8">
        <f t="shared" si="20"/>
        <v>0</v>
      </c>
      <c r="AD431" s="8">
        <f t="shared" si="21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26"/>
        <v>LIME GREEN</v>
      </c>
      <c r="AG431" s="11" t="str">
        <f t="shared" si="27"/>
        <v>JHAJJAR</v>
      </c>
    </row>
    <row r="432" spans="1:33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5"/>
        <v>441857192</v>
      </c>
      <c r="Y432" s="8" t="str">
        <f t="shared" si="16"/>
        <v>DC</v>
      </c>
      <c r="Z432" s="8">
        <f t="shared" si="17"/>
        <v>0</v>
      </c>
      <c r="AA432" s="8">
        <f t="shared" si="18"/>
        <v>0</v>
      </c>
      <c r="AB432" s="8">
        <f t="shared" si="19"/>
        <v>126</v>
      </c>
      <c r="AC432" s="8">
        <f t="shared" si="20"/>
        <v>0</v>
      </c>
      <c r="AD432" s="8">
        <f t="shared" si="21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26"/>
        <v>LIME GREEN</v>
      </c>
      <c r="AG432" s="11" t="str">
        <f t="shared" si="27"/>
        <v>JHAJJAR</v>
      </c>
    </row>
    <row r="433" spans="1:33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5"/>
        <v>441857192</v>
      </c>
      <c r="Y433" s="8" t="str">
        <f t="shared" si="16"/>
        <v>DC</v>
      </c>
      <c r="Z433" s="8">
        <f t="shared" si="17"/>
        <v>0</v>
      </c>
      <c r="AA433" s="8">
        <f t="shared" si="18"/>
        <v>0</v>
      </c>
      <c r="AB433" s="8">
        <f t="shared" si="19"/>
        <v>0</v>
      </c>
      <c r="AC433" s="8">
        <f t="shared" si="20"/>
        <v>147</v>
      </c>
      <c r="AD433" s="8">
        <f t="shared" si="21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26"/>
        <v>LIME GREEN</v>
      </c>
      <c r="AG433" s="11" t="str">
        <f t="shared" si="27"/>
        <v>JHAJJAR</v>
      </c>
    </row>
    <row r="434" spans="1:33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5"/>
        <v>441857192</v>
      </c>
      <c r="Y434" s="8" t="str">
        <f t="shared" si="16"/>
        <v>DC</v>
      </c>
      <c r="Z434" s="8">
        <f t="shared" si="17"/>
        <v>0</v>
      </c>
      <c r="AA434" s="8">
        <f t="shared" si="18"/>
        <v>0</v>
      </c>
      <c r="AB434" s="8">
        <f t="shared" si="19"/>
        <v>0</v>
      </c>
      <c r="AC434" s="8">
        <f t="shared" si="20"/>
        <v>0</v>
      </c>
      <c r="AD434" s="8">
        <f t="shared" si="21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26"/>
        <v>LIME GREEN</v>
      </c>
      <c r="AG434" s="11" t="str">
        <f t="shared" si="27"/>
        <v>JHAJJAR</v>
      </c>
    </row>
    <row r="435" spans="1:33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5"/>
        <v>441857189</v>
      </c>
      <c r="Y435" s="8" t="str">
        <f t="shared" si="16"/>
        <v>DC</v>
      </c>
      <c r="Z435" s="8">
        <f t="shared" si="17"/>
        <v>30</v>
      </c>
      <c r="AA435" s="8">
        <f t="shared" si="18"/>
        <v>0</v>
      </c>
      <c r="AB435" s="8">
        <f t="shared" si="19"/>
        <v>0</v>
      </c>
      <c r="AC435" s="8">
        <f t="shared" si="20"/>
        <v>0</v>
      </c>
      <c r="AD435" s="8">
        <f t="shared" si="21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26"/>
        <v>SKY BLUE</v>
      </c>
      <c r="AG435" s="11" t="str">
        <f t="shared" si="27"/>
        <v>Bangalore</v>
      </c>
    </row>
    <row r="436" spans="1:33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5"/>
        <v>441857189</v>
      </c>
      <c r="Y436" s="8" t="str">
        <f t="shared" si="16"/>
        <v>DC</v>
      </c>
      <c r="Z436" s="8">
        <f t="shared" si="17"/>
        <v>0</v>
      </c>
      <c r="AA436" s="8">
        <f t="shared" si="18"/>
        <v>222</v>
      </c>
      <c r="AB436" s="8">
        <f t="shared" si="19"/>
        <v>0</v>
      </c>
      <c r="AC436" s="8">
        <f t="shared" si="20"/>
        <v>0</v>
      </c>
      <c r="AD436" s="8">
        <f t="shared" si="21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26"/>
        <v>SKY BLUE</v>
      </c>
      <c r="AG436" s="11" t="str">
        <f t="shared" si="27"/>
        <v>Bangalore</v>
      </c>
    </row>
    <row r="437" spans="1:33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5"/>
        <v>441857189</v>
      </c>
      <c r="Y437" s="8" t="str">
        <f t="shared" si="16"/>
        <v>DC</v>
      </c>
      <c r="Z437" s="8">
        <f t="shared" si="17"/>
        <v>0</v>
      </c>
      <c r="AA437" s="8">
        <f t="shared" si="18"/>
        <v>0</v>
      </c>
      <c r="AB437" s="8">
        <f t="shared" si="19"/>
        <v>250</v>
      </c>
      <c r="AC437" s="8">
        <f t="shared" si="20"/>
        <v>0</v>
      </c>
      <c r="AD437" s="8">
        <f t="shared" si="21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26"/>
        <v>SKY BLUE</v>
      </c>
      <c r="AG437" s="11" t="str">
        <f t="shared" si="27"/>
        <v>Bangalore</v>
      </c>
    </row>
    <row r="438" spans="1:33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5"/>
        <v>441857189</v>
      </c>
      <c r="Y438" s="8" t="str">
        <f t="shared" si="16"/>
        <v>DC</v>
      </c>
      <c r="Z438" s="8">
        <f t="shared" si="17"/>
        <v>0</v>
      </c>
      <c r="AA438" s="8">
        <f t="shared" si="18"/>
        <v>0</v>
      </c>
      <c r="AB438" s="8">
        <f t="shared" si="19"/>
        <v>0</v>
      </c>
      <c r="AC438" s="8">
        <f t="shared" si="20"/>
        <v>292</v>
      </c>
      <c r="AD438" s="8">
        <f t="shared" si="21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26"/>
        <v>SKY BLUE</v>
      </c>
      <c r="AG438" s="11" t="str">
        <f t="shared" si="27"/>
        <v>Bangalore</v>
      </c>
    </row>
    <row r="439" spans="1:33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5"/>
        <v>441857189</v>
      </c>
      <c r="Y439" s="8" t="str">
        <f t="shared" si="16"/>
        <v>DC</v>
      </c>
      <c r="Z439" s="8">
        <f t="shared" si="17"/>
        <v>0</v>
      </c>
      <c r="AA439" s="8">
        <f t="shared" si="18"/>
        <v>0</v>
      </c>
      <c r="AB439" s="8">
        <f t="shared" si="19"/>
        <v>0</v>
      </c>
      <c r="AC439" s="8">
        <f t="shared" si="20"/>
        <v>0</v>
      </c>
      <c r="AD439" s="8">
        <f t="shared" si="21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26"/>
        <v>SKY BLUE</v>
      </c>
      <c r="AG439" s="11" t="str">
        <f t="shared" si="27"/>
        <v>Bangalore</v>
      </c>
    </row>
    <row r="440" spans="1:33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5"/>
        <v>441857188</v>
      </c>
      <c r="Y440" s="8" t="str">
        <f t="shared" si="16"/>
        <v>DC</v>
      </c>
      <c r="Z440" s="8">
        <f t="shared" si="17"/>
        <v>30</v>
      </c>
      <c r="AA440" s="8">
        <f t="shared" si="18"/>
        <v>0</v>
      </c>
      <c r="AB440" s="8">
        <f t="shared" si="19"/>
        <v>0</v>
      </c>
      <c r="AC440" s="8">
        <f t="shared" si="20"/>
        <v>0</v>
      </c>
      <c r="AD440" s="8">
        <f t="shared" si="21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26"/>
        <v>LIME GREEN</v>
      </c>
      <c r="AG440" s="11" t="str">
        <f t="shared" si="27"/>
        <v>Bangalore</v>
      </c>
    </row>
    <row r="441" spans="1:33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5"/>
        <v>441857188</v>
      </c>
      <c r="Y441" s="8" t="str">
        <f t="shared" si="16"/>
        <v>DC</v>
      </c>
      <c r="Z441" s="8">
        <f t="shared" si="17"/>
        <v>0</v>
      </c>
      <c r="AA441" s="8">
        <f t="shared" si="18"/>
        <v>222</v>
      </c>
      <c r="AB441" s="8">
        <f t="shared" si="19"/>
        <v>0</v>
      </c>
      <c r="AC441" s="8">
        <f t="shared" si="20"/>
        <v>0</v>
      </c>
      <c r="AD441" s="8">
        <f t="shared" si="21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26"/>
        <v>LIME GREEN</v>
      </c>
      <c r="AG441" s="11" t="str">
        <f t="shared" si="27"/>
        <v>Bangalore</v>
      </c>
    </row>
    <row r="442" spans="1:33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5"/>
        <v>441857188</v>
      </c>
      <c r="Y442" s="8" t="str">
        <f t="shared" si="16"/>
        <v>DC</v>
      </c>
      <c r="Z442" s="8">
        <f t="shared" si="17"/>
        <v>0</v>
      </c>
      <c r="AA442" s="8">
        <f t="shared" si="18"/>
        <v>0</v>
      </c>
      <c r="AB442" s="8">
        <f t="shared" si="19"/>
        <v>250</v>
      </c>
      <c r="AC442" s="8">
        <f t="shared" si="20"/>
        <v>0</v>
      </c>
      <c r="AD442" s="8">
        <f t="shared" si="21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26"/>
        <v>LIME GREEN</v>
      </c>
      <c r="AG442" s="11" t="str">
        <f t="shared" si="27"/>
        <v>Bangalore</v>
      </c>
    </row>
    <row r="443" spans="1:33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5"/>
        <v>441857188</v>
      </c>
      <c r="Y443" s="8" t="str">
        <f t="shared" si="16"/>
        <v>DC</v>
      </c>
      <c r="Z443" s="8">
        <f t="shared" si="17"/>
        <v>0</v>
      </c>
      <c r="AA443" s="8">
        <f t="shared" si="18"/>
        <v>0</v>
      </c>
      <c r="AB443" s="8">
        <f t="shared" si="19"/>
        <v>0</v>
      </c>
      <c r="AC443" s="8">
        <f t="shared" si="20"/>
        <v>292</v>
      </c>
      <c r="AD443" s="8">
        <f t="shared" si="21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26"/>
        <v>LIME GREEN</v>
      </c>
      <c r="AG443" s="11" t="str">
        <f t="shared" si="27"/>
        <v>Bangalore</v>
      </c>
    </row>
    <row r="444" spans="1:33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5"/>
        <v>441857188</v>
      </c>
      <c r="Y444" s="8" t="str">
        <f t="shared" si="16"/>
        <v>DC</v>
      </c>
      <c r="Z444" s="8">
        <f t="shared" si="17"/>
        <v>0</v>
      </c>
      <c r="AA444" s="8">
        <f t="shared" si="18"/>
        <v>0</v>
      </c>
      <c r="AB444" s="8">
        <f t="shared" si="19"/>
        <v>0</v>
      </c>
      <c r="AC444" s="8">
        <f t="shared" si="20"/>
        <v>0</v>
      </c>
      <c r="AD444" s="8">
        <f t="shared" si="21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26"/>
        <v>LIME GREEN</v>
      </c>
      <c r="AG444" s="11" t="str">
        <f t="shared" si="27"/>
        <v>Bangalore</v>
      </c>
    </row>
    <row r="445" spans="1:33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5"/>
        <v>441857191</v>
      </c>
      <c r="Y445" s="8" t="str">
        <f t="shared" si="16"/>
        <v>DC</v>
      </c>
      <c r="Z445" s="8">
        <f t="shared" si="17"/>
        <v>30</v>
      </c>
      <c r="AA445" s="8">
        <f t="shared" si="18"/>
        <v>0</v>
      </c>
      <c r="AB445" s="8">
        <f t="shared" si="19"/>
        <v>0</v>
      </c>
      <c r="AC445" s="8">
        <f t="shared" si="20"/>
        <v>0</v>
      </c>
      <c r="AD445" s="8">
        <f t="shared" si="21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26"/>
        <v>MAGENTA</v>
      </c>
      <c r="AG445" s="11" t="str">
        <f t="shared" si="27"/>
        <v>JHAJJAR</v>
      </c>
    </row>
    <row r="446" spans="1:33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5"/>
        <v>441857191</v>
      </c>
      <c r="Y446" s="8" t="str">
        <f t="shared" si="16"/>
        <v>DC</v>
      </c>
      <c r="Z446" s="8">
        <f t="shared" si="17"/>
        <v>0</v>
      </c>
      <c r="AA446" s="8">
        <f t="shared" si="18"/>
        <v>112</v>
      </c>
      <c r="AB446" s="8">
        <f t="shared" si="19"/>
        <v>0</v>
      </c>
      <c r="AC446" s="8">
        <f t="shared" si="20"/>
        <v>0</v>
      </c>
      <c r="AD446" s="8">
        <f t="shared" si="21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26"/>
        <v>MAGENTA</v>
      </c>
      <c r="AG446" s="11" t="str">
        <f t="shared" si="27"/>
        <v>JHAJJAR</v>
      </c>
    </row>
    <row r="447" spans="1:33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5"/>
        <v>441857191</v>
      </c>
      <c r="Y447" s="8" t="str">
        <f t="shared" si="16"/>
        <v>DC</v>
      </c>
      <c r="Z447" s="8">
        <f t="shared" si="17"/>
        <v>0</v>
      </c>
      <c r="AA447" s="8">
        <f t="shared" si="18"/>
        <v>0</v>
      </c>
      <c r="AB447" s="8">
        <f t="shared" si="19"/>
        <v>126</v>
      </c>
      <c r="AC447" s="8">
        <f t="shared" si="20"/>
        <v>0</v>
      </c>
      <c r="AD447" s="8">
        <f t="shared" si="21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26"/>
        <v>MAGENTA</v>
      </c>
      <c r="AG447" s="11" t="str">
        <f t="shared" si="27"/>
        <v>JHAJJAR</v>
      </c>
    </row>
    <row r="448" spans="1:33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5"/>
        <v>441857191</v>
      </c>
      <c r="Y448" s="8" t="str">
        <f t="shared" si="16"/>
        <v>DC</v>
      </c>
      <c r="Z448" s="8">
        <f t="shared" si="17"/>
        <v>0</v>
      </c>
      <c r="AA448" s="8">
        <f t="shared" si="18"/>
        <v>0</v>
      </c>
      <c r="AB448" s="8">
        <f t="shared" si="19"/>
        <v>0</v>
      </c>
      <c r="AC448" s="8">
        <f t="shared" si="20"/>
        <v>147</v>
      </c>
      <c r="AD448" s="8">
        <f t="shared" si="21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26"/>
        <v>MAGENTA</v>
      </c>
      <c r="AG448" s="11" t="str">
        <f t="shared" si="27"/>
        <v>JHAJJAR</v>
      </c>
    </row>
    <row r="449" spans="1:33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5"/>
        <v>441857191</v>
      </c>
      <c r="Y449" s="8" t="str">
        <f t="shared" si="16"/>
        <v>DC</v>
      </c>
      <c r="Z449" s="8">
        <f t="shared" si="17"/>
        <v>0</v>
      </c>
      <c r="AA449" s="8">
        <f t="shared" si="18"/>
        <v>0</v>
      </c>
      <c r="AB449" s="8">
        <f t="shared" si="19"/>
        <v>0</v>
      </c>
      <c r="AC449" s="8">
        <f t="shared" si="20"/>
        <v>0</v>
      </c>
      <c r="AD449" s="8">
        <f t="shared" si="21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26"/>
        <v>MAGENTA</v>
      </c>
      <c r="AG449" s="11" t="str">
        <f t="shared" si="27"/>
        <v>JHAJJAR</v>
      </c>
    </row>
    <row r="450" spans="1:33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5"/>
        <v>441857187</v>
      </c>
      <c r="Y450" s="8" t="str">
        <f t="shared" si="16"/>
        <v>DC</v>
      </c>
      <c r="Z450" s="8">
        <f t="shared" si="17"/>
        <v>30</v>
      </c>
      <c r="AA450" s="8">
        <f t="shared" si="18"/>
        <v>0</v>
      </c>
      <c r="AB450" s="8">
        <f t="shared" si="19"/>
        <v>0</v>
      </c>
      <c r="AC450" s="8">
        <f t="shared" si="20"/>
        <v>0</v>
      </c>
      <c r="AD450" s="8">
        <f t="shared" si="21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26"/>
        <v>FUCHSIA</v>
      </c>
      <c r="AG450" s="11" t="str">
        <f t="shared" si="27"/>
        <v>Bangalore</v>
      </c>
    </row>
    <row r="451" spans="1:33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5"/>
        <v>441857187</v>
      </c>
      <c r="Y451" s="8" t="str">
        <f t="shared" si="16"/>
        <v>DC</v>
      </c>
      <c r="Z451" s="8">
        <f t="shared" si="17"/>
        <v>0</v>
      </c>
      <c r="AA451" s="8">
        <f t="shared" si="18"/>
        <v>222</v>
      </c>
      <c r="AB451" s="8">
        <f t="shared" si="19"/>
        <v>0</v>
      </c>
      <c r="AC451" s="8">
        <f t="shared" si="20"/>
        <v>0</v>
      </c>
      <c r="AD451" s="8">
        <f t="shared" si="21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28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29">IF(A451="SZAF","Bangalore",IF(A451="SAEX","JHAJJAR",IF(A451="S0EU","HARIPAL","")))</f>
        <v>Bangalore</v>
      </c>
    </row>
    <row r="452" spans="1:33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5"/>
        <v>441857187</v>
      </c>
      <c r="Y452" s="8" t="str">
        <f t="shared" si="16"/>
        <v>DC</v>
      </c>
      <c r="Z452" s="8">
        <f t="shared" si="17"/>
        <v>0</v>
      </c>
      <c r="AA452" s="8">
        <f t="shared" si="18"/>
        <v>0</v>
      </c>
      <c r="AB452" s="8">
        <f t="shared" si="19"/>
        <v>250</v>
      </c>
      <c r="AC452" s="8">
        <f t="shared" si="20"/>
        <v>0</v>
      </c>
      <c r="AD452" s="8">
        <f t="shared" si="21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28"/>
        <v>FUCHSIA</v>
      </c>
      <c r="AG452" s="11" t="str">
        <f t="shared" si="29"/>
        <v>Bangalore</v>
      </c>
    </row>
    <row r="453" spans="1:33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5"/>
        <v>441857187</v>
      </c>
      <c r="Y453" s="8" t="str">
        <f t="shared" si="16"/>
        <v>DC</v>
      </c>
      <c r="Z453" s="8">
        <f t="shared" si="17"/>
        <v>0</v>
      </c>
      <c r="AA453" s="8">
        <f t="shared" si="18"/>
        <v>0</v>
      </c>
      <c r="AB453" s="8">
        <f t="shared" si="19"/>
        <v>0</v>
      </c>
      <c r="AC453" s="8">
        <f t="shared" si="20"/>
        <v>292</v>
      </c>
      <c r="AD453" s="8">
        <f t="shared" si="21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28"/>
        <v>FUCHSIA</v>
      </c>
      <c r="AG453" s="11" t="str">
        <f t="shared" si="29"/>
        <v>Bangalore</v>
      </c>
    </row>
    <row r="454" spans="1:33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5"/>
        <v>441857187</v>
      </c>
      <c r="Y454" s="8" t="str">
        <f t="shared" si="16"/>
        <v>DC</v>
      </c>
      <c r="Z454" s="8">
        <f t="shared" si="17"/>
        <v>0</v>
      </c>
      <c r="AA454" s="8">
        <f t="shared" si="18"/>
        <v>0</v>
      </c>
      <c r="AB454" s="8">
        <f t="shared" si="19"/>
        <v>0</v>
      </c>
      <c r="AC454" s="8">
        <f t="shared" si="20"/>
        <v>0</v>
      </c>
      <c r="AD454" s="8">
        <f t="shared" si="21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28"/>
        <v>FUCHSIA</v>
      </c>
      <c r="AG454" s="11" t="str">
        <f t="shared" si="29"/>
        <v>Bangalore</v>
      </c>
    </row>
    <row r="455" spans="1:33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5"/>
        <v>441857190</v>
      </c>
      <c r="Y455" s="8" t="str">
        <f t="shared" si="16"/>
        <v>DC</v>
      </c>
      <c r="Z455" s="8">
        <f t="shared" si="17"/>
        <v>30</v>
      </c>
      <c r="AA455" s="8">
        <f t="shared" si="18"/>
        <v>0</v>
      </c>
      <c r="AB455" s="8">
        <f t="shared" si="19"/>
        <v>0</v>
      </c>
      <c r="AC455" s="8">
        <f t="shared" si="20"/>
        <v>0</v>
      </c>
      <c r="AD455" s="8">
        <f t="shared" si="21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28"/>
        <v>GREEN</v>
      </c>
      <c r="AG455" s="11" t="str">
        <f t="shared" si="29"/>
        <v>JHAJJAR</v>
      </c>
    </row>
    <row r="456" spans="1:33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5"/>
        <v>441857190</v>
      </c>
      <c r="Y456" s="8" t="str">
        <f t="shared" si="16"/>
        <v>DC</v>
      </c>
      <c r="Z456" s="8">
        <f t="shared" si="17"/>
        <v>0</v>
      </c>
      <c r="AA456" s="8">
        <f t="shared" si="18"/>
        <v>112</v>
      </c>
      <c r="AB456" s="8">
        <f t="shared" si="19"/>
        <v>0</v>
      </c>
      <c r="AC456" s="8">
        <f t="shared" si="20"/>
        <v>0</v>
      </c>
      <c r="AD456" s="8">
        <f t="shared" si="21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28"/>
        <v>GREEN</v>
      </c>
      <c r="AG456" s="11" t="str">
        <f t="shared" si="29"/>
        <v>JHAJJAR</v>
      </c>
    </row>
    <row r="457" spans="1:33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5"/>
        <v>441857190</v>
      </c>
      <c r="Y457" s="8" t="str">
        <f t="shared" si="16"/>
        <v>DC</v>
      </c>
      <c r="Z457" s="8">
        <f t="shared" si="17"/>
        <v>0</v>
      </c>
      <c r="AA457" s="8">
        <f t="shared" si="18"/>
        <v>0</v>
      </c>
      <c r="AB457" s="8">
        <f t="shared" si="19"/>
        <v>126</v>
      </c>
      <c r="AC457" s="8">
        <f t="shared" si="20"/>
        <v>0</v>
      </c>
      <c r="AD457" s="8">
        <f t="shared" si="21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28"/>
        <v>GREEN</v>
      </c>
      <c r="AG457" s="11" t="str">
        <f t="shared" si="29"/>
        <v>JHAJJAR</v>
      </c>
    </row>
    <row r="458" spans="1:33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5"/>
        <v>441857190</v>
      </c>
      <c r="Y458" s="8" t="str">
        <f t="shared" si="16"/>
        <v>DC</v>
      </c>
      <c r="Z458" s="8">
        <f t="shared" si="17"/>
        <v>0</v>
      </c>
      <c r="AA458" s="8">
        <f t="shared" si="18"/>
        <v>0</v>
      </c>
      <c r="AB458" s="8">
        <f t="shared" si="19"/>
        <v>0</v>
      </c>
      <c r="AC458" s="8">
        <f t="shared" si="20"/>
        <v>147</v>
      </c>
      <c r="AD458" s="8">
        <f t="shared" si="21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28"/>
        <v>GREEN</v>
      </c>
      <c r="AG458" s="11" t="str">
        <f t="shared" si="29"/>
        <v>JHAJJAR</v>
      </c>
    </row>
    <row r="459" spans="1:33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5"/>
        <v>441857190</v>
      </c>
      <c r="Y459" s="8" t="str">
        <f t="shared" si="16"/>
        <v>DC</v>
      </c>
      <c r="Z459" s="8">
        <f t="shared" si="17"/>
        <v>0</v>
      </c>
      <c r="AA459" s="8">
        <f t="shared" si="18"/>
        <v>0</v>
      </c>
      <c r="AB459" s="8">
        <f t="shared" si="19"/>
        <v>0</v>
      </c>
      <c r="AC459" s="8">
        <f t="shared" si="20"/>
        <v>0</v>
      </c>
      <c r="AD459" s="8">
        <f t="shared" si="21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28"/>
        <v>GREEN</v>
      </c>
      <c r="AG459" s="11" t="str">
        <f t="shared" si="29"/>
        <v>JHAJJAR</v>
      </c>
    </row>
    <row r="460" spans="1:33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5"/>
        <v>441857192</v>
      </c>
      <c r="Y460" s="8" t="str">
        <f t="shared" si="16"/>
        <v>DC</v>
      </c>
      <c r="Z460" s="8">
        <f t="shared" si="17"/>
        <v>30</v>
      </c>
      <c r="AA460" s="8">
        <f t="shared" si="18"/>
        <v>0</v>
      </c>
      <c r="AB460" s="8">
        <f t="shared" si="19"/>
        <v>0</v>
      </c>
      <c r="AC460" s="8">
        <f t="shared" si="20"/>
        <v>0</v>
      </c>
      <c r="AD460" s="8">
        <f t="shared" si="21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28"/>
        <v>LIME GREEN</v>
      </c>
      <c r="AG460" s="11" t="str">
        <f t="shared" si="29"/>
        <v>HARIPAL</v>
      </c>
    </row>
    <row r="461" spans="1:33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5"/>
        <v>441857192</v>
      </c>
      <c r="Y461" s="8" t="str">
        <f t="shared" si="16"/>
        <v>DC</v>
      </c>
      <c r="Z461" s="8">
        <f t="shared" si="17"/>
        <v>0</v>
      </c>
      <c r="AA461" s="8">
        <f t="shared" si="18"/>
        <v>106</v>
      </c>
      <c r="AB461" s="8">
        <f t="shared" si="19"/>
        <v>0</v>
      </c>
      <c r="AC461" s="8">
        <f t="shared" si="20"/>
        <v>0</v>
      </c>
      <c r="AD461" s="8">
        <f t="shared" si="21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28"/>
        <v>LIME GREEN</v>
      </c>
      <c r="AG461" s="11" t="str">
        <f t="shared" si="29"/>
        <v>HARIPAL</v>
      </c>
    </row>
    <row r="462" spans="1:33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5"/>
        <v>441857192</v>
      </c>
      <c r="Y462" s="8" t="str">
        <f t="shared" si="16"/>
        <v>DC</v>
      </c>
      <c r="Z462" s="8">
        <f t="shared" si="17"/>
        <v>0</v>
      </c>
      <c r="AA462" s="8">
        <f t="shared" si="18"/>
        <v>0</v>
      </c>
      <c r="AB462" s="8">
        <f t="shared" si="19"/>
        <v>119</v>
      </c>
      <c r="AC462" s="8">
        <f t="shared" si="20"/>
        <v>0</v>
      </c>
      <c r="AD462" s="8">
        <f t="shared" si="21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28"/>
        <v>LIME GREEN</v>
      </c>
      <c r="AG462" s="11" t="str">
        <f t="shared" si="29"/>
        <v>HARIPAL</v>
      </c>
    </row>
    <row r="463" spans="1:33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5"/>
        <v>441857192</v>
      </c>
      <c r="Y463" s="8" t="str">
        <f t="shared" si="16"/>
        <v>DC</v>
      </c>
      <c r="Z463" s="8">
        <f t="shared" si="17"/>
        <v>0</v>
      </c>
      <c r="AA463" s="8">
        <f t="shared" si="18"/>
        <v>0</v>
      </c>
      <c r="AB463" s="8">
        <f t="shared" si="19"/>
        <v>0</v>
      </c>
      <c r="AC463" s="8">
        <f t="shared" si="20"/>
        <v>139</v>
      </c>
      <c r="AD463" s="8">
        <f t="shared" si="21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28"/>
        <v>LIME GREEN</v>
      </c>
      <c r="AG463" s="11" t="str">
        <f t="shared" si="29"/>
        <v>HARIPAL</v>
      </c>
    </row>
    <row r="464" spans="1:33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5"/>
        <v>441857192</v>
      </c>
      <c r="Y464" s="8" t="str">
        <f t="shared" si="16"/>
        <v>DC</v>
      </c>
      <c r="Z464" s="8">
        <f t="shared" si="17"/>
        <v>0</v>
      </c>
      <c r="AA464" s="8">
        <f t="shared" si="18"/>
        <v>0</v>
      </c>
      <c r="AB464" s="8">
        <f t="shared" si="19"/>
        <v>0</v>
      </c>
      <c r="AC464" s="8">
        <f t="shared" si="20"/>
        <v>0</v>
      </c>
      <c r="AD464" s="8">
        <f t="shared" si="21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28"/>
        <v>LIME GREEN</v>
      </c>
      <c r="AG464" s="11" t="str">
        <f t="shared" si="29"/>
        <v>HARIPAL</v>
      </c>
    </row>
    <row r="465" spans="1:33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5"/>
        <v>441857189</v>
      </c>
      <c r="Y465" s="8" t="str">
        <f t="shared" si="16"/>
        <v>DC</v>
      </c>
      <c r="Z465" s="8">
        <f t="shared" si="17"/>
        <v>30</v>
      </c>
      <c r="AA465" s="8">
        <f t="shared" si="18"/>
        <v>0</v>
      </c>
      <c r="AB465" s="8">
        <f t="shared" si="19"/>
        <v>0</v>
      </c>
      <c r="AC465" s="8">
        <f t="shared" si="20"/>
        <v>0</v>
      </c>
      <c r="AD465" s="8">
        <f t="shared" si="21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28"/>
        <v>SKY BLUE</v>
      </c>
      <c r="AG465" s="11" t="str">
        <f t="shared" si="29"/>
        <v>JHAJJAR</v>
      </c>
    </row>
    <row r="466" spans="1:33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5"/>
        <v>441857189</v>
      </c>
      <c r="Y466" s="8" t="str">
        <f t="shared" si="16"/>
        <v>DC</v>
      </c>
      <c r="Z466" s="8">
        <f t="shared" si="17"/>
        <v>0</v>
      </c>
      <c r="AA466" s="8">
        <f t="shared" si="18"/>
        <v>112</v>
      </c>
      <c r="AB466" s="8">
        <f t="shared" si="19"/>
        <v>0</v>
      </c>
      <c r="AC466" s="8">
        <f t="shared" si="20"/>
        <v>0</v>
      </c>
      <c r="AD466" s="8">
        <f t="shared" si="21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28"/>
        <v>SKY BLUE</v>
      </c>
      <c r="AG466" s="11" t="str">
        <f t="shared" si="29"/>
        <v>JHAJJAR</v>
      </c>
    </row>
    <row r="467" spans="1:33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5"/>
        <v>441857189</v>
      </c>
      <c r="Y467" s="8" t="str">
        <f t="shared" si="16"/>
        <v>DC</v>
      </c>
      <c r="Z467" s="8">
        <f t="shared" si="17"/>
        <v>0</v>
      </c>
      <c r="AA467" s="8">
        <f t="shared" si="18"/>
        <v>0</v>
      </c>
      <c r="AB467" s="8">
        <f t="shared" si="19"/>
        <v>126</v>
      </c>
      <c r="AC467" s="8">
        <f t="shared" si="20"/>
        <v>0</v>
      </c>
      <c r="AD467" s="8">
        <f t="shared" si="21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28"/>
        <v>SKY BLUE</v>
      </c>
      <c r="AG467" s="11" t="str">
        <f t="shared" si="29"/>
        <v>JHAJJAR</v>
      </c>
    </row>
    <row r="468" spans="1:33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5"/>
        <v>441857189</v>
      </c>
      <c r="Y468" s="8" t="str">
        <f t="shared" si="16"/>
        <v>DC</v>
      </c>
      <c r="Z468" s="8">
        <f t="shared" si="17"/>
        <v>0</v>
      </c>
      <c r="AA468" s="8">
        <f t="shared" si="18"/>
        <v>0</v>
      </c>
      <c r="AB468" s="8">
        <f t="shared" si="19"/>
        <v>0</v>
      </c>
      <c r="AC468" s="8">
        <f t="shared" si="20"/>
        <v>147</v>
      </c>
      <c r="AD468" s="8">
        <f t="shared" si="21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28"/>
        <v>SKY BLUE</v>
      </c>
      <c r="AG468" s="11" t="str">
        <f t="shared" si="29"/>
        <v>JHAJJAR</v>
      </c>
    </row>
    <row r="469" spans="1:33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5"/>
        <v>441857189</v>
      </c>
      <c r="Y469" s="8" t="str">
        <f t="shared" si="16"/>
        <v>DC</v>
      </c>
      <c r="Z469" s="8">
        <f t="shared" si="17"/>
        <v>0</v>
      </c>
      <c r="AA469" s="8">
        <f t="shared" si="18"/>
        <v>0</v>
      </c>
      <c r="AB469" s="8">
        <f t="shared" si="19"/>
        <v>0</v>
      </c>
      <c r="AC469" s="8">
        <f t="shared" si="20"/>
        <v>0</v>
      </c>
      <c r="AD469" s="8">
        <f t="shared" si="21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28"/>
        <v>SKY BLUE</v>
      </c>
      <c r="AG469" s="11" t="str">
        <f t="shared" si="29"/>
        <v>JHAJJAR</v>
      </c>
    </row>
    <row r="470" spans="1:33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5"/>
        <v>441857188</v>
      </c>
      <c r="Y470" s="8" t="str">
        <f t="shared" si="16"/>
        <v>DC</v>
      </c>
      <c r="Z470" s="8">
        <f t="shared" si="17"/>
        <v>30</v>
      </c>
      <c r="AA470" s="8">
        <f t="shared" si="18"/>
        <v>0</v>
      </c>
      <c r="AB470" s="8">
        <f t="shared" si="19"/>
        <v>0</v>
      </c>
      <c r="AC470" s="8">
        <f t="shared" si="20"/>
        <v>0</v>
      </c>
      <c r="AD470" s="8">
        <f t="shared" si="21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28"/>
        <v>LIME GREEN</v>
      </c>
      <c r="AG470" s="11" t="str">
        <f t="shared" si="29"/>
        <v>JHAJJAR</v>
      </c>
    </row>
    <row r="471" spans="1:33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5"/>
        <v>441857188</v>
      </c>
      <c r="Y471" s="8" t="str">
        <f t="shared" si="16"/>
        <v>DC</v>
      </c>
      <c r="Z471" s="8">
        <f t="shared" si="17"/>
        <v>0</v>
      </c>
      <c r="AA471" s="8">
        <f t="shared" si="18"/>
        <v>112</v>
      </c>
      <c r="AB471" s="8">
        <f t="shared" si="19"/>
        <v>0</v>
      </c>
      <c r="AC471" s="8">
        <f t="shared" si="20"/>
        <v>0</v>
      </c>
      <c r="AD471" s="8">
        <f t="shared" si="21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28"/>
        <v>LIME GREEN</v>
      </c>
      <c r="AG471" s="11" t="str">
        <f t="shared" si="29"/>
        <v>JHAJJAR</v>
      </c>
    </row>
    <row r="472" spans="1:33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5"/>
        <v>441857188</v>
      </c>
      <c r="Y472" s="8" t="str">
        <f t="shared" si="16"/>
        <v>DC</v>
      </c>
      <c r="Z472" s="8">
        <f t="shared" si="17"/>
        <v>0</v>
      </c>
      <c r="AA472" s="8">
        <f t="shared" si="18"/>
        <v>0</v>
      </c>
      <c r="AB472" s="8">
        <f t="shared" si="19"/>
        <v>126</v>
      </c>
      <c r="AC472" s="8">
        <f t="shared" si="20"/>
        <v>0</v>
      </c>
      <c r="AD472" s="8">
        <f t="shared" si="21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28"/>
        <v>LIME GREEN</v>
      </c>
      <c r="AG472" s="11" t="str">
        <f t="shared" si="29"/>
        <v>JHAJJAR</v>
      </c>
    </row>
    <row r="473" spans="1:33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5"/>
        <v>441857188</v>
      </c>
      <c r="Y473" s="8" t="str">
        <f t="shared" si="16"/>
        <v>DC</v>
      </c>
      <c r="Z473" s="8">
        <f t="shared" si="17"/>
        <v>0</v>
      </c>
      <c r="AA473" s="8">
        <f t="shared" si="18"/>
        <v>0</v>
      </c>
      <c r="AB473" s="8">
        <f t="shared" si="19"/>
        <v>0</v>
      </c>
      <c r="AC473" s="8">
        <f t="shared" si="20"/>
        <v>147</v>
      </c>
      <c r="AD473" s="8">
        <f t="shared" si="21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28"/>
        <v>LIME GREEN</v>
      </c>
      <c r="AG473" s="11" t="str">
        <f t="shared" si="29"/>
        <v>JHAJJAR</v>
      </c>
    </row>
    <row r="474" spans="1:33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5"/>
        <v>441857188</v>
      </c>
      <c r="Y474" s="8" t="str">
        <f t="shared" si="16"/>
        <v>DC</v>
      </c>
      <c r="Z474" s="8">
        <f t="shared" si="17"/>
        <v>0</v>
      </c>
      <c r="AA474" s="8">
        <f t="shared" si="18"/>
        <v>0</v>
      </c>
      <c r="AB474" s="8">
        <f t="shared" si="19"/>
        <v>0</v>
      </c>
      <c r="AC474" s="8">
        <f t="shared" si="20"/>
        <v>0</v>
      </c>
      <c r="AD474" s="8">
        <f t="shared" si="21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28"/>
        <v>LIME GREEN</v>
      </c>
      <c r="AG474" s="11" t="str">
        <f t="shared" si="29"/>
        <v>JHAJJAR</v>
      </c>
    </row>
    <row r="475" spans="1:33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5"/>
        <v>441857191</v>
      </c>
      <c r="Y475" s="8" t="str">
        <f t="shared" si="16"/>
        <v>DC</v>
      </c>
      <c r="Z475" s="8">
        <f t="shared" si="17"/>
        <v>30</v>
      </c>
      <c r="AA475" s="8">
        <f t="shared" si="18"/>
        <v>0</v>
      </c>
      <c r="AB475" s="8">
        <f t="shared" si="19"/>
        <v>0</v>
      </c>
      <c r="AC475" s="8">
        <f t="shared" si="20"/>
        <v>0</v>
      </c>
      <c r="AD475" s="8">
        <f t="shared" si="21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28"/>
        <v>MAGENTA</v>
      </c>
      <c r="AG475" s="11" t="str">
        <f t="shared" si="29"/>
        <v>HARIPAL</v>
      </c>
    </row>
    <row r="476" spans="1:33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5"/>
        <v>441857191</v>
      </c>
      <c r="Y476" s="8" t="str">
        <f t="shared" si="16"/>
        <v>DC</v>
      </c>
      <c r="Z476" s="8">
        <f t="shared" si="17"/>
        <v>0</v>
      </c>
      <c r="AA476" s="8">
        <f t="shared" si="18"/>
        <v>106</v>
      </c>
      <c r="AB476" s="8">
        <f t="shared" si="19"/>
        <v>0</v>
      </c>
      <c r="AC476" s="8">
        <f t="shared" si="20"/>
        <v>0</v>
      </c>
      <c r="AD476" s="8">
        <f t="shared" si="21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28"/>
        <v>MAGENTA</v>
      </c>
      <c r="AG476" s="11" t="str">
        <f t="shared" si="29"/>
        <v>HARIPAL</v>
      </c>
    </row>
    <row r="477" spans="1:33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5"/>
        <v>441857191</v>
      </c>
      <c r="Y477" s="8" t="str">
        <f t="shared" si="16"/>
        <v>DC</v>
      </c>
      <c r="Z477" s="8">
        <f t="shared" si="17"/>
        <v>0</v>
      </c>
      <c r="AA477" s="8">
        <f t="shared" si="18"/>
        <v>0</v>
      </c>
      <c r="AB477" s="8">
        <f t="shared" si="19"/>
        <v>119</v>
      </c>
      <c r="AC477" s="8">
        <f t="shared" si="20"/>
        <v>0</v>
      </c>
      <c r="AD477" s="8">
        <f t="shared" si="21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28"/>
        <v>MAGENTA</v>
      </c>
      <c r="AG477" s="11" t="str">
        <f t="shared" si="29"/>
        <v>HARIPAL</v>
      </c>
    </row>
    <row r="478" spans="1:33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5"/>
        <v>441857191</v>
      </c>
      <c r="Y478" s="8" t="str">
        <f t="shared" si="16"/>
        <v>DC</v>
      </c>
      <c r="Z478" s="8">
        <f t="shared" si="17"/>
        <v>0</v>
      </c>
      <c r="AA478" s="8">
        <f t="shared" si="18"/>
        <v>0</v>
      </c>
      <c r="AB478" s="8">
        <f t="shared" si="19"/>
        <v>0</v>
      </c>
      <c r="AC478" s="8">
        <f t="shared" si="20"/>
        <v>139</v>
      </c>
      <c r="AD478" s="8">
        <f t="shared" si="21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28"/>
        <v>MAGENTA</v>
      </c>
      <c r="AG478" s="11" t="str">
        <f t="shared" si="29"/>
        <v>HARIPAL</v>
      </c>
    </row>
    <row r="479" spans="1:33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5"/>
        <v>441857191</v>
      </c>
      <c r="Y479" s="8" t="str">
        <f t="shared" si="16"/>
        <v>DC</v>
      </c>
      <c r="Z479" s="8">
        <f t="shared" si="17"/>
        <v>0</v>
      </c>
      <c r="AA479" s="8">
        <f t="shared" si="18"/>
        <v>0</v>
      </c>
      <c r="AB479" s="8">
        <f t="shared" si="19"/>
        <v>0</v>
      </c>
      <c r="AC479" s="8">
        <f t="shared" si="20"/>
        <v>0</v>
      </c>
      <c r="AD479" s="8">
        <f t="shared" si="21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28"/>
        <v>MAGENTA</v>
      </c>
      <c r="AG479" s="11" t="str">
        <f t="shared" si="29"/>
        <v>HARIPAL</v>
      </c>
    </row>
    <row r="480" spans="1:33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5"/>
        <v>441857190</v>
      </c>
      <c r="Y480" s="8" t="str">
        <f t="shared" si="16"/>
        <v>DC</v>
      </c>
      <c r="Z480" s="8">
        <f t="shared" si="17"/>
        <v>30</v>
      </c>
      <c r="AA480" s="8">
        <f t="shared" si="18"/>
        <v>0</v>
      </c>
      <c r="AB480" s="8">
        <f t="shared" si="19"/>
        <v>0</v>
      </c>
      <c r="AC480" s="8">
        <f t="shared" si="20"/>
        <v>0</v>
      </c>
      <c r="AD480" s="8">
        <f t="shared" si="21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28"/>
        <v>GREEN</v>
      </c>
      <c r="AG480" s="11" t="str">
        <f t="shared" si="29"/>
        <v>HARIPAL</v>
      </c>
    </row>
    <row r="481" spans="1:33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5"/>
        <v>441857190</v>
      </c>
      <c r="Y481" s="8" t="str">
        <f t="shared" si="16"/>
        <v>DC</v>
      </c>
      <c r="Z481" s="8">
        <f t="shared" si="17"/>
        <v>0</v>
      </c>
      <c r="AA481" s="8">
        <f t="shared" si="18"/>
        <v>106</v>
      </c>
      <c r="AB481" s="8">
        <f t="shared" si="19"/>
        <v>0</v>
      </c>
      <c r="AC481" s="8">
        <f t="shared" si="20"/>
        <v>0</v>
      </c>
      <c r="AD481" s="8">
        <f t="shared" si="21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28"/>
        <v>GREEN</v>
      </c>
      <c r="AG481" s="11" t="str">
        <f t="shared" si="29"/>
        <v>HARIPAL</v>
      </c>
    </row>
    <row r="482" spans="1:33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5"/>
        <v>441857190</v>
      </c>
      <c r="Y482" s="8" t="str">
        <f t="shared" si="16"/>
        <v>DC</v>
      </c>
      <c r="Z482" s="8">
        <f t="shared" si="17"/>
        <v>0</v>
      </c>
      <c r="AA482" s="8">
        <f t="shared" si="18"/>
        <v>0</v>
      </c>
      <c r="AB482" s="8">
        <f t="shared" si="19"/>
        <v>119</v>
      </c>
      <c r="AC482" s="8">
        <f t="shared" si="20"/>
        <v>0</v>
      </c>
      <c r="AD482" s="8">
        <f t="shared" si="21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28"/>
        <v>GREEN</v>
      </c>
      <c r="AG482" s="11" t="str">
        <f t="shared" si="29"/>
        <v>HARIPAL</v>
      </c>
    </row>
    <row r="483" spans="1:33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5"/>
        <v>441857190</v>
      </c>
      <c r="Y483" s="8" t="str">
        <f t="shared" si="16"/>
        <v>DC</v>
      </c>
      <c r="Z483" s="8">
        <f t="shared" si="17"/>
        <v>0</v>
      </c>
      <c r="AA483" s="8">
        <f t="shared" si="18"/>
        <v>0</v>
      </c>
      <c r="AB483" s="8">
        <f t="shared" si="19"/>
        <v>0</v>
      </c>
      <c r="AC483" s="8">
        <f t="shared" si="20"/>
        <v>139</v>
      </c>
      <c r="AD483" s="8">
        <f t="shared" si="21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28"/>
        <v>GREEN</v>
      </c>
      <c r="AG483" s="11" t="str">
        <f t="shared" si="29"/>
        <v>HARIPAL</v>
      </c>
    </row>
    <row r="484" spans="1:33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5"/>
        <v>441857190</v>
      </c>
      <c r="Y484" s="8" t="str">
        <f t="shared" si="16"/>
        <v>DC</v>
      </c>
      <c r="Z484" s="8">
        <f t="shared" si="17"/>
        <v>0</v>
      </c>
      <c r="AA484" s="8">
        <f t="shared" si="18"/>
        <v>0</v>
      </c>
      <c r="AB484" s="8">
        <f t="shared" si="19"/>
        <v>0</v>
      </c>
      <c r="AC484" s="8">
        <f t="shared" si="20"/>
        <v>0</v>
      </c>
      <c r="AD484" s="8">
        <f t="shared" si="21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28"/>
        <v>GREEN</v>
      </c>
      <c r="AG484" s="11" t="str">
        <f t="shared" si="29"/>
        <v>HARIPAL</v>
      </c>
    </row>
    <row r="485" spans="1:33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5"/>
        <v>441857187</v>
      </c>
      <c r="Y485" s="8" t="str">
        <f t="shared" si="16"/>
        <v>DC</v>
      </c>
      <c r="Z485" s="8">
        <f t="shared" si="17"/>
        <v>30</v>
      </c>
      <c r="AA485" s="8">
        <f t="shared" si="18"/>
        <v>0</v>
      </c>
      <c r="AB485" s="8">
        <f t="shared" si="19"/>
        <v>0</v>
      </c>
      <c r="AC485" s="8">
        <f t="shared" si="20"/>
        <v>0</v>
      </c>
      <c r="AD485" s="8">
        <f t="shared" si="21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28"/>
        <v>FUCHSIA</v>
      </c>
      <c r="AG485" s="11" t="str">
        <f t="shared" si="29"/>
        <v>JHAJJAR</v>
      </c>
    </row>
    <row r="486" spans="1:33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5"/>
        <v>441857187</v>
      </c>
      <c r="Y486" s="8" t="str">
        <f t="shared" si="16"/>
        <v>DC</v>
      </c>
      <c r="Z486" s="8">
        <f t="shared" si="17"/>
        <v>0</v>
      </c>
      <c r="AA486" s="8">
        <f t="shared" si="18"/>
        <v>112</v>
      </c>
      <c r="AB486" s="8">
        <f t="shared" si="19"/>
        <v>0</v>
      </c>
      <c r="AC486" s="8">
        <f t="shared" si="20"/>
        <v>0</v>
      </c>
      <c r="AD486" s="8">
        <f t="shared" si="21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28"/>
        <v>FUCHSIA</v>
      </c>
      <c r="AG486" s="11" t="str">
        <f t="shared" si="29"/>
        <v>JHAJJAR</v>
      </c>
    </row>
    <row r="487" spans="1:33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5"/>
        <v>441857187</v>
      </c>
      <c r="Y487" s="8" t="str">
        <f t="shared" si="16"/>
        <v>DC</v>
      </c>
      <c r="Z487" s="8">
        <f t="shared" si="17"/>
        <v>0</v>
      </c>
      <c r="AA487" s="8">
        <f t="shared" si="18"/>
        <v>0</v>
      </c>
      <c r="AB487" s="8">
        <f t="shared" si="19"/>
        <v>126</v>
      </c>
      <c r="AC487" s="8">
        <f t="shared" si="20"/>
        <v>0</v>
      </c>
      <c r="AD487" s="8">
        <f t="shared" si="21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28"/>
        <v>FUCHSIA</v>
      </c>
      <c r="AG487" s="11" t="str">
        <f t="shared" si="29"/>
        <v>JHAJJAR</v>
      </c>
    </row>
    <row r="488" spans="1:33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5"/>
        <v>441857187</v>
      </c>
      <c r="Y488" s="8" t="str">
        <f t="shared" si="16"/>
        <v>DC</v>
      </c>
      <c r="Z488" s="8">
        <f t="shared" si="17"/>
        <v>0</v>
      </c>
      <c r="AA488" s="8">
        <f t="shared" si="18"/>
        <v>0</v>
      </c>
      <c r="AB488" s="8">
        <f t="shared" si="19"/>
        <v>0</v>
      </c>
      <c r="AC488" s="8">
        <f t="shared" si="20"/>
        <v>147</v>
      </c>
      <c r="AD488" s="8">
        <f t="shared" si="21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28"/>
        <v>FUCHSIA</v>
      </c>
      <c r="AG488" s="11" t="str">
        <f t="shared" si="29"/>
        <v>JHAJJAR</v>
      </c>
    </row>
    <row r="489" spans="1:33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5"/>
        <v>441857187</v>
      </c>
      <c r="Y489" s="8" t="str">
        <f t="shared" si="16"/>
        <v>DC</v>
      </c>
      <c r="Z489" s="8">
        <f t="shared" si="17"/>
        <v>0</v>
      </c>
      <c r="AA489" s="8">
        <f t="shared" si="18"/>
        <v>0</v>
      </c>
      <c r="AB489" s="8">
        <f t="shared" si="19"/>
        <v>0</v>
      </c>
      <c r="AC489" s="8">
        <f t="shared" si="20"/>
        <v>0</v>
      </c>
      <c r="AD489" s="8">
        <f t="shared" si="21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28"/>
        <v>FUCHSIA</v>
      </c>
      <c r="AG489" s="11" t="str">
        <f t="shared" si="29"/>
        <v>JHAJJAR</v>
      </c>
    </row>
    <row r="490" spans="1:33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5"/>
        <v>441857189</v>
      </c>
      <c r="Y490" s="8" t="str">
        <f t="shared" si="16"/>
        <v>DC</v>
      </c>
      <c r="Z490" s="8">
        <f t="shared" si="17"/>
        <v>30</v>
      </c>
      <c r="AA490" s="8">
        <f t="shared" si="18"/>
        <v>0</v>
      </c>
      <c r="AB490" s="8">
        <f t="shared" si="19"/>
        <v>0</v>
      </c>
      <c r="AC490" s="8">
        <f t="shared" si="20"/>
        <v>0</v>
      </c>
      <c r="AD490" s="8">
        <f t="shared" si="21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28"/>
        <v>SKY BLUE</v>
      </c>
      <c r="AG490" s="11" t="str">
        <f t="shared" si="29"/>
        <v>HARIPAL</v>
      </c>
    </row>
    <row r="491" spans="1:33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5"/>
        <v>441857189</v>
      </c>
      <c r="Y491" s="8" t="str">
        <f t="shared" si="16"/>
        <v>DC</v>
      </c>
      <c r="Z491" s="8">
        <f t="shared" si="17"/>
        <v>0</v>
      </c>
      <c r="AA491" s="8">
        <f t="shared" si="18"/>
        <v>106</v>
      </c>
      <c r="AB491" s="8">
        <f t="shared" si="19"/>
        <v>0</v>
      </c>
      <c r="AC491" s="8">
        <f t="shared" si="20"/>
        <v>0</v>
      </c>
      <c r="AD491" s="8">
        <f t="shared" si="21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28"/>
        <v>SKY BLUE</v>
      </c>
      <c r="AG491" s="11" t="str">
        <f t="shared" si="29"/>
        <v>HARIPAL</v>
      </c>
    </row>
    <row r="492" spans="1:33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5"/>
        <v>441857189</v>
      </c>
      <c r="Y492" s="8" t="str">
        <f t="shared" si="16"/>
        <v>DC</v>
      </c>
      <c r="Z492" s="8">
        <f t="shared" si="17"/>
        <v>0</v>
      </c>
      <c r="AA492" s="8">
        <f t="shared" si="18"/>
        <v>0</v>
      </c>
      <c r="AB492" s="8">
        <f t="shared" si="19"/>
        <v>119</v>
      </c>
      <c r="AC492" s="8">
        <f t="shared" si="20"/>
        <v>0</v>
      </c>
      <c r="AD492" s="8">
        <f t="shared" si="21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28"/>
        <v>SKY BLUE</v>
      </c>
      <c r="AG492" s="11" t="str">
        <f t="shared" si="29"/>
        <v>HARIPAL</v>
      </c>
    </row>
    <row r="493" spans="1:33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5"/>
        <v>441857189</v>
      </c>
      <c r="Y493" s="8" t="str">
        <f t="shared" si="16"/>
        <v>DC</v>
      </c>
      <c r="Z493" s="8">
        <f t="shared" si="17"/>
        <v>0</v>
      </c>
      <c r="AA493" s="8">
        <f t="shared" si="18"/>
        <v>0</v>
      </c>
      <c r="AB493" s="8">
        <f t="shared" si="19"/>
        <v>0</v>
      </c>
      <c r="AC493" s="8">
        <f t="shared" si="20"/>
        <v>139</v>
      </c>
      <c r="AD493" s="8">
        <f t="shared" si="21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28"/>
        <v>SKY BLUE</v>
      </c>
      <c r="AG493" s="11" t="str">
        <f t="shared" si="29"/>
        <v>HARIPAL</v>
      </c>
    </row>
    <row r="494" spans="1:33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5"/>
        <v>441857189</v>
      </c>
      <c r="Y494" s="8" t="str">
        <f t="shared" si="16"/>
        <v>DC</v>
      </c>
      <c r="Z494" s="8">
        <f t="shared" si="17"/>
        <v>0</v>
      </c>
      <c r="AA494" s="8">
        <f t="shared" si="18"/>
        <v>0</v>
      </c>
      <c r="AB494" s="8">
        <f t="shared" si="19"/>
        <v>0</v>
      </c>
      <c r="AC494" s="8">
        <f t="shared" si="20"/>
        <v>0</v>
      </c>
      <c r="AD494" s="8">
        <f t="shared" si="21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28"/>
        <v>SKY BLUE</v>
      </c>
      <c r="AG494" s="11" t="str">
        <f t="shared" si="29"/>
        <v>HARIPAL</v>
      </c>
    </row>
    <row r="495" spans="1:33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5"/>
        <v>441857188</v>
      </c>
      <c r="Y495" s="8" t="str">
        <f t="shared" si="16"/>
        <v>DC</v>
      </c>
      <c r="Z495" s="8">
        <f t="shared" si="17"/>
        <v>30</v>
      </c>
      <c r="AA495" s="8">
        <f t="shared" si="18"/>
        <v>0</v>
      </c>
      <c r="AB495" s="8">
        <f t="shared" si="19"/>
        <v>0</v>
      </c>
      <c r="AC495" s="8">
        <f t="shared" si="20"/>
        <v>0</v>
      </c>
      <c r="AD495" s="8">
        <f t="shared" si="21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28"/>
        <v>LIME GREEN</v>
      </c>
      <c r="AG495" s="11" t="str">
        <f t="shared" si="29"/>
        <v>HARIPAL</v>
      </c>
    </row>
    <row r="496" spans="1:33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5"/>
        <v>441857188</v>
      </c>
      <c r="Y496" s="8" t="str">
        <f t="shared" si="16"/>
        <v>DC</v>
      </c>
      <c r="Z496" s="8">
        <f t="shared" si="17"/>
        <v>0</v>
      </c>
      <c r="AA496" s="8">
        <f t="shared" si="18"/>
        <v>106</v>
      </c>
      <c r="AB496" s="8">
        <f t="shared" si="19"/>
        <v>0</v>
      </c>
      <c r="AC496" s="8">
        <f t="shared" si="20"/>
        <v>0</v>
      </c>
      <c r="AD496" s="8">
        <f t="shared" si="21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28"/>
        <v>LIME GREEN</v>
      </c>
      <c r="AG496" s="11" t="str">
        <f t="shared" si="29"/>
        <v>HARIPAL</v>
      </c>
    </row>
    <row r="497" spans="1:33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5"/>
        <v>441857188</v>
      </c>
      <c r="Y497" s="8" t="str">
        <f t="shared" si="16"/>
        <v>DC</v>
      </c>
      <c r="Z497" s="8">
        <f t="shared" si="17"/>
        <v>0</v>
      </c>
      <c r="AA497" s="8">
        <f t="shared" si="18"/>
        <v>0</v>
      </c>
      <c r="AB497" s="8">
        <f t="shared" si="19"/>
        <v>119</v>
      </c>
      <c r="AC497" s="8">
        <f t="shared" si="20"/>
        <v>0</v>
      </c>
      <c r="AD497" s="8">
        <f t="shared" si="21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28"/>
        <v>LIME GREEN</v>
      </c>
      <c r="AG497" s="11" t="str">
        <f t="shared" si="29"/>
        <v>HARIPAL</v>
      </c>
    </row>
    <row r="498" spans="1:33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5"/>
        <v>441857188</v>
      </c>
      <c r="Y498" s="8" t="str">
        <f t="shared" si="16"/>
        <v>DC</v>
      </c>
      <c r="Z498" s="8">
        <f t="shared" si="17"/>
        <v>0</v>
      </c>
      <c r="AA498" s="8">
        <f t="shared" si="18"/>
        <v>0</v>
      </c>
      <c r="AB498" s="8">
        <f t="shared" si="19"/>
        <v>0</v>
      </c>
      <c r="AC498" s="8">
        <f t="shared" si="20"/>
        <v>139</v>
      </c>
      <c r="AD498" s="8">
        <f t="shared" si="21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28"/>
        <v>LIME GREEN</v>
      </c>
      <c r="AG498" s="11" t="str">
        <f t="shared" si="29"/>
        <v>HARIPAL</v>
      </c>
    </row>
    <row r="499" spans="1:33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5"/>
        <v>441857188</v>
      </c>
      <c r="Y499" s="8" t="str">
        <f t="shared" si="16"/>
        <v>DC</v>
      </c>
      <c r="Z499" s="8">
        <f t="shared" si="17"/>
        <v>0</v>
      </c>
      <c r="AA499" s="8">
        <f t="shared" si="18"/>
        <v>0</v>
      </c>
      <c r="AB499" s="8">
        <f t="shared" si="19"/>
        <v>0</v>
      </c>
      <c r="AC499" s="8">
        <f t="shared" si="20"/>
        <v>0</v>
      </c>
      <c r="AD499" s="8">
        <f t="shared" si="21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28"/>
        <v>LIME GREEN</v>
      </c>
      <c r="AG499" s="11" t="str">
        <f t="shared" si="29"/>
        <v>HARIPAL</v>
      </c>
    </row>
    <row r="500" spans="1:33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5"/>
        <v>441857187</v>
      </c>
      <c r="Y500" s="8" t="str">
        <f t="shared" si="16"/>
        <v>DC</v>
      </c>
      <c r="Z500" s="8">
        <f t="shared" si="17"/>
        <v>30</v>
      </c>
      <c r="AA500" s="8">
        <f t="shared" si="18"/>
        <v>0</v>
      </c>
      <c r="AB500" s="8">
        <f t="shared" si="19"/>
        <v>0</v>
      </c>
      <c r="AC500" s="8">
        <f t="shared" si="20"/>
        <v>0</v>
      </c>
      <c r="AD500" s="8">
        <f t="shared" si="21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28"/>
        <v>FUCHSIA</v>
      </c>
      <c r="AG500" s="11" t="str">
        <f t="shared" si="29"/>
        <v>HARIPAL</v>
      </c>
    </row>
    <row r="501" spans="1:33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5"/>
        <v>441857187</v>
      </c>
      <c r="Y501" s="8" t="str">
        <f t="shared" si="16"/>
        <v>DC</v>
      </c>
      <c r="Z501" s="8">
        <f t="shared" si="17"/>
        <v>0</v>
      </c>
      <c r="AA501" s="8">
        <f t="shared" si="18"/>
        <v>106</v>
      </c>
      <c r="AB501" s="8">
        <f t="shared" si="19"/>
        <v>0</v>
      </c>
      <c r="AC501" s="8">
        <f t="shared" si="20"/>
        <v>0</v>
      </c>
      <c r="AD501" s="8">
        <f t="shared" si="21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28"/>
        <v>FUCHSIA</v>
      </c>
      <c r="AG501" s="11" t="str">
        <f t="shared" si="29"/>
        <v>HARIPAL</v>
      </c>
    </row>
    <row r="502" spans="1:33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5"/>
        <v>441857187</v>
      </c>
      <c r="Y502" s="8" t="str">
        <f t="shared" si="16"/>
        <v>DC</v>
      </c>
      <c r="Z502" s="8">
        <f t="shared" si="17"/>
        <v>0</v>
      </c>
      <c r="AA502" s="8">
        <f t="shared" si="18"/>
        <v>0</v>
      </c>
      <c r="AB502" s="8">
        <f t="shared" si="19"/>
        <v>119</v>
      </c>
      <c r="AC502" s="8">
        <f t="shared" si="20"/>
        <v>0</v>
      </c>
      <c r="AD502" s="8">
        <f t="shared" si="21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28"/>
        <v>FUCHSIA</v>
      </c>
      <c r="AG502" s="11" t="str">
        <f t="shared" si="29"/>
        <v>HARIPAL</v>
      </c>
    </row>
    <row r="503" spans="1:33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5"/>
        <v>441857187</v>
      </c>
      <c r="Y503" s="8" t="str">
        <f t="shared" si="16"/>
        <v>DC</v>
      </c>
      <c r="Z503" s="8">
        <f t="shared" si="17"/>
        <v>0</v>
      </c>
      <c r="AA503" s="8">
        <f t="shared" si="18"/>
        <v>0</v>
      </c>
      <c r="AB503" s="8">
        <f t="shared" si="19"/>
        <v>0</v>
      </c>
      <c r="AC503" s="8">
        <f t="shared" si="20"/>
        <v>139</v>
      </c>
      <c r="AD503" s="8">
        <f t="shared" si="21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28"/>
        <v>FUCHSIA</v>
      </c>
      <c r="AG503" s="11" t="str">
        <f t="shared" si="29"/>
        <v>HARIPAL</v>
      </c>
    </row>
    <row r="504" spans="1:33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5"/>
        <v>441857187</v>
      </c>
      <c r="Y504" s="8" t="str">
        <f t="shared" si="16"/>
        <v>DC</v>
      </c>
      <c r="Z504" s="8">
        <f t="shared" si="17"/>
        <v>0</v>
      </c>
      <c r="AA504" s="8">
        <f t="shared" si="18"/>
        <v>0</v>
      </c>
      <c r="AB504" s="8">
        <f t="shared" si="19"/>
        <v>0</v>
      </c>
      <c r="AC504" s="8">
        <f t="shared" si="20"/>
        <v>0</v>
      </c>
      <c r="AD504" s="8">
        <f t="shared" si="21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28"/>
        <v>FUCHSIA</v>
      </c>
      <c r="AG504" s="11" t="str">
        <f t="shared" si="29"/>
        <v>HARIPAL</v>
      </c>
    </row>
    <row r="505" spans="1:33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5"/>
        <v>441857186</v>
      </c>
      <c r="Y505" s="8" t="str">
        <f t="shared" si="16"/>
        <v>DC</v>
      </c>
      <c r="Z505" s="8">
        <f t="shared" si="17"/>
        <v>30</v>
      </c>
      <c r="AA505" s="8">
        <f t="shared" si="18"/>
        <v>0</v>
      </c>
      <c r="AB505" s="8">
        <f t="shared" si="19"/>
        <v>0</v>
      </c>
      <c r="AC505" s="8">
        <f t="shared" si="20"/>
        <v>0</v>
      </c>
      <c r="AD505" s="8">
        <f t="shared" si="21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28"/>
        <v>CREAM</v>
      </c>
      <c r="AG505" s="11" t="str">
        <f t="shared" si="29"/>
        <v>Bangalore</v>
      </c>
    </row>
    <row r="506" spans="1:33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5"/>
        <v>441857186</v>
      </c>
      <c r="Y506" s="8" t="str">
        <f t="shared" si="16"/>
        <v>DC</v>
      </c>
      <c r="Z506" s="8">
        <f t="shared" si="17"/>
        <v>0</v>
      </c>
      <c r="AA506" s="8">
        <f t="shared" si="18"/>
        <v>222</v>
      </c>
      <c r="AB506" s="8">
        <f t="shared" si="19"/>
        <v>0</v>
      </c>
      <c r="AC506" s="8">
        <f t="shared" si="20"/>
        <v>0</v>
      </c>
      <c r="AD506" s="8">
        <f t="shared" si="21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28"/>
        <v>CREAM</v>
      </c>
      <c r="AG506" s="11" t="str">
        <f t="shared" si="29"/>
        <v>Bangalore</v>
      </c>
    </row>
    <row r="507" spans="1:33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5"/>
        <v>441857186</v>
      </c>
      <c r="Y507" s="8" t="str">
        <f t="shared" si="16"/>
        <v>DC</v>
      </c>
      <c r="Z507" s="8">
        <f t="shared" si="17"/>
        <v>0</v>
      </c>
      <c r="AA507" s="8">
        <f t="shared" si="18"/>
        <v>0</v>
      </c>
      <c r="AB507" s="8">
        <f t="shared" si="19"/>
        <v>250</v>
      </c>
      <c r="AC507" s="8">
        <f t="shared" si="20"/>
        <v>0</v>
      </c>
      <c r="AD507" s="8">
        <f t="shared" si="21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28"/>
        <v>CREAM</v>
      </c>
      <c r="AG507" s="11" t="str">
        <f t="shared" si="29"/>
        <v>Bangalore</v>
      </c>
    </row>
    <row r="508" spans="1:33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5"/>
        <v>441857186</v>
      </c>
      <c r="Y508" s="8" t="str">
        <f t="shared" si="16"/>
        <v>DC</v>
      </c>
      <c r="Z508" s="8">
        <f t="shared" si="17"/>
        <v>0</v>
      </c>
      <c r="AA508" s="8">
        <f t="shared" si="18"/>
        <v>0</v>
      </c>
      <c r="AB508" s="8">
        <f t="shared" si="19"/>
        <v>0</v>
      </c>
      <c r="AC508" s="8">
        <f t="shared" si="20"/>
        <v>292</v>
      </c>
      <c r="AD508" s="8">
        <f t="shared" si="21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28"/>
        <v>CREAM</v>
      </c>
      <c r="AG508" s="11" t="str">
        <f t="shared" si="29"/>
        <v>Bangalore</v>
      </c>
    </row>
    <row r="509" spans="1:33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5"/>
        <v>441857186</v>
      </c>
      <c r="Y509" s="8" t="str">
        <f t="shared" si="16"/>
        <v>DC</v>
      </c>
      <c r="Z509" s="8">
        <f t="shared" si="17"/>
        <v>0</v>
      </c>
      <c r="AA509" s="8">
        <f t="shared" si="18"/>
        <v>0</v>
      </c>
      <c r="AB509" s="8">
        <f t="shared" si="19"/>
        <v>0</v>
      </c>
      <c r="AC509" s="8">
        <f t="shared" si="20"/>
        <v>0</v>
      </c>
      <c r="AD509" s="8">
        <f t="shared" si="21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28"/>
        <v>CREAM</v>
      </c>
      <c r="AG509" s="11" t="str">
        <f t="shared" si="29"/>
        <v>Bangalore</v>
      </c>
    </row>
    <row r="510" spans="1:33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5"/>
        <v>441857185</v>
      </c>
      <c r="Y510" s="8" t="str">
        <f t="shared" si="16"/>
        <v>DC</v>
      </c>
      <c r="Z510" s="8">
        <f t="shared" si="17"/>
        <v>30</v>
      </c>
      <c r="AA510" s="8">
        <f t="shared" si="18"/>
        <v>0</v>
      </c>
      <c r="AB510" s="8">
        <f t="shared" si="19"/>
        <v>0</v>
      </c>
      <c r="AC510" s="8">
        <f t="shared" si="20"/>
        <v>0</v>
      </c>
      <c r="AD510" s="8">
        <f t="shared" si="21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28"/>
        <v>BLUE</v>
      </c>
      <c r="AG510" s="11" t="str">
        <f t="shared" si="29"/>
        <v>Bangalore</v>
      </c>
    </row>
    <row r="511" spans="1:33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5"/>
        <v>441857185</v>
      </c>
      <c r="Y511" s="8" t="str">
        <f t="shared" si="16"/>
        <v>DC</v>
      </c>
      <c r="Z511" s="8">
        <f t="shared" si="17"/>
        <v>0</v>
      </c>
      <c r="AA511" s="8">
        <f t="shared" si="18"/>
        <v>222</v>
      </c>
      <c r="AB511" s="8">
        <f t="shared" si="19"/>
        <v>0</v>
      </c>
      <c r="AC511" s="8">
        <f t="shared" si="20"/>
        <v>0</v>
      </c>
      <c r="AD511" s="8">
        <f t="shared" si="21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28"/>
        <v>BLUE</v>
      </c>
      <c r="AG511" s="11" t="str">
        <f t="shared" si="29"/>
        <v>Bangalore</v>
      </c>
    </row>
    <row r="512" spans="1:33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1">IF(ISNUMBER(SEARCH("(RP)",J512)),"RP","DC")</f>
        <v>DC</v>
      </c>
      <c r="Z512" s="8">
        <f t="shared" ref="Z512:Z766" si="32">IF(ISNUMBER(SEARCH("(RP)",J512)),O512,IF(RIGHT(TRIM(J512),3)=", S",O512,0))</f>
        <v>0</v>
      </c>
      <c r="AA512" s="8">
        <f t="shared" ref="AA512:AA766" si="33">IF(ISNUMBER(SEARCH("(RP)",J512)),O512,IF(RIGHT(TRIM(J512),3)=", M",O512,0))</f>
        <v>0</v>
      </c>
      <c r="AB512" s="8">
        <f t="shared" ref="AB512:AB766" si="34">IF(ISNUMBER(SEARCH("(RP)",J512)),O512,IF(RIGHT(TRIM(J512),3)=", L",O512,0))</f>
        <v>250</v>
      </c>
      <c r="AC512" s="8">
        <f t="shared" ref="AC512:AC766" si="35">IF(ISNUMBER(SEARCH("(RP)",J512)),O512,IF(RIGHT(TRIM(J512),4)=", XL",O512,0))</f>
        <v>0</v>
      </c>
      <c r="AD512" s="8">
        <f t="shared" ref="AD512:AD766" si="36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28"/>
        <v>BLUE</v>
      </c>
      <c r="AG512" s="11" t="str">
        <f t="shared" si="29"/>
        <v>Bangalore</v>
      </c>
    </row>
    <row r="513" spans="1:33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0"/>
        <v>441857185</v>
      </c>
      <c r="Y513" s="8" t="str">
        <f t="shared" si="31"/>
        <v>DC</v>
      </c>
      <c r="Z513" s="8">
        <f t="shared" si="32"/>
        <v>0</v>
      </c>
      <c r="AA513" s="8">
        <f t="shared" si="33"/>
        <v>0</v>
      </c>
      <c r="AB513" s="8">
        <f t="shared" si="34"/>
        <v>0</v>
      </c>
      <c r="AC513" s="8">
        <f t="shared" si="35"/>
        <v>292</v>
      </c>
      <c r="AD513" s="8">
        <f t="shared" si="36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28"/>
        <v>BLUE</v>
      </c>
      <c r="AG513" s="11" t="str">
        <f t="shared" si="29"/>
        <v>Bangalore</v>
      </c>
    </row>
    <row r="514" spans="1:33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0"/>
        <v>441857185</v>
      </c>
      <c r="Y514" s="8" t="str">
        <f t="shared" si="31"/>
        <v>DC</v>
      </c>
      <c r="Z514" s="8">
        <f t="shared" si="32"/>
        <v>0</v>
      </c>
      <c r="AA514" s="8">
        <f t="shared" si="33"/>
        <v>0</v>
      </c>
      <c r="AB514" s="8">
        <f t="shared" si="34"/>
        <v>0</v>
      </c>
      <c r="AC514" s="8">
        <f t="shared" si="35"/>
        <v>0</v>
      </c>
      <c r="AD514" s="8">
        <f t="shared" si="36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28"/>
        <v>BLUE</v>
      </c>
      <c r="AG514" s="11" t="str">
        <f t="shared" si="29"/>
        <v>Bangalore</v>
      </c>
    </row>
    <row r="515" spans="1:33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0"/>
        <v>441857184</v>
      </c>
      <c r="Y515" s="8" t="str">
        <f t="shared" si="31"/>
        <v>DC</v>
      </c>
      <c r="Z515" s="8">
        <f t="shared" si="32"/>
        <v>30</v>
      </c>
      <c r="AA515" s="8">
        <f t="shared" si="33"/>
        <v>0</v>
      </c>
      <c r="AB515" s="8">
        <f t="shared" si="34"/>
        <v>0</v>
      </c>
      <c r="AC515" s="8">
        <f t="shared" si="35"/>
        <v>0</v>
      </c>
      <c r="AD515" s="8">
        <f t="shared" si="36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38">IF(A515="SZAF","Bangalore",IF(A515="SAEX","JHAJJAR",IF(A515="S0EU","HARIPAL","")))</f>
        <v>Bangalore</v>
      </c>
    </row>
    <row r="516" spans="1:33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0"/>
        <v>441857184</v>
      </c>
      <c r="Y516" s="8" t="str">
        <f t="shared" si="31"/>
        <v>DC</v>
      </c>
      <c r="Z516" s="8">
        <f t="shared" si="32"/>
        <v>0</v>
      </c>
      <c r="AA516" s="8">
        <f t="shared" si="33"/>
        <v>222</v>
      </c>
      <c r="AB516" s="8">
        <f t="shared" si="34"/>
        <v>0</v>
      </c>
      <c r="AC516" s="8">
        <f t="shared" si="35"/>
        <v>0</v>
      </c>
      <c r="AD516" s="8">
        <f t="shared" si="36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37"/>
        <v>CORAL</v>
      </c>
      <c r="AG516" s="11" t="str">
        <f t="shared" si="38"/>
        <v>Bangalore</v>
      </c>
    </row>
    <row r="517" spans="1:33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0"/>
        <v>441857184</v>
      </c>
      <c r="Y517" s="8" t="str">
        <f t="shared" si="31"/>
        <v>DC</v>
      </c>
      <c r="Z517" s="8">
        <f t="shared" si="32"/>
        <v>0</v>
      </c>
      <c r="AA517" s="8">
        <f t="shared" si="33"/>
        <v>0</v>
      </c>
      <c r="AB517" s="8">
        <f t="shared" si="34"/>
        <v>250</v>
      </c>
      <c r="AC517" s="8">
        <f t="shared" si="35"/>
        <v>0</v>
      </c>
      <c r="AD517" s="8">
        <f t="shared" si="36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37"/>
        <v>CORAL</v>
      </c>
      <c r="AG517" s="11" t="str">
        <f t="shared" si="38"/>
        <v>Bangalore</v>
      </c>
    </row>
    <row r="518" spans="1:33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0"/>
        <v>441857184</v>
      </c>
      <c r="Y518" s="8" t="str">
        <f t="shared" si="31"/>
        <v>DC</v>
      </c>
      <c r="Z518" s="8">
        <f t="shared" si="32"/>
        <v>0</v>
      </c>
      <c r="AA518" s="8">
        <f t="shared" si="33"/>
        <v>0</v>
      </c>
      <c r="AB518" s="8">
        <f t="shared" si="34"/>
        <v>0</v>
      </c>
      <c r="AC518" s="8">
        <f t="shared" si="35"/>
        <v>292</v>
      </c>
      <c r="AD518" s="8">
        <f t="shared" si="36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37"/>
        <v>CORAL</v>
      </c>
      <c r="AG518" s="11" t="str">
        <f t="shared" si="38"/>
        <v>Bangalore</v>
      </c>
    </row>
    <row r="519" spans="1:33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0"/>
        <v>441857184</v>
      </c>
      <c r="Y519" s="8" t="str">
        <f t="shared" si="31"/>
        <v>DC</v>
      </c>
      <c r="Z519" s="8">
        <f t="shared" si="32"/>
        <v>0</v>
      </c>
      <c r="AA519" s="8">
        <f t="shared" si="33"/>
        <v>0</v>
      </c>
      <c r="AB519" s="8">
        <f t="shared" si="34"/>
        <v>0</v>
      </c>
      <c r="AC519" s="8">
        <f t="shared" si="35"/>
        <v>0</v>
      </c>
      <c r="AD519" s="8">
        <f t="shared" si="36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37"/>
        <v>CORAL</v>
      </c>
      <c r="AG519" s="11" t="str">
        <f t="shared" si="38"/>
        <v>Bangalore</v>
      </c>
    </row>
    <row r="520" spans="1:33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0"/>
        <v>441857183</v>
      </c>
      <c r="Y520" s="8" t="str">
        <f t="shared" si="31"/>
        <v>DC</v>
      </c>
      <c r="Z520" s="8">
        <f t="shared" si="32"/>
        <v>30</v>
      </c>
      <c r="AA520" s="8">
        <f t="shared" si="33"/>
        <v>0</v>
      </c>
      <c r="AB520" s="8">
        <f t="shared" si="34"/>
        <v>0</v>
      </c>
      <c r="AC520" s="8">
        <f t="shared" si="35"/>
        <v>0</v>
      </c>
      <c r="AD520" s="8">
        <f t="shared" si="36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37"/>
        <v>LT. PINK</v>
      </c>
      <c r="AG520" s="11" t="str">
        <f t="shared" si="38"/>
        <v>Bangalore</v>
      </c>
    </row>
    <row r="521" spans="1:33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0"/>
        <v>441857183</v>
      </c>
      <c r="Y521" s="8" t="str">
        <f t="shared" si="31"/>
        <v>DC</v>
      </c>
      <c r="Z521" s="8">
        <f t="shared" si="32"/>
        <v>0</v>
      </c>
      <c r="AA521" s="8">
        <f t="shared" si="33"/>
        <v>222</v>
      </c>
      <c r="AB521" s="8">
        <f t="shared" si="34"/>
        <v>0</v>
      </c>
      <c r="AC521" s="8">
        <f t="shared" si="35"/>
        <v>0</v>
      </c>
      <c r="AD521" s="8">
        <f t="shared" si="36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37"/>
        <v>LT. PINK</v>
      </c>
      <c r="AG521" s="11" t="str">
        <f t="shared" si="38"/>
        <v>Bangalore</v>
      </c>
    </row>
    <row r="522" spans="1:33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0"/>
        <v>441857183</v>
      </c>
      <c r="Y522" s="8" t="str">
        <f t="shared" si="31"/>
        <v>DC</v>
      </c>
      <c r="Z522" s="8">
        <f t="shared" si="32"/>
        <v>0</v>
      </c>
      <c r="AA522" s="8">
        <f t="shared" si="33"/>
        <v>0</v>
      </c>
      <c r="AB522" s="8">
        <f t="shared" si="34"/>
        <v>250</v>
      </c>
      <c r="AC522" s="8">
        <f t="shared" si="35"/>
        <v>0</v>
      </c>
      <c r="AD522" s="8">
        <f t="shared" si="36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37"/>
        <v>LT. PINK</v>
      </c>
      <c r="AG522" s="11" t="str">
        <f t="shared" si="38"/>
        <v>Bangalore</v>
      </c>
    </row>
    <row r="523" spans="1:33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0"/>
        <v>441857183</v>
      </c>
      <c r="Y523" s="8" t="str">
        <f t="shared" si="31"/>
        <v>DC</v>
      </c>
      <c r="Z523" s="8">
        <f t="shared" si="32"/>
        <v>0</v>
      </c>
      <c r="AA523" s="8">
        <f t="shared" si="33"/>
        <v>0</v>
      </c>
      <c r="AB523" s="8">
        <f t="shared" si="34"/>
        <v>0</v>
      </c>
      <c r="AC523" s="8">
        <f t="shared" si="35"/>
        <v>292</v>
      </c>
      <c r="AD523" s="8">
        <f t="shared" si="36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37"/>
        <v>LT. PINK</v>
      </c>
      <c r="AG523" s="11" t="str">
        <f t="shared" si="38"/>
        <v>Bangalore</v>
      </c>
    </row>
    <row r="524" spans="1:33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0"/>
        <v>441857183</v>
      </c>
      <c r="Y524" s="8" t="str">
        <f t="shared" si="31"/>
        <v>DC</v>
      </c>
      <c r="Z524" s="8">
        <f t="shared" si="32"/>
        <v>0</v>
      </c>
      <c r="AA524" s="8">
        <f t="shared" si="33"/>
        <v>0</v>
      </c>
      <c r="AB524" s="8">
        <f t="shared" si="34"/>
        <v>0</v>
      </c>
      <c r="AC524" s="8">
        <f t="shared" si="35"/>
        <v>0</v>
      </c>
      <c r="AD524" s="8">
        <f t="shared" si="36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37"/>
        <v>LT. PINK</v>
      </c>
      <c r="AG524" s="11" t="str">
        <f t="shared" si="38"/>
        <v>Bangalore</v>
      </c>
    </row>
    <row r="525" spans="1:33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0"/>
        <v>441857186</v>
      </c>
      <c r="Y525" s="8" t="str">
        <f t="shared" si="31"/>
        <v>DC</v>
      </c>
      <c r="Z525" s="8">
        <f t="shared" si="32"/>
        <v>30</v>
      </c>
      <c r="AA525" s="8">
        <f t="shared" si="33"/>
        <v>0</v>
      </c>
      <c r="AB525" s="8">
        <f t="shared" si="34"/>
        <v>0</v>
      </c>
      <c r="AC525" s="8">
        <f t="shared" si="35"/>
        <v>0</v>
      </c>
      <c r="AD525" s="8">
        <f t="shared" si="36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37"/>
        <v>CREAM</v>
      </c>
      <c r="AG525" s="11" t="str">
        <f t="shared" si="38"/>
        <v>JHAJJAR</v>
      </c>
    </row>
    <row r="526" spans="1:33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0"/>
        <v>441857186</v>
      </c>
      <c r="Y526" s="8" t="str">
        <f t="shared" si="31"/>
        <v>DC</v>
      </c>
      <c r="Z526" s="8">
        <f t="shared" si="32"/>
        <v>0</v>
      </c>
      <c r="AA526" s="8">
        <f t="shared" si="33"/>
        <v>112</v>
      </c>
      <c r="AB526" s="8">
        <f t="shared" si="34"/>
        <v>0</v>
      </c>
      <c r="AC526" s="8">
        <f t="shared" si="35"/>
        <v>0</v>
      </c>
      <c r="AD526" s="8">
        <f t="shared" si="36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37"/>
        <v>CREAM</v>
      </c>
      <c r="AG526" s="11" t="str">
        <f t="shared" si="38"/>
        <v>JHAJJAR</v>
      </c>
    </row>
    <row r="527" spans="1:33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0"/>
        <v>441857186</v>
      </c>
      <c r="Y527" s="8" t="str">
        <f t="shared" si="31"/>
        <v>DC</v>
      </c>
      <c r="Z527" s="8">
        <f t="shared" si="32"/>
        <v>0</v>
      </c>
      <c r="AA527" s="8">
        <f t="shared" si="33"/>
        <v>0</v>
      </c>
      <c r="AB527" s="8">
        <f t="shared" si="34"/>
        <v>126</v>
      </c>
      <c r="AC527" s="8">
        <f t="shared" si="35"/>
        <v>0</v>
      </c>
      <c r="AD527" s="8">
        <f t="shared" si="36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37"/>
        <v>CREAM</v>
      </c>
      <c r="AG527" s="11" t="str">
        <f t="shared" si="38"/>
        <v>JHAJJAR</v>
      </c>
    </row>
    <row r="528" spans="1:33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0"/>
        <v>441857186</v>
      </c>
      <c r="Y528" s="8" t="str">
        <f t="shared" si="31"/>
        <v>DC</v>
      </c>
      <c r="Z528" s="8">
        <f t="shared" si="32"/>
        <v>0</v>
      </c>
      <c r="AA528" s="8">
        <f t="shared" si="33"/>
        <v>0</v>
      </c>
      <c r="AB528" s="8">
        <f t="shared" si="34"/>
        <v>0</v>
      </c>
      <c r="AC528" s="8">
        <f t="shared" si="35"/>
        <v>147</v>
      </c>
      <c r="AD528" s="8">
        <f t="shared" si="36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37"/>
        <v>CREAM</v>
      </c>
      <c r="AG528" s="11" t="str">
        <f t="shared" si="38"/>
        <v>JHAJJAR</v>
      </c>
    </row>
    <row r="529" spans="1:33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0"/>
        <v>441857186</v>
      </c>
      <c r="Y529" s="8" t="str">
        <f t="shared" si="31"/>
        <v>DC</v>
      </c>
      <c r="Z529" s="8">
        <f t="shared" si="32"/>
        <v>0</v>
      </c>
      <c r="AA529" s="8">
        <f t="shared" si="33"/>
        <v>0</v>
      </c>
      <c r="AB529" s="8">
        <f t="shared" si="34"/>
        <v>0</v>
      </c>
      <c r="AC529" s="8">
        <f t="shared" si="35"/>
        <v>0</v>
      </c>
      <c r="AD529" s="8">
        <f t="shared" si="36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37"/>
        <v>CREAM</v>
      </c>
      <c r="AG529" s="11" t="str">
        <f t="shared" si="38"/>
        <v>JHAJJAR</v>
      </c>
    </row>
    <row r="530" spans="1:33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0"/>
        <v>441857185</v>
      </c>
      <c r="Y530" s="8" t="str">
        <f t="shared" si="31"/>
        <v>DC</v>
      </c>
      <c r="Z530" s="8">
        <f t="shared" si="32"/>
        <v>30</v>
      </c>
      <c r="AA530" s="8">
        <f t="shared" si="33"/>
        <v>0</v>
      </c>
      <c r="AB530" s="8">
        <f t="shared" si="34"/>
        <v>0</v>
      </c>
      <c r="AC530" s="8">
        <f t="shared" si="35"/>
        <v>0</v>
      </c>
      <c r="AD530" s="8">
        <f t="shared" si="36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37"/>
        <v>BLUE</v>
      </c>
      <c r="AG530" s="11" t="str">
        <f t="shared" si="38"/>
        <v>JHAJJAR</v>
      </c>
    </row>
    <row r="531" spans="1:33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0"/>
        <v>441857185</v>
      </c>
      <c r="Y531" s="8" t="str">
        <f t="shared" si="31"/>
        <v>DC</v>
      </c>
      <c r="Z531" s="8">
        <f t="shared" si="32"/>
        <v>0</v>
      </c>
      <c r="AA531" s="8">
        <f t="shared" si="33"/>
        <v>112</v>
      </c>
      <c r="AB531" s="8">
        <f t="shared" si="34"/>
        <v>0</v>
      </c>
      <c r="AC531" s="8">
        <f t="shared" si="35"/>
        <v>0</v>
      </c>
      <c r="AD531" s="8">
        <f t="shared" si="36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37"/>
        <v>BLUE</v>
      </c>
      <c r="AG531" s="11" t="str">
        <f t="shared" si="38"/>
        <v>JHAJJAR</v>
      </c>
    </row>
    <row r="532" spans="1:33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0"/>
        <v>441857185</v>
      </c>
      <c r="Y532" s="8" t="str">
        <f t="shared" si="31"/>
        <v>DC</v>
      </c>
      <c r="Z532" s="8">
        <f t="shared" si="32"/>
        <v>0</v>
      </c>
      <c r="AA532" s="8">
        <f t="shared" si="33"/>
        <v>0</v>
      </c>
      <c r="AB532" s="8">
        <f t="shared" si="34"/>
        <v>126</v>
      </c>
      <c r="AC532" s="8">
        <f t="shared" si="35"/>
        <v>0</v>
      </c>
      <c r="AD532" s="8">
        <f t="shared" si="36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37"/>
        <v>BLUE</v>
      </c>
      <c r="AG532" s="11" t="str">
        <f t="shared" si="38"/>
        <v>JHAJJAR</v>
      </c>
    </row>
    <row r="533" spans="1:33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0"/>
        <v>441857185</v>
      </c>
      <c r="Y533" s="8" t="str">
        <f t="shared" si="31"/>
        <v>DC</v>
      </c>
      <c r="Z533" s="8">
        <f t="shared" si="32"/>
        <v>0</v>
      </c>
      <c r="AA533" s="8">
        <f t="shared" si="33"/>
        <v>0</v>
      </c>
      <c r="AB533" s="8">
        <f t="shared" si="34"/>
        <v>0</v>
      </c>
      <c r="AC533" s="8">
        <f t="shared" si="35"/>
        <v>147</v>
      </c>
      <c r="AD533" s="8">
        <f t="shared" si="36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37"/>
        <v>BLUE</v>
      </c>
      <c r="AG533" s="11" t="str">
        <f t="shared" si="38"/>
        <v>JHAJJAR</v>
      </c>
    </row>
    <row r="534" spans="1:33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0"/>
        <v>441857185</v>
      </c>
      <c r="Y534" s="8" t="str">
        <f t="shared" si="31"/>
        <v>DC</v>
      </c>
      <c r="Z534" s="8">
        <f t="shared" si="32"/>
        <v>0</v>
      </c>
      <c r="AA534" s="8">
        <f t="shared" si="33"/>
        <v>0</v>
      </c>
      <c r="AB534" s="8">
        <f t="shared" si="34"/>
        <v>0</v>
      </c>
      <c r="AC534" s="8">
        <f t="shared" si="35"/>
        <v>0</v>
      </c>
      <c r="AD534" s="8">
        <f t="shared" si="36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37"/>
        <v>BLUE</v>
      </c>
      <c r="AG534" s="11" t="str">
        <f t="shared" si="38"/>
        <v>JHAJJAR</v>
      </c>
    </row>
    <row r="535" spans="1:33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0"/>
        <v>441857184</v>
      </c>
      <c r="Y535" s="8" t="str">
        <f t="shared" si="31"/>
        <v>DC</v>
      </c>
      <c r="Z535" s="8">
        <f t="shared" si="32"/>
        <v>30</v>
      </c>
      <c r="AA535" s="8">
        <f t="shared" si="33"/>
        <v>0</v>
      </c>
      <c r="AB535" s="8">
        <f t="shared" si="34"/>
        <v>0</v>
      </c>
      <c r="AC535" s="8">
        <f t="shared" si="35"/>
        <v>0</v>
      </c>
      <c r="AD535" s="8">
        <f t="shared" si="36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37"/>
        <v>CORAL</v>
      </c>
      <c r="AG535" s="11" t="str">
        <f t="shared" si="38"/>
        <v>JHAJJAR</v>
      </c>
    </row>
    <row r="536" spans="1:33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0"/>
        <v>441857184</v>
      </c>
      <c r="Y536" s="8" t="str">
        <f t="shared" si="31"/>
        <v>DC</v>
      </c>
      <c r="Z536" s="8">
        <f t="shared" si="32"/>
        <v>0</v>
      </c>
      <c r="AA536" s="8">
        <f t="shared" si="33"/>
        <v>112</v>
      </c>
      <c r="AB536" s="8">
        <f t="shared" si="34"/>
        <v>0</v>
      </c>
      <c r="AC536" s="8">
        <f t="shared" si="35"/>
        <v>0</v>
      </c>
      <c r="AD536" s="8">
        <f t="shared" si="36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37"/>
        <v>CORAL</v>
      </c>
      <c r="AG536" s="11" t="str">
        <f t="shared" si="38"/>
        <v>JHAJJAR</v>
      </c>
    </row>
    <row r="537" spans="1:33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0"/>
        <v>441857184</v>
      </c>
      <c r="Y537" s="8" t="str">
        <f t="shared" si="31"/>
        <v>DC</v>
      </c>
      <c r="Z537" s="8">
        <f t="shared" si="32"/>
        <v>0</v>
      </c>
      <c r="AA537" s="8">
        <f t="shared" si="33"/>
        <v>0</v>
      </c>
      <c r="AB537" s="8">
        <f t="shared" si="34"/>
        <v>126</v>
      </c>
      <c r="AC537" s="8">
        <f t="shared" si="35"/>
        <v>0</v>
      </c>
      <c r="AD537" s="8">
        <f t="shared" si="36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37"/>
        <v>CORAL</v>
      </c>
      <c r="AG537" s="11" t="str">
        <f t="shared" si="38"/>
        <v>JHAJJAR</v>
      </c>
    </row>
    <row r="538" spans="1:33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0"/>
        <v>441857184</v>
      </c>
      <c r="Y538" s="8" t="str">
        <f t="shared" si="31"/>
        <v>DC</v>
      </c>
      <c r="Z538" s="8">
        <f t="shared" si="32"/>
        <v>0</v>
      </c>
      <c r="AA538" s="8">
        <f t="shared" si="33"/>
        <v>0</v>
      </c>
      <c r="AB538" s="8">
        <f t="shared" si="34"/>
        <v>0</v>
      </c>
      <c r="AC538" s="8">
        <f t="shared" si="35"/>
        <v>147</v>
      </c>
      <c r="AD538" s="8">
        <f t="shared" si="36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37"/>
        <v>CORAL</v>
      </c>
      <c r="AG538" s="11" t="str">
        <f t="shared" si="38"/>
        <v>JHAJJAR</v>
      </c>
    </row>
    <row r="539" spans="1:33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0"/>
        <v>441857184</v>
      </c>
      <c r="Y539" s="8" t="str">
        <f t="shared" si="31"/>
        <v>DC</v>
      </c>
      <c r="Z539" s="8">
        <f t="shared" si="32"/>
        <v>0</v>
      </c>
      <c r="AA539" s="8">
        <f t="shared" si="33"/>
        <v>0</v>
      </c>
      <c r="AB539" s="8">
        <f t="shared" si="34"/>
        <v>0</v>
      </c>
      <c r="AC539" s="8">
        <f t="shared" si="35"/>
        <v>0</v>
      </c>
      <c r="AD539" s="8">
        <f t="shared" si="36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37"/>
        <v>CORAL</v>
      </c>
      <c r="AG539" s="11" t="str">
        <f t="shared" si="38"/>
        <v>JHAJJAR</v>
      </c>
    </row>
    <row r="540" spans="1:33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0"/>
        <v>441857183</v>
      </c>
      <c r="Y540" s="8" t="str">
        <f t="shared" si="31"/>
        <v>DC</v>
      </c>
      <c r="Z540" s="8">
        <f t="shared" si="32"/>
        <v>30</v>
      </c>
      <c r="AA540" s="8">
        <f t="shared" si="33"/>
        <v>0</v>
      </c>
      <c r="AB540" s="8">
        <f t="shared" si="34"/>
        <v>0</v>
      </c>
      <c r="AC540" s="8">
        <f t="shared" si="35"/>
        <v>0</v>
      </c>
      <c r="AD540" s="8">
        <f t="shared" si="36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37"/>
        <v>LT. PINK</v>
      </c>
      <c r="AG540" s="11" t="str">
        <f t="shared" si="38"/>
        <v>JHAJJAR</v>
      </c>
    </row>
    <row r="541" spans="1:33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0"/>
        <v>441857183</v>
      </c>
      <c r="Y541" s="8" t="str">
        <f t="shared" si="31"/>
        <v>DC</v>
      </c>
      <c r="Z541" s="8">
        <f t="shared" si="32"/>
        <v>0</v>
      </c>
      <c r="AA541" s="8">
        <f t="shared" si="33"/>
        <v>112</v>
      </c>
      <c r="AB541" s="8">
        <f t="shared" si="34"/>
        <v>0</v>
      </c>
      <c r="AC541" s="8">
        <f t="shared" si="35"/>
        <v>0</v>
      </c>
      <c r="AD541" s="8">
        <f t="shared" si="36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37"/>
        <v>LT. PINK</v>
      </c>
      <c r="AG541" s="11" t="str">
        <f t="shared" si="38"/>
        <v>JHAJJAR</v>
      </c>
    </row>
    <row r="542" spans="1:33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0"/>
        <v>441857183</v>
      </c>
      <c r="Y542" s="8" t="str">
        <f t="shared" si="31"/>
        <v>DC</v>
      </c>
      <c r="Z542" s="8">
        <f t="shared" si="32"/>
        <v>0</v>
      </c>
      <c r="AA542" s="8">
        <f t="shared" si="33"/>
        <v>0</v>
      </c>
      <c r="AB542" s="8">
        <f t="shared" si="34"/>
        <v>126</v>
      </c>
      <c r="AC542" s="8">
        <f t="shared" si="35"/>
        <v>0</v>
      </c>
      <c r="AD542" s="8">
        <f t="shared" si="36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37"/>
        <v>LT. PINK</v>
      </c>
      <c r="AG542" s="11" t="str">
        <f t="shared" si="38"/>
        <v>JHAJJAR</v>
      </c>
    </row>
    <row r="543" spans="1:33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0"/>
        <v>441857183</v>
      </c>
      <c r="Y543" s="8" t="str">
        <f t="shared" si="31"/>
        <v>DC</v>
      </c>
      <c r="Z543" s="8">
        <f t="shared" si="32"/>
        <v>0</v>
      </c>
      <c r="AA543" s="8">
        <f t="shared" si="33"/>
        <v>0</v>
      </c>
      <c r="AB543" s="8">
        <f t="shared" si="34"/>
        <v>0</v>
      </c>
      <c r="AC543" s="8">
        <f t="shared" si="35"/>
        <v>147</v>
      </c>
      <c r="AD543" s="8">
        <f t="shared" si="36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37"/>
        <v>LT. PINK</v>
      </c>
      <c r="AG543" s="11" t="str">
        <f t="shared" si="38"/>
        <v>JHAJJAR</v>
      </c>
    </row>
    <row r="544" spans="1:33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0"/>
        <v>441857183</v>
      </c>
      <c r="Y544" s="8" t="str">
        <f t="shared" si="31"/>
        <v>DC</v>
      </c>
      <c r="Z544" s="8">
        <f t="shared" si="32"/>
        <v>0</v>
      </c>
      <c r="AA544" s="8">
        <f t="shared" si="33"/>
        <v>0</v>
      </c>
      <c r="AB544" s="8">
        <f t="shared" si="34"/>
        <v>0</v>
      </c>
      <c r="AC544" s="8">
        <f t="shared" si="35"/>
        <v>0</v>
      </c>
      <c r="AD544" s="8">
        <f t="shared" si="36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37"/>
        <v>LT. PINK</v>
      </c>
      <c r="AG544" s="11" t="str">
        <f t="shared" si="38"/>
        <v>JHAJJAR</v>
      </c>
    </row>
    <row r="545" spans="1:33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0"/>
        <v>441857186</v>
      </c>
      <c r="Y545" s="8" t="str">
        <f t="shared" si="31"/>
        <v>DC</v>
      </c>
      <c r="Z545" s="8">
        <f t="shared" si="32"/>
        <v>30</v>
      </c>
      <c r="AA545" s="8">
        <f t="shared" si="33"/>
        <v>0</v>
      </c>
      <c r="AB545" s="8">
        <f t="shared" si="34"/>
        <v>0</v>
      </c>
      <c r="AC545" s="8">
        <f t="shared" si="35"/>
        <v>0</v>
      </c>
      <c r="AD545" s="8">
        <f t="shared" si="36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37"/>
        <v>CREAM</v>
      </c>
      <c r="AG545" s="11" t="str">
        <f t="shared" si="38"/>
        <v>HARIPAL</v>
      </c>
    </row>
    <row r="546" spans="1:33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0"/>
        <v>441857186</v>
      </c>
      <c r="Y546" s="8" t="str">
        <f t="shared" si="31"/>
        <v>DC</v>
      </c>
      <c r="Z546" s="8">
        <f t="shared" si="32"/>
        <v>0</v>
      </c>
      <c r="AA546" s="8">
        <f t="shared" si="33"/>
        <v>106</v>
      </c>
      <c r="AB546" s="8">
        <f t="shared" si="34"/>
        <v>0</v>
      </c>
      <c r="AC546" s="8">
        <f t="shared" si="35"/>
        <v>0</v>
      </c>
      <c r="AD546" s="8">
        <f t="shared" si="36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37"/>
        <v>CREAM</v>
      </c>
      <c r="AG546" s="11" t="str">
        <f t="shared" si="38"/>
        <v>HARIPAL</v>
      </c>
    </row>
    <row r="547" spans="1:33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0"/>
        <v>441857186</v>
      </c>
      <c r="Y547" s="8" t="str">
        <f t="shared" si="31"/>
        <v>DC</v>
      </c>
      <c r="Z547" s="8">
        <f t="shared" si="32"/>
        <v>0</v>
      </c>
      <c r="AA547" s="8">
        <f t="shared" si="33"/>
        <v>0</v>
      </c>
      <c r="AB547" s="8">
        <f t="shared" si="34"/>
        <v>119</v>
      </c>
      <c r="AC547" s="8">
        <f t="shared" si="35"/>
        <v>0</v>
      </c>
      <c r="AD547" s="8">
        <f t="shared" si="36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37"/>
        <v>CREAM</v>
      </c>
      <c r="AG547" s="11" t="str">
        <f t="shared" si="38"/>
        <v>HARIPAL</v>
      </c>
    </row>
    <row r="548" spans="1:33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0"/>
        <v>441857186</v>
      </c>
      <c r="Y548" s="8" t="str">
        <f t="shared" si="31"/>
        <v>DC</v>
      </c>
      <c r="Z548" s="8">
        <f t="shared" si="32"/>
        <v>0</v>
      </c>
      <c r="AA548" s="8">
        <f t="shared" si="33"/>
        <v>0</v>
      </c>
      <c r="AB548" s="8">
        <f t="shared" si="34"/>
        <v>0</v>
      </c>
      <c r="AC548" s="8">
        <f t="shared" si="35"/>
        <v>139</v>
      </c>
      <c r="AD548" s="8">
        <f t="shared" si="36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37"/>
        <v>CREAM</v>
      </c>
      <c r="AG548" s="11" t="str">
        <f t="shared" si="38"/>
        <v>HARIPAL</v>
      </c>
    </row>
    <row r="549" spans="1:33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0"/>
        <v>441857186</v>
      </c>
      <c r="Y549" s="8" t="str">
        <f t="shared" si="31"/>
        <v>DC</v>
      </c>
      <c r="Z549" s="8">
        <f t="shared" si="32"/>
        <v>0</v>
      </c>
      <c r="AA549" s="8">
        <f t="shared" si="33"/>
        <v>0</v>
      </c>
      <c r="AB549" s="8">
        <f t="shared" si="34"/>
        <v>0</v>
      </c>
      <c r="AC549" s="8">
        <f t="shared" si="35"/>
        <v>0</v>
      </c>
      <c r="AD549" s="8">
        <f t="shared" si="36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37"/>
        <v>CREAM</v>
      </c>
      <c r="AG549" s="11" t="str">
        <f t="shared" si="38"/>
        <v>HARIPAL</v>
      </c>
    </row>
    <row r="550" spans="1:33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0"/>
        <v>441857185</v>
      </c>
      <c r="Y550" s="8" t="str">
        <f t="shared" si="31"/>
        <v>DC</v>
      </c>
      <c r="Z550" s="8">
        <f t="shared" si="32"/>
        <v>30</v>
      </c>
      <c r="AA550" s="8">
        <f t="shared" si="33"/>
        <v>0</v>
      </c>
      <c r="AB550" s="8">
        <f t="shared" si="34"/>
        <v>0</v>
      </c>
      <c r="AC550" s="8">
        <f t="shared" si="35"/>
        <v>0</v>
      </c>
      <c r="AD550" s="8">
        <f t="shared" si="36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37"/>
        <v>BLUE</v>
      </c>
      <c r="AG550" s="11" t="str">
        <f t="shared" si="38"/>
        <v>HARIPAL</v>
      </c>
    </row>
    <row r="551" spans="1:33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0"/>
        <v>441857185</v>
      </c>
      <c r="Y551" s="8" t="str">
        <f t="shared" si="31"/>
        <v>DC</v>
      </c>
      <c r="Z551" s="8">
        <f t="shared" si="32"/>
        <v>0</v>
      </c>
      <c r="AA551" s="8">
        <f t="shared" si="33"/>
        <v>106</v>
      </c>
      <c r="AB551" s="8">
        <f t="shared" si="34"/>
        <v>0</v>
      </c>
      <c r="AC551" s="8">
        <f t="shared" si="35"/>
        <v>0</v>
      </c>
      <c r="AD551" s="8">
        <f t="shared" si="36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37"/>
        <v>BLUE</v>
      </c>
      <c r="AG551" s="11" t="str">
        <f t="shared" si="38"/>
        <v>HARIPAL</v>
      </c>
    </row>
    <row r="552" spans="1:33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0"/>
        <v>441857185</v>
      </c>
      <c r="Y552" s="8" t="str">
        <f t="shared" si="31"/>
        <v>DC</v>
      </c>
      <c r="Z552" s="8">
        <f t="shared" si="32"/>
        <v>0</v>
      </c>
      <c r="AA552" s="8">
        <f t="shared" si="33"/>
        <v>0</v>
      </c>
      <c r="AB552" s="8">
        <f t="shared" si="34"/>
        <v>119</v>
      </c>
      <c r="AC552" s="8">
        <f t="shared" si="35"/>
        <v>0</v>
      </c>
      <c r="AD552" s="8">
        <f t="shared" si="36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37"/>
        <v>BLUE</v>
      </c>
      <c r="AG552" s="11" t="str">
        <f t="shared" si="38"/>
        <v>HARIPAL</v>
      </c>
    </row>
    <row r="553" spans="1:33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0"/>
        <v>441857185</v>
      </c>
      <c r="Y553" s="8" t="str">
        <f t="shared" si="31"/>
        <v>DC</v>
      </c>
      <c r="Z553" s="8">
        <f t="shared" si="32"/>
        <v>0</v>
      </c>
      <c r="AA553" s="8">
        <f t="shared" si="33"/>
        <v>0</v>
      </c>
      <c r="AB553" s="8">
        <f t="shared" si="34"/>
        <v>0</v>
      </c>
      <c r="AC553" s="8">
        <f t="shared" si="35"/>
        <v>139</v>
      </c>
      <c r="AD553" s="8">
        <f t="shared" si="36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37"/>
        <v>BLUE</v>
      </c>
      <c r="AG553" s="11" t="str">
        <f t="shared" si="38"/>
        <v>HARIPAL</v>
      </c>
    </row>
    <row r="554" spans="1:33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0"/>
        <v>441857185</v>
      </c>
      <c r="Y554" s="8" t="str">
        <f t="shared" si="31"/>
        <v>DC</v>
      </c>
      <c r="Z554" s="8">
        <f t="shared" si="32"/>
        <v>0</v>
      </c>
      <c r="AA554" s="8">
        <f t="shared" si="33"/>
        <v>0</v>
      </c>
      <c r="AB554" s="8">
        <f t="shared" si="34"/>
        <v>0</v>
      </c>
      <c r="AC554" s="8">
        <f t="shared" si="35"/>
        <v>0</v>
      </c>
      <c r="AD554" s="8">
        <f t="shared" si="36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37"/>
        <v>BLUE</v>
      </c>
      <c r="AG554" s="11" t="str">
        <f t="shared" si="38"/>
        <v>HARIPAL</v>
      </c>
    </row>
    <row r="555" spans="1:33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0"/>
        <v>441857184</v>
      </c>
      <c r="Y555" s="8" t="str">
        <f t="shared" si="31"/>
        <v>DC</v>
      </c>
      <c r="Z555" s="8">
        <f t="shared" si="32"/>
        <v>30</v>
      </c>
      <c r="AA555" s="8">
        <f t="shared" si="33"/>
        <v>0</v>
      </c>
      <c r="AB555" s="8">
        <f t="shared" si="34"/>
        <v>0</v>
      </c>
      <c r="AC555" s="8">
        <f t="shared" si="35"/>
        <v>0</v>
      </c>
      <c r="AD555" s="8">
        <f t="shared" si="36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37"/>
        <v>CORAL</v>
      </c>
      <c r="AG555" s="11" t="str">
        <f t="shared" si="38"/>
        <v>HARIPAL</v>
      </c>
    </row>
    <row r="556" spans="1:33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0"/>
        <v>441857184</v>
      </c>
      <c r="Y556" s="8" t="str">
        <f t="shared" si="31"/>
        <v>DC</v>
      </c>
      <c r="Z556" s="8">
        <f t="shared" si="32"/>
        <v>0</v>
      </c>
      <c r="AA556" s="8">
        <f t="shared" si="33"/>
        <v>106</v>
      </c>
      <c r="AB556" s="8">
        <f t="shared" si="34"/>
        <v>0</v>
      </c>
      <c r="AC556" s="8">
        <f t="shared" si="35"/>
        <v>0</v>
      </c>
      <c r="AD556" s="8">
        <f t="shared" si="36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37"/>
        <v>CORAL</v>
      </c>
      <c r="AG556" s="11" t="str">
        <f t="shared" si="38"/>
        <v>HARIPAL</v>
      </c>
    </row>
    <row r="557" spans="1:33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0"/>
        <v>441857184</v>
      </c>
      <c r="Y557" s="8" t="str">
        <f t="shared" si="31"/>
        <v>DC</v>
      </c>
      <c r="Z557" s="8">
        <f t="shared" si="32"/>
        <v>0</v>
      </c>
      <c r="AA557" s="8">
        <f t="shared" si="33"/>
        <v>0</v>
      </c>
      <c r="AB557" s="8">
        <f t="shared" si="34"/>
        <v>119</v>
      </c>
      <c r="AC557" s="8">
        <f t="shared" si="35"/>
        <v>0</v>
      </c>
      <c r="AD557" s="8">
        <f t="shared" si="36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37"/>
        <v>CORAL</v>
      </c>
      <c r="AG557" s="11" t="str">
        <f t="shared" si="38"/>
        <v>HARIPAL</v>
      </c>
    </row>
    <row r="558" spans="1:33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0"/>
        <v>441857184</v>
      </c>
      <c r="Y558" s="8" t="str">
        <f t="shared" si="31"/>
        <v>DC</v>
      </c>
      <c r="Z558" s="8">
        <f t="shared" si="32"/>
        <v>0</v>
      </c>
      <c r="AA558" s="8">
        <f t="shared" si="33"/>
        <v>0</v>
      </c>
      <c r="AB558" s="8">
        <f t="shared" si="34"/>
        <v>0</v>
      </c>
      <c r="AC558" s="8">
        <f t="shared" si="35"/>
        <v>139</v>
      </c>
      <c r="AD558" s="8">
        <f t="shared" si="36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37"/>
        <v>CORAL</v>
      </c>
      <c r="AG558" s="11" t="str">
        <f t="shared" si="38"/>
        <v>HARIPAL</v>
      </c>
    </row>
    <row r="559" spans="1:33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0"/>
        <v>441857184</v>
      </c>
      <c r="Y559" s="8" t="str">
        <f t="shared" si="31"/>
        <v>DC</v>
      </c>
      <c r="Z559" s="8">
        <f t="shared" si="32"/>
        <v>0</v>
      </c>
      <c r="AA559" s="8">
        <f t="shared" si="33"/>
        <v>0</v>
      </c>
      <c r="AB559" s="8">
        <f t="shared" si="34"/>
        <v>0</v>
      </c>
      <c r="AC559" s="8">
        <f t="shared" si="35"/>
        <v>0</v>
      </c>
      <c r="AD559" s="8">
        <f t="shared" si="36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37"/>
        <v>CORAL</v>
      </c>
      <c r="AG559" s="11" t="str">
        <f t="shared" si="38"/>
        <v>HARIPAL</v>
      </c>
    </row>
    <row r="560" spans="1:33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0"/>
        <v>441857183</v>
      </c>
      <c r="Y560" s="8" t="str">
        <f t="shared" si="31"/>
        <v>DC</v>
      </c>
      <c r="Z560" s="8">
        <f t="shared" si="32"/>
        <v>30</v>
      </c>
      <c r="AA560" s="8">
        <f t="shared" si="33"/>
        <v>0</v>
      </c>
      <c r="AB560" s="8">
        <f t="shared" si="34"/>
        <v>0</v>
      </c>
      <c r="AC560" s="8">
        <f t="shared" si="35"/>
        <v>0</v>
      </c>
      <c r="AD560" s="8">
        <f t="shared" si="36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37"/>
        <v>LT. PINK</v>
      </c>
      <c r="AG560" s="11" t="str">
        <f t="shared" si="38"/>
        <v>HARIPAL</v>
      </c>
    </row>
    <row r="561" spans="1:33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0"/>
        <v>441857183</v>
      </c>
      <c r="Y561" s="8" t="str">
        <f t="shared" si="31"/>
        <v>DC</v>
      </c>
      <c r="Z561" s="8">
        <f t="shared" si="32"/>
        <v>0</v>
      </c>
      <c r="AA561" s="8">
        <f t="shared" si="33"/>
        <v>106</v>
      </c>
      <c r="AB561" s="8">
        <f t="shared" si="34"/>
        <v>0</v>
      </c>
      <c r="AC561" s="8">
        <f t="shared" si="35"/>
        <v>0</v>
      </c>
      <c r="AD561" s="8">
        <f t="shared" si="36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37"/>
        <v>LT. PINK</v>
      </c>
      <c r="AG561" s="11" t="str">
        <f t="shared" si="38"/>
        <v>HARIPAL</v>
      </c>
    </row>
    <row r="562" spans="1:33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0"/>
        <v>441857183</v>
      </c>
      <c r="Y562" s="8" t="str">
        <f t="shared" si="31"/>
        <v>DC</v>
      </c>
      <c r="Z562" s="8">
        <f t="shared" si="32"/>
        <v>0</v>
      </c>
      <c r="AA562" s="8">
        <f t="shared" si="33"/>
        <v>0</v>
      </c>
      <c r="AB562" s="8">
        <f t="shared" si="34"/>
        <v>119</v>
      </c>
      <c r="AC562" s="8">
        <f t="shared" si="35"/>
        <v>0</v>
      </c>
      <c r="AD562" s="8">
        <f t="shared" si="36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37"/>
        <v>LT. PINK</v>
      </c>
      <c r="AG562" s="11" t="str">
        <f t="shared" si="38"/>
        <v>HARIPAL</v>
      </c>
    </row>
    <row r="563" spans="1:33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0"/>
        <v>441857183</v>
      </c>
      <c r="Y563" s="8" t="str">
        <f t="shared" si="31"/>
        <v>DC</v>
      </c>
      <c r="Z563" s="8">
        <f t="shared" si="32"/>
        <v>0</v>
      </c>
      <c r="AA563" s="8">
        <f t="shared" si="33"/>
        <v>0</v>
      </c>
      <c r="AB563" s="8">
        <f t="shared" si="34"/>
        <v>0</v>
      </c>
      <c r="AC563" s="8">
        <f t="shared" si="35"/>
        <v>139</v>
      </c>
      <c r="AD563" s="8">
        <f t="shared" si="36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37"/>
        <v>LT. PINK</v>
      </c>
      <c r="AG563" s="11" t="str">
        <f t="shared" si="38"/>
        <v>HARIPAL</v>
      </c>
    </row>
    <row r="564" spans="1:33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0"/>
        <v>441857183</v>
      </c>
      <c r="Y564" s="8" t="str">
        <f t="shared" si="31"/>
        <v>DC</v>
      </c>
      <c r="Z564" s="8">
        <f t="shared" si="32"/>
        <v>0</v>
      </c>
      <c r="AA564" s="8">
        <f t="shared" si="33"/>
        <v>0</v>
      </c>
      <c r="AB564" s="8">
        <f t="shared" si="34"/>
        <v>0</v>
      </c>
      <c r="AC564" s="8">
        <f t="shared" si="35"/>
        <v>0</v>
      </c>
      <c r="AD564" s="8">
        <f t="shared" si="36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37"/>
        <v>LT. PINK</v>
      </c>
      <c r="AG564" s="11" t="str">
        <f t="shared" si="38"/>
        <v>HARIPAL</v>
      </c>
    </row>
    <row r="565" spans="1:33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0"/>
        <v>441857089</v>
      </c>
      <c r="Y565" s="8" t="str">
        <f t="shared" si="31"/>
        <v>DC</v>
      </c>
      <c r="Z565" s="8">
        <f t="shared" si="32"/>
        <v>0</v>
      </c>
      <c r="AA565" s="8">
        <f t="shared" si="33"/>
        <v>0</v>
      </c>
      <c r="AB565" s="8">
        <f t="shared" si="34"/>
        <v>318</v>
      </c>
      <c r="AC565" s="8">
        <f t="shared" si="35"/>
        <v>0</v>
      </c>
      <c r="AD565" s="8">
        <f t="shared" si="36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37"/>
        <v>SAGE GREEN</v>
      </c>
      <c r="AG565" s="11" t="str">
        <f t="shared" si="38"/>
        <v>Bangalore</v>
      </c>
    </row>
    <row r="566" spans="1:33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0"/>
        <v>441857089</v>
      </c>
      <c r="Y566" s="8" t="str">
        <f t="shared" si="31"/>
        <v>DC</v>
      </c>
      <c r="Z566" s="8">
        <f t="shared" si="32"/>
        <v>0</v>
      </c>
      <c r="AA566" s="8">
        <f t="shared" si="33"/>
        <v>283</v>
      </c>
      <c r="AB566" s="8">
        <f t="shared" si="34"/>
        <v>0</v>
      </c>
      <c r="AC566" s="8">
        <f t="shared" si="35"/>
        <v>0</v>
      </c>
      <c r="AD566" s="8">
        <f t="shared" si="36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37"/>
        <v>SAGE GREEN</v>
      </c>
      <c r="AG566" s="11" t="str">
        <f t="shared" si="38"/>
        <v>Bangalore</v>
      </c>
    </row>
    <row r="567" spans="1:33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0"/>
        <v>441857089</v>
      </c>
      <c r="Y567" s="8" t="str">
        <f t="shared" si="31"/>
        <v>DC</v>
      </c>
      <c r="Z567" s="8">
        <f t="shared" si="32"/>
        <v>0</v>
      </c>
      <c r="AA567" s="8">
        <f t="shared" si="33"/>
        <v>0</v>
      </c>
      <c r="AB567" s="8">
        <f t="shared" si="34"/>
        <v>0</v>
      </c>
      <c r="AC567" s="8">
        <f t="shared" si="35"/>
        <v>0</v>
      </c>
      <c r="AD567" s="8">
        <f t="shared" si="36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37"/>
        <v>RUST</v>
      </c>
      <c r="AG567" s="11" t="str">
        <f t="shared" si="38"/>
        <v>Bangalore</v>
      </c>
    </row>
    <row r="568" spans="1:33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0"/>
        <v>441857089</v>
      </c>
      <c r="Y568" s="8" t="str">
        <f t="shared" si="31"/>
        <v>DC</v>
      </c>
      <c r="Z568" s="8">
        <f t="shared" si="32"/>
        <v>0</v>
      </c>
      <c r="AA568" s="8">
        <f t="shared" si="33"/>
        <v>0</v>
      </c>
      <c r="AB568" s="8">
        <f t="shared" si="34"/>
        <v>0</v>
      </c>
      <c r="AC568" s="8">
        <f t="shared" si="35"/>
        <v>425</v>
      </c>
      <c r="AD568" s="8">
        <f t="shared" si="36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37"/>
        <v>RUST</v>
      </c>
      <c r="AG568" s="11" t="str">
        <f t="shared" si="38"/>
        <v>Bangalore</v>
      </c>
    </row>
    <row r="569" spans="1:33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0"/>
        <v>441857089</v>
      </c>
      <c r="Y569" s="8" t="str">
        <f t="shared" si="31"/>
        <v>DC</v>
      </c>
      <c r="Z569" s="8">
        <f t="shared" si="32"/>
        <v>0</v>
      </c>
      <c r="AA569" s="8">
        <f t="shared" si="33"/>
        <v>0</v>
      </c>
      <c r="AB569" s="8">
        <f t="shared" si="34"/>
        <v>364</v>
      </c>
      <c r="AC569" s="8">
        <f t="shared" si="35"/>
        <v>0</v>
      </c>
      <c r="AD569" s="8">
        <f t="shared" si="36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37"/>
        <v>RUST</v>
      </c>
      <c r="AG569" s="11" t="str">
        <f t="shared" si="38"/>
        <v>Bangalore</v>
      </c>
    </row>
    <row r="570" spans="1:33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0"/>
        <v>441857089</v>
      </c>
      <c r="Y570" s="8" t="str">
        <f t="shared" si="31"/>
        <v>DC</v>
      </c>
      <c r="Z570" s="8">
        <f t="shared" si="32"/>
        <v>0</v>
      </c>
      <c r="AA570" s="8">
        <f t="shared" si="33"/>
        <v>324</v>
      </c>
      <c r="AB570" s="8">
        <f t="shared" si="34"/>
        <v>0</v>
      </c>
      <c r="AC570" s="8">
        <f t="shared" si="35"/>
        <v>0</v>
      </c>
      <c r="AD570" s="8">
        <f t="shared" si="36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37"/>
        <v>RUST</v>
      </c>
      <c r="AG570" s="11" t="str">
        <f t="shared" si="38"/>
        <v>Bangalore</v>
      </c>
    </row>
    <row r="571" spans="1:33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0"/>
        <v>441857089</v>
      </c>
      <c r="Y571" s="8" t="str">
        <f t="shared" si="31"/>
        <v>DC</v>
      </c>
      <c r="Z571" s="8">
        <f t="shared" si="32"/>
        <v>30</v>
      </c>
      <c r="AA571" s="8">
        <f t="shared" si="33"/>
        <v>0</v>
      </c>
      <c r="AB571" s="8">
        <f t="shared" si="34"/>
        <v>0</v>
      </c>
      <c r="AC571" s="8">
        <f t="shared" si="35"/>
        <v>0</v>
      </c>
      <c r="AD571" s="8">
        <f t="shared" si="36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37"/>
        <v>RUST</v>
      </c>
      <c r="AG571" s="11" t="str">
        <f t="shared" si="38"/>
        <v>Bangalore</v>
      </c>
    </row>
    <row r="572" spans="1:33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0"/>
        <v>441857089</v>
      </c>
      <c r="Y572" s="8" t="str">
        <f t="shared" si="31"/>
        <v>DC</v>
      </c>
      <c r="Z572" s="8">
        <f t="shared" si="32"/>
        <v>0</v>
      </c>
      <c r="AA572" s="8">
        <f t="shared" si="33"/>
        <v>0</v>
      </c>
      <c r="AB572" s="8">
        <f t="shared" si="34"/>
        <v>0</v>
      </c>
      <c r="AC572" s="8">
        <f t="shared" si="35"/>
        <v>0</v>
      </c>
      <c r="AD572" s="8">
        <f t="shared" si="36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37"/>
        <v>OFF WHITE</v>
      </c>
      <c r="AG572" s="11" t="str">
        <f t="shared" si="38"/>
        <v>Bangalore</v>
      </c>
    </row>
    <row r="573" spans="1:33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0"/>
        <v>441857089</v>
      </c>
      <c r="Y573" s="8" t="str">
        <f t="shared" si="31"/>
        <v>DC</v>
      </c>
      <c r="Z573" s="8">
        <f t="shared" si="32"/>
        <v>0</v>
      </c>
      <c r="AA573" s="8">
        <f t="shared" si="33"/>
        <v>0</v>
      </c>
      <c r="AB573" s="8">
        <f t="shared" si="34"/>
        <v>0</v>
      </c>
      <c r="AC573" s="8">
        <f t="shared" si="35"/>
        <v>425</v>
      </c>
      <c r="AD573" s="8">
        <f t="shared" si="36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37"/>
        <v>OFF WHITE</v>
      </c>
      <c r="AG573" s="11" t="str">
        <f t="shared" si="38"/>
        <v>Bangalore</v>
      </c>
    </row>
    <row r="574" spans="1:33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0"/>
        <v>441857089</v>
      </c>
      <c r="Y574" s="8" t="str">
        <f t="shared" si="31"/>
        <v>DC</v>
      </c>
      <c r="Z574" s="8">
        <f t="shared" si="32"/>
        <v>0</v>
      </c>
      <c r="AA574" s="8">
        <f t="shared" si="33"/>
        <v>0</v>
      </c>
      <c r="AB574" s="8">
        <f t="shared" si="34"/>
        <v>364</v>
      </c>
      <c r="AC574" s="8">
        <f t="shared" si="35"/>
        <v>0</v>
      </c>
      <c r="AD574" s="8">
        <f t="shared" si="36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37"/>
        <v>OFF WHITE</v>
      </c>
      <c r="AG574" s="11" t="str">
        <f t="shared" si="38"/>
        <v>Bangalore</v>
      </c>
    </row>
    <row r="575" spans="1:33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0"/>
        <v>441857089</v>
      </c>
      <c r="Y575" s="8" t="str">
        <f t="shared" si="31"/>
        <v>DC</v>
      </c>
      <c r="Z575" s="8">
        <f t="shared" si="32"/>
        <v>0</v>
      </c>
      <c r="AA575" s="8">
        <f t="shared" si="33"/>
        <v>324</v>
      </c>
      <c r="AB575" s="8">
        <f t="shared" si="34"/>
        <v>0</v>
      </c>
      <c r="AC575" s="8">
        <f t="shared" si="35"/>
        <v>0</v>
      </c>
      <c r="AD575" s="8">
        <f t="shared" si="36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37"/>
        <v>OFF WHITE</v>
      </c>
      <c r="AG575" s="11" t="str">
        <f t="shared" si="38"/>
        <v>Bangalore</v>
      </c>
    </row>
    <row r="576" spans="1:33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0"/>
        <v>441857089</v>
      </c>
      <c r="Y576" s="8" t="str">
        <f t="shared" si="31"/>
        <v>DC</v>
      </c>
      <c r="Z576" s="8">
        <f t="shared" si="32"/>
        <v>30</v>
      </c>
      <c r="AA576" s="8">
        <f t="shared" si="33"/>
        <v>0</v>
      </c>
      <c r="AB576" s="8">
        <f t="shared" si="34"/>
        <v>0</v>
      </c>
      <c r="AC576" s="8">
        <f t="shared" si="35"/>
        <v>0</v>
      </c>
      <c r="AD576" s="8">
        <f t="shared" si="36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37"/>
        <v>OFF WHITE</v>
      </c>
      <c r="AG576" s="11" t="str">
        <f t="shared" si="38"/>
        <v>Bangalore</v>
      </c>
    </row>
    <row r="577" spans="1:33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0"/>
        <v>441857089</v>
      </c>
      <c r="Y577" s="8" t="str">
        <f t="shared" si="31"/>
        <v>DC</v>
      </c>
      <c r="Z577" s="8">
        <f t="shared" si="32"/>
        <v>0</v>
      </c>
      <c r="AA577" s="8">
        <f t="shared" si="33"/>
        <v>0</v>
      </c>
      <c r="AB577" s="8">
        <f t="shared" si="34"/>
        <v>0</v>
      </c>
      <c r="AC577" s="8">
        <f t="shared" si="35"/>
        <v>0</v>
      </c>
      <c r="AD577" s="8">
        <f t="shared" si="36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37"/>
        <v>MUSTARD</v>
      </c>
      <c r="AG577" s="11" t="str">
        <f t="shared" si="38"/>
        <v>Bangalore</v>
      </c>
    </row>
    <row r="578" spans="1:33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0"/>
        <v>441857089</v>
      </c>
      <c r="Y578" s="8" t="str">
        <f t="shared" si="31"/>
        <v>DC</v>
      </c>
      <c r="Z578" s="8">
        <f t="shared" si="32"/>
        <v>0</v>
      </c>
      <c r="AA578" s="8">
        <f t="shared" si="33"/>
        <v>0</v>
      </c>
      <c r="AB578" s="8">
        <f t="shared" si="34"/>
        <v>0</v>
      </c>
      <c r="AC578" s="8">
        <f t="shared" si="35"/>
        <v>398</v>
      </c>
      <c r="AD578" s="8">
        <f t="shared" si="36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37"/>
        <v>MUSTARD</v>
      </c>
      <c r="AG578" s="11" t="str">
        <f t="shared" si="38"/>
        <v>Bangalore</v>
      </c>
    </row>
    <row r="579" spans="1:33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0"/>
        <v>441857089</v>
      </c>
      <c r="Y579" s="8" t="str">
        <f t="shared" si="31"/>
        <v>DC</v>
      </c>
      <c r="Z579" s="8">
        <f t="shared" si="32"/>
        <v>0</v>
      </c>
      <c r="AA579" s="8">
        <f t="shared" si="33"/>
        <v>0</v>
      </c>
      <c r="AB579" s="8">
        <f t="shared" si="34"/>
        <v>341</v>
      </c>
      <c r="AC579" s="8">
        <f t="shared" si="35"/>
        <v>0</v>
      </c>
      <c r="AD579" s="8">
        <f t="shared" si="36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39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0">IF(A579="SZAF","Bangalore",IF(A579="SAEX","JHAJJAR",IF(A579="S0EU","HARIPAL","")))</f>
        <v>Bangalore</v>
      </c>
    </row>
    <row r="580" spans="1:33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0"/>
        <v>441857089</v>
      </c>
      <c r="Y580" s="8" t="str">
        <f t="shared" si="31"/>
        <v>DC</v>
      </c>
      <c r="Z580" s="8">
        <f t="shared" si="32"/>
        <v>0</v>
      </c>
      <c r="AA580" s="8">
        <f t="shared" si="33"/>
        <v>303</v>
      </c>
      <c r="AB580" s="8">
        <f t="shared" si="34"/>
        <v>0</v>
      </c>
      <c r="AC580" s="8">
        <f t="shared" si="35"/>
        <v>0</v>
      </c>
      <c r="AD580" s="8">
        <f t="shared" si="36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39"/>
        <v>MUSTARD</v>
      </c>
      <c r="AG580" s="11" t="str">
        <f t="shared" si="40"/>
        <v>Bangalore</v>
      </c>
    </row>
    <row r="581" spans="1:33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0"/>
        <v>441857089</v>
      </c>
      <c r="Y581" s="8" t="str">
        <f t="shared" si="31"/>
        <v>DC</v>
      </c>
      <c r="Z581" s="8">
        <f t="shared" si="32"/>
        <v>30</v>
      </c>
      <c r="AA581" s="8">
        <f t="shared" si="33"/>
        <v>0</v>
      </c>
      <c r="AB581" s="8">
        <f t="shared" si="34"/>
        <v>0</v>
      </c>
      <c r="AC581" s="8">
        <f t="shared" si="35"/>
        <v>0</v>
      </c>
      <c r="AD581" s="8">
        <f t="shared" si="36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39"/>
        <v>MUSTARD</v>
      </c>
      <c r="AG581" s="11" t="str">
        <f t="shared" si="40"/>
        <v>Bangalore</v>
      </c>
    </row>
    <row r="582" spans="1:33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0"/>
        <v>441857089</v>
      </c>
      <c r="Y582" s="8" t="str">
        <f t="shared" si="31"/>
        <v>DC</v>
      </c>
      <c r="Z582" s="8">
        <f t="shared" si="32"/>
        <v>0</v>
      </c>
      <c r="AA582" s="8">
        <f t="shared" si="33"/>
        <v>0</v>
      </c>
      <c r="AB582" s="8">
        <f t="shared" si="34"/>
        <v>0</v>
      </c>
      <c r="AC582" s="8">
        <f t="shared" si="35"/>
        <v>0</v>
      </c>
      <c r="AD582" s="8">
        <f t="shared" si="36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39"/>
        <v>FUCHSIA</v>
      </c>
      <c r="AG582" s="11" t="str">
        <f t="shared" si="40"/>
        <v>Bangalore</v>
      </c>
    </row>
    <row r="583" spans="1:33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0"/>
        <v>441857089</v>
      </c>
      <c r="Y583" s="8" t="str">
        <f t="shared" si="31"/>
        <v>DC</v>
      </c>
      <c r="Z583" s="8">
        <f t="shared" si="32"/>
        <v>0</v>
      </c>
      <c r="AA583" s="8">
        <f t="shared" si="33"/>
        <v>0</v>
      </c>
      <c r="AB583" s="8">
        <f t="shared" si="34"/>
        <v>0</v>
      </c>
      <c r="AC583" s="8">
        <f t="shared" si="35"/>
        <v>372</v>
      </c>
      <c r="AD583" s="8">
        <f t="shared" si="36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39"/>
        <v>FUCHSIA</v>
      </c>
      <c r="AG583" s="11" t="str">
        <f t="shared" si="40"/>
        <v>Bangalore</v>
      </c>
    </row>
    <row r="584" spans="1:33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0"/>
        <v>441857089</v>
      </c>
      <c r="Y584" s="8" t="str">
        <f t="shared" si="31"/>
        <v>DC</v>
      </c>
      <c r="Z584" s="8">
        <f t="shared" si="32"/>
        <v>0</v>
      </c>
      <c r="AA584" s="8">
        <f t="shared" si="33"/>
        <v>0</v>
      </c>
      <c r="AB584" s="8">
        <f t="shared" si="34"/>
        <v>318</v>
      </c>
      <c r="AC584" s="8">
        <f t="shared" si="35"/>
        <v>0</v>
      </c>
      <c r="AD584" s="8">
        <f t="shared" si="36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39"/>
        <v>FUCHSIA</v>
      </c>
      <c r="AG584" s="11" t="str">
        <f t="shared" si="40"/>
        <v>Bangalore</v>
      </c>
    </row>
    <row r="585" spans="1:33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0"/>
        <v>441857089</v>
      </c>
      <c r="Y585" s="8" t="str">
        <f t="shared" si="31"/>
        <v>DC</v>
      </c>
      <c r="Z585" s="8">
        <f t="shared" si="32"/>
        <v>0</v>
      </c>
      <c r="AA585" s="8">
        <f t="shared" si="33"/>
        <v>283</v>
      </c>
      <c r="AB585" s="8">
        <f t="shared" si="34"/>
        <v>0</v>
      </c>
      <c r="AC585" s="8">
        <f t="shared" si="35"/>
        <v>0</v>
      </c>
      <c r="AD585" s="8">
        <f t="shared" si="36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39"/>
        <v>FUCHSIA</v>
      </c>
      <c r="AG585" s="11" t="str">
        <f t="shared" si="40"/>
        <v>Bangalore</v>
      </c>
    </row>
    <row r="586" spans="1:33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0"/>
        <v>441857089</v>
      </c>
      <c r="Y586" s="8" t="str">
        <f t="shared" si="31"/>
        <v>DC</v>
      </c>
      <c r="Z586" s="8">
        <f t="shared" si="32"/>
        <v>30</v>
      </c>
      <c r="AA586" s="8">
        <f t="shared" si="33"/>
        <v>0</v>
      </c>
      <c r="AB586" s="8">
        <f t="shared" si="34"/>
        <v>0</v>
      </c>
      <c r="AC586" s="8">
        <f t="shared" si="35"/>
        <v>0</v>
      </c>
      <c r="AD586" s="8">
        <f t="shared" si="36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39"/>
        <v>FUCHSIA</v>
      </c>
      <c r="AG586" s="11" t="str">
        <f t="shared" si="40"/>
        <v>Bangalore</v>
      </c>
    </row>
    <row r="587" spans="1:33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0"/>
        <v>441857089</v>
      </c>
      <c r="Y587" s="8" t="str">
        <f t="shared" si="31"/>
        <v>DC</v>
      </c>
      <c r="Z587" s="8">
        <f t="shared" si="32"/>
        <v>0</v>
      </c>
      <c r="AA587" s="8">
        <f t="shared" si="33"/>
        <v>0</v>
      </c>
      <c r="AB587" s="8">
        <f t="shared" si="34"/>
        <v>0</v>
      </c>
      <c r="AC587" s="8">
        <f t="shared" si="35"/>
        <v>0</v>
      </c>
      <c r="AD587" s="8">
        <f t="shared" si="36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39"/>
        <v>RUST</v>
      </c>
      <c r="AG587" s="11" t="str">
        <f t="shared" si="40"/>
        <v>JHAJJAR</v>
      </c>
    </row>
    <row r="588" spans="1:33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0"/>
        <v>441857089</v>
      </c>
      <c r="Y588" s="8" t="str">
        <f t="shared" si="31"/>
        <v>DC</v>
      </c>
      <c r="Z588" s="8">
        <f t="shared" si="32"/>
        <v>0</v>
      </c>
      <c r="AA588" s="8">
        <f t="shared" si="33"/>
        <v>0</v>
      </c>
      <c r="AB588" s="8">
        <f t="shared" si="34"/>
        <v>0</v>
      </c>
      <c r="AC588" s="8">
        <f t="shared" si="35"/>
        <v>214</v>
      </c>
      <c r="AD588" s="8">
        <f t="shared" si="36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39"/>
        <v>RUST</v>
      </c>
      <c r="AG588" s="11" t="str">
        <f t="shared" si="40"/>
        <v>JHAJJAR</v>
      </c>
    </row>
    <row r="589" spans="1:33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0"/>
        <v>441857089</v>
      </c>
      <c r="Y589" s="8" t="str">
        <f t="shared" si="31"/>
        <v>DC</v>
      </c>
      <c r="Z589" s="8">
        <f t="shared" si="32"/>
        <v>0</v>
      </c>
      <c r="AA589" s="8">
        <f t="shared" si="33"/>
        <v>0</v>
      </c>
      <c r="AB589" s="8">
        <f t="shared" si="34"/>
        <v>183</v>
      </c>
      <c r="AC589" s="8">
        <f t="shared" si="35"/>
        <v>0</v>
      </c>
      <c r="AD589" s="8">
        <f t="shared" si="36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39"/>
        <v>RUST</v>
      </c>
      <c r="AG589" s="11" t="str">
        <f t="shared" si="40"/>
        <v>JHAJJAR</v>
      </c>
    </row>
    <row r="590" spans="1:33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0"/>
        <v>441857089</v>
      </c>
      <c r="Y590" s="8" t="str">
        <f t="shared" si="31"/>
        <v>DC</v>
      </c>
      <c r="Z590" s="8">
        <f t="shared" si="32"/>
        <v>0</v>
      </c>
      <c r="AA590" s="8">
        <f t="shared" si="33"/>
        <v>163</v>
      </c>
      <c r="AB590" s="8">
        <f t="shared" si="34"/>
        <v>0</v>
      </c>
      <c r="AC590" s="8">
        <f t="shared" si="35"/>
        <v>0</v>
      </c>
      <c r="AD590" s="8">
        <f t="shared" si="36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39"/>
        <v>RUST</v>
      </c>
      <c r="AG590" s="11" t="str">
        <f t="shared" si="40"/>
        <v>JHAJJAR</v>
      </c>
    </row>
    <row r="591" spans="1:33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0"/>
        <v>441857089</v>
      </c>
      <c r="Y591" s="8" t="str">
        <f t="shared" si="31"/>
        <v>DC</v>
      </c>
      <c r="Z591" s="8">
        <f t="shared" si="32"/>
        <v>30</v>
      </c>
      <c r="AA591" s="8">
        <f t="shared" si="33"/>
        <v>0</v>
      </c>
      <c r="AB591" s="8">
        <f t="shared" si="34"/>
        <v>0</v>
      </c>
      <c r="AC591" s="8">
        <f t="shared" si="35"/>
        <v>0</v>
      </c>
      <c r="AD591" s="8">
        <f t="shared" si="36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39"/>
        <v>RUST</v>
      </c>
      <c r="AG591" s="11" t="str">
        <f t="shared" si="40"/>
        <v>JHAJJAR</v>
      </c>
    </row>
    <row r="592" spans="1:33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0"/>
        <v>441857089</v>
      </c>
      <c r="Y592" s="8" t="str">
        <f t="shared" si="31"/>
        <v>DC</v>
      </c>
      <c r="Z592" s="8">
        <f t="shared" si="32"/>
        <v>0</v>
      </c>
      <c r="AA592" s="8">
        <f t="shared" si="33"/>
        <v>0</v>
      </c>
      <c r="AB592" s="8">
        <f t="shared" si="34"/>
        <v>0</v>
      </c>
      <c r="AC592" s="8">
        <f t="shared" si="35"/>
        <v>0</v>
      </c>
      <c r="AD592" s="8">
        <f t="shared" si="36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39"/>
        <v>OFF WHITE</v>
      </c>
      <c r="AG592" s="11" t="str">
        <f t="shared" si="40"/>
        <v>JHAJJAR</v>
      </c>
    </row>
    <row r="593" spans="1:33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0"/>
        <v>441857089</v>
      </c>
      <c r="Y593" s="8" t="str">
        <f t="shared" si="31"/>
        <v>DC</v>
      </c>
      <c r="Z593" s="8">
        <f t="shared" si="32"/>
        <v>0</v>
      </c>
      <c r="AA593" s="8">
        <f t="shared" si="33"/>
        <v>0</v>
      </c>
      <c r="AB593" s="8">
        <f t="shared" si="34"/>
        <v>0</v>
      </c>
      <c r="AC593" s="8">
        <f t="shared" si="35"/>
        <v>214</v>
      </c>
      <c r="AD593" s="8">
        <f t="shared" si="36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39"/>
        <v>OFF WHITE</v>
      </c>
      <c r="AG593" s="11" t="str">
        <f t="shared" si="40"/>
        <v>JHAJJAR</v>
      </c>
    </row>
    <row r="594" spans="1:33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0"/>
        <v>441857089</v>
      </c>
      <c r="Y594" s="8" t="str">
        <f t="shared" si="31"/>
        <v>DC</v>
      </c>
      <c r="Z594" s="8">
        <f t="shared" si="32"/>
        <v>0</v>
      </c>
      <c r="AA594" s="8">
        <f t="shared" si="33"/>
        <v>0</v>
      </c>
      <c r="AB594" s="8">
        <f t="shared" si="34"/>
        <v>183</v>
      </c>
      <c r="AC594" s="8">
        <f t="shared" si="35"/>
        <v>0</v>
      </c>
      <c r="AD594" s="8">
        <f t="shared" si="36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39"/>
        <v>OFF WHITE</v>
      </c>
      <c r="AG594" s="11" t="str">
        <f t="shared" si="40"/>
        <v>JHAJJAR</v>
      </c>
    </row>
    <row r="595" spans="1:33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0"/>
        <v>441857089</v>
      </c>
      <c r="Y595" s="8" t="str">
        <f t="shared" si="31"/>
        <v>DC</v>
      </c>
      <c r="Z595" s="8">
        <f t="shared" si="32"/>
        <v>0</v>
      </c>
      <c r="AA595" s="8">
        <f t="shared" si="33"/>
        <v>163</v>
      </c>
      <c r="AB595" s="8">
        <f t="shared" si="34"/>
        <v>0</v>
      </c>
      <c r="AC595" s="8">
        <f t="shared" si="35"/>
        <v>0</v>
      </c>
      <c r="AD595" s="8">
        <f t="shared" si="36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39"/>
        <v>OFF WHITE</v>
      </c>
      <c r="AG595" s="11" t="str">
        <f t="shared" si="40"/>
        <v>JHAJJAR</v>
      </c>
    </row>
    <row r="596" spans="1:33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0"/>
        <v>441857089</v>
      </c>
      <c r="Y596" s="8" t="str">
        <f t="shared" si="31"/>
        <v>DC</v>
      </c>
      <c r="Z596" s="8">
        <f t="shared" si="32"/>
        <v>30</v>
      </c>
      <c r="AA596" s="8">
        <f t="shared" si="33"/>
        <v>0</v>
      </c>
      <c r="AB596" s="8">
        <f t="shared" si="34"/>
        <v>0</v>
      </c>
      <c r="AC596" s="8">
        <f t="shared" si="35"/>
        <v>0</v>
      </c>
      <c r="AD596" s="8">
        <f t="shared" si="36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39"/>
        <v>OFF WHITE</v>
      </c>
      <c r="AG596" s="11" t="str">
        <f t="shared" si="40"/>
        <v>JHAJJAR</v>
      </c>
    </row>
    <row r="597" spans="1:33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0"/>
        <v>441857089</v>
      </c>
      <c r="Y597" s="8" t="str">
        <f t="shared" si="31"/>
        <v>DC</v>
      </c>
      <c r="Z597" s="8">
        <f t="shared" si="32"/>
        <v>0</v>
      </c>
      <c r="AA597" s="8">
        <f t="shared" si="33"/>
        <v>0</v>
      </c>
      <c r="AB597" s="8">
        <f t="shared" si="34"/>
        <v>0</v>
      </c>
      <c r="AC597" s="8">
        <f t="shared" si="35"/>
        <v>0</v>
      </c>
      <c r="AD597" s="8">
        <f t="shared" si="36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39"/>
        <v>MUSTARD</v>
      </c>
      <c r="AG597" s="11" t="str">
        <f t="shared" si="40"/>
        <v>JHAJJAR</v>
      </c>
    </row>
    <row r="598" spans="1:33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0"/>
        <v>441857089</v>
      </c>
      <c r="Y598" s="8" t="str">
        <f t="shared" si="31"/>
        <v>DC</v>
      </c>
      <c r="Z598" s="8">
        <f t="shared" si="32"/>
        <v>0</v>
      </c>
      <c r="AA598" s="8">
        <f t="shared" si="33"/>
        <v>0</v>
      </c>
      <c r="AB598" s="8">
        <f t="shared" si="34"/>
        <v>0</v>
      </c>
      <c r="AC598" s="8">
        <f t="shared" si="35"/>
        <v>200</v>
      </c>
      <c r="AD598" s="8">
        <f t="shared" si="36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39"/>
        <v>MUSTARD</v>
      </c>
      <c r="AG598" s="11" t="str">
        <f t="shared" si="40"/>
        <v>JHAJJAR</v>
      </c>
    </row>
    <row r="599" spans="1:33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0"/>
        <v>441857089</v>
      </c>
      <c r="Y599" s="8" t="str">
        <f t="shared" si="31"/>
        <v>DC</v>
      </c>
      <c r="Z599" s="8">
        <f t="shared" si="32"/>
        <v>0</v>
      </c>
      <c r="AA599" s="8">
        <f t="shared" si="33"/>
        <v>0</v>
      </c>
      <c r="AB599" s="8">
        <f t="shared" si="34"/>
        <v>171</v>
      </c>
      <c r="AC599" s="8">
        <f t="shared" si="35"/>
        <v>0</v>
      </c>
      <c r="AD599" s="8">
        <f t="shared" si="36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39"/>
        <v>MUSTARD</v>
      </c>
      <c r="AG599" s="11" t="str">
        <f t="shared" si="40"/>
        <v>JHAJJAR</v>
      </c>
    </row>
    <row r="600" spans="1:33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0"/>
        <v>441857089</v>
      </c>
      <c r="Y600" s="8" t="str">
        <f t="shared" si="31"/>
        <v>DC</v>
      </c>
      <c r="Z600" s="8">
        <f t="shared" si="32"/>
        <v>0</v>
      </c>
      <c r="AA600" s="8">
        <f t="shared" si="33"/>
        <v>152</v>
      </c>
      <c r="AB600" s="8">
        <f t="shared" si="34"/>
        <v>0</v>
      </c>
      <c r="AC600" s="8">
        <f t="shared" si="35"/>
        <v>0</v>
      </c>
      <c r="AD600" s="8">
        <f t="shared" si="36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39"/>
        <v>MUSTARD</v>
      </c>
      <c r="AG600" s="11" t="str">
        <f t="shared" si="40"/>
        <v>JHAJJAR</v>
      </c>
    </row>
    <row r="601" spans="1:33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0"/>
        <v>441857089</v>
      </c>
      <c r="Y601" s="8" t="str">
        <f t="shared" si="31"/>
        <v>DC</v>
      </c>
      <c r="Z601" s="8">
        <f t="shared" si="32"/>
        <v>30</v>
      </c>
      <c r="AA601" s="8">
        <f t="shared" si="33"/>
        <v>0</v>
      </c>
      <c r="AB601" s="8">
        <f t="shared" si="34"/>
        <v>0</v>
      </c>
      <c r="AC601" s="8">
        <f t="shared" si="35"/>
        <v>0</v>
      </c>
      <c r="AD601" s="8">
        <f t="shared" si="36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39"/>
        <v>MUSTARD</v>
      </c>
      <c r="AG601" s="11" t="str">
        <f t="shared" si="40"/>
        <v>JHAJJAR</v>
      </c>
    </row>
    <row r="602" spans="1:33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0"/>
        <v>441857089</v>
      </c>
      <c r="Y602" s="8" t="str">
        <f t="shared" si="31"/>
        <v>DC</v>
      </c>
      <c r="Z602" s="8">
        <f t="shared" si="32"/>
        <v>0</v>
      </c>
      <c r="AA602" s="8">
        <f t="shared" si="33"/>
        <v>0</v>
      </c>
      <c r="AB602" s="8">
        <f t="shared" si="34"/>
        <v>0</v>
      </c>
      <c r="AC602" s="8">
        <f t="shared" si="35"/>
        <v>0</v>
      </c>
      <c r="AD602" s="8">
        <f t="shared" si="36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39"/>
        <v>SAGE GREEN</v>
      </c>
      <c r="AG602" s="11" t="str">
        <f t="shared" si="40"/>
        <v>HARIPAL</v>
      </c>
    </row>
    <row r="603" spans="1:33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0"/>
        <v>441857089</v>
      </c>
      <c r="Y603" s="8" t="str">
        <f t="shared" si="31"/>
        <v>DC</v>
      </c>
      <c r="Z603" s="8">
        <f t="shared" si="32"/>
        <v>0</v>
      </c>
      <c r="AA603" s="8">
        <f t="shared" si="33"/>
        <v>0</v>
      </c>
      <c r="AB603" s="8">
        <f t="shared" si="34"/>
        <v>0</v>
      </c>
      <c r="AC603" s="8">
        <f t="shared" si="35"/>
        <v>177</v>
      </c>
      <c r="AD603" s="8">
        <f t="shared" si="36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39"/>
        <v>SAGE GREEN</v>
      </c>
      <c r="AG603" s="11" t="str">
        <f t="shared" si="40"/>
        <v>HARIPAL</v>
      </c>
    </row>
    <row r="604" spans="1:33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0"/>
        <v>441857089</v>
      </c>
      <c r="Y604" s="8" t="str">
        <f t="shared" si="31"/>
        <v>DC</v>
      </c>
      <c r="Z604" s="8">
        <f t="shared" si="32"/>
        <v>0</v>
      </c>
      <c r="AA604" s="8">
        <f t="shared" si="33"/>
        <v>0</v>
      </c>
      <c r="AB604" s="8">
        <f t="shared" si="34"/>
        <v>152</v>
      </c>
      <c r="AC604" s="8">
        <f t="shared" si="35"/>
        <v>0</v>
      </c>
      <c r="AD604" s="8">
        <f t="shared" si="36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39"/>
        <v>SAGE GREEN</v>
      </c>
      <c r="AG604" s="11" t="str">
        <f t="shared" si="40"/>
        <v>HARIPAL</v>
      </c>
    </row>
    <row r="605" spans="1:33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0"/>
        <v>441857089</v>
      </c>
      <c r="Y605" s="8" t="str">
        <f t="shared" si="31"/>
        <v>DC</v>
      </c>
      <c r="Z605" s="8">
        <f t="shared" si="32"/>
        <v>0</v>
      </c>
      <c r="AA605" s="8">
        <f t="shared" si="33"/>
        <v>135</v>
      </c>
      <c r="AB605" s="8">
        <f t="shared" si="34"/>
        <v>0</v>
      </c>
      <c r="AC605" s="8">
        <f t="shared" si="35"/>
        <v>0</v>
      </c>
      <c r="AD605" s="8">
        <f t="shared" si="36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39"/>
        <v>SAGE GREEN</v>
      </c>
      <c r="AG605" s="11" t="str">
        <f t="shared" si="40"/>
        <v>HARIPAL</v>
      </c>
    </row>
    <row r="606" spans="1:33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0"/>
        <v>441857089</v>
      </c>
      <c r="Y606" s="8" t="str">
        <f t="shared" si="31"/>
        <v>DC</v>
      </c>
      <c r="Z606" s="8">
        <f t="shared" si="32"/>
        <v>30</v>
      </c>
      <c r="AA606" s="8">
        <f t="shared" si="33"/>
        <v>0</v>
      </c>
      <c r="AB606" s="8">
        <f t="shared" si="34"/>
        <v>0</v>
      </c>
      <c r="AC606" s="8">
        <f t="shared" si="35"/>
        <v>0</v>
      </c>
      <c r="AD606" s="8">
        <f t="shared" si="36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39"/>
        <v>SAGE GREEN</v>
      </c>
      <c r="AG606" s="11" t="str">
        <f t="shared" si="40"/>
        <v>HARIPAL</v>
      </c>
    </row>
    <row r="607" spans="1:33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0"/>
        <v>441857089</v>
      </c>
      <c r="Y607" s="8" t="str">
        <f t="shared" si="31"/>
        <v>DC</v>
      </c>
      <c r="Z607" s="8">
        <f t="shared" si="32"/>
        <v>0</v>
      </c>
      <c r="AA607" s="8">
        <f t="shared" si="33"/>
        <v>0</v>
      </c>
      <c r="AB607" s="8">
        <f t="shared" si="34"/>
        <v>0</v>
      </c>
      <c r="AC607" s="8">
        <f t="shared" si="35"/>
        <v>0</v>
      </c>
      <c r="AD607" s="8">
        <f t="shared" si="36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39"/>
        <v>FUCHSIA</v>
      </c>
      <c r="AG607" s="11" t="str">
        <f t="shared" si="40"/>
        <v>JHAJJAR</v>
      </c>
    </row>
    <row r="608" spans="1:33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0"/>
        <v>441857089</v>
      </c>
      <c r="Y608" s="8" t="str">
        <f t="shared" si="31"/>
        <v>DC</v>
      </c>
      <c r="Z608" s="8">
        <f t="shared" si="32"/>
        <v>0</v>
      </c>
      <c r="AA608" s="8">
        <f t="shared" si="33"/>
        <v>0</v>
      </c>
      <c r="AB608" s="8">
        <f t="shared" si="34"/>
        <v>0</v>
      </c>
      <c r="AC608" s="8">
        <f t="shared" si="35"/>
        <v>187</v>
      </c>
      <c r="AD608" s="8">
        <f t="shared" si="36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39"/>
        <v>FUCHSIA</v>
      </c>
      <c r="AG608" s="11" t="str">
        <f t="shared" si="40"/>
        <v>JHAJJAR</v>
      </c>
    </row>
    <row r="609" spans="1:33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0"/>
        <v>441857089</v>
      </c>
      <c r="Y609" s="8" t="str">
        <f t="shared" si="31"/>
        <v>DC</v>
      </c>
      <c r="Z609" s="8">
        <f t="shared" si="32"/>
        <v>0</v>
      </c>
      <c r="AA609" s="8">
        <f t="shared" si="33"/>
        <v>0</v>
      </c>
      <c r="AB609" s="8">
        <f t="shared" si="34"/>
        <v>160</v>
      </c>
      <c r="AC609" s="8">
        <f t="shared" si="35"/>
        <v>0</v>
      </c>
      <c r="AD609" s="8">
        <f t="shared" si="36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39"/>
        <v>FUCHSIA</v>
      </c>
      <c r="AG609" s="11" t="str">
        <f t="shared" si="40"/>
        <v>JHAJJAR</v>
      </c>
    </row>
    <row r="610" spans="1:33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0"/>
        <v>441857089</v>
      </c>
      <c r="Y610" s="8" t="str">
        <f t="shared" si="31"/>
        <v>DC</v>
      </c>
      <c r="Z610" s="8">
        <f t="shared" si="32"/>
        <v>0</v>
      </c>
      <c r="AA610" s="8">
        <f t="shared" si="33"/>
        <v>142</v>
      </c>
      <c r="AB610" s="8">
        <f t="shared" si="34"/>
        <v>0</v>
      </c>
      <c r="AC610" s="8">
        <f t="shared" si="35"/>
        <v>0</v>
      </c>
      <c r="AD610" s="8">
        <f t="shared" si="36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39"/>
        <v>FUCHSIA</v>
      </c>
      <c r="AG610" s="11" t="str">
        <f t="shared" si="40"/>
        <v>JHAJJAR</v>
      </c>
    </row>
    <row r="611" spans="1:33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0"/>
        <v>441857089</v>
      </c>
      <c r="Y611" s="8" t="str">
        <f t="shared" si="31"/>
        <v>DC</v>
      </c>
      <c r="Z611" s="8">
        <f t="shared" si="32"/>
        <v>30</v>
      </c>
      <c r="AA611" s="8">
        <f t="shared" si="33"/>
        <v>0</v>
      </c>
      <c r="AB611" s="8">
        <f t="shared" si="34"/>
        <v>0</v>
      </c>
      <c r="AC611" s="8">
        <f t="shared" si="35"/>
        <v>0</v>
      </c>
      <c r="AD611" s="8">
        <f t="shared" si="36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39"/>
        <v>FUCHSIA</v>
      </c>
      <c r="AG611" s="11" t="str">
        <f t="shared" si="40"/>
        <v>JHAJJAR</v>
      </c>
    </row>
    <row r="612" spans="1:33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0"/>
        <v>441857089</v>
      </c>
      <c r="Y612" s="8" t="str">
        <f t="shared" si="31"/>
        <v>DC</v>
      </c>
      <c r="Z612" s="8">
        <f t="shared" si="32"/>
        <v>0</v>
      </c>
      <c r="AA612" s="8">
        <f t="shared" si="33"/>
        <v>0</v>
      </c>
      <c r="AB612" s="8">
        <f t="shared" si="34"/>
        <v>0</v>
      </c>
      <c r="AC612" s="8">
        <f t="shared" si="35"/>
        <v>0</v>
      </c>
      <c r="AD612" s="8">
        <f t="shared" si="36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39"/>
        <v>RUST</v>
      </c>
      <c r="AG612" s="11" t="str">
        <f t="shared" si="40"/>
        <v>HARIPAL</v>
      </c>
    </row>
    <row r="613" spans="1:33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0"/>
        <v>441857089</v>
      </c>
      <c r="Y613" s="8" t="str">
        <f t="shared" si="31"/>
        <v>DC</v>
      </c>
      <c r="Z613" s="8">
        <f t="shared" si="32"/>
        <v>0</v>
      </c>
      <c r="AA613" s="8">
        <f t="shared" si="33"/>
        <v>0</v>
      </c>
      <c r="AB613" s="8">
        <f t="shared" si="34"/>
        <v>0</v>
      </c>
      <c r="AC613" s="8">
        <f t="shared" si="35"/>
        <v>202</v>
      </c>
      <c r="AD613" s="8">
        <f t="shared" si="36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39"/>
        <v>RUST</v>
      </c>
      <c r="AG613" s="11" t="str">
        <f t="shared" si="40"/>
        <v>HARIPAL</v>
      </c>
    </row>
    <row r="614" spans="1:33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0"/>
        <v>441857089</v>
      </c>
      <c r="Y614" s="8" t="str">
        <f t="shared" si="31"/>
        <v>DC</v>
      </c>
      <c r="Z614" s="8">
        <f t="shared" si="32"/>
        <v>0</v>
      </c>
      <c r="AA614" s="8">
        <f t="shared" si="33"/>
        <v>0</v>
      </c>
      <c r="AB614" s="8">
        <f t="shared" si="34"/>
        <v>173</v>
      </c>
      <c r="AC614" s="8">
        <f t="shared" si="35"/>
        <v>0</v>
      </c>
      <c r="AD614" s="8">
        <f t="shared" si="36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39"/>
        <v>RUST</v>
      </c>
      <c r="AG614" s="11" t="str">
        <f t="shared" si="40"/>
        <v>HARIPAL</v>
      </c>
    </row>
    <row r="615" spans="1:33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0"/>
        <v>441857089</v>
      </c>
      <c r="Y615" s="8" t="str">
        <f t="shared" si="31"/>
        <v>DC</v>
      </c>
      <c r="Z615" s="8">
        <f t="shared" si="32"/>
        <v>0</v>
      </c>
      <c r="AA615" s="8">
        <f t="shared" si="33"/>
        <v>154</v>
      </c>
      <c r="AB615" s="8">
        <f t="shared" si="34"/>
        <v>0</v>
      </c>
      <c r="AC615" s="8">
        <f t="shared" si="35"/>
        <v>0</v>
      </c>
      <c r="AD615" s="8">
        <f t="shared" si="36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39"/>
        <v>RUST</v>
      </c>
      <c r="AG615" s="11" t="str">
        <f t="shared" si="40"/>
        <v>HARIPAL</v>
      </c>
    </row>
    <row r="616" spans="1:33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0"/>
        <v>441857089</v>
      </c>
      <c r="Y616" s="8" t="str">
        <f t="shared" si="31"/>
        <v>DC</v>
      </c>
      <c r="Z616" s="8">
        <f t="shared" si="32"/>
        <v>30</v>
      </c>
      <c r="AA616" s="8">
        <f t="shared" si="33"/>
        <v>0</v>
      </c>
      <c r="AB616" s="8">
        <f t="shared" si="34"/>
        <v>0</v>
      </c>
      <c r="AC616" s="8">
        <f t="shared" si="35"/>
        <v>0</v>
      </c>
      <c r="AD616" s="8">
        <f t="shared" si="36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39"/>
        <v>RUST</v>
      </c>
      <c r="AG616" s="11" t="str">
        <f t="shared" si="40"/>
        <v>HARIPAL</v>
      </c>
    </row>
    <row r="617" spans="1:33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0"/>
        <v>441857089</v>
      </c>
      <c r="Y617" s="8" t="str">
        <f t="shared" si="31"/>
        <v>DC</v>
      </c>
      <c r="Z617" s="8">
        <f t="shared" si="32"/>
        <v>0</v>
      </c>
      <c r="AA617" s="8">
        <f t="shared" si="33"/>
        <v>0</v>
      </c>
      <c r="AB617" s="8">
        <f t="shared" si="34"/>
        <v>0</v>
      </c>
      <c r="AC617" s="8">
        <f t="shared" si="35"/>
        <v>0</v>
      </c>
      <c r="AD617" s="8">
        <f t="shared" si="36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39"/>
        <v>OFF WHITE</v>
      </c>
      <c r="AG617" s="11" t="str">
        <f t="shared" si="40"/>
        <v>HARIPAL</v>
      </c>
    </row>
    <row r="618" spans="1:33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0"/>
        <v>441857089</v>
      </c>
      <c r="Y618" s="8" t="str">
        <f t="shared" si="31"/>
        <v>DC</v>
      </c>
      <c r="Z618" s="8">
        <f t="shared" si="32"/>
        <v>0</v>
      </c>
      <c r="AA618" s="8">
        <f t="shared" si="33"/>
        <v>0</v>
      </c>
      <c r="AB618" s="8">
        <f t="shared" si="34"/>
        <v>0</v>
      </c>
      <c r="AC618" s="8">
        <f t="shared" si="35"/>
        <v>202</v>
      </c>
      <c r="AD618" s="8">
        <f t="shared" si="36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39"/>
        <v>OFF WHITE</v>
      </c>
      <c r="AG618" s="11" t="str">
        <f t="shared" si="40"/>
        <v>HARIPAL</v>
      </c>
    </row>
    <row r="619" spans="1:33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0"/>
        <v>441857089</v>
      </c>
      <c r="Y619" s="8" t="str">
        <f t="shared" si="31"/>
        <v>DC</v>
      </c>
      <c r="Z619" s="8">
        <f t="shared" si="32"/>
        <v>0</v>
      </c>
      <c r="AA619" s="8">
        <f t="shared" si="33"/>
        <v>0</v>
      </c>
      <c r="AB619" s="8">
        <f t="shared" si="34"/>
        <v>173</v>
      </c>
      <c r="AC619" s="8">
        <f t="shared" si="35"/>
        <v>0</v>
      </c>
      <c r="AD619" s="8">
        <f t="shared" si="36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39"/>
        <v>OFF WHITE</v>
      </c>
      <c r="AG619" s="11" t="str">
        <f t="shared" si="40"/>
        <v>HARIPAL</v>
      </c>
    </row>
    <row r="620" spans="1:33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0"/>
        <v>441857089</v>
      </c>
      <c r="Y620" s="8" t="str">
        <f t="shared" si="31"/>
        <v>DC</v>
      </c>
      <c r="Z620" s="8">
        <f t="shared" si="32"/>
        <v>0</v>
      </c>
      <c r="AA620" s="8">
        <f t="shared" si="33"/>
        <v>154</v>
      </c>
      <c r="AB620" s="8">
        <f t="shared" si="34"/>
        <v>0</v>
      </c>
      <c r="AC620" s="8">
        <f t="shared" si="35"/>
        <v>0</v>
      </c>
      <c r="AD620" s="8">
        <f t="shared" si="36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39"/>
        <v>OFF WHITE</v>
      </c>
      <c r="AG620" s="11" t="str">
        <f t="shared" si="40"/>
        <v>HARIPAL</v>
      </c>
    </row>
    <row r="621" spans="1:33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0"/>
        <v>441857089</v>
      </c>
      <c r="Y621" s="8" t="str">
        <f t="shared" si="31"/>
        <v>DC</v>
      </c>
      <c r="Z621" s="8">
        <f t="shared" si="32"/>
        <v>30</v>
      </c>
      <c r="AA621" s="8">
        <f t="shared" si="33"/>
        <v>0</v>
      </c>
      <c r="AB621" s="8">
        <f t="shared" si="34"/>
        <v>0</v>
      </c>
      <c r="AC621" s="8">
        <f t="shared" si="35"/>
        <v>0</v>
      </c>
      <c r="AD621" s="8">
        <f t="shared" si="36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39"/>
        <v>OFF WHITE</v>
      </c>
      <c r="AG621" s="11" t="str">
        <f t="shared" si="40"/>
        <v>HARIPAL</v>
      </c>
    </row>
    <row r="622" spans="1:33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0"/>
        <v>441857089</v>
      </c>
      <c r="Y622" s="8" t="str">
        <f t="shared" si="31"/>
        <v>DC</v>
      </c>
      <c r="Z622" s="8">
        <f t="shared" si="32"/>
        <v>0</v>
      </c>
      <c r="AA622" s="8">
        <f t="shared" si="33"/>
        <v>0</v>
      </c>
      <c r="AB622" s="8">
        <f t="shared" si="34"/>
        <v>0</v>
      </c>
      <c r="AC622" s="8">
        <f t="shared" si="35"/>
        <v>0</v>
      </c>
      <c r="AD622" s="8">
        <f t="shared" si="36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39"/>
        <v>MUSTARD</v>
      </c>
      <c r="AG622" s="11" t="str">
        <f t="shared" si="40"/>
        <v>HARIPAL</v>
      </c>
    </row>
    <row r="623" spans="1:33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0"/>
        <v>441857089</v>
      </c>
      <c r="Y623" s="8" t="str">
        <f t="shared" si="31"/>
        <v>DC</v>
      </c>
      <c r="Z623" s="8">
        <f t="shared" si="32"/>
        <v>0</v>
      </c>
      <c r="AA623" s="8">
        <f t="shared" si="33"/>
        <v>0</v>
      </c>
      <c r="AB623" s="8">
        <f t="shared" si="34"/>
        <v>0</v>
      </c>
      <c r="AC623" s="8">
        <f t="shared" si="35"/>
        <v>189</v>
      </c>
      <c r="AD623" s="8">
        <f t="shared" si="36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39"/>
        <v>MUSTARD</v>
      </c>
      <c r="AG623" s="11" t="str">
        <f t="shared" si="40"/>
        <v>HARIPAL</v>
      </c>
    </row>
    <row r="624" spans="1:33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0"/>
        <v>441857089</v>
      </c>
      <c r="Y624" s="8" t="str">
        <f t="shared" si="31"/>
        <v>DC</v>
      </c>
      <c r="Z624" s="8">
        <f t="shared" si="32"/>
        <v>0</v>
      </c>
      <c r="AA624" s="8">
        <f t="shared" si="33"/>
        <v>0</v>
      </c>
      <c r="AB624" s="8">
        <f t="shared" si="34"/>
        <v>162</v>
      </c>
      <c r="AC624" s="8">
        <f t="shared" si="35"/>
        <v>0</v>
      </c>
      <c r="AD624" s="8">
        <f t="shared" si="36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39"/>
        <v>MUSTARD</v>
      </c>
      <c r="AG624" s="11" t="str">
        <f t="shared" si="40"/>
        <v>HARIPAL</v>
      </c>
    </row>
    <row r="625" spans="1:33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0"/>
        <v>441857089</v>
      </c>
      <c r="Y625" s="8" t="str">
        <f t="shared" si="31"/>
        <v>DC</v>
      </c>
      <c r="Z625" s="8">
        <f t="shared" si="32"/>
        <v>0</v>
      </c>
      <c r="AA625" s="8">
        <f t="shared" si="33"/>
        <v>144</v>
      </c>
      <c r="AB625" s="8">
        <f t="shared" si="34"/>
        <v>0</v>
      </c>
      <c r="AC625" s="8">
        <f t="shared" si="35"/>
        <v>0</v>
      </c>
      <c r="AD625" s="8">
        <f t="shared" si="36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39"/>
        <v>MUSTARD</v>
      </c>
      <c r="AG625" s="11" t="str">
        <f t="shared" si="40"/>
        <v>HARIPAL</v>
      </c>
    </row>
    <row r="626" spans="1:33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0"/>
        <v>441857089</v>
      </c>
      <c r="Y626" s="8" t="str">
        <f t="shared" si="31"/>
        <v>DC</v>
      </c>
      <c r="Z626" s="8">
        <f t="shared" si="32"/>
        <v>30</v>
      </c>
      <c r="AA626" s="8">
        <f t="shared" si="33"/>
        <v>0</v>
      </c>
      <c r="AB626" s="8">
        <f t="shared" si="34"/>
        <v>0</v>
      </c>
      <c r="AC626" s="8">
        <f t="shared" si="35"/>
        <v>0</v>
      </c>
      <c r="AD626" s="8">
        <f t="shared" si="36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39"/>
        <v>MUSTARD</v>
      </c>
      <c r="AG626" s="11" t="str">
        <f t="shared" si="40"/>
        <v>HARIPAL</v>
      </c>
    </row>
    <row r="627" spans="1:33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0"/>
        <v>441857089</v>
      </c>
      <c r="Y627" s="8" t="str">
        <f t="shared" si="31"/>
        <v>DC</v>
      </c>
      <c r="Z627" s="8">
        <f t="shared" si="32"/>
        <v>0</v>
      </c>
      <c r="AA627" s="8">
        <f t="shared" si="33"/>
        <v>0</v>
      </c>
      <c r="AB627" s="8">
        <f t="shared" si="34"/>
        <v>0</v>
      </c>
      <c r="AC627" s="8">
        <f t="shared" si="35"/>
        <v>0</v>
      </c>
      <c r="AD627" s="8">
        <f t="shared" si="36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39"/>
        <v>FUCHSIA</v>
      </c>
      <c r="AG627" s="11" t="str">
        <f t="shared" si="40"/>
        <v>HARIPAL</v>
      </c>
    </row>
    <row r="628" spans="1:33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0"/>
        <v>441857089</v>
      </c>
      <c r="Y628" s="8" t="str">
        <f t="shared" si="31"/>
        <v>DC</v>
      </c>
      <c r="Z628" s="8">
        <f t="shared" si="32"/>
        <v>0</v>
      </c>
      <c r="AA628" s="8">
        <f t="shared" si="33"/>
        <v>0</v>
      </c>
      <c r="AB628" s="8">
        <f t="shared" si="34"/>
        <v>0</v>
      </c>
      <c r="AC628" s="8">
        <f t="shared" si="35"/>
        <v>177</v>
      </c>
      <c r="AD628" s="8">
        <f t="shared" si="36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39"/>
        <v>FUCHSIA</v>
      </c>
      <c r="AG628" s="11" t="str">
        <f t="shared" si="40"/>
        <v>HARIPAL</v>
      </c>
    </row>
    <row r="629" spans="1:33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0"/>
        <v>441857089</v>
      </c>
      <c r="Y629" s="8" t="str">
        <f t="shared" si="31"/>
        <v>DC</v>
      </c>
      <c r="Z629" s="8">
        <f t="shared" si="32"/>
        <v>0</v>
      </c>
      <c r="AA629" s="8">
        <f t="shared" si="33"/>
        <v>0</v>
      </c>
      <c r="AB629" s="8">
        <f t="shared" si="34"/>
        <v>152</v>
      </c>
      <c r="AC629" s="8">
        <f t="shared" si="35"/>
        <v>0</v>
      </c>
      <c r="AD629" s="8">
        <f t="shared" si="36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39"/>
        <v>FUCHSIA</v>
      </c>
      <c r="AG629" s="11" t="str">
        <f t="shared" si="40"/>
        <v>HARIPAL</v>
      </c>
    </row>
    <row r="630" spans="1:33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0"/>
        <v>441857089</v>
      </c>
      <c r="Y630" s="8" t="str">
        <f t="shared" si="31"/>
        <v>DC</v>
      </c>
      <c r="Z630" s="8">
        <f t="shared" si="32"/>
        <v>0</v>
      </c>
      <c r="AA630" s="8">
        <f t="shared" si="33"/>
        <v>135</v>
      </c>
      <c r="AB630" s="8">
        <f t="shared" si="34"/>
        <v>0</v>
      </c>
      <c r="AC630" s="8">
        <f t="shared" si="35"/>
        <v>0</v>
      </c>
      <c r="AD630" s="8">
        <f t="shared" si="36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39"/>
        <v>FUCHSIA</v>
      </c>
      <c r="AG630" s="11" t="str">
        <f t="shared" si="40"/>
        <v>HARIPAL</v>
      </c>
    </row>
    <row r="631" spans="1:33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0"/>
        <v>441857089</v>
      </c>
      <c r="Y631" s="8" t="str">
        <f t="shared" si="31"/>
        <v>DC</v>
      </c>
      <c r="Z631" s="8">
        <f t="shared" si="32"/>
        <v>30</v>
      </c>
      <c r="AA631" s="8">
        <f t="shared" si="33"/>
        <v>0</v>
      </c>
      <c r="AB631" s="8">
        <f t="shared" si="34"/>
        <v>0</v>
      </c>
      <c r="AC631" s="8">
        <f t="shared" si="35"/>
        <v>0</v>
      </c>
      <c r="AD631" s="8">
        <f t="shared" si="36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39"/>
        <v>FUCHSIA</v>
      </c>
      <c r="AG631" s="11" t="str">
        <f t="shared" si="40"/>
        <v>HARIPAL</v>
      </c>
    </row>
    <row r="632" spans="1:33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0"/>
        <v xml:space="preserve">441857089 </v>
      </c>
      <c r="Y632" s="8" t="str">
        <f t="shared" si="31"/>
        <v>RP</v>
      </c>
      <c r="Z632" s="8">
        <f t="shared" si="32"/>
        <v>566</v>
      </c>
      <c r="AA632" s="8">
        <f t="shared" si="33"/>
        <v>566</v>
      </c>
      <c r="AB632" s="8">
        <f t="shared" si="34"/>
        <v>566</v>
      </c>
      <c r="AC632" s="8">
        <f t="shared" si="35"/>
        <v>566</v>
      </c>
      <c r="AD632" s="8">
        <f t="shared" si="36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39"/>
        <v>RUST</v>
      </c>
      <c r="AG632" s="11" t="str">
        <f t="shared" si="40"/>
        <v>Bangalore</v>
      </c>
    </row>
    <row r="633" spans="1:33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0"/>
        <v>441857089</v>
      </c>
      <c r="Y633" s="8" t="str">
        <f t="shared" si="31"/>
        <v>DC</v>
      </c>
      <c r="Z633" s="8">
        <f t="shared" si="32"/>
        <v>0</v>
      </c>
      <c r="AA633" s="8">
        <f t="shared" si="33"/>
        <v>0</v>
      </c>
      <c r="AB633" s="8">
        <f t="shared" si="34"/>
        <v>0</v>
      </c>
      <c r="AC633" s="8">
        <f t="shared" si="35"/>
        <v>0</v>
      </c>
      <c r="AD633" s="8">
        <f t="shared" si="36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39"/>
        <v>RUST</v>
      </c>
      <c r="AG633" s="11" t="str">
        <f t="shared" si="40"/>
        <v>Bangalore</v>
      </c>
    </row>
    <row r="634" spans="1:33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0"/>
        <v>441857089</v>
      </c>
      <c r="Y634" s="8" t="str">
        <f t="shared" si="31"/>
        <v>DC</v>
      </c>
      <c r="Z634" s="8">
        <f t="shared" si="32"/>
        <v>0</v>
      </c>
      <c r="AA634" s="8">
        <f t="shared" si="33"/>
        <v>0</v>
      </c>
      <c r="AB634" s="8">
        <f t="shared" si="34"/>
        <v>0</v>
      </c>
      <c r="AC634" s="8">
        <f t="shared" si="35"/>
        <v>566</v>
      </c>
      <c r="AD634" s="8">
        <f t="shared" si="36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39"/>
        <v>RUST</v>
      </c>
      <c r="AG634" s="11" t="str">
        <f t="shared" si="40"/>
        <v>Bangalore</v>
      </c>
    </row>
    <row r="635" spans="1:33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0"/>
        <v>441857089</v>
      </c>
      <c r="Y635" s="8" t="str">
        <f t="shared" si="31"/>
        <v>DC</v>
      </c>
      <c r="Z635" s="8">
        <f t="shared" si="32"/>
        <v>0</v>
      </c>
      <c r="AA635" s="8">
        <f t="shared" si="33"/>
        <v>0</v>
      </c>
      <c r="AB635" s="8">
        <f t="shared" si="34"/>
        <v>566</v>
      </c>
      <c r="AC635" s="8">
        <f t="shared" si="35"/>
        <v>0</v>
      </c>
      <c r="AD635" s="8">
        <f t="shared" si="36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39"/>
        <v>RUST</v>
      </c>
      <c r="AG635" s="11" t="str">
        <f t="shared" si="40"/>
        <v>Bangalore</v>
      </c>
    </row>
    <row r="636" spans="1:33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0"/>
        <v>441857089</v>
      </c>
      <c r="Y636" s="8" t="str">
        <f t="shared" si="31"/>
        <v>DC</v>
      </c>
      <c r="Z636" s="8">
        <f t="shared" si="32"/>
        <v>0</v>
      </c>
      <c r="AA636" s="8">
        <f t="shared" si="33"/>
        <v>566</v>
      </c>
      <c r="AB636" s="8">
        <f t="shared" si="34"/>
        <v>0</v>
      </c>
      <c r="AC636" s="8">
        <f t="shared" si="35"/>
        <v>0</v>
      </c>
      <c r="AD636" s="8">
        <f t="shared" si="36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39"/>
        <v>RUST</v>
      </c>
      <c r="AG636" s="11" t="str">
        <f t="shared" si="40"/>
        <v>Bangalore</v>
      </c>
    </row>
    <row r="637" spans="1:33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0"/>
        <v>441857089</v>
      </c>
      <c r="Y637" s="8" t="str">
        <f t="shared" si="31"/>
        <v>DC</v>
      </c>
      <c r="Z637" s="8">
        <f t="shared" si="32"/>
        <v>566</v>
      </c>
      <c r="AA637" s="8">
        <f t="shared" si="33"/>
        <v>0</v>
      </c>
      <c r="AB637" s="8">
        <f t="shared" si="34"/>
        <v>0</v>
      </c>
      <c r="AC637" s="8">
        <f t="shared" si="35"/>
        <v>0</v>
      </c>
      <c r="AD637" s="8">
        <f t="shared" si="36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39"/>
        <v>RUST</v>
      </c>
      <c r="AG637" s="11" t="str">
        <f t="shared" si="40"/>
        <v>Bangalore</v>
      </c>
    </row>
    <row r="638" spans="1:33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0"/>
        <v xml:space="preserve">441857089 </v>
      </c>
      <c r="Y638" s="8" t="str">
        <f t="shared" si="31"/>
        <v>RP</v>
      </c>
      <c r="Z638" s="8">
        <f t="shared" si="32"/>
        <v>566</v>
      </c>
      <c r="AA638" s="8">
        <f t="shared" si="33"/>
        <v>566</v>
      </c>
      <c r="AB638" s="8">
        <f t="shared" si="34"/>
        <v>566</v>
      </c>
      <c r="AC638" s="8">
        <f t="shared" si="35"/>
        <v>566</v>
      </c>
      <c r="AD638" s="8">
        <f t="shared" si="36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39"/>
        <v>OFF WHITE</v>
      </c>
      <c r="AG638" s="11" t="str">
        <f t="shared" si="40"/>
        <v>Bangalore</v>
      </c>
    </row>
    <row r="639" spans="1:33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0"/>
        <v>441857089</v>
      </c>
      <c r="Y639" s="8" t="str">
        <f t="shared" si="31"/>
        <v>DC</v>
      </c>
      <c r="Z639" s="8">
        <f t="shared" si="32"/>
        <v>0</v>
      </c>
      <c r="AA639" s="8">
        <f t="shared" si="33"/>
        <v>0</v>
      </c>
      <c r="AB639" s="8">
        <f t="shared" si="34"/>
        <v>0</v>
      </c>
      <c r="AC639" s="8">
        <f t="shared" si="35"/>
        <v>0</v>
      </c>
      <c r="AD639" s="8">
        <f t="shared" si="36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39"/>
        <v>OFF WHITE</v>
      </c>
      <c r="AG639" s="11" t="str">
        <f t="shared" si="40"/>
        <v>Bangalore</v>
      </c>
    </row>
    <row r="640" spans="1:33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0"/>
        <v>441857089</v>
      </c>
      <c r="Y640" s="8" t="str">
        <f t="shared" si="31"/>
        <v>DC</v>
      </c>
      <c r="Z640" s="8">
        <f t="shared" si="32"/>
        <v>0</v>
      </c>
      <c r="AA640" s="8">
        <f t="shared" si="33"/>
        <v>0</v>
      </c>
      <c r="AB640" s="8">
        <f t="shared" si="34"/>
        <v>0</v>
      </c>
      <c r="AC640" s="8">
        <f t="shared" si="35"/>
        <v>566</v>
      </c>
      <c r="AD640" s="8">
        <f t="shared" si="36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39"/>
        <v>OFF WHITE</v>
      </c>
      <c r="AG640" s="11" t="str">
        <f t="shared" si="40"/>
        <v>Bangalore</v>
      </c>
    </row>
    <row r="641" spans="1:33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0"/>
        <v>441857089</v>
      </c>
      <c r="Y641" s="8" t="str">
        <f t="shared" si="31"/>
        <v>DC</v>
      </c>
      <c r="Z641" s="8">
        <f t="shared" si="32"/>
        <v>0</v>
      </c>
      <c r="AA641" s="8">
        <f t="shared" si="33"/>
        <v>0</v>
      </c>
      <c r="AB641" s="8">
        <f t="shared" si="34"/>
        <v>566</v>
      </c>
      <c r="AC641" s="8">
        <f t="shared" si="35"/>
        <v>0</v>
      </c>
      <c r="AD641" s="8">
        <f t="shared" si="36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39"/>
        <v>OFF WHITE</v>
      </c>
      <c r="AG641" s="11" t="str">
        <f t="shared" si="40"/>
        <v>Bangalore</v>
      </c>
    </row>
    <row r="642" spans="1:33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0"/>
        <v>441857089</v>
      </c>
      <c r="Y642" s="8" t="str">
        <f t="shared" si="31"/>
        <v>DC</v>
      </c>
      <c r="Z642" s="8">
        <f t="shared" si="32"/>
        <v>0</v>
      </c>
      <c r="AA642" s="8">
        <f t="shared" si="33"/>
        <v>566</v>
      </c>
      <c r="AB642" s="8">
        <f t="shared" si="34"/>
        <v>0</v>
      </c>
      <c r="AC642" s="8">
        <f t="shared" si="35"/>
        <v>0</v>
      </c>
      <c r="AD642" s="8">
        <f t="shared" si="36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39"/>
        <v>OFF WHITE</v>
      </c>
      <c r="AG642" s="11" t="str">
        <f t="shared" si="40"/>
        <v>Bangalore</v>
      </c>
    </row>
    <row r="643" spans="1:33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0"/>
        <v>441857089</v>
      </c>
      <c r="Y643" s="8" t="str">
        <f t="shared" si="31"/>
        <v>DC</v>
      </c>
      <c r="Z643" s="8">
        <f t="shared" si="32"/>
        <v>566</v>
      </c>
      <c r="AA643" s="8">
        <f t="shared" si="33"/>
        <v>0</v>
      </c>
      <c r="AB643" s="8">
        <f t="shared" si="34"/>
        <v>0</v>
      </c>
      <c r="AC643" s="8">
        <f t="shared" si="35"/>
        <v>0</v>
      </c>
      <c r="AD643" s="8">
        <f t="shared" si="36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4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42">IF(A643="SZAF","Bangalore",IF(A643="SAEX","JHAJJAR",IF(A643="S0EU","HARIPAL","")))</f>
        <v>Bangalore</v>
      </c>
    </row>
    <row r="644" spans="1:33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0"/>
        <v xml:space="preserve">441857089 </v>
      </c>
      <c r="Y644" s="8" t="str">
        <f t="shared" si="31"/>
        <v>RP</v>
      </c>
      <c r="Z644" s="8">
        <f t="shared" si="32"/>
        <v>531</v>
      </c>
      <c r="AA644" s="8">
        <f t="shared" si="33"/>
        <v>531</v>
      </c>
      <c r="AB644" s="8">
        <f t="shared" si="34"/>
        <v>531</v>
      </c>
      <c r="AC644" s="8">
        <f t="shared" si="35"/>
        <v>531</v>
      </c>
      <c r="AD644" s="8">
        <f t="shared" si="36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41"/>
        <v>MUSTARD</v>
      </c>
      <c r="AG644" s="11" t="str">
        <f t="shared" si="42"/>
        <v>Bangalore</v>
      </c>
    </row>
    <row r="645" spans="1:33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0"/>
        <v xml:space="preserve">441857089 </v>
      </c>
      <c r="Y645" s="8" t="str">
        <f t="shared" si="31"/>
        <v>RP</v>
      </c>
      <c r="Z645" s="8">
        <f t="shared" si="32"/>
        <v>495</v>
      </c>
      <c r="AA645" s="8">
        <f t="shared" si="33"/>
        <v>495</v>
      </c>
      <c r="AB645" s="8">
        <f t="shared" si="34"/>
        <v>495</v>
      </c>
      <c r="AC645" s="8">
        <f t="shared" si="35"/>
        <v>495</v>
      </c>
      <c r="AD645" s="8">
        <f t="shared" si="36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41"/>
        <v>FUCHSIA</v>
      </c>
      <c r="AG645" s="11" t="str">
        <f t="shared" si="42"/>
        <v>Bangalore</v>
      </c>
    </row>
    <row r="646" spans="1:33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0"/>
        <v xml:space="preserve">441857089 </v>
      </c>
      <c r="Y646" s="8" t="str">
        <f t="shared" si="31"/>
        <v>RP</v>
      </c>
      <c r="Z646" s="8">
        <f t="shared" si="32"/>
        <v>249</v>
      </c>
      <c r="AA646" s="8">
        <f t="shared" si="33"/>
        <v>249</v>
      </c>
      <c r="AB646" s="8">
        <f t="shared" si="34"/>
        <v>249</v>
      </c>
      <c r="AC646" s="8">
        <f t="shared" si="35"/>
        <v>249</v>
      </c>
      <c r="AD646" s="8">
        <f t="shared" si="36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41"/>
        <v>FUCHSIA</v>
      </c>
      <c r="AG646" s="11" t="str">
        <f t="shared" si="42"/>
        <v>JHAJJAR</v>
      </c>
    </row>
    <row r="647" spans="1:33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0"/>
        <v xml:space="preserve">441857089 </v>
      </c>
      <c r="Y647" s="8" t="str">
        <f t="shared" si="31"/>
        <v>RP</v>
      </c>
      <c r="Z647" s="8">
        <f t="shared" si="32"/>
        <v>267</v>
      </c>
      <c r="AA647" s="8">
        <f t="shared" si="33"/>
        <v>267</v>
      </c>
      <c r="AB647" s="8">
        <f t="shared" si="34"/>
        <v>267</v>
      </c>
      <c r="AC647" s="8">
        <f t="shared" si="35"/>
        <v>267</v>
      </c>
      <c r="AD647" s="8">
        <f t="shared" si="36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41"/>
        <v>MUSTARD</v>
      </c>
      <c r="AG647" s="11" t="str">
        <f t="shared" si="42"/>
        <v>JHAJJAR</v>
      </c>
    </row>
    <row r="648" spans="1:33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0"/>
        <v xml:space="preserve">441857089 </v>
      </c>
      <c r="Y648" s="8" t="str">
        <f t="shared" si="31"/>
        <v>RP</v>
      </c>
      <c r="Z648" s="8">
        <f t="shared" si="32"/>
        <v>284</v>
      </c>
      <c r="AA648" s="8">
        <f t="shared" si="33"/>
        <v>284</v>
      </c>
      <c r="AB648" s="8">
        <f t="shared" si="34"/>
        <v>284</v>
      </c>
      <c r="AC648" s="8">
        <f t="shared" si="35"/>
        <v>284</v>
      </c>
      <c r="AD648" s="8">
        <f t="shared" si="36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41"/>
        <v>OFF WHITE</v>
      </c>
      <c r="AG648" s="11" t="str">
        <f t="shared" si="42"/>
        <v>JHAJJAR</v>
      </c>
    </row>
    <row r="649" spans="1:33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0"/>
        <v>441857089</v>
      </c>
      <c r="Y649" s="8" t="str">
        <f t="shared" si="31"/>
        <v>DC</v>
      </c>
      <c r="Z649" s="8">
        <f t="shared" si="32"/>
        <v>0</v>
      </c>
      <c r="AA649" s="8">
        <f t="shared" si="33"/>
        <v>0</v>
      </c>
      <c r="AB649" s="8">
        <f t="shared" si="34"/>
        <v>0</v>
      </c>
      <c r="AC649" s="8">
        <f t="shared" si="35"/>
        <v>0</v>
      </c>
      <c r="AD649" s="8">
        <f t="shared" si="36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41"/>
        <v>OFF WHITE</v>
      </c>
      <c r="AG649" s="11" t="str">
        <f t="shared" si="42"/>
        <v>JHAJJAR</v>
      </c>
    </row>
    <row r="650" spans="1:33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0"/>
        <v>441857089</v>
      </c>
      <c r="Y650" s="8" t="str">
        <f t="shared" si="31"/>
        <v>DC</v>
      </c>
      <c r="Z650" s="8">
        <f t="shared" si="32"/>
        <v>0</v>
      </c>
      <c r="AA650" s="8">
        <f t="shared" si="33"/>
        <v>0</v>
      </c>
      <c r="AB650" s="8">
        <f t="shared" si="34"/>
        <v>0</v>
      </c>
      <c r="AC650" s="8">
        <f t="shared" si="35"/>
        <v>284</v>
      </c>
      <c r="AD650" s="8">
        <f t="shared" si="36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41"/>
        <v>OFF WHITE</v>
      </c>
      <c r="AG650" s="11" t="str">
        <f t="shared" si="42"/>
        <v>JHAJJAR</v>
      </c>
    </row>
    <row r="651" spans="1:33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0"/>
        <v>441857089</v>
      </c>
      <c r="Y651" s="8" t="str">
        <f t="shared" si="31"/>
        <v>DC</v>
      </c>
      <c r="Z651" s="8">
        <f t="shared" si="32"/>
        <v>0</v>
      </c>
      <c r="AA651" s="8">
        <f t="shared" si="33"/>
        <v>0</v>
      </c>
      <c r="AB651" s="8">
        <f t="shared" si="34"/>
        <v>284</v>
      </c>
      <c r="AC651" s="8">
        <f t="shared" si="35"/>
        <v>0</v>
      </c>
      <c r="AD651" s="8">
        <f t="shared" si="36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41"/>
        <v>OFF WHITE</v>
      </c>
      <c r="AG651" s="11" t="str">
        <f t="shared" si="42"/>
        <v>JHAJJAR</v>
      </c>
    </row>
    <row r="652" spans="1:33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0"/>
        <v>441857089</v>
      </c>
      <c r="Y652" s="8" t="str">
        <f t="shared" si="31"/>
        <v>DC</v>
      </c>
      <c r="Z652" s="8">
        <f t="shared" si="32"/>
        <v>0</v>
      </c>
      <c r="AA652" s="8">
        <f t="shared" si="33"/>
        <v>284</v>
      </c>
      <c r="AB652" s="8">
        <f t="shared" si="34"/>
        <v>0</v>
      </c>
      <c r="AC652" s="8">
        <f t="shared" si="35"/>
        <v>0</v>
      </c>
      <c r="AD652" s="8">
        <f t="shared" si="36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41"/>
        <v>OFF WHITE</v>
      </c>
      <c r="AG652" s="11" t="str">
        <f t="shared" si="42"/>
        <v>JHAJJAR</v>
      </c>
    </row>
    <row r="653" spans="1:33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0"/>
        <v>441857089</v>
      </c>
      <c r="Y653" s="8" t="str">
        <f t="shared" si="31"/>
        <v>DC</v>
      </c>
      <c r="Z653" s="8">
        <f t="shared" si="32"/>
        <v>284</v>
      </c>
      <c r="AA653" s="8">
        <f t="shared" si="33"/>
        <v>0</v>
      </c>
      <c r="AB653" s="8">
        <f t="shared" si="34"/>
        <v>0</v>
      </c>
      <c r="AC653" s="8">
        <f t="shared" si="35"/>
        <v>0</v>
      </c>
      <c r="AD653" s="8">
        <f t="shared" si="36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41"/>
        <v>OFF WHITE</v>
      </c>
      <c r="AG653" s="11" t="str">
        <f t="shared" si="42"/>
        <v>JHAJJAR</v>
      </c>
    </row>
    <row r="654" spans="1:33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0"/>
        <v xml:space="preserve">441857089 </v>
      </c>
      <c r="Y654" s="8" t="str">
        <f t="shared" si="31"/>
        <v>RP</v>
      </c>
      <c r="Z654" s="8">
        <f t="shared" si="32"/>
        <v>284</v>
      </c>
      <c r="AA654" s="8">
        <f t="shared" si="33"/>
        <v>284</v>
      </c>
      <c r="AB654" s="8">
        <f t="shared" si="34"/>
        <v>284</v>
      </c>
      <c r="AC654" s="8">
        <f t="shared" si="35"/>
        <v>284</v>
      </c>
      <c r="AD654" s="8">
        <f t="shared" si="36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41"/>
        <v>RUST</v>
      </c>
      <c r="AG654" s="11" t="str">
        <f t="shared" si="42"/>
        <v>JHAJJAR</v>
      </c>
    </row>
    <row r="655" spans="1:33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0"/>
        <v>441857089</v>
      </c>
      <c r="Y655" s="8" t="str">
        <f t="shared" si="31"/>
        <v>DC</v>
      </c>
      <c r="Z655" s="8">
        <f t="shared" si="32"/>
        <v>0</v>
      </c>
      <c r="AA655" s="8">
        <f t="shared" si="33"/>
        <v>0</v>
      </c>
      <c r="AB655" s="8">
        <f t="shared" si="34"/>
        <v>0</v>
      </c>
      <c r="AC655" s="8">
        <f t="shared" si="35"/>
        <v>0</v>
      </c>
      <c r="AD655" s="8">
        <f t="shared" si="36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41"/>
        <v>RUST</v>
      </c>
      <c r="AG655" s="11" t="str">
        <f t="shared" si="42"/>
        <v>JHAJJAR</v>
      </c>
    </row>
    <row r="656" spans="1:33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0"/>
        <v>441857089</v>
      </c>
      <c r="Y656" s="8" t="str">
        <f t="shared" si="31"/>
        <v>DC</v>
      </c>
      <c r="Z656" s="8">
        <f t="shared" si="32"/>
        <v>0</v>
      </c>
      <c r="AA656" s="8">
        <f t="shared" si="33"/>
        <v>0</v>
      </c>
      <c r="AB656" s="8">
        <f t="shared" si="34"/>
        <v>0</v>
      </c>
      <c r="AC656" s="8">
        <f t="shared" si="35"/>
        <v>284</v>
      </c>
      <c r="AD656" s="8">
        <f t="shared" si="36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41"/>
        <v>RUST</v>
      </c>
      <c r="AG656" s="11" t="str">
        <f t="shared" si="42"/>
        <v>JHAJJAR</v>
      </c>
    </row>
    <row r="657" spans="1:33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0"/>
        <v>441857089</v>
      </c>
      <c r="Y657" s="8" t="str">
        <f t="shared" si="31"/>
        <v>DC</v>
      </c>
      <c r="Z657" s="8">
        <f t="shared" si="32"/>
        <v>0</v>
      </c>
      <c r="AA657" s="8">
        <f t="shared" si="33"/>
        <v>0</v>
      </c>
      <c r="AB657" s="8">
        <f t="shared" si="34"/>
        <v>284</v>
      </c>
      <c r="AC657" s="8">
        <f t="shared" si="35"/>
        <v>0</v>
      </c>
      <c r="AD657" s="8">
        <f t="shared" si="36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41"/>
        <v>RUST</v>
      </c>
      <c r="AG657" s="11" t="str">
        <f t="shared" si="42"/>
        <v>JHAJJAR</v>
      </c>
    </row>
    <row r="658" spans="1:33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0"/>
        <v>441857089</v>
      </c>
      <c r="Y658" s="8" t="str">
        <f t="shared" si="31"/>
        <v>DC</v>
      </c>
      <c r="Z658" s="8">
        <f t="shared" si="32"/>
        <v>0</v>
      </c>
      <c r="AA658" s="8">
        <f t="shared" si="33"/>
        <v>284</v>
      </c>
      <c r="AB658" s="8">
        <f t="shared" si="34"/>
        <v>0</v>
      </c>
      <c r="AC658" s="8">
        <f t="shared" si="35"/>
        <v>0</v>
      </c>
      <c r="AD658" s="8">
        <f t="shared" si="36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41"/>
        <v>RUST</v>
      </c>
      <c r="AG658" s="11" t="str">
        <f t="shared" si="42"/>
        <v>JHAJJAR</v>
      </c>
    </row>
    <row r="659" spans="1:33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0"/>
        <v>441857089</v>
      </c>
      <c r="Y659" s="8" t="str">
        <f t="shared" si="31"/>
        <v>DC</v>
      </c>
      <c r="Z659" s="8">
        <f t="shared" si="32"/>
        <v>284</v>
      </c>
      <c r="AA659" s="8">
        <f t="shared" si="33"/>
        <v>0</v>
      </c>
      <c r="AB659" s="8">
        <f t="shared" si="34"/>
        <v>0</v>
      </c>
      <c r="AC659" s="8">
        <f t="shared" si="35"/>
        <v>0</v>
      </c>
      <c r="AD659" s="8">
        <f t="shared" si="36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41"/>
        <v>RUST</v>
      </c>
      <c r="AG659" s="11" t="str">
        <f t="shared" si="42"/>
        <v>JHAJJAR</v>
      </c>
    </row>
    <row r="660" spans="1:33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0"/>
        <v xml:space="preserve">441857089 </v>
      </c>
      <c r="Y660" s="8" t="str">
        <f t="shared" si="31"/>
        <v>RP</v>
      </c>
      <c r="Z660" s="8">
        <f t="shared" si="32"/>
        <v>253</v>
      </c>
      <c r="AA660" s="8">
        <f t="shared" si="33"/>
        <v>253</v>
      </c>
      <c r="AB660" s="8">
        <f t="shared" si="34"/>
        <v>253</v>
      </c>
      <c r="AC660" s="8">
        <f t="shared" si="35"/>
        <v>253</v>
      </c>
      <c r="AD660" s="8">
        <f t="shared" si="36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41"/>
        <v>MUSTARD</v>
      </c>
      <c r="AG660" s="11" t="str">
        <f t="shared" si="42"/>
        <v>HARIPAL</v>
      </c>
    </row>
    <row r="661" spans="1:33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0"/>
        <v xml:space="preserve">441857089 </v>
      </c>
      <c r="Y661" s="8" t="str">
        <f t="shared" si="31"/>
        <v>RP</v>
      </c>
      <c r="Z661" s="8">
        <f t="shared" si="32"/>
        <v>236</v>
      </c>
      <c r="AA661" s="8">
        <f t="shared" si="33"/>
        <v>236</v>
      </c>
      <c r="AB661" s="8">
        <f t="shared" si="34"/>
        <v>236</v>
      </c>
      <c r="AC661" s="8">
        <f t="shared" si="35"/>
        <v>236</v>
      </c>
      <c r="AD661" s="8">
        <f t="shared" si="36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41"/>
        <v>FUCHSIA</v>
      </c>
      <c r="AG661" s="11" t="str">
        <f t="shared" si="42"/>
        <v>HARIPAL</v>
      </c>
    </row>
    <row r="662" spans="1:33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0"/>
        <v xml:space="preserve">441857089 </v>
      </c>
      <c r="Y662" s="8" t="str">
        <f t="shared" si="31"/>
        <v>RP</v>
      </c>
      <c r="Z662" s="8">
        <f t="shared" si="32"/>
        <v>236</v>
      </c>
      <c r="AA662" s="8">
        <f t="shared" si="33"/>
        <v>236</v>
      </c>
      <c r="AB662" s="8">
        <f t="shared" si="34"/>
        <v>236</v>
      </c>
      <c r="AC662" s="8">
        <f t="shared" si="35"/>
        <v>236</v>
      </c>
      <c r="AD662" s="8">
        <f t="shared" si="36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41"/>
        <v>SAGE GREEN</v>
      </c>
      <c r="AG662" s="11" t="str">
        <f t="shared" si="42"/>
        <v>HARIPAL</v>
      </c>
    </row>
    <row r="663" spans="1:33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0"/>
        <v xml:space="preserve">441857089 </v>
      </c>
      <c r="Y663" s="8" t="str">
        <f t="shared" si="31"/>
        <v>RP</v>
      </c>
      <c r="Z663" s="8">
        <f t="shared" si="32"/>
        <v>269</v>
      </c>
      <c r="AA663" s="8">
        <f t="shared" si="33"/>
        <v>269</v>
      </c>
      <c r="AB663" s="8">
        <f t="shared" si="34"/>
        <v>269</v>
      </c>
      <c r="AC663" s="8">
        <f t="shared" si="35"/>
        <v>269</v>
      </c>
      <c r="AD663" s="8">
        <f t="shared" si="36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41"/>
        <v>OFF WHITE</v>
      </c>
      <c r="AG663" s="11" t="str">
        <f t="shared" si="42"/>
        <v>HARIPAL</v>
      </c>
    </row>
    <row r="664" spans="1:33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0"/>
        <v>441857089</v>
      </c>
      <c r="Y664" s="8" t="str">
        <f t="shared" si="31"/>
        <v>DC</v>
      </c>
      <c r="Z664" s="8">
        <f t="shared" si="32"/>
        <v>0</v>
      </c>
      <c r="AA664" s="8">
        <f t="shared" si="33"/>
        <v>0</v>
      </c>
      <c r="AB664" s="8">
        <f t="shared" si="34"/>
        <v>0</v>
      </c>
      <c r="AC664" s="8">
        <f t="shared" si="35"/>
        <v>0</v>
      </c>
      <c r="AD664" s="8">
        <f t="shared" si="36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41"/>
        <v>OFF WHITE</v>
      </c>
      <c r="AG664" s="11" t="str">
        <f t="shared" si="42"/>
        <v>HARIPAL</v>
      </c>
    </row>
    <row r="665" spans="1:33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0"/>
        <v>441857089</v>
      </c>
      <c r="Y665" s="8" t="str">
        <f t="shared" si="31"/>
        <v>DC</v>
      </c>
      <c r="Z665" s="8">
        <f t="shared" si="32"/>
        <v>0</v>
      </c>
      <c r="AA665" s="8">
        <f t="shared" si="33"/>
        <v>0</v>
      </c>
      <c r="AB665" s="8">
        <f t="shared" si="34"/>
        <v>0</v>
      </c>
      <c r="AC665" s="8">
        <f t="shared" si="35"/>
        <v>269</v>
      </c>
      <c r="AD665" s="8">
        <f t="shared" si="36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41"/>
        <v>OFF WHITE</v>
      </c>
      <c r="AG665" s="11" t="str">
        <f t="shared" si="42"/>
        <v>HARIPAL</v>
      </c>
    </row>
    <row r="666" spans="1:33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0"/>
        <v>441857089</v>
      </c>
      <c r="Y666" s="8" t="str">
        <f t="shared" si="31"/>
        <v>DC</v>
      </c>
      <c r="Z666" s="8">
        <f t="shared" si="32"/>
        <v>0</v>
      </c>
      <c r="AA666" s="8">
        <f t="shared" si="33"/>
        <v>0</v>
      </c>
      <c r="AB666" s="8">
        <f t="shared" si="34"/>
        <v>269</v>
      </c>
      <c r="AC666" s="8">
        <f t="shared" si="35"/>
        <v>0</v>
      </c>
      <c r="AD666" s="8">
        <f t="shared" si="36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41"/>
        <v>OFF WHITE</v>
      </c>
      <c r="AG666" s="11" t="str">
        <f t="shared" si="42"/>
        <v>HARIPAL</v>
      </c>
    </row>
    <row r="667" spans="1:33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0"/>
        <v>441857089</v>
      </c>
      <c r="Y667" s="8" t="str">
        <f t="shared" si="31"/>
        <v>DC</v>
      </c>
      <c r="Z667" s="8">
        <f t="shared" si="32"/>
        <v>0</v>
      </c>
      <c r="AA667" s="8">
        <f t="shared" si="33"/>
        <v>269</v>
      </c>
      <c r="AB667" s="8">
        <f t="shared" si="34"/>
        <v>0</v>
      </c>
      <c r="AC667" s="8">
        <f t="shared" si="35"/>
        <v>0</v>
      </c>
      <c r="AD667" s="8">
        <f t="shared" si="36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41"/>
        <v>OFF WHITE</v>
      </c>
      <c r="AG667" s="11" t="str">
        <f t="shared" si="42"/>
        <v>HARIPAL</v>
      </c>
    </row>
    <row r="668" spans="1:33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0"/>
        <v>441857089</v>
      </c>
      <c r="Y668" s="8" t="str">
        <f t="shared" si="31"/>
        <v>DC</v>
      </c>
      <c r="Z668" s="8">
        <f t="shared" si="32"/>
        <v>269</v>
      </c>
      <c r="AA668" s="8">
        <f t="shared" si="33"/>
        <v>0</v>
      </c>
      <c r="AB668" s="8">
        <f t="shared" si="34"/>
        <v>0</v>
      </c>
      <c r="AC668" s="8">
        <f t="shared" si="35"/>
        <v>0</v>
      </c>
      <c r="AD668" s="8">
        <f t="shared" si="36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41"/>
        <v>OFF WHITE</v>
      </c>
      <c r="AG668" s="11" t="str">
        <f t="shared" si="42"/>
        <v>HARIPAL</v>
      </c>
    </row>
    <row r="669" spans="1:33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0"/>
        <v xml:space="preserve">441857089 </v>
      </c>
      <c r="Y669" s="8" t="str">
        <f t="shared" si="31"/>
        <v>RP</v>
      </c>
      <c r="Z669" s="8">
        <f t="shared" si="32"/>
        <v>269</v>
      </c>
      <c r="AA669" s="8">
        <f t="shared" si="33"/>
        <v>269</v>
      </c>
      <c r="AB669" s="8">
        <f t="shared" si="34"/>
        <v>269</v>
      </c>
      <c r="AC669" s="8">
        <f t="shared" si="35"/>
        <v>269</v>
      </c>
      <c r="AD669" s="8">
        <f t="shared" si="36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41"/>
        <v>RUST</v>
      </c>
      <c r="AG669" s="11" t="str">
        <f t="shared" si="42"/>
        <v>HARIPAL</v>
      </c>
    </row>
    <row r="670" spans="1:33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0"/>
        <v>441857089</v>
      </c>
      <c r="Y670" s="8" t="str">
        <f t="shared" si="31"/>
        <v>DC</v>
      </c>
      <c r="Z670" s="8">
        <f t="shared" si="32"/>
        <v>0</v>
      </c>
      <c r="AA670" s="8">
        <f t="shared" si="33"/>
        <v>0</v>
      </c>
      <c r="AB670" s="8">
        <f t="shared" si="34"/>
        <v>0</v>
      </c>
      <c r="AC670" s="8">
        <f t="shared" si="35"/>
        <v>0</v>
      </c>
      <c r="AD670" s="8">
        <f t="shared" si="36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41"/>
        <v>RUST</v>
      </c>
      <c r="AG670" s="11" t="str">
        <f t="shared" si="42"/>
        <v>HARIPAL</v>
      </c>
    </row>
    <row r="671" spans="1:33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0"/>
        <v>441857089</v>
      </c>
      <c r="Y671" s="8" t="str">
        <f t="shared" si="31"/>
        <v>DC</v>
      </c>
      <c r="Z671" s="8">
        <f t="shared" si="32"/>
        <v>0</v>
      </c>
      <c r="AA671" s="8">
        <f t="shared" si="33"/>
        <v>0</v>
      </c>
      <c r="AB671" s="8">
        <f t="shared" si="34"/>
        <v>0</v>
      </c>
      <c r="AC671" s="8">
        <f t="shared" si="35"/>
        <v>269</v>
      </c>
      <c r="AD671" s="8">
        <f t="shared" si="36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41"/>
        <v>RUST</v>
      </c>
      <c r="AG671" s="11" t="str">
        <f t="shared" si="42"/>
        <v>HARIPAL</v>
      </c>
    </row>
    <row r="672" spans="1:33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0"/>
        <v>441857089</v>
      </c>
      <c r="Y672" s="8" t="str">
        <f t="shared" si="31"/>
        <v>DC</v>
      </c>
      <c r="Z672" s="8">
        <f t="shared" si="32"/>
        <v>0</v>
      </c>
      <c r="AA672" s="8">
        <f t="shared" si="33"/>
        <v>0</v>
      </c>
      <c r="AB672" s="8">
        <f t="shared" si="34"/>
        <v>269</v>
      </c>
      <c r="AC672" s="8">
        <f t="shared" si="35"/>
        <v>0</v>
      </c>
      <c r="AD672" s="8">
        <f t="shared" si="36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41"/>
        <v>RUST</v>
      </c>
      <c r="AG672" s="11" t="str">
        <f t="shared" si="42"/>
        <v>HARIPAL</v>
      </c>
    </row>
    <row r="673" spans="1:33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0"/>
        <v>441857089</v>
      </c>
      <c r="Y673" s="8" t="str">
        <f t="shared" si="31"/>
        <v>DC</v>
      </c>
      <c r="Z673" s="8">
        <f t="shared" si="32"/>
        <v>0</v>
      </c>
      <c r="AA673" s="8">
        <f t="shared" si="33"/>
        <v>269</v>
      </c>
      <c r="AB673" s="8">
        <f t="shared" si="34"/>
        <v>0</v>
      </c>
      <c r="AC673" s="8">
        <f t="shared" si="35"/>
        <v>0</v>
      </c>
      <c r="AD673" s="8">
        <f t="shared" si="36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41"/>
        <v>RUST</v>
      </c>
      <c r="AG673" s="11" t="str">
        <f t="shared" si="42"/>
        <v>HARIPAL</v>
      </c>
    </row>
    <row r="674" spans="1:33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0"/>
        <v>441857089</v>
      </c>
      <c r="Y674" s="8" t="str">
        <f t="shared" si="31"/>
        <v>DC</v>
      </c>
      <c r="Z674" s="8">
        <f t="shared" si="32"/>
        <v>269</v>
      </c>
      <c r="AA674" s="8">
        <f t="shared" si="33"/>
        <v>0</v>
      </c>
      <c r="AB674" s="8">
        <f t="shared" si="34"/>
        <v>0</v>
      </c>
      <c r="AC674" s="8">
        <f t="shared" si="35"/>
        <v>0</v>
      </c>
      <c r="AD674" s="8">
        <f t="shared" si="36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41"/>
        <v>RUST</v>
      </c>
      <c r="AG674" s="11" t="str">
        <f t="shared" si="42"/>
        <v>HARIPAL</v>
      </c>
    </row>
    <row r="675" spans="1:33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0"/>
        <v>441857093</v>
      </c>
      <c r="Y675" s="8" t="str">
        <f t="shared" si="31"/>
        <v>DC</v>
      </c>
      <c r="Z675" s="8">
        <f t="shared" si="32"/>
        <v>30</v>
      </c>
      <c r="AA675" s="8">
        <f t="shared" si="33"/>
        <v>0</v>
      </c>
      <c r="AB675" s="8">
        <f t="shared" si="34"/>
        <v>0</v>
      </c>
      <c r="AC675" s="8">
        <f t="shared" si="35"/>
        <v>0</v>
      </c>
      <c r="AD675" s="8">
        <f t="shared" si="36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41"/>
        <v>BLACK</v>
      </c>
      <c r="AG675" s="11" t="str">
        <f t="shared" si="42"/>
        <v>Bangalore</v>
      </c>
    </row>
    <row r="676" spans="1:33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0"/>
        <v>441857093</v>
      </c>
      <c r="Y676" s="8" t="str">
        <f t="shared" si="31"/>
        <v>DC</v>
      </c>
      <c r="Z676" s="8">
        <f t="shared" si="32"/>
        <v>0</v>
      </c>
      <c r="AA676" s="8">
        <f t="shared" si="33"/>
        <v>363</v>
      </c>
      <c r="AB676" s="8">
        <f t="shared" si="34"/>
        <v>0</v>
      </c>
      <c r="AC676" s="8">
        <f t="shared" si="35"/>
        <v>0</v>
      </c>
      <c r="AD676" s="8">
        <f t="shared" si="36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41"/>
        <v>BLACK</v>
      </c>
      <c r="AG676" s="11" t="str">
        <f t="shared" si="42"/>
        <v>Bangalore</v>
      </c>
    </row>
    <row r="677" spans="1:33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0"/>
        <v>441857093</v>
      </c>
      <c r="Y677" s="8" t="str">
        <f t="shared" si="31"/>
        <v>DC</v>
      </c>
      <c r="Z677" s="8">
        <f t="shared" si="32"/>
        <v>0</v>
      </c>
      <c r="AA677" s="8">
        <f t="shared" si="33"/>
        <v>0</v>
      </c>
      <c r="AB677" s="8">
        <f t="shared" si="34"/>
        <v>409</v>
      </c>
      <c r="AC677" s="8">
        <f t="shared" si="35"/>
        <v>0</v>
      </c>
      <c r="AD677" s="8">
        <f t="shared" si="36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41"/>
        <v>BLACK</v>
      </c>
      <c r="AG677" s="11" t="str">
        <f t="shared" si="42"/>
        <v>Bangalore</v>
      </c>
    </row>
    <row r="678" spans="1:33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0"/>
        <v>441857093</v>
      </c>
      <c r="Y678" s="8" t="str">
        <f t="shared" si="31"/>
        <v>DC</v>
      </c>
      <c r="Z678" s="8">
        <f t="shared" si="32"/>
        <v>0</v>
      </c>
      <c r="AA678" s="8">
        <f t="shared" si="33"/>
        <v>0</v>
      </c>
      <c r="AB678" s="8">
        <f t="shared" si="34"/>
        <v>0</v>
      </c>
      <c r="AC678" s="8">
        <f t="shared" si="35"/>
        <v>477</v>
      </c>
      <c r="AD678" s="8">
        <f t="shared" si="36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41"/>
        <v>BLACK</v>
      </c>
      <c r="AG678" s="11" t="str">
        <f t="shared" si="42"/>
        <v>Bangalore</v>
      </c>
    </row>
    <row r="679" spans="1:33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0"/>
        <v>441857093</v>
      </c>
      <c r="Y679" s="8" t="str">
        <f t="shared" si="31"/>
        <v>DC</v>
      </c>
      <c r="Z679" s="8">
        <f t="shared" si="32"/>
        <v>0</v>
      </c>
      <c r="AA679" s="8">
        <f t="shared" si="33"/>
        <v>0</v>
      </c>
      <c r="AB679" s="8">
        <f t="shared" si="34"/>
        <v>0</v>
      </c>
      <c r="AC679" s="8">
        <f t="shared" si="35"/>
        <v>0</v>
      </c>
      <c r="AD679" s="8">
        <f t="shared" si="36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41"/>
        <v>BLACK</v>
      </c>
      <c r="AG679" s="11" t="str">
        <f t="shared" si="42"/>
        <v>Bangalore</v>
      </c>
    </row>
    <row r="680" spans="1:33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0"/>
        <v>441857093</v>
      </c>
      <c r="Y680" s="8" t="str">
        <f t="shared" si="31"/>
        <v>DC</v>
      </c>
      <c r="Z680" s="8">
        <f t="shared" si="32"/>
        <v>30</v>
      </c>
      <c r="AA680" s="8">
        <f t="shared" si="33"/>
        <v>0</v>
      </c>
      <c r="AB680" s="8">
        <f t="shared" si="34"/>
        <v>0</v>
      </c>
      <c r="AC680" s="8">
        <f t="shared" si="35"/>
        <v>0</v>
      </c>
      <c r="AD680" s="8">
        <f t="shared" si="36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41"/>
        <v>BLACK</v>
      </c>
      <c r="AG680" s="11" t="str">
        <f t="shared" si="42"/>
        <v>JHAJJAR</v>
      </c>
    </row>
    <row r="681" spans="1:33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0"/>
        <v>441857093</v>
      </c>
      <c r="Y681" s="8" t="str">
        <f t="shared" si="31"/>
        <v>DC</v>
      </c>
      <c r="Z681" s="8">
        <f t="shared" si="32"/>
        <v>0</v>
      </c>
      <c r="AA681" s="8">
        <f t="shared" si="33"/>
        <v>183</v>
      </c>
      <c r="AB681" s="8">
        <f t="shared" si="34"/>
        <v>0</v>
      </c>
      <c r="AC681" s="8">
        <f t="shared" si="35"/>
        <v>0</v>
      </c>
      <c r="AD681" s="8">
        <f t="shared" si="36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41"/>
        <v>BLACK</v>
      </c>
      <c r="AG681" s="11" t="str">
        <f t="shared" si="42"/>
        <v>JHAJJAR</v>
      </c>
    </row>
    <row r="682" spans="1:33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0"/>
        <v>441857093</v>
      </c>
      <c r="Y682" s="8" t="str">
        <f t="shared" si="31"/>
        <v>DC</v>
      </c>
      <c r="Z682" s="8">
        <f t="shared" si="32"/>
        <v>0</v>
      </c>
      <c r="AA682" s="8">
        <f t="shared" si="33"/>
        <v>0</v>
      </c>
      <c r="AB682" s="8">
        <f t="shared" si="34"/>
        <v>205</v>
      </c>
      <c r="AC682" s="8">
        <f t="shared" si="35"/>
        <v>0</v>
      </c>
      <c r="AD682" s="8">
        <f t="shared" si="36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41"/>
        <v>BLACK</v>
      </c>
      <c r="AG682" s="11" t="str">
        <f t="shared" si="42"/>
        <v>JHAJJAR</v>
      </c>
    </row>
    <row r="683" spans="1:33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0"/>
        <v>441857093</v>
      </c>
      <c r="Y683" s="8" t="str">
        <f t="shared" si="31"/>
        <v>DC</v>
      </c>
      <c r="Z683" s="8">
        <f t="shared" si="32"/>
        <v>0</v>
      </c>
      <c r="AA683" s="8">
        <f t="shared" si="33"/>
        <v>0</v>
      </c>
      <c r="AB683" s="8">
        <f t="shared" si="34"/>
        <v>0</v>
      </c>
      <c r="AC683" s="8">
        <f t="shared" si="35"/>
        <v>240</v>
      </c>
      <c r="AD683" s="8">
        <f t="shared" si="36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41"/>
        <v>BLACK</v>
      </c>
      <c r="AG683" s="11" t="str">
        <f t="shared" si="42"/>
        <v>JHAJJAR</v>
      </c>
    </row>
    <row r="684" spans="1:33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0"/>
        <v>441857093</v>
      </c>
      <c r="Y684" s="8" t="str">
        <f t="shared" si="31"/>
        <v>DC</v>
      </c>
      <c r="Z684" s="8">
        <f t="shared" si="32"/>
        <v>0</v>
      </c>
      <c r="AA684" s="8">
        <f t="shared" si="33"/>
        <v>0</v>
      </c>
      <c r="AB684" s="8">
        <f t="shared" si="34"/>
        <v>0</v>
      </c>
      <c r="AC684" s="8">
        <f t="shared" si="35"/>
        <v>0</v>
      </c>
      <c r="AD684" s="8">
        <f t="shared" si="36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41"/>
        <v>BLACK</v>
      </c>
      <c r="AG684" s="11" t="str">
        <f t="shared" si="42"/>
        <v>JHAJJAR</v>
      </c>
    </row>
    <row r="685" spans="1:33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0"/>
        <v>441857093</v>
      </c>
      <c r="Y685" s="8" t="str">
        <f t="shared" si="31"/>
        <v>DC</v>
      </c>
      <c r="Z685" s="8">
        <f t="shared" si="32"/>
        <v>30</v>
      </c>
      <c r="AA685" s="8">
        <f t="shared" si="33"/>
        <v>0</v>
      </c>
      <c r="AB685" s="8">
        <f t="shared" si="34"/>
        <v>0</v>
      </c>
      <c r="AC685" s="8">
        <f t="shared" si="35"/>
        <v>0</v>
      </c>
      <c r="AD685" s="8">
        <f t="shared" si="36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41"/>
        <v>BLACK</v>
      </c>
      <c r="AG685" s="11" t="str">
        <f t="shared" si="42"/>
        <v>HARIPAL</v>
      </c>
    </row>
    <row r="686" spans="1:33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0"/>
        <v>441857093</v>
      </c>
      <c r="Y686" s="8" t="str">
        <f t="shared" si="31"/>
        <v>DC</v>
      </c>
      <c r="Z686" s="8">
        <f t="shared" si="32"/>
        <v>0</v>
      </c>
      <c r="AA686" s="8">
        <f t="shared" si="33"/>
        <v>173</v>
      </c>
      <c r="AB686" s="8">
        <f t="shared" si="34"/>
        <v>0</v>
      </c>
      <c r="AC686" s="8">
        <f t="shared" si="35"/>
        <v>0</v>
      </c>
      <c r="AD686" s="8">
        <f t="shared" si="36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41"/>
        <v>BLACK</v>
      </c>
      <c r="AG686" s="11" t="str">
        <f t="shared" si="42"/>
        <v>HARIPAL</v>
      </c>
    </row>
    <row r="687" spans="1:33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0"/>
        <v>441857093</v>
      </c>
      <c r="Y687" s="8" t="str">
        <f t="shared" si="31"/>
        <v>DC</v>
      </c>
      <c r="Z687" s="8">
        <f t="shared" si="32"/>
        <v>0</v>
      </c>
      <c r="AA687" s="8">
        <f t="shared" si="33"/>
        <v>0</v>
      </c>
      <c r="AB687" s="8">
        <f t="shared" si="34"/>
        <v>195</v>
      </c>
      <c r="AC687" s="8">
        <f t="shared" si="35"/>
        <v>0</v>
      </c>
      <c r="AD687" s="8">
        <f t="shared" si="36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41"/>
        <v>BLACK</v>
      </c>
      <c r="AG687" s="11" t="str">
        <f t="shared" si="42"/>
        <v>HARIPAL</v>
      </c>
    </row>
    <row r="688" spans="1:33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0"/>
        <v>441857093</v>
      </c>
      <c r="Y688" s="8" t="str">
        <f t="shared" si="31"/>
        <v>DC</v>
      </c>
      <c r="Z688" s="8">
        <f t="shared" si="32"/>
        <v>0</v>
      </c>
      <c r="AA688" s="8">
        <f t="shared" si="33"/>
        <v>0</v>
      </c>
      <c r="AB688" s="8">
        <f t="shared" si="34"/>
        <v>0</v>
      </c>
      <c r="AC688" s="8">
        <f t="shared" si="35"/>
        <v>227</v>
      </c>
      <c r="AD688" s="8">
        <f t="shared" si="36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41"/>
        <v>BLACK</v>
      </c>
      <c r="AG688" s="11" t="str">
        <f t="shared" si="42"/>
        <v>HARIPAL</v>
      </c>
    </row>
    <row r="689" spans="1:33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0"/>
        <v>441857093</v>
      </c>
      <c r="Y689" s="8" t="str">
        <f t="shared" si="31"/>
        <v>DC</v>
      </c>
      <c r="Z689" s="8">
        <f t="shared" si="32"/>
        <v>0</v>
      </c>
      <c r="AA689" s="8">
        <f t="shared" si="33"/>
        <v>0</v>
      </c>
      <c r="AB689" s="8">
        <f t="shared" si="34"/>
        <v>0</v>
      </c>
      <c r="AC689" s="8">
        <f t="shared" si="35"/>
        <v>0</v>
      </c>
      <c r="AD689" s="8">
        <f t="shared" si="36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41"/>
        <v>BLACK</v>
      </c>
      <c r="AG689" s="11" t="str">
        <f t="shared" si="42"/>
        <v>HARIPAL</v>
      </c>
    </row>
    <row r="690" spans="1:33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0"/>
        <v>441857089</v>
      </c>
      <c r="Y690" s="8" t="str">
        <f t="shared" si="31"/>
        <v>DC</v>
      </c>
      <c r="Z690" s="8">
        <f t="shared" si="32"/>
        <v>0</v>
      </c>
      <c r="AA690" s="8">
        <f t="shared" si="33"/>
        <v>0</v>
      </c>
      <c r="AB690" s="8">
        <f t="shared" si="34"/>
        <v>0</v>
      </c>
      <c r="AC690" s="8">
        <f t="shared" si="35"/>
        <v>398</v>
      </c>
      <c r="AD690" s="8">
        <f t="shared" si="36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41"/>
        <v>BLACK</v>
      </c>
      <c r="AG690" s="11" t="str">
        <f t="shared" si="42"/>
        <v>Bangalore</v>
      </c>
    </row>
    <row r="691" spans="1:33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0"/>
        <v>441857089</v>
      </c>
      <c r="Y691" s="8" t="str">
        <f t="shared" si="31"/>
        <v>DC</v>
      </c>
      <c r="Z691" s="8">
        <f t="shared" si="32"/>
        <v>0</v>
      </c>
      <c r="AA691" s="8">
        <f t="shared" si="33"/>
        <v>0</v>
      </c>
      <c r="AB691" s="8">
        <f t="shared" si="34"/>
        <v>0</v>
      </c>
      <c r="AC691" s="8">
        <f t="shared" si="35"/>
        <v>200</v>
      </c>
      <c r="AD691" s="8">
        <f t="shared" si="36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41"/>
        <v>BLACK</v>
      </c>
      <c r="AG691" s="11" t="str">
        <f t="shared" si="42"/>
        <v>JHAJJAR</v>
      </c>
    </row>
    <row r="692" spans="1:33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0"/>
        <v>441857089</v>
      </c>
      <c r="Y692" s="8" t="str">
        <f t="shared" si="31"/>
        <v>DC</v>
      </c>
      <c r="Z692" s="8">
        <f t="shared" si="32"/>
        <v>30</v>
      </c>
      <c r="AA692" s="8">
        <f t="shared" si="33"/>
        <v>0</v>
      </c>
      <c r="AB692" s="8">
        <f t="shared" si="34"/>
        <v>0</v>
      </c>
      <c r="AC692" s="8">
        <f t="shared" si="35"/>
        <v>0</v>
      </c>
      <c r="AD692" s="8">
        <f t="shared" si="36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41"/>
        <v>BLACK</v>
      </c>
      <c r="AG692" s="11" t="str">
        <f t="shared" si="42"/>
        <v>HARIPAL</v>
      </c>
    </row>
    <row r="693" spans="1:33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0"/>
        <v>441857089</v>
      </c>
      <c r="Y693" s="8" t="str">
        <f t="shared" si="31"/>
        <v>DC</v>
      </c>
      <c r="Z693" s="8">
        <f t="shared" si="32"/>
        <v>0</v>
      </c>
      <c r="AA693" s="8">
        <f t="shared" si="33"/>
        <v>144</v>
      </c>
      <c r="AB693" s="8">
        <f t="shared" si="34"/>
        <v>0</v>
      </c>
      <c r="AC693" s="8">
        <f t="shared" si="35"/>
        <v>0</v>
      </c>
      <c r="AD693" s="8">
        <f t="shared" si="36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41"/>
        <v>BLACK</v>
      </c>
      <c r="AG693" s="11" t="str">
        <f t="shared" si="42"/>
        <v>HARIPAL</v>
      </c>
    </row>
    <row r="694" spans="1:33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0"/>
        <v>441857089</v>
      </c>
      <c r="Y694" s="8" t="str">
        <f t="shared" si="31"/>
        <v>DC</v>
      </c>
      <c r="Z694" s="8">
        <f t="shared" si="32"/>
        <v>0</v>
      </c>
      <c r="AA694" s="8">
        <f t="shared" si="33"/>
        <v>0</v>
      </c>
      <c r="AB694" s="8">
        <f t="shared" si="34"/>
        <v>162</v>
      </c>
      <c r="AC694" s="8">
        <f t="shared" si="35"/>
        <v>0</v>
      </c>
      <c r="AD694" s="8">
        <f t="shared" si="36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41"/>
        <v>BLACK</v>
      </c>
      <c r="AG694" s="11" t="str">
        <f t="shared" si="42"/>
        <v>HARIPAL</v>
      </c>
    </row>
    <row r="695" spans="1:33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0"/>
        <v>441857089</v>
      </c>
      <c r="Y695" s="8" t="str">
        <f t="shared" si="31"/>
        <v>DC</v>
      </c>
      <c r="Z695" s="8">
        <f t="shared" si="32"/>
        <v>0</v>
      </c>
      <c r="AA695" s="8">
        <f t="shared" si="33"/>
        <v>0</v>
      </c>
      <c r="AB695" s="8">
        <f t="shared" si="34"/>
        <v>0</v>
      </c>
      <c r="AC695" s="8">
        <f t="shared" si="35"/>
        <v>189</v>
      </c>
      <c r="AD695" s="8">
        <f t="shared" si="36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41"/>
        <v>BLACK</v>
      </c>
      <c r="AG695" s="11" t="str">
        <f t="shared" si="42"/>
        <v>HARIPAL</v>
      </c>
    </row>
    <row r="696" spans="1:33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0"/>
        <v>441857089</v>
      </c>
      <c r="Y696" s="8" t="str">
        <f t="shared" si="31"/>
        <v>DC</v>
      </c>
      <c r="Z696" s="8">
        <f t="shared" si="32"/>
        <v>0</v>
      </c>
      <c r="AA696" s="8">
        <f t="shared" si="33"/>
        <v>0</v>
      </c>
      <c r="AB696" s="8">
        <f t="shared" si="34"/>
        <v>0</v>
      </c>
      <c r="AC696" s="8">
        <f t="shared" si="35"/>
        <v>0</v>
      </c>
      <c r="AD696" s="8">
        <f t="shared" si="36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41"/>
        <v>BLACK</v>
      </c>
      <c r="AG696" s="11" t="str">
        <f t="shared" si="42"/>
        <v>HARIPAL</v>
      </c>
    </row>
    <row r="697" spans="1:33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0"/>
        <v>441857193</v>
      </c>
      <c r="Y697" s="8" t="str">
        <f t="shared" si="31"/>
        <v>RP</v>
      </c>
      <c r="Z697" s="8">
        <f t="shared" si="32"/>
        <v>294</v>
      </c>
      <c r="AA697" s="8">
        <f t="shared" si="33"/>
        <v>294</v>
      </c>
      <c r="AB697" s="8">
        <f t="shared" si="34"/>
        <v>294</v>
      </c>
      <c r="AC697" s="8">
        <f t="shared" si="35"/>
        <v>294</v>
      </c>
      <c r="AD697" s="8">
        <f t="shared" si="36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41"/>
        <v>LIME GREEN</v>
      </c>
      <c r="AG697" s="11" t="str">
        <f t="shared" si="42"/>
        <v>Bangalore</v>
      </c>
    </row>
    <row r="698" spans="1:33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0"/>
        <v>441857191</v>
      </c>
      <c r="Y698" s="8" t="str">
        <f t="shared" si="31"/>
        <v>RP</v>
      </c>
      <c r="Z698" s="8">
        <f t="shared" si="32"/>
        <v>359</v>
      </c>
      <c r="AA698" s="8">
        <f t="shared" si="33"/>
        <v>359</v>
      </c>
      <c r="AB698" s="8">
        <f t="shared" si="34"/>
        <v>359</v>
      </c>
      <c r="AC698" s="8">
        <f t="shared" si="35"/>
        <v>359</v>
      </c>
      <c r="AD698" s="8">
        <f t="shared" si="36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41"/>
        <v>MAGENTA</v>
      </c>
      <c r="AG698" s="11" t="str">
        <f t="shared" si="42"/>
        <v>Bangalore</v>
      </c>
    </row>
    <row r="699" spans="1:33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0"/>
        <v>441857187</v>
      </c>
      <c r="Y699" s="8" t="str">
        <f t="shared" si="31"/>
        <v>RP</v>
      </c>
      <c r="Z699" s="8">
        <f t="shared" si="32"/>
        <v>359</v>
      </c>
      <c r="AA699" s="8">
        <f t="shared" si="33"/>
        <v>359</v>
      </c>
      <c r="AB699" s="8">
        <f t="shared" si="34"/>
        <v>359</v>
      </c>
      <c r="AC699" s="8">
        <f t="shared" si="35"/>
        <v>359</v>
      </c>
      <c r="AD699" s="8">
        <f t="shared" si="36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41"/>
        <v>FUCHSIA</v>
      </c>
      <c r="AG699" s="11" t="str">
        <f t="shared" si="42"/>
        <v>Bangalore</v>
      </c>
    </row>
    <row r="700" spans="1:33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0"/>
        <v>441857188</v>
      </c>
      <c r="Y700" s="8" t="str">
        <f t="shared" si="31"/>
        <v>RP</v>
      </c>
      <c r="Z700" s="8">
        <f t="shared" si="32"/>
        <v>359</v>
      </c>
      <c r="AA700" s="8">
        <f t="shared" si="33"/>
        <v>359</v>
      </c>
      <c r="AB700" s="8">
        <f t="shared" si="34"/>
        <v>359</v>
      </c>
      <c r="AC700" s="8">
        <f t="shared" si="35"/>
        <v>359</v>
      </c>
      <c r="AD700" s="8">
        <f t="shared" si="36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41"/>
        <v>LIME GREEN</v>
      </c>
      <c r="AG700" s="11" t="str">
        <f t="shared" si="42"/>
        <v>Bangalore</v>
      </c>
    </row>
    <row r="701" spans="1:33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0"/>
        <v>441857189</v>
      </c>
      <c r="Y701" s="8" t="str">
        <f t="shared" si="31"/>
        <v>RP</v>
      </c>
      <c r="Z701" s="8">
        <f t="shared" si="32"/>
        <v>359</v>
      </c>
      <c r="AA701" s="8">
        <f t="shared" si="33"/>
        <v>359</v>
      </c>
      <c r="AB701" s="8">
        <f t="shared" si="34"/>
        <v>359</v>
      </c>
      <c r="AC701" s="8">
        <f t="shared" si="35"/>
        <v>359</v>
      </c>
      <c r="AD701" s="8">
        <f t="shared" si="36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41"/>
        <v>SKY BLUE</v>
      </c>
      <c r="AG701" s="11" t="str">
        <f t="shared" si="42"/>
        <v>Bangalore</v>
      </c>
    </row>
    <row r="702" spans="1:33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0"/>
        <v>441857193</v>
      </c>
      <c r="Y702" s="8" t="str">
        <f t="shared" si="31"/>
        <v>RP</v>
      </c>
      <c r="Z702" s="8">
        <f t="shared" si="32"/>
        <v>166</v>
      </c>
      <c r="AA702" s="8">
        <f t="shared" si="33"/>
        <v>166</v>
      </c>
      <c r="AB702" s="8">
        <f t="shared" si="34"/>
        <v>166</v>
      </c>
      <c r="AC702" s="8">
        <f t="shared" si="35"/>
        <v>166</v>
      </c>
      <c r="AD702" s="8">
        <f t="shared" si="36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41"/>
        <v>LIME GREEN</v>
      </c>
      <c r="AG702" s="11" t="str">
        <f t="shared" si="42"/>
        <v>JHAJJAR</v>
      </c>
    </row>
    <row r="703" spans="1:33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0"/>
        <v>441857186</v>
      </c>
      <c r="Y703" s="8" t="str">
        <f t="shared" si="31"/>
        <v>RP</v>
      </c>
      <c r="Z703" s="8">
        <f t="shared" si="32"/>
        <v>203</v>
      </c>
      <c r="AA703" s="8">
        <f t="shared" si="33"/>
        <v>203</v>
      </c>
      <c r="AB703" s="8">
        <f t="shared" si="34"/>
        <v>203</v>
      </c>
      <c r="AC703" s="8">
        <f t="shared" si="35"/>
        <v>203</v>
      </c>
      <c r="AD703" s="8">
        <f t="shared" si="36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41"/>
        <v>CREAM</v>
      </c>
      <c r="AG703" s="11" t="str">
        <f t="shared" si="42"/>
        <v>JHAJJAR</v>
      </c>
    </row>
    <row r="704" spans="1:33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0"/>
        <v>441857189</v>
      </c>
      <c r="Y704" s="8" t="str">
        <f t="shared" si="31"/>
        <v>RP</v>
      </c>
      <c r="Z704" s="8">
        <f t="shared" si="32"/>
        <v>203</v>
      </c>
      <c r="AA704" s="8">
        <f t="shared" si="33"/>
        <v>203</v>
      </c>
      <c r="AB704" s="8">
        <f t="shared" si="34"/>
        <v>203</v>
      </c>
      <c r="AC704" s="8">
        <f t="shared" si="35"/>
        <v>203</v>
      </c>
      <c r="AD704" s="8">
        <f t="shared" si="36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41"/>
        <v>SKY BLUE</v>
      </c>
      <c r="AG704" s="11" t="str">
        <f t="shared" si="42"/>
        <v>JHAJJAR</v>
      </c>
    </row>
    <row r="705" spans="1:33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0"/>
        <v>441857184</v>
      </c>
      <c r="Y705" s="8" t="str">
        <f t="shared" si="31"/>
        <v>RP</v>
      </c>
      <c r="Z705" s="8">
        <f t="shared" si="32"/>
        <v>203</v>
      </c>
      <c r="AA705" s="8">
        <f t="shared" si="33"/>
        <v>203</v>
      </c>
      <c r="AB705" s="8">
        <f t="shared" si="34"/>
        <v>203</v>
      </c>
      <c r="AC705" s="8">
        <f t="shared" si="35"/>
        <v>203</v>
      </c>
      <c r="AD705" s="8">
        <f t="shared" si="36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41"/>
        <v>CORAL</v>
      </c>
      <c r="AG705" s="11" t="str">
        <f t="shared" si="42"/>
        <v>JHAJJAR</v>
      </c>
    </row>
    <row r="706" spans="1:33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0"/>
        <v>441857187</v>
      </c>
      <c r="Y706" s="8" t="str">
        <f t="shared" si="31"/>
        <v>RP</v>
      </c>
      <c r="Z706" s="8">
        <f t="shared" si="32"/>
        <v>203</v>
      </c>
      <c r="AA706" s="8">
        <f t="shared" si="33"/>
        <v>203</v>
      </c>
      <c r="AB706" s="8">
        <f t="shared" si="34"/>
        <v>203</v>
      </c>
      <c r="AC706" s="8">
        <f t="shared" si="35"/>
        <v>203</v>
      </c>
      <c r="AD706" s="8">
        <f t="shared" si="36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41"/>
        <v>FUCHSIA</v>
      </c>
      <c r="AG706" s="11" t="str">
        <f t="shared" si="42"/>
        <v>JHAJJAR</v>
      </c>
    </row>
    <row r="707" spans="1:33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0"/>
        <v>441857185</v>
      </c>
      <c r="Y707" s="8" t="str">
        <f t="shared" si="31"/>
        <v>RP</v>
      </c>
      <c r="Z707" s="8">
        <f t="shared" si="32"/>
        <v>203</v>
      </c>
      <c r="AA707" s="8">
        <f t="shared" si="33"/>
        <v>203</v>
      </c>
      <c r="AB707" s="8">
        <f t="shared" si="34"/>
        <v>203</v>
      </c>
      <c r="AC707" s="8">
        <f t="shared" si="35"/>
        <v>203</v>
      </c>
      <c r="AD707" s="8">
        <f t="shared" si="36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43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44">IF(A707="SZAF","Bangalore",IF(A707="SAEX","JHAJJAR",IF(A707="S0EU","HARIPAL","")))</f>
        <v>JHAJJAR</v>
      </c>
    </row>
    <row r="708" spans="1:33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0"/>
        <v>441857192</v>
      </c>
      <c r="Y708" s="8" t="str">
        <f t="shared" si="31"/>
        <v>RP</v>
      </c>
      <c r="Z708" s="8">
        <f t="shared" si="32"/>
        <v>208</v>
      </c>
      <c r="AA708" s="8">
        <f t="shared" si="33"/>
        <v>208</v>
      </c>
      <c r="AB708" s="8">
        <f t="shared" si="34"/>
        <v>208</v>
      </c>
      <c r="AC708" s="8">
        <f t="shared" si="35"/>
        <v>208</v>
      </c>
      <c r="AD708" s="8">
        <f t="shared" si="36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43"/>
        <v>LIME GREEN</v>
      </c>
      <c r="AG708" s="11" t="str">
        <f t="shared" si="44"/>
        <v>HARIPAL</v>
      </c>
    </row>
    <row r="709" spans="1:33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0"/>
        <v>441857187</v>
      </c>
      <c r="Y709" s="8" t="str">
        <f t="shared" si="31"/>
        <v>RP</v>
      </c>
      <c r="Z709" s="8">
        <f t="shared" si="32"/>
        <v>208</v>
      </c>
      <c r="AA709" s="8">
        <f t="shared" si="33"/>
        <v>208</v>
      </c>
      <c r="AB709" s="8">
        <f t="shared" si="34"/>
        <v>208</v>
      </c>
      <c r="AC709" s="8">
        <f t="shared" si="35"/>
        <v>208</v>
      </c>
      <c r="AD709" s="8">
        <f t="shared" si="36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43"/>
        <v>FUCHSIA</v>
      </c>
      <c r="AG709" s="11" t="str">
        <f t="shared" si="44"/>
        <v>HARIPAL</v>
      </c>
    </row>
    <row r="710" spans="1:33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0"/>
        <v>441857190</v>
      </c>
      <c r="Y710" s="8" t="str">
        <f t="shared" si="31"/>
        <v>RP</v>
      </c>
      <c r="Z710" s="8">
        <f t="shared" si="32"/>
        <v>208</v>
      </c>
      <c r="AA710" s="8">
        <f t="shared" si="33"/>
        <v>208</v>
      </c>
      <c r="AB710" s="8">
        <f t="shared" si="34"/>
        <v>208</v>
      </c>
      <c r="AC710" s="8">
        <f t="shared" si="35"/>
        <v>208</v>
      </c>
      <c r="AD710" s="8">
        <f t="shared" si="36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43"/>
        <v>GREEN</v>
      </c>
      <c r="AG710" s="11" t="str">
        <f t="shared" si="44"/>
        <v>HARIPAL</v>
      </c>
    </row>
    <row r="711" spans="1:33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0"/>
        <v>441857191</v>
      </c>
      <c r="Y711" s="8" t="str">
        <f t="shared" si="31"/>
        <v>RP</v>
      </c>
      <c r="Z711" s="8">
        <f t="shared" si="32"/>
        <v>208</v>
      </c>
      <c r="AA711" s="8">
        <f t="shared" si="33"/>
        <v>208</v>
      </c>
      <c r="AB711" s="8">
        <f t="shared" si="34"/>
        <v>208</v>
      </c>
      <c r="AC711" s="8">
        <f t="shared" si="35"/>
        <v>208</v>
      </c>
      <c r="AD711" s="8">
        <f t="shared" si="36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43"/>
        <v>MAGENTA</v>
      </c>
      <c r="AG711" s="11" t="str">
        <f t="shared" si="44"/>
        <v>HARIPAL</v>
      </c>
    </row>
    <row r="712" spans="1:33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0"/>
        <v>441857192</v>
      </c>
      <c r="Y712" s="8" t="str">
        <f t="shared" si="31"/>
        <v>RP</v>
      </c>
      <c r="Z712" s="8">
        <f t="shared" si="32"/>
        <v>359</v>
      </c>
      <c r="AA712" s="8">
        <f t="shared" si="33"/>
        <v>359</v>
      </c>
      <c r="AB712" s="8">
        <f t="shared" si="34"/>
        <v>359</v>
      </c>
      <c r="AC712" s="8">
        <f t="shared" si="35"/>
        <v>359</v>
      </c>
      <c r="AD712" s="8">
        <f t="shared" si="36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43"/>
        <v>LIME GREEN</v>
      </c>
      <c r="AG712" s="11" t="str">
        <f t="shared" si="44"/>
        <v>Bangalore</v>
      </c>
    </row>
    <row r="713" spans="1:33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0"/>
        <v>441857192</v>
      </c>
      <c r="Y713" s="8" t="str">
        <f t="shared" si="31"/>
        <v>RP</v>
      </c>
      <c r="Z713" s="8">
        <f t="shared" si="32"/>
        <v>203</v>
      </c>
      <c r="AA713" s="8">
        <f t="shared" si="33"/>
        <v>203</v>
      </c>
      <c r="AB713" s="8">
        <f t="shared" si="34"/>
        <v>203</v>
      </c>
      <c r="AC713" s="8">
        <f t="shared" si="35"/>
        <v>203</v>
      </c>
      <c r="AD713" s="8">
        <f t="shared" si="36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43"/>
        <v>LIME GREEN</v>
      </c>
      <c r="AG713" s="11" t="str">
        <f t="shared" si="44"/>
        <v>JHAJJAR</v>
      </c>
    </row>
    <row r="714" spans="1:33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0"/>
        <v>441857186</v>
      </c>
      <c r="Y714" s="8" t="str">
        <f t="shared" si="31"/>
        <v>RP</v>
      </c>
      <c r="Z714" s="8">
        <f t="shared" si="32"/>
        <v>359</v>
      </c>
      <c r="AA714" s="8">
        <f t="shared" si="33"/>
        <v>359</v>
      </c>
      <c r="AB714" s="8">
        <f t="shared" si="34"/>
        <v>359</v>
      </c>
      <c r="AC714" s="8">
        <f t="shared" si="35"/>
        <v>359</v>
      </c>
      <c r="AD714" s="8">
        <f t="shared" si="36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43"/>
        <v>CREAM</v>
      </c>
      <c r="AG714" s="11" t="str">
        <f t="shared" si="44"/>
        <v>Bangalore</v>
      </c>
    </row>
    <row r="715" spans="1:33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0"/>
        <v>441857190</v>
      </c>
      <c r="Y715" s="8" t="str">
        <f t="shared" si="31"/>
        <v>RP</v>
      </c>
      <c r="Z715" s="8">
        <f t="shared" si="32"/>
        <v>359</v>
      </c>
      <c r="AA715" s="8">
        <f t="shared" si="33"/>
        <v>359</v>
      </c>
      <c r="AB715" s="8">
        <f t="shared" si="34"/>
        <v>359</v>
      </c>
      <c r="AC715" s="8">
        <f t="shared" si="35"/>
        <v>359</v>
      </c>
      <c r="AD715" s="8">
        <f t="shared" si="36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43"/>
        <v>GREEN</v>
      </c>
      <c r="AG715" s="11" t="str">
        <f t="shared" si="44"/>
        <v>Bangalore</v>
      </c>
    </row>
    <row r="716" spans="1:33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0"/>
        <v>441857185</v>
      </c>
      <c r="Y716" s="8" t="str">
        <f t="shared" si="31"/>
        <v>RP</v>
      </c>
      <c r="Z716" s="8">
        <f t="shared" si="32"/>
        <v>359</v>
      </c>
      <c r="AA716" s="8">
        <f t="shared" si="33"/>
        <v>359</v>
      </c>
      <c r="AB716" s="8">
        <f t="shared" si="34"/>
        <v>359</v>
      </c>
      <c r="AC716" s="8">
        <f t="shared" si="35"/>
        <v>359</v>
      </c>
      <c r="AD716" s="8">
        <f t="shared" si="36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43"/>
        <v>BLUE</v>
      </c>
      <c r="AG716" s="11" t="str">
        <f t="shared" si="44"/>
        <v>Bangalore</v>
      </c>
    </row>
    <row r="717" spans="1:33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0"/>
        <v>441857184</v>
      </c>
      <c r="Y717" s="8" t="str">
        <f t="shared" si="31"/>
        <v>RP</v>
      </c>
      <c r="Z717" s="8">
        <f t="shared" si="32"/>
        <v>359</v>
      </c>
      <c r="AA717" s="8">
        <f t="shared" si="33"/>
        <v>359</v>
      </c>
      <c r="AB717" s="8">
        <f t="shared" si="34"/>
        <v>359</v>
      </c>
      <c r="AC717" s="8">
        <f t="shared" si="35"/>
        <v>359</v>
      </c>
      <c r="AD717" s="8">
        <f t="shared" si="36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43"/>
        <v>CORAL</v>
      </c>
      <c r="AG717" s="11" t="str">
        <f t="shared" si="44"/>
        <v>Bangalore</v>
      </c>
    </row>
    <row r="718" spans="1:33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0"/>
        <v>441857183</v>
      </c>
      <c r="Y718" s="8" t="str">
        <f t="shared" si="31"/>
        <v>RP</v>
      </c>
      <c r="Z718" s="8">
        <f t="shared" si="32"/>
        <v>359</v>
      </c>
      <c r="AA718" s="8">
        <f t="shared" si="33"/>
        <v>359</v>
      </c>
      <c r="AB718" s="8">
        <f t="shared" si="34"/>
        <v>359</v>
      </c>
      <c r="AC718" s="8">
        <f t="shared" si="35"/>
        <v>359</v>
      </c>
      <c r="AD718" s="8">
        <f t="shared" si="36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43"/>
        <v>LT. PINK</v>
      </c>
      <c r="AG718" s="11" t="str">
        <f t="shared" si="44"/>
        <v>Bangalore</v>
      </c>
    </row>
    <row r="719" spans="1:33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0"/>
        <v>441857191</v>
      </c>
      <c r="Y719" s="8" t="str">
        <f t="shared" si="31"/>
        <v>RP</v>
      </c>
      <c r="Z719" s="8">
        <f t="shared" si="32"/>
        <v>203</v>
      </c>
      <c r="AA719" s="8">
        <f t="shared" si="33"/>
        <v>203</v>
      </c>
      <c r="AB719" s="8">
        <f t="shared" si="34"/>
        <v>203</v>
      </c>
      <c r="AC719" s="8">
        <f t="shared" si="35"/>
        <v>203</v>
      </c>
      <c r="AD719" s="8">
        <f t="shared" si="36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43"/>
        <v>MAGENTA</v>
      </c>
      <c r="AG719" s="11" t="str">
        <f t="shared" si="44"/>
        <v>JHAJJAR</v>
      </c>
    </row>
    <row r="720" spans="1:33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0"/>
        <v>441857190</v>
      </c>
      <c r="Y720" s="8" t="str">
        <f t="shared" si="31"/>
        <v>RP</v>
      </c>
      <c r="Z720" s="8">
        <f t="shared" si="32"/>
        <v>203</v>
      </c>
      <c r="AA720" s="8">
        <f t="shared" si="33"/>
        <v>203</v>
      </c>
      <c r="AB720" s="8">
        <f t="shared" si="34"/>
        <v>203</v>
      </c>
      <c r="AC720" s="8">
        <f t="shared" si="35"/>
        <v>203</v>
      </c>
      <c r="AD720" s="8">
        <f t="shared" si="36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43"/>
        <v>GREEN</v>
      </c>
      <c r="AG720" s="11" t="str">
        <f t="shared" si="44"/>
        <v>JHAJJAR</v>
      </c>
    </row>
    <row r="721" spans="1:33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0"/>
        <v>441857193</v>
      </c>
      <c r="Y721" s="8" t="str">
        <f t="shared" si="31"/>
        <v>RP</v>
      </c>
      <c r="Z721" s="8">
        <f t="shared" si="32"/>
        <v>170</v>
      </c>
      <c r="AA721" s="8">
        <f t="shared" si="33"/>
        <v>170</v>
      </c>
      <c r="AB721" s="8">
        <f t="shared" si="34"/>
        <v>170</v>
      </c>
      <c r="AC721" s="8">
        <f t="shared" si="35"/>
        <v>170</v>
      </c>
      <c r="AD721" s="8">
        <f t="shared" si="36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43"/>
        <v>LIME GREEN</v>
      </c>
      <c r="AG721" s="11" t="str">
        <f t="shared" si="44"/>
        <v>HARIPAL</v>
      </c>
    </row>
    <row r="722" spans="1:33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0"/>
        <v>441857188</v>
      </c>
      <c r="Y722" s="8" t="str">
        <f t="shared" si="31"/>
        <v>RP</v>
      </c>
      <c r="Z722" s="8">
        <f t="shared" si="32"/>
        <v>203</v>
      </c>
      <c r="AA722" s="8">
        <f t="shared" si="33"/>
        <v>203</v>
      </c>
      <c r="AB722" s="8">
        <f t="shared" si="34"/>
        <v>203</v>
      </c>
      <c r="AC722" s="8">
        <f t="shared" si="35"/>
        <v>203</v>
      </c>
      <c r="AD722" s="8">
        <f t="shared" si="36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43"/>
        <v>LIME GREEN</v>
      </c>
      <c r="AG722" s="11" t="str">
        <f t="shared" si="44"/>
        <v>JHAJJAR</v>
      </c>
    </row>
    <row r="723" spans="1:33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0"/>
        <v>441857183</v>
      </c>
      <c r="Y723" s="8" t="str">
        <f t="shared" si="31"/>
        <v>RP</v>
      </c>
      <c r="Z723" s="8">
        <f t="shared" si="32"/>
        <v>203</v>
      </c>
      <c r="AA723" s="8">
        <f t="shared" si="33"/>
        <v>203</v>
      </c>
      <c r="AB723" s="8">
        <f t="shared" si="34"/>
        <v>203</v>
      </c>
      <c r="AC723" s="8">
        <f t="shared" si="35"/>
        <v>203</v>
      </c>
      <c r="AD723" s="8">
        <f t="shared" si="36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43"/>
        <v>LT. PINK</v>
      </c>
      <c r="AG723" s="11" t="str">
        <f t="shared" si="44"/>
        <v>JHAJJAR</v>
      </c>
    </row>
    <row r="724" spans="1:33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0"/>
        <v>441857186</v>
      </c>
      <c r="Y724" s="8" t="str">
        <f t="shared" si="31"/>
        <v>RP</v>
      </c>
      <c r="Z724" s="8">
        <f t="shared" si="32"/>
        <v>208</v>
      </c>
      <c r="AA724" s="8">
        <f t="shared" si="33"/>
        <v>208</v>
      </c>
      <c r="AB724" s="8">
        <f t="shared" si="34"/>
        <v>208</v>
      </c>
      <c r="AC724" s="8">
        <f t="shared" si="35"/>
        <v>208</v>
      </c>
      <c r="AD724" s="8">
        <f t="shared" si="36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43"/>
        <v>CREAM</v>
      </c>
      <c r="AG724" s="11" t="str">
        <f t="shared" si="44"/>
        <v>HARIPAL</v>
      </c>
    </row>
    <row r="725" spans="1:33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0"/>
        <v>441857183</v>
      </c>
      <c r="Y725" s="8" t="str">
        <f t="shared" si="31"/>
        <v>RP</v>
      </c>
      <c r="Z725" s="8">
        <f t="shared" si="32"/>
        <v>208</v>
      </c>
      <c r="AA725" s="8">
        <f t="shared" si="33"/>
        <v>208</v>
      </c>
      <c r="AB725" s="8">
        <f t="shared" si="34"/>
        <v>208</v>
      </c>
      <c r="AC725" s="8">
        <f t="shared" si="35"/>
        <v>208</v>
      </c>
      <c r="AD725" s="8">
        <f t="shared" si="36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43"/>
        <v>LT. PINK</v>
      </c>
      <c r="AG725" s="11" t="str">
        <f t="shared" si="44"/>
        <v>HARIPAL</v>
      </c>
    </row>
    <row r="726" spans="1:33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0"/>
        <v>441857189</v>
      </c>
      <c r="Y726" s="8" t="str">
        <f t="shared" si="31"/>
        <v>RP</v>
      </c>
      <c r="Z726" s="8">
        <f t="shared" si="32"/>
        <v>208</v>
      </c>
      <c r="AA726" s="8">
        <f t="shared" si="33"/>
        <v>208</v>
      </c>
      <c r="AB726" s="8">
        <f t="shared" si="34"/>
        <v>208</v>
      </c>
      <c r="AC726" s="8">
        <f t="shared" si="35"/>
        <v>208</v>
      </c>
      <c r="AD726" s="8">
        <f t="shared" si="36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43"/>
        <v>SKY BLUE</v>
      </c>
      <c r="AG726" s="11" t="str">
        <f t="shared" si="44"/>
        <v>HARIPAL</v>
      </c>
    </row>
    <row r="727" spans="1:33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0"/>
        <v>441857185</v>
      </c>
      <c r="Y727" s="8" t="str">
        <f t="shared" si="31"/>
        <v>RP</v>
      </c>
      <c r="Z727" s="8">
        <f t="shared" si="32"/>
        <v>208</v>
      </c>
      <c r="AA727" s="8">
        <f t="shared" si="33"/>
        <v>208</v>
      </c>
      <c r="AB727" s="8">
        <f t="shared" si="34"/>
        <v>208</v>
      </c>
      <c r="AC727" s="8">
        <f t="shared" si="35"/>
        <v>208</v>
      </c>
      <c r="AD727" s="8">
        <f t="shared" si="36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43"/>
        <v>BLUE</v>
      </c>
      <c r="AG727" s="11" t="str">
        <f t="shared" si="44"/>
        <v>HARIPAL</v>
      </c>
    </row>
    <row r="728" spans="1:33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0"/>
        <v>441857188</v>
      </c>
      <c r="Y728" s="8" t="str">
        <f t="shared" si="31"/>
        <v>RP</v>
      </c>
      <c r="Z728" s="8">
        <f t="shared" si="32"/>
        <v>208</v>
      </c>
      <c r="AA728" s="8">
        <f t="shared" si="33"/>
        <v>208</v>
      </c>
      <c r="AB728" s="8">
        <f t="shared" si="34"/>
        <v>208</v>
      </c>
      <c r="AC728" s="8">
        <f t="shared" si="35"/>
        <v>208</v>
      </c>
      <c r="AD728" s="8">
        <f t="shared" si="36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43"/>
        <v>LIME GREEN</v>
      </c>
      <c r="AG728" s="11" t="str">
        <f t="shared" si="44"/>
        <v>HARIPAL</v>
      </c>
    </row>
    <row r="729" spans="1:33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0"/>
        <v>441857184</v>
      </c>
      <c r="Y729" s="8" t="str">
        <f t="shared" si="31"/>
        <v>RP</v>
      </c>
      <c r="Z729" s="8">
        <f t="shared" si="32"/>
        <v>208</v>
      </c>
      <c r="AA729" s="8">
        <f t="shared" si="33"/>
        <v>208</v>
      </c>
      <c r="AB729" s="8">
        <f t="shared" si="34"/>
        <v>208</v>
      </c>
      <c r="AC729" s="8">
        <f t="shared" si="35"/>
        <v>208</v>
      </c>
      <c r="AD729" s="8">
        <f t="shared" si="36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43"/>
        <v>CORAL</v>
      </c>
      <c r="AG729" s="11" t="str">
        <f t="shared" si="44"/>
        <v>HARIPAL</v>
      </c>
    </row>
    <row r="730" spans="1:33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0"/>
        <v>441856924</v>
      </c>
      <c r="Y730" s="8" t="str">
        <f t="shared" si="31"/>
        <v>DC</v>
      </c>
      <c r="Z730" s="8">
        <f t="shared" si="32"/>
        <v>0</v>
      </c>
      <c r="AA730" s="8">
        <f t="shared" si="33"/>
        <v>97</v>
      </c>
      <c r="AB730" s="8">
        <f t="shared" si="34"/>
        <v>0</v>
      </c>
      <c r="AC730" s="8">
        <f t="shared" si="35"/>
        <v>0</v>
      </c>
      <c r="AD730" s="8">
        <f t="shared" si="36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43"/>
        <v>BLACK</v>
      </c>
      <c r="AG730" s="11" t="str">
        <f t="shared" si="44"/>
        <v>Bangalore</v>
      </c>
    </row>
    <row r="731" spans="1:33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0"/>
        <v>441856924</v>
      </c>
      <c r="Y731" s="8" t="str">
        <f t="shared" si="31"/>
        <v>DC</v>
      </c>
      <c r="Z731" s="8">
        <f t="shared" si="32"/>
        <v>0</v>
      </c>
      <c r="AA731" s="8">
        <f t="shared" si="33"/>
        <v>0</v>
      </c>
      <c r="AB731" s="8">
        <f t="shared" si="34"/>
        <v>115</v>
      </c>
      <c r="AC731" s="8">
        <f t="shared" si="35"/>
        <v>0</v>
      </c>
      <c r="AD731" s="8">
        <f t="shared" si="36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43"/>
        <v>BLACK</v>
      </c>
      <c r="AG731" s="11" t="str">
        <f t="shared" si="44"/>
        <v>Bangalore</v>
      </c>
    </row>
    <row r="732" spans="1:33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0"/>
        <v>441856924</v>
      </c>
      <c r="Y732" s="8" t="str">
        <f t="shared" si="31"/>
        <v>DC</v>
      </c>
      <c r="Z732" s="8">
        <f t="shared" si="32"/>
        <v>0</v>
      </c>
      <c r="AA732" s="8">
        <f t="shared" si="33"/>
        <v>0</v>
      </c>
      <c r="AB732" s="8">
        <f t="shared" si="34"/>
        <v>0</v>
      </c>
      <c r="AC732" s="8">
        <f t="shared" si="35"/>
        <v>100</v>
      </c>
      <c r="AD732" s="8">
        <f t="shared" si="36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43"/>
        <v>BLACK</v>
      </c>
      <c r="AG732" s="11" t="str">
        <f t="shared" si="44"/>
        <v>Bangalore</v>
      </c>
    </row>
    <row r="733" spans="1:33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0"/>
        <v>441856924</v>
      </c>
      <c r="Y733" s="8" t="str">
        <f t="shared" si="31"/>
        <v>DC</v>
      </c>
      <c r="Z733" s="8">
        <f t="shared" si="32"/>
        <v>0</v>
      </c>
      <c r="AA733" s="8">
        <f t="shared" si="33"/>
        <v>0</v>
      </c>
      <c r="AB733" s="8">
        <f t="shared" si="34"/>
        <v>0</v>
      </c>
      <c r="AC733" s="8">
        <f t="shared" si="35"/>
        <v>0</v>
      </c>
      <c r="AD733" s="8">
        <f t="shared" si="36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43"/>
        <v>BLACK</v>
      </c>
      <c r="AG733" s="11" t="str">
        <f t="shared" si="44"/>
        <v>Bangalore</v>
      </c>
    </row>
    <row r="734" spans="1:33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0"/>
        <v>441856924</v>
      </c>
      <c r="Y734" s="8" t="str">
        <f t="shared" si="31"/>
        <v>DC</v>
      </c>
      <c r="Z734" s="8">
        <f t="shared" si="32"/>
        <v>30</v>
      </c>
      <c r="AA734" s="8">
        <f t="shared" si="33"/>
        <v>0</v>
      </c>
      <c r="AB734" s="8">
        <f t="shared" si="34"/>
        <v>0</v>
      </c>
      <c r="AC734" s="8">
        <f t="shared" si="35"/>
        <v>0</v>
      </c>
      <c r="AD734" s="8">
        <f t="shared" si="36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43"/>
        <v>BLACK</v>
      </c>
      <c r="AG734" s="11" t="str">
        <f t="shared" si="44"/>
        <v>JHAJJAR</v>
      </c>
    </row>
    <row r="735" spans="1:33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0"/>
        <v>441856924</v>
      </c>
      <c r="Y735" s="8" t="str">
        <f t="shared" si="31"/>
        <v>DC</v>
      </c>
      <c r="Z735" s="8">
        <f t="shared" si="32"/>
        <v>30</v>
      </c>
      <c r="AA735" s="8">
        <f t="shared" si="33"/>
        <v>0</v>
      </c>
      <c r="AB735" s="8">
        <f t="shared" si="34"/>
        <v>0</v>
      </c>
      <c r="AC735" s="8">
        <f t="shared" si="35"/>
        <v>0</v>
      </c>
      <c r="AD735" s="8">
        <f t="shared" si="36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43"/>
        <v>BLACK</v>
      </c>
      <c r="AG735" s="11" t="str">
        <f t="shared" si="44"/>
        <v>HARIPAL</v>
      </c>
    </row>
    <row r="736" spans="1:33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0"/>
        <v>441856924</v>
      </c>
      <c r="Y736" s="8" t="str">
        <f t="shared" si="31"/>
        <v>DC</v>
      </c>
      <c r="Z736" s="8">
        <f t="shared" si="32"/>
        <v>0</v>
      </c>
      <c r="AA736" s="8">
        <f t="shared" si="33"/>
        <v>56</v>
      </c>
      <c r="AB736" s="8">
        <f t="shared" si="34"/>
        <v>0</v>
      </c>
      <c r="AC736" s="8">
        <f t="shared" si="35"/>
        <v>0</v>
      </c>
      <c r="AD736" s="8">
        <f t="shared" si="36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43"/>
        <v>BLACK</v>
      </c>
      <c r="AG736" s="11" t="str">
        <f t="shared" si="44"/>
        <v>HARIPAL</v>
      </c>
    </row>
    <row r="737" spans="1:33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0"/>
        <v>441856924</v>
      </c>
      <c r="Y737" s="8" t="str">
        <f t="shared" si="31"/>
        <v>DC</v>
      </c>
      <c r="Z737" s="8">
        <f t="shared" si="32"/>
        <v>0</v>
      </c>
      <c r="AA737" s="8">
        <f t="shared" si="33"/>
        <v>0</v>
      </c>
      <c r="AB737" s="8">
        <f t="shared" si="34"/>
        <v>66</v>
      </c>
      <c r="AC737" s="8">
        <f t="shared" si="35"/>
        <v>0</v>
      </c>
      <c r="AD737" s="8">
        <f t="shared" si="36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43"/>
        <v>BLACK</v>
      </c>
      <c r="AG737" s="11" t="str">
        <f t="shared" si="44"/>
        <v>HARIPAL</v>
      </c>
    </row>
    <row r="738" spans="1:33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0"/>
        <v>441856924</v>
      </c>
      <c r="Y738" s="8" t="str">
        <f t="shared" si="31"/>
        <v>DC</v>
      </c>
      <c r="Z738" s="8">
        <f t="shared" si="32"/>
        <v>0</v>
      </c>
      <c r="AA738" s="8">
        <f t="shared" si="33"/>
        <v>0</v>
      </c>
      <c r="AB738" s="8">
        <f t="shared" si="34"/>
        <v>0</v>
      </c>
      <c r="AC738" s="8">
        <f t="shared" si="35"/>
        <v>58</v>
      </c>
      <c r="AD738" s="8">
        <f t="shared" si="36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43"/>
        <v>BLACK</v>
      </c>
      <c r="AG738" s="11" t="str">
        <f t="shared" si="44"/>
        <v>HARIPAL</v>
      </c>
    </row>
    <row r="739" spans="1:33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0"/>
        <v>441856924</v>
      </c>
      <c r="Y739" s="8" t="str">
        <f t="shared" si="31"/>
        <v>DC</v>
      </c>
      <c r="Z739" s="8">
        <f t="shared" si="32"/>
        <v>0</v>
      </c>
      <c r="AA739" s="8">
        <f t="shared" si="33"/>
        <v>0</v>
      </c>
      <c r="AB739" s="8">
        <f t="shared" si="34"/>
        <v>0</v>
      </c>
      <c r="AC739" s="8">
        <f t="shared" si="35"/>
        <v>0</v>
      </c>
      <c r="AD739" s="8">
        <f t="shared" si="36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43"/>
        <v>BLACK</v>
      </c>
      <c r="AG739" s="11" t="str">
        <f t="shared" si="44"/>
        <v>HARIPAL</v>
      </c>
    </row>
    <row r="740" spans="1:33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0"/>
        <v>441853990</v>
      </c>
      <c r="Y740" s="8" t="str">
        <f t="shared" si="31"/>
        <v>DC</v>
      </c>
      <c r="Z740" s="8">
        <f t="shared" si="32"/>
        <v>30</v>
      </c>
      <c r="AA740" s="8">
        <f t="shared" si="33"/>
        <v>0</v>
      </c>
      <c r="AB740" s="8">
        <f t="shared" si="34"/>
        <v>0</v>
      </c>
      <c r="AC740" s="8">
        <f t="shared" si="35"/>
        <v>0</v>
      </c>
      <c r="AD740" s="8">
        <f t="shared" si="36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43"/>
        <v>PEACH</v>
      </c>
      <c r="AG740" s="11" t="str">
        <f t="shared" si="44"/>
        <v>Bangalore</v>
      </c>
    </row>
    <row r="741" spans="1:33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0"/>
        <v>441853990</v>
      </c>
      <c r="Y741" s="8" t="str">
        <f t="shared" si="31"/>
        <v>DC</v>
      </c>
      <c r="Z741" s="8">
        <f t="shared" si="32"/>
        <v>0</v>
      </c>
      <c r="AA741" s="8">
        <f t="shared" si="33"/>
        <v>339</v>
      </c>
      <c r="AB741" s="8">
        <f t="shared" si="34"/>
        <v>0</v>
      </c>
      <c r="AC741" s="8">
        <f t="shared" si="35"/>
        <v>0</v>
      </c>
      <c r="AD741" s="8">
        <f t="shared" si="36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43"/>
        <v>PEACH</v>
      </c>
      <c r="AG741" s="11" t="str">
        <f t="shared" si="44"/>
        <v>Bangalore</v>
      </c>
    </row>
    <row r="742" spans="1:33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0"/>
        <v>441853990</v>
      </c>
      <c r="Y742" s="8" t="str">
        <f t="shared" si="31"/>
        <v>DC</v>
      </c>
      <c r="Z742" s="8">
        <f t="shared" si="32"/>
        <v>0</v>
      </c>
      <c r="AA742" s="8">
        <f t="shared" si="33"/>
        <v>0</v>
      </c>
      <c r="AB742" s="8">
        <f t="shared" si="34"/>
        <v>382</v>
      </c>
      <c r="AC742" s="8">
        <f t="shared" si="35"/>
        <v>0</v>
      </c>
      <c r="AD742" s="8">
        <f t="shared" si="36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43"/>
        <v>PEACH</v>
      </c>
      <c r="AG742" s="11" t="str">
        <f t="shared" si="44"/>
        <v>Bangalore</v>
      </c>
    </row>
    <row r="743" spans="1:33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0"/>
        <v>441853990</v>
      </c>
      <c r="Y743" s="8" t="str">
        <f t="shared" si="31"/>
        <v>DC</v>
      </c>
      <c r="Z743" s="8">
        <f t="shared" si="32"/>
        <v>0</v>
      </c>
      <c r="AA743" s="8">
        <f t="shared" si="33"/>
        <v>0</v>
      </c>
      <c r="AB743" s="8">
        <f t="shared" si="34"/>
        <v>0</v>
      </c>
      <c r="AC743" s="8">
        <f t="shared" si="35"/>
        <v>445</v>
      </c>
      <c r="AD743" s="8">
        <f t="shared" si="36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43"/>
        <v>PEACH</v>
      </c>
      <c r="AG743" s="11" t="str">
        <f t="shared" si="44"/>
        <v>Bangalore</v>
      </c>
    </row>
    <row r="744" spans="1:33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0"/>
        <v>441853990</v>
      </c>
      <c r="Y744" s="8" t="str">
        <f t="shared" si="31"/>
        <v>DC</v>
      </c>
      <c r="Z744" s="8">
        <f t="shared" si="32"/>
        <v>0</v>
      </c>
      <c r="AA744" s="8">
        <f t="shared" si="33"/>
        <v>0</v>
      </c>
      <c r="AB744" s="8">
        <f t="shared" si="34"/>
        <v>0</v>
      </c>
      <c r="AC744" s="8">
        <f t="shared" si="35"/>
        <v>0</v>
      </c>
      <c r="AD744" s="8">
        <f t="shared" si="36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43"/>
        <v>PEACH</v>
      </c>
      <c r="AG744" s="11" t="str">
        <f t="shared" si="44"/>
        <v>Bangalore</v>
      </c>
    </row>
    <row r="745" spans="1:33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0"/>
        <v>441853990</v>
      </c>
      <c r="Y745" s="8" t="str">
        <f t="shared" si="31"/>
        <v>DC</v>
      </c>
      <c r="Z745" s="8">
        <f t="shared" si="32"/>
        <v>0</v>
      </c>
      <c r="AA745" s="8">
        <f t="shared" si="33"/>
        <v>339</v>
      </c>
      <c r="AB745" s="8">
        <f t="shared" si="34"/>
        <v>0</v>
      </c>
      <c r="AC745" s="8">
        <f t="shared" si="35"/>
        <v>0</v>
      </c>
      <c r="AD745" s="8">
        <f t="shared" si="36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43"/>
        <v>MINT</v>
      </c>
      <c r="AG745" s="11" t="str">
        <f t="shared" si="44"/>
        <v>Bangalore</v>
      </c>
    </row>
    <row r="746" spans="1:33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0"/>
        <v>441853990</v>
      </c>
      <c r="Y746" s="8" t="str">
        <f t="shared" si="31"/>
        <v>DC</v>
      </c>
      <c r="Z746" s="8">
        <f t="shared" si="32"/>
        <v>0</v>
      </c>
      <c r="AA746" s="8">
        <f t="shared" si="33"/>
        <v>0</v>
      </c>
      <c r="AB746" s="8">
        <f t="shared" si="34"/>
        <v>382</v>
      </c>
      <c r="AC746" s="8">
        <f t="shared" si="35"/>
        <v>0</v>
      </c>
      <c r="AD746" s="8">
        <f t="shared" si="36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43"/>
        <v>MINT</v>
      </c>
      <c r="AG746" s="11" t="str">
        <f t="shared" si="44"/>
        <v>Bangalore</v>
      </c>
    </row>
    <row r="747" spans="1:33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0"/>
        <v>441853990</v>
      </c>
      <c r="Y747" s="8" t="str">
        <f t="shared" si="31"/>
        <v>DC</v>
      </c>
      <c r="Z747" s="8">
        <f t="shared" si="32"/>
        <v>0</v>
      </c>
      <c r="AA747" s="8">
        <f t="shared" si="33"/>
        <v>0</v>
      </c>
      <c r="AB747" s="8">
        <f t="shared" si="34"/>
        <v>0</v>
      </c>
      <c r="AC747" s="8">
        <f t="shared" si="35"/>
        <v>445</v>
      </c>
      <c r="AD747" s="8">
        <f t="shared" si="36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43"/>
        <v>MINT</v>
      </c>
      <c r="AG747" s="11" t="str">
        <f t="shared" si="44"/>
        <v>Bangalore</v>
      </c>
    </row>
    <row r="748" spans="1:33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0"/>
        <v>441853990</v>
      </c>
      <c r="Y748" s="8" t="str">
        <f t="shared" si="31"/>
        <v>DC</v>
      </c>
      <c r="Z748" s="8">
        <f t="shared" si="32"/>
        <v>0</v>
      </c>
      <c r="AA748" s="8">
        <f t="shared" si="33"/>
        <v>0</v>
      </c>
      <c r="AB748" s="8">
        <f t="shared" si="34"/>
        <v>0</v>
      </c>
      <c r="AC748" s="8">
        <f t="shared" si="35"/>
        <v>0</v>
      </c>
      <c r="AD748" s="8">
        <f t="shared" si="36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43"/>
        <v>MINT</v>
      </c>
      <c r="AG748" s="11" t="str">
        <f t="shared" si="44"/>
        <v>Bangalore</v>
      </c>
    </row>
    <row r="749" spans="1:33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0"/>
        <v>441853990</v>
      </c>
      <c r="Y749" s="8" t="str">
        <f t="shared" si="31"/>
        <v>DC</v>
      </c>
      <c r="Z749" s="8">
        <f t="shared" si="32"/>
        <v>30</v>
      </c>
      <c r="AA749" s="8">
        <f t="shared" si="33"/>
        <v>0</v>
      </c>
      <c r="AB749" s="8">
        <f t="shared" si="34"/>
        <v>0</v>
      </c>
      <c r="AC749" s="8">
        <f t="shared" si="35"/>
        <v>0</v>
      </c>
      <c r="AD749" s="8">
        <f t="shared" si="36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43"/>
        <v>LT. YELLOW</v>
      </c>
      <c r="AG749" s="11" t="str">
        <f t="shared" si="44"/>
        <v>Bangalore</v>
      </c>
    </row>
    <row r="750" spans="1:33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0"/>
        <v>441853990</v>
      </c>
      <c r="Y750" s="8" t="str">
        <f t="shared" si="31"/>
        <v>DC</v>
      </c>
      <c r="Z750" s="8">
        <f t="shared" si="32"/>
        <v>0</v>
      </c>
      <c r="AA750" s="8">
        <f t="shared" si="33"/>
        <v>339</v>
      </c>
      <c r="AB750" s="8">
        <f t="shared" si="34"/>
        <v>0</v>
      </c>
      <c r="AC750" s="8">
        <f t="shared" si="35"/>
        <v>0</v>
      </c>
      <c r="AD750" s="8">
        <f t="shared" si="36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43"/>
        <v>LT. YELLOW</v>
      </c>
      <c r="AG750" s="11" t="str">
        <f t="shared" si="44"/>
        <v>Bangalore</v>
      </c>
    </row>
    <row r="751" spans="1:33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0"/>
        <v>441853990</v>
      </c>
      <c r="Y751" s="8" t="str">
        <f t="shared" si="31"/>
        <v>DC</v>
      </c>
      <c r="Z751" s="8">
        <f t="shared" si="32"/>
        <v>0</v>
      </c>
      <c r="AA751" s="8">
        <f t="shared" si="33"/>
        <v>0</v>
      </c>
      <c r="AB751" s="8">
        <f t="shared" si="34"/>
        <v>382</v>
      </c>
      <c r="AC751" s="8">
        <f t="shared" si="35"/>
        <v>0</v>
      </c>
      <c r="AD751" s="8">
        <f t="shared" si="36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43"/>
        <v>LT. YELLOW</v>
      </c>
      <c r="AG751" s="11" t="str">
        <f t="shared" si="44"/>
        <v>Bangalore</v>
      </c>
    </row>
    <row r="752" spans="1:33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0"/>
        <v>441853990</v>
      </c>
      <c r="Y752" s="8" t="str">
        <f t="shared" si="31"/>
        <v>DC</v>
      </c>
      <c r="Z752" s="8">
        <f t="shared" si="32"/>
        <v>0</v>
      </c>
      <c r="AA752" s="8">
        <f t="shared" si="33"/>
        <v>0</v>
      </c>
      <c r="AB752" s="8">
        <f t="shared" si="34"/>
        <v>0</v>
      </c>
      <c r="AC752" s="8">
        <f t="shared" si="35"/>
        <v>445</v>
      </c>
      <c r="AD752" s="8">
        <f t="shared" si="36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43"/>
        <v>LT. YELLOW</v>
      </c>
      <c r="AG752" s="11" t="str">
        <f t="shared" si="44"/>
        <v>Bangalore</v>
      </c>
    </row>
    <row r="753" spans="1:33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0"/>
        <v>441853990</v>
      </c>
      <c r="Y753" s="8" t="str">
        <f t="shared" si="31"/>
        <v>DC</v>
      </c>
      <c r="Z753" s="8">
        <f t="shared" si="32"/>
        <v>0</v>
      </c>
      <c r="AA753" s="8">
        <f t="shared" si="33"/>
        <v>0</v>
      </c>
      <c r="AB753" s="8">
        <f t="shared" si="34"/>
        <v>0</v>
      </c>
      <c r="AC753" s="8">
        <f t="shared" si="35"/>
        <v>0</v>
      </c>
      <c r="AD753" s="8">
        <f t="shared" si="36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43"/>
        <v>LT. YELLOW</v>
      </c>
      <c r="AG753" s="11" t="str">
        <f t="shared" si="44"/>
        <v>Bangalore</v>
      </c>
    </row>
    <row r="754" spans="1:33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0"/>
        <v>441853990</v>
      </c>
      <c r="Y754" s="8" t="str">
        <f t="shared" si="31"/>
        <v>DC</v>
      </c>
      <c r="Z754" s="8">
        <f t="shared" si="32"/>
        <v>30</v>
      </c>
      <c r="AA754" s="8">
        <f t="shared" si="33"/>
        <v>0</v>
      </c>
      <c r="AB754" s="8">
        <f t="shared" si="34"/>
        <v>0</v>
      </c>
      <c r="AC754" s="8">
        <f t="shared" si="35"/>
        <v>0</v>
      </c>
      <c r="AD754" s="8">
        <f t="shared" si="36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43"/>
        <v>CREAM</v>
      </c>
      <c r="AG754" s="11" t="str">
        <f t="shared" si="44"/>
        <v>Bangalore</v>
      </c>
    </row>
    <row r="755" spans="1:33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0"/>
        <v>441853990</v>
      </c>
      <c r="Y755" s="8" t="str">
        <f t="shared" si="31"/>
        <v>DC</v>
      </c>
      <c r="Z755" s="8">
        <f t="shared" si="32"/>
        <v>0</v>
      </c>
      <c r="AA755" s="8">
        <f t="shared" si="33"/>
        <v>339</v>
      </c>
      <c r="AB755" s="8">
        <f t="shared" si="34"/>
        <v>0</v>
      </c>
      <c r="AC755" s="8">
        <f t="shared" si="35"/>
        <v>0</v>
      </c>
      <c r="AD755" s="8">
        <f t="shared" si="36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43"/>
        <v>CREAM</v>
      </c>
      <c r="AG755" s="11" t="str">
        <f t="shared" si="44"/>
        <v>Bangalore</v>
      </c>
    </row>
    <row r="756" spans="1:33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0"/>
        <v>441853990</v>
      </c>
      <c r="Y756" s="8" t="str">
        <f t="shared" si="31"/>
        <v>DC</v>
      </c>
      <c r="Z756" s="8">
        <f t="shared" si="32"/>
        <v>0</v>
      </c>
      <c r="AA756" s="8">
        <f t="shared" si="33"/>
        <v>0</v>
      </c>
      <c r="AB756" s="8">
        <f t="shared" si="34"/>
        <v>382</v>
      </c>
      <c r="AC756" s="8">
        <f t="shared" si="35"/>
        <v>0</v>
      </c>
      <c r="AD756" s="8">
        <f t="shared" si="36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43"/>
        <v>CREAM</v>
      </c>
      <c r="AG756" s="11" t="str">
        <f t="shared" si="44"/>
        <v>Bangalore</v>
      </c>
    </row>
    <row r="757" spans="1:33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0"/>
        <v>441853990</v>
      </c>
      <c r="Y757" s="8" t="str">
        <f t="shared" si="31"/>
        <v>DC</v>
      </c>
      <c r="Z757" s="8">
        <f t="shared" si="32"/>
        <v>0</v>
      </c>
      <c r="AA757" s="8">
        <f t="shared" si="33"/>
        <v>0</v>
      </c>
      <c r="AB757" s="8">
        <f t="shared" si="34"/>
        <v>0</v>
      </c>
      <c r="AC757" s="8">
        <f t="shared" si="35"/>
        <v>445</v>
      </c>
      <c r="AD757" s="8">
        <f t="shared" si="36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43"/>
        <v>CREAM</v>
      </c>
      <c r="AG757" s="11" t="str">
        <f t="shared" si="44"/>
        <v>Bangalore</v>
      </c>
    </row>
    <row r="758" spans="1:33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0"/>
        <v>441853990</v>
      </c>
      <c r="Y758" s="8" t="str">
        <f t="shared" si="31"/>
        <v>DC</v>
      </c>
      <c r="Z758" s="8">
        <f t="shared" si="32"/>
        <v>0</v>
      </c>
      <c r="AA758" s="8">
        <f t="shared" si="33"/>
        <v>0</v>
      </c>
      <c r="AB758" s="8">
        <f t="shared" si="34"/>
        <v>0</v>
      </c>
      <c r="AC758" s="8">
        <f t="shared" si="35"/>
        <v>0</v>
      </c>
      <c r="AD758" s="8">
        <f t="shared" si="36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43"/>
        <v>CREAM</v>
      </c>
      <c r="AG758" s="11" t="str">
        <f t="shared" si="44"/>
        <v>Bangalore</v>
      </c>
    </row>
    <row r="759" spans="1:33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0"/>
        <v>441853990</v>
      </c>
      <c r="Y759" s="8" t="str">
        <f t="shared" si="31"/>
        <v>DC</v>
      </c>
      <c r="Z759" s="8">
        <f t="shared" si="32"/>
        <v>30</v>
      </c>
      <c r="AA759" s="8">
        <f t="shared" si="33"/>
        <v>0</v>
      </c>
      <c r="AB759" s="8">
        <f t="shared" si="34"/>
        <v>0</v>
      </c>
      <c r="AC759" s="8">
        <f t="shared" si="35"/>
        <v>0</v>
      </c>
      <c r="AD759" s="8">
        <f t="shared" si="36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43"/>
        <v>PEACH</v>
      </c>
      <c r="AG759" s="11" t="str">
        <f t="shared" si="44"/>
        <v>JHAJJAR</v>
      </c>
    </row>
    <row r="760" spans="1:33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0"/>
        <v>441853990</v>
      </c>
      <c r="Y760" s="8" t="str">
        <f t="shared" si="31"/>
        <v>DC</v>
      </c>
      <c r="Z760" s="8">
        <f t="shared" si="32"/>
        <v>0</v>
      </c>
      <c r="AA760" s="8">
        <f t="shared" si="33"/>
        <v>170</v>
      </c>
      <c r="AB760" s="8">
        <f t="shared" si="34"/>
        <v>0</v>
      </c>
      <c r="AC760" s="8">
        <f t="shared" si="35"/>
        <v>0</v>
      </c>
      <c r="AD760" s="8">
        <f t="shared" si="36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43"/>
        <v>PEACH</v>
      </c>
      <c r="AG760" s="11" t="str">
        <f t="shared" si="44"/>
        <v>JHAJJAR</v>
      </c>
    </row>
    <row r="761" spans="1:33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0"/>
        <v>441853990</v>
      </c>
      <c r="Y761" s="8" t="str">
        <f t="shared" si="31"/>
        <v>DC</v>
      </c>
      <c r="Z761" s="8">
        <f t="shared" si="32"/>
        <v>0</v>
      </c>
      <c r="AA761" s="8">
        <f t="shared" si="33"/>
        <v>0</v>
      </c>
      <c r="AB761" s="8">
        <f t="shared" si="34"/>
        <v>192</v>
      </c>
      <c r="AC761" s="8">
        <f t="shared" si="35"/>
        <v>0</v>
      </c>
      <c r="AD761" s="8">
        <f t="shared" si="36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43"/>
        <v>PEACH</v>
      </c>
      <c r="AG761" s="11" t="str">
        <f t="shared" si="44"/>
        <v>JHAJJAR</v>
      </c>
    </row>
    <row r="762" spans="1:33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0"/>
        <v>441853990</v>
      </c>
      <c r="Y762" s="8" t="str">
        <f t="shared" si="31"/>
        <v>DC</v>
      </c>
      <c r="Z762" s="8">
        <f t="shared" si="32"/>
        <v>0</v>
      </c>
      <c r="AA762" s="8">
        <f t="shared" si="33"/>
        <v>0</v>
      </c>
      <c r="AB762" s="8">
        <f t="shared" si="34"/>
        <v>0</v>
      </c>
      <c r="AC762" s="8">
        <f t="shared" si="35"/>
        <v>224</v>
      </c>
      <c r="AD762" s="8">
        <f t="shared" si="36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43"/>
        <v>PEACH</v>
      </c>
      <c r="AG762" s="11" t="str">
        <f t="shared" si="44"/>
        <v>JHAJJAR</v>
      </c>
    </row>
    <row r="763" spans="1:33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0"/>
        <v>441853990</v>
      </c>
      <c r="Y763" s="8" t="str">
        <f t="shared" si="31"/>
        <v>DC</v>
      </c>
      <c r="Z763" s="8">
        <f t="shared" si="32"/>
        <v>0</v>
      </c>
      <c r="AA763" s="8">
        <f t="shared" si="33"/>
        <v>0</v>
      </c>
      <c r="AB763" s="8">
        <f t="shared" si="34"/>
        <v>0</v>
      </c>
      <c r="AC763" s="8">
        <f t="shared" si="35"/>
        <v>0</v>
      </c>
      <c r="AD763" s="8">
        <f t="shared" si="36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43"/>
        <v>PEACH</v>
      </c>
      <c r="AG763" s="11" t="str">
        <f t="shared" si="44"/>
        <v>JHAJJAR</v>
      </c>
    </row>
    <row r="764" spans="1:33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0"/>
        <v>441853990</v>
      </c>
      <c r="Y764" s="8" t="str">
        <f t="shared" si="31"/>
        <v>DC</v>
      </c>
      <c r="Z764" s="8">
        <f t="shared" si="32"/>
        <v>30</v>
      </c>
      <c r="AA764" s="8">
        <f t="shared" si="33"/>
        <v>0</v>
      </c>
      <c r="AB764" s="8">
        <f t="shared" si="34"/>
        <v>0</v>
      </c>
      <c r="AC764" s="8">
        <f t="shared" si="35"/>
        <v>0</v>
      </c>
      <c r="AD764" s="8">
        <f t="shared" si="36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43"/>
        <v>BLUE</v>
      </c>
      <c r="AG764" s="11" t="str">
        <f t="shared" si="44"/>
        <v>Bangalore</v>
      </c>
    </row>
    <row r="765" spans="1:33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0"/>
        <v>441853990</v>
      </c>
      <c r="Y765" s="8" t="str">
        <f t="shared" si="31"/>
        <v>DC</v>
      </c>
      <c r="Z765" s="8">
        <f t="shared" si="32"/>
        <v>0</v>
      </c>
      <c r="AA765" s="8">
        <f t="shared" si="33"/>
        <v>339</v>
      </c>
      <c r="AB765" s="8">
        <f t="shared" si="34"/>
        <v>0</v>
      </c>
      <c r="AC765" s="8">
        <f t="shared" si="35"/>
        <v>0</v>
      </c>
      <c r="AD765" s="8">
        <f t="shared" si="36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43"/>
        <v>BLUE</v>
      </c>
      <c r="AG765" s="11" t="str">
        <f t="shared" si="44"/>
        <v>Bangalore</v>
      </c>
    </row>
    <row r="766" spans="1:33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0"/>
        <v>441853990</v>
      </c>
      <c r="Y766" s="8" t="str">
        <f t="shared" si="31"/>
        <v>DC</v>
      </c>
      <c r="Z766" s="8">
        <f t="shared" si="32"/>
        <v>0</v>
      </c>
      <c r="AA766" s="8">
        <f t="shared" si="33"/>
        <v>0</v>
      </c>
      <c r="AB766" s="8">
        <f t="shared" si="34"/>
        <v>382</v>
      </c>
      <c r="AC766" s="8">
        <f t="shared" si="35"/>
        <v>0</v>
      </c>
      <c r="AD766" s="8">
        <f t="shared" si="36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43"/>
        <v>BLUE</v>
      </c>
      <c r="AG766" s="11" t="str">
        <f t="shared" si="44"/>
        <v>Bangalore</v>
      </c>
    </row>
    <row r="767" spans="1:33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46">IF(ISNUMBER(SEARCH("(RP)",J767)),"RP","DC")</f>
        <v>DC</v>
      </c>
      <c r="Z767" s="8">
        <f t="shared" ref="Z767:Z1021" si="47">IF(ISNUMBER(SEARCH("(RP)",J767)),O767,IF(RIGHT(TRIM(J767),3)=", S",O767,0))</f>
        <v>0</v>
      </c>
      <c r="AA767" s="8">
        <f t="shared" ref="AA767:AA1021" si="48">IF(ISNUMBER(SEARCH("(RP)",J767)),O767,IF(RIGHT(TRIM(J767),3)=", M",O767,0))</f>
        <v>0</v>
      </c>
      <c r="AB767" s="8">
        <f t="shared" ref="AB767:AB1021" si="49">IF(ISNUMBER(SEARCH("(RP)",J767)),O767,IF(RIGHT(TRIM(J767),3)=", L",O767,0))</f>
        <v>0</v>
      </c>
      <c r="AC767" s="8">
        <f t="shared" ref="AC767:AC1021" si="50">IF(ISNUMBER(SEARCH("(RP)",J767)),O767,IF(RIGHT(TRIM(J767),4)=", XL",O767,0))</f>
        <v>445</v>
      </c>
      <c r="AD767" s="8">
        <f t="shared" ref="AD767:AD1021" si="51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43"/>
        <v>BLUE</v>
      </c>
      <c r="AG767" s="11" t="str">
        <f t="shared" si="44"/>
        <v>Bangalore</v>
      </c>
    </row>
    <row r="768" spans="1:33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45"/>
        <v>441853990</v>
      </c>
      <c r="Y768" s="8" t="str">
        <f t="shared" si="46"/>
        <v>DC</v>
      </c>
      <c r="Z768" s="8">
        <f t="shared" si="47"/>
        <v>0</v>
      </c>
      <c r="AA768" s="8">
        <f t="shared" si="48"/>
        <v>0</v>
      </c>
      <c r="AB768" s="8">
        <f t="shared" si="49"/>
        <v>0</v>
      </c>
      <c r="AC768" s="8">
        <f t="shared" si="50"/>
        <v>0</v>
      </c>
      <c r="AD768" s="8">
        <f t="shared" si="51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43"/>
        <v>BLUE</v>
      </c>
      <c r="AG768" s="11" t="str">
        <f t="shared" si="44"/>
        <v>Bangalore</v>
      </c>
    </row>
    <row r="769" spans="1:33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45"/>
        <v>441853990</v>
      </c>
      <c r="Y769" s="8" t="str">
        <f t="shared" si="46"/>
        <v>DC</v>
      </c>
      <c r="Z769" s="8">
        <f t="shared" si="47"/>
        <v>0</v>
      </c>
      <c r="AA769" s="8">
        <f t="shared" si="48"/>
        <v>170</v>
      </c>
      <c r="AB769" s="8">
        <f t="shared" si="49"/>
        <v>0</v>
      </c>
      <c r="AC769" s="8">
        <f t="shared" si="50"/>
        <v>0</v>
      </c>
      <c r="AD769" s="8">
        <f t="shared" si="51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43"/>
        <v>MINT</v>
      </c>
      <c r="AG769" s="11" t="str">
        <f t="shared" si="44"/>
        <v>JHAJJAR</v>
      </c>
    </row>
    <row r="770" spans="1:33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45"/>
        <v>441853990</v>
      </c>
      <c r="Y770" s="8" t="str">
        <f t="shared" si="46"/>
        <v>DC</v>
      </c>
      <c r="Z770" s="8">
        <f t="shared" si="47"/>
        <v>30</v>
      </c>
      <c r="AA770" s="8">
        <f t="shared" si="48"/>
        <v>0</v>
      </c>
      <c r="AB770" s="8">
        <f t="shared" si="49"/>
        <v>0</v>
      </c>
      <c r="AC770" s="8">
        <f t="shared" si="50"/>
        <v>0</v>
      </c>
      <c r="AD770" s="8">
        <f t="shared" si="51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43"/>
        <v>LT. YELLOW</v>
      </c>
      <c r="AG770" s="11" t="str">
        <f t="shared" si="44"/>
        <v>JHAJJAR</v>
      </c>
    </row>
    <row r="771" spans="1:33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45"/>
        <v>441853990</v>
      </c>
      <c r="Y771" s="8" t="str">
        <f t="shared" si="46"/>
        <v>DC</v>
      </c>
      <c r="Z771" s="8">
        <f t="shared" si="47"/>
        <v>0</v>
      </c>
      <c r="AA771" s="8">
        <f t="shared" si="48"/>
        <v>170</v>
      </c>
      <c r="AB771" s="8">
        <f t="shared" si="49"/>
        <v>0</v>
      </c>
      <c r="AC771" s="8">
        <f t="shared" si="50"/>
        <v>0</v>
      </c>
      <c r="AD771" s="8">
        <f t="shared" si="51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52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53">IF(A771="SZAF","Bangalore",IF(A771="SAEX","JHAJJAR",IF(A771="S0EU","HARIPAL","")))</f>
        <v>JHAJJAR</v>
      </c>
    </row>
    <row r="772" spans="1:33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45"/>
        <v>441853990</v>
      </c>
      <c r="Y772" s="8" t="str">
        <f t="shared" si="46"/>
        <v>DC</v>
      </c>
      <c r="Z772" s="8">
        <f t="shared" si="47"/>
        <v>0</v>
      </c>
      <c r="AA772" s="8">
        <f t="shared" si="48"/>
        <v>0</v>
      </c>
      <c r="AB772" s="8">
        <f t="shared" si="49"/>
        <v>192</v>
      </c>
      <c r="AC772" s="8">
        <f t="shared" si="50"/>
        <v>0</v>
      </c>
      <c r="AD772" s="8">
        <f t="shared" si="51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52"/>
        <v>LT. YELLOW</v>
      </c>
      <c r="AG772" s="11" t="str">
        <f t="shared" si="53"/>
        <v>JHAJJAR</v>
      </c>
    </row>
    <row r="773" spans="1:33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45"/>
        <v>441853990</v>
      </c>
      <c r="Y773" s="8" t="str">
        <f t="shared" si="46"/>
        <v>DC</v>
      </c>
      <c r="Z773" s="8">
        <f t="shared" si="47"/>
        <v>0</v>
      </c>
      <c r="AA773" s="8">
        <f t="shared" si="48"/>
        <v>0</v>
      </c>
      <c r="AB773" s="8">
        <f t="shared" si="49"/>
        <v>0</v>
      </c>
      <c r="AC773" s="8">
        <f t="shared" si="50"/>
        <v>224</v>
      </c>
      <c r="AD773" s="8">
        <f t="shared" si="51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52"/>
        <v>LT. YELLOW</v>
      </c>
      <c r="AG773" s="11" t="str">
        <f t="shared" si="53"/>
        <v>JHAJJAR</v>
      </c>
    </row>
    <row r="774" spans="1:33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45"/>
        <v>441853990</v>
      </c>
      <c r="Y774" s="8" t="str">
        <f t="shared" si="46"/>
        <v>DC</v>
      </c>
      <c r="Z774" s="8">
        <f t="shared" si="47"/>
        <v>0</v>
      </c>
      <c r="AA774" s="8">
        <f t="shared" si="48"/>
        <v>0</v>
      </c>
      <c r="AB774" s="8">
        <f t="shared" si="49"/>
        <v>0</v>
      </c>
      <c r="AC774" s="8">
        <f t="shared" si="50"/>
        <v>0</v>
      </c>
      <c r="AD774" s="8">
        <f t="shared" si="51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52"/>
        <v>LT. YELLOW</v>
      </c>
      <c r="AG774" s="11" t="str">
        <f t="shared" si="53"/>
        <v>JHAJJAR</v>
      </c>
    </row>
    <row r="775" spans="1:33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45"/>
        <v>441853990</v>
      </c>
      <c r="Y775" s="8" t="str">
        <f t="shared" si="46"/>
        <v>DC</v>
      </c>
      <c r="Z775" s="8">
        <f t="shared" si="47"/>
        <v>30</v>
      </c>
      <c r="AA775" s="8">
        <f t="shared" si="48"/>
        <v>0</v>
      </c>
      <c r="AB775" s="8">
        <f t="shared" si="49"/>
        <v>0</v>
      </c>
      <c r="AC775" s="8">
        <f t="shared" si="50"/>
        <v>0</v>
      </c>
      <c r="AD775" s="8">
        <f t="shared" si="51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52"/>
        <v>CREAM</v>
      </c>
      <c r="AG775" s="11" t="str">
        <f t="shared" si="53"/>
        <v>JHAJJAR</v>
      </c>
    </row>
    <row r="776" spans="1:33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45"/>
        <v>441853990</v>
      </c>
      <c r="Y776" s="8" t="str">
        <f t="shared" si="46"/>
        <v>DC</v>
      </c>
      <c r="Z776" s="8">
        <f t="shared" si="47"/>
        <v>0</v>
      </c>
      <c r="AA776" s="8">
        <f t="shared" si="48"/>
        <v>170</v>
      </c>
      <c r="AB776" s="8">
        <f t="shared" si="49"/>
        <v>0</v>
      </c>
      <c r="AC776" s="8">
        <f t="shared" si="50"/>
        <v>0</v>
      </c>
      <c r="AD776" s="8">
        <f t="shared" si="51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52"/>
        <v>CREAM</v>
      </c>
      <c r="AG776" s="11" t="str">
        <f t="shared" si="53"/>
        <v>JHAJJAR</v>
      </c>
    </row>
    <row r="777" spans="1:33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45"/>
        <v>441853990</v>
      </c>
      <c r="Y777" s="8" t="str">
        <f t="shared" si="46"/>
        <v>DC</v>
      </c>
      <c r="Z777" s="8">
        <f t="shared" si="47"/>
        <v>0</v>
      </c>
      <c r="AA777" s="8">
        <f t="shared" si="48"/>
        <v>0</v>
      </c>
      <c r="AB777" s="8">
        <f t="shared" si="49"/>
        <v>192</v>
      </c>
      <c r="AC777" s="8">
        <f t="shared" si="50"/>
        <v>0</v>
      </c>
      <c r="AD777" s="8">
        <f t="shared" si="51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52"/>
        <v>CREAM</v>
      </c>
      <c r="AG777" s="11" t="str">
        <f t="shared" si="53"/>
        <v>JHAJJAR</v>
      </c>
    </row>
    <row r="778" spans="1:33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45"/>
        <v>441853990</v>
      </c>
      <c r="Y778" s="8" t="str">
        <f t="shared" si="46"/>
        <v>DC</v>
      </c>
      <c r="Z778" s="8">
        <f t="shared" si="47"/>
        <v>0</v>
      </c>
      <c r="AA778" s="8">
        <f t="shared" si="48"/>
        <v>0</v>
      </c>
      <c r="AB778" s="8">
        <f t="shared" si="49"/>
        <v>0</v>
      </c>
      <c r="AC778" s="8">
        <f t="shared" si="50"/>
        <v>224</v>
      </c>
      <c r="AD778" s="8">
        <f t="shared" si="51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52"/>
        <v>CREAM</v>
      </c>
      <c r="AG778" s="11" t="str">
        <f t="shared" si="53"/>
        <v>JHAJJAR</v>
      </c>
    </row>
    <row r="779" spans="1:33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45"/>
        <v>441853990</v>
      </c>
      <c r="Y779" s="8" t="str">
        <f t="shared" si="46"/>
        <v>DC</v>
      </c>
      <c r="Z779" s="8">
        <f t="shared" si="47"/>
        <v>0</v>
      </c>
      <c r="AA779" s="8">
        <f t="shared" si="48"/>
        <v>0</v>
      </c>
      <c r="AB779" s="8">
        <f t="shared" si="49"/>
        <v>0</v>
      </c>
      <c r="AC779" s="8">
        <f t="shared" si="50"/>
        <v>0</v>
      </c>
      <c r="AD779" s="8">
        <f t="shared" si="51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52"/>
        <v>CREAM</v>
      </c>
      <c r="AG779" s="11" t="str">
        <f t="shared" si="53"/>
        <v>JHAJJAR</v>
      </c>
    </row>
    <row r="780" spans="1:33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45"/>
        <v>441853990</v>
      </c>
      <c r="Y780" s="8" t="str">
        <f t="shared" si="46"/>
        <v>DC</v>
      </c>
      <c r="Z780" s="8">
        <f t="shared" si="47"/>
        <v>30</v>
      </c>
      <c r="AA780" s="8">
        <f t="shared" si="48"/>
        <v>0</v>
      </c>
      <c r="AB780" s="8">
        <f t="shared" si="49"/>
        <v>0</v>
      </c>
      <c r="AC780" s="8">
        <f t="shared" si="50"/>
        <v>0</v>
      </c>
      <c r="AD780" s="8">
        <f t="shared" si="51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52"/>
        <v>PEACH</v>
      </c>
      <c r="AG780" s="11" t="str">
        <f t="shared" si="53"/>
        <v>HARIPAL</v>
      </c>
    </row>
    <row r="781" spans="1:33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45"/>
        <v>441853990</v>
      </c>
      <c r="Y781" s="8" t="str">
        <f t="shared" si="46"/>
        <v>DC</v>
      </c>
      <c r="Z781" s="8">
        <f t="shared" si="47"/>
        <v>0</v>
      </c>
      <c r="AA781" s="8">
        <f t="shared" si="48"/>
        <v>161</v>
      </c>
      <c r="AB781" s="8">
        <f t="shared" si="49"/>
        <v>0</v>
      </c>
      <c r="AC781" s="8">
        <f t="shared" si="50"/>
        <v>0</v>
      </c>
      <c r="AD781" s="8">
        <f t="shared" si="51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52"/>
        <v>PEACH</v>
      </c>
      <c r="AG781" s="11" t="str">
        <f t="shared" si="53"/>
        <v>HARIPAL</v>
      </c>
    </row>
    <row r="782" spans="1:33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45"/>
        <v>441853990</v>
      </c>
      <c r="Y782" s="8" t="str">
        <f t="shared" si="46"/>
        <v>DC</v>
      </c>
      <c r="Z782" s="8">
        <f t="shared" si="47"/>
        <v>0</v>
      </c>
      <c r="AA782" s="8">
        <f t="shared" si="48"/>
        <v>0</v>
      </c>
      <c r="AB782" s="8">
        <f t="shared" si="49"/>
        <v>182</v>
      </c>
      <c r="AC782" s="8">
        <f t="shared" si="50"/>
        <v>0</v>
      </c>
      <c r="AD782" s="8">
        <f t="shared" si="51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52"/>
        <v>PEACH</v>
      </c>
      <c r="AG782" s="11" t="str">
        <f t="shared" si="53"/>
        <v>HARIPAL</v>
      </c>
    </row>
    <row r="783" spans="1:33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45"/>
        <v>441853990</v>
      </c>
      <c r="Y783" s="8" t="str">
        <f t="shared" si="46"/>
        <v>DC</v>
      </c>
      <c r="Z783" s="8">
        <f t="shared" si="47"/>
        <v>0</v>
      </c>
      <c r="AA783" s="8">
        <f t="shared" si="48"/>
        <v>0</v>
      </c>
      <c r="AB783" s="8">
        <f t="shared" si="49"/>
        <v>0</v>
      </c>
      <c r="AC783" s="8">
        <f t="shared" si="50"/>
        <v>212</v>
      </c>
      <c r="AD783" s="8">
        <f t="shared" si="51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52"/>
        <v>PEACH</v>
      </c>
      <c r="AG783" s="11" t="str">
        <f t="shared" si="53"/>
        <v>HARIPAL</v>
      </c>
    </row>
    <row r="784" spans="1:33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45"/>
        <v>441853990</v>
      </c>
      <c r="Y784" s="8" t="str">
        <f t="shared" si="46"/>
        <v>DC</v>
      </c>
      <c r="Z784" s="8">
        <f t="shared" si="47"/>
        <v>0</v>
      </c>
      <c r="AA784" s="8">
        <f t="shared" si="48"/>
        <v>0</v>
      </c>
      <c r="AB784" s="8">
        <f t="shared" si="49"/>
        <v>0</v>
      </c>
      <c r="AC784" s="8">
        <f t="shared" si="50"/>
        <v>0</v>
      </c>
      <c r="AD784" s="8">
        <f t="shared" si="51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52"/>
        <v>PEACH</v>
      </c>
      <c r="AG784" s="11" t="str">
        <f t="shared" si="53"/>
        <v>HARIPAL</v>
      </c>
    </row>
    <row r="785" spans="1:33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45"/>
        <v>441853990</v>
      </c>
      <c r="Y785" s="8" t="str">
        <f t="shared" si="46"/>
        <v>DC</v>
      </c>
      <c r="Z785" s="8">
        <f t="shared" si="47"/>
        <v>30</v>
      </c>
      <c r="AA785" s="8">
        <f t="shared" si="48"/>
        <v>0</v>
      </c>
      <c r="AB785" s="8">
        <f t="shared" si="49"/>
        <v>0</v>
      </c>
      <c r="AC785" s="8">
        <f t="shared" si="50"/>
        <v>0</v>
      </c>
      <c r="AD785" s="8">
        <f t="shared" si="51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52"/>
        <v>BLUE</v>
      </c>
      <c r="AG785" s="11" t="str">
        <f t="shared" si="53"/>
        <v>JHAJJAR</v>
      </c>
    </row>
    <row r="786" spans="1:33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45"/>
        <v>441853990</v>
      </c>
      <c r="Y786" s="8" t="str">
        <f t="shared" si="46"/>
        <v>DC</v>
      </c>
      <c r="Z786" s="8">
        <f t="shared" si="47"/>
        <v>0</v>
      </c>
      <c r="AA786" s="8">
        <f t="shared" si="48"/>
        <v>170</v>
      </c>
      <c r="AB786" s="8">
        <f t="shared" si="49"/>
        <v>0</v>
      </c>
      <c r="AC786" s="8">
        <f t="shared" si="50"/>
        <v>0</v>
      </c>
      <c r="AD786" s="8">
        <f t="shared" si="51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52"/>
        <v>BLUE</v>
      </c>
      <c r="AG786" s="11" t="str">
        <f t="shared" si="53"/>
        <v>JHAJJAR</v>
      </c>
    </row>
    <row r="787" spans="1:33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45"/>
        <v>441853990</v>
      </c>
      <c r="Y787" s="8" t="str">
        <f t="shared" si="46"/>
        <v>DC</v>
      </c>
      <c r="Z787" s="8">
        <f t="shared" si="47"/>
        <v>0</v>
      </c>
      <c r="AA787" s="8">
        <f t="shared" si="48"/>
        <v>0</v>
      </c>
      <c r="AB787" s="8">
        <f t="shared" si="49"/>
        <v>192</v>
      </c>
      <c r="AC787" s="8">
        <f t="shared" si="50"/>
        <v>0</v>
      </c>
      <c r="AD787" s="8">
        <f t="shared" si="51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52"/>
        <v>BLUE</v>
      </c>
      <c r="AG787" s="11" t="str">
        <f t="shared" si="53"/>
        <v>JHAJJAR</v>
      </c>
    </row>
    <row r="788" spans="1:33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45"/>
        <v>441853990</v>
      </c>
      <c r="Y788" s="8" t="str">
        <f t="shared" si="46"/>
        <v>DC</v>
      </c>
      <c r="Z788" s="8">
        <f t="shared" si="47"/>
        <v>0</v>
      </c>
      <c r="AA788" s="8">
        <f t="shared" si="48"/>
        <v>0</v>
      </c>
      <c r="AB788" s="8">
        <f t="shared" si="49"/>
        <v>0</v>
      </c>
      <c r="AC788" s="8">
        <f t="shared" si="50"/>
        <v>224</v>
      </c>
      <c r="AD788" s="8">
        <f t="shared" si="51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52"/>
        <v>BLUE</v>
      </c>
      <c r="AG788" s="11" t="str">
        <f t="shared" si="53"/>
        <v>JHAJJAR</v>
      </c>
    </row>
    <row r="789" spans="1:33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45"/>
        <v>441853990</v>
      </c>
      <c r="Y789" s="8" t="str">
        <f t="shared" si="46"/>
        <v>DC</v>
      </c>
      <c r="Z789" s="8">
        <f t="shared" si="47"/>
        <v>0</v>
      </c>
      <c r="AA789" s="8">
        <f t="shared" si="48"/>
        <v>0</v>
      </c>
      <c r="AB789" s="8">
        <f t="shared" si="49"/>
        <v>0</v>
      </c>
      <c r="AC789" s="8">
        <f t="shared" si="50"/>
        <v>0</v>
      </c>
      <c r="AD789" s="8">
        <f t="shared" si="51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52"/>
        <v>BLUE</v>
      </c>
      <c r="AG789" s="11" t="str">
        <f t="shared" si="53"/>
        <v>JHAJJAR</v>
      </c>
    </row>
    <row r="790" spans="1:33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45"/>
        <v>441853990</v>
      </c>
      <c r="Y790" s="8" t="str">
        <f t="shared" si="46"/>
        <v>DC</v>
      </c>
      <c r="Z790" s="8">
        <f t="shared" si="47"/>
        <v>30</v>
      </c>
      <c r="AA790" s="8">
        <f t="shared" si="48"/>
        <v>0</v>
      </c>
      <c r="AB790" s="8">
        <f t="shared" si="49"/>
        <v>0</v>
      </c>
      <c r="AC790" s="8">
        <f t="shared" si="50"/>
        <v>0</v>
      </c>
      <c r="AD790" s="8">
        <f t="shared" si="51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52"/>
        <v>MINT</v>
      </c>
      <c r="AG790" s="11" t="str">
        <f t="shared" si="53"/>
        <v>HARIPAL</v>
      </c>
    </row>
    <row r="791" spans="1:33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45"/>
        <v>441853990</v>
      </c>
      <c r="Y791" s="8" t="str">
        <f t="shared" si="46"/>
        <v>DC</v>
      </c>
      <c r="Z791" s="8">
        <f t="shared" si="47"/>
        <v>0</v>
      </c>
      <c r="AA791" s="8">
        <f t="shared" si="48"/>
        <v>161</v>
      </c>
      <c r="AB791" s="8">
        <f t="shared" si="49"/>
        <v>0</v>
      </c>
      <c r="AC791" s="8">
        <f t="shared" si="50"/>
        <v>0</v>
      </c>
      <c r="AD791" s="8">
        <f t="shared" si="51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52"/>
        <v>MINT</v>
      </c>
      <c r="AG791" s="11" t="str">
        <f t="shared" si="53"/>
        <v>HARIPAL</v>
      </c>
    </row>
    <row r="792" spans="1:33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45"/>
        <v>441853990</v>
      </c>
      <c r="Y792" s="8" t="str">
        <f t="shared" si="46"/>
        <v>DC</v>
      </c>
      <c r="Z792" s="8">
        <f t="shared" si="47"/>
        <v>0</v>
      </c>
      <c r="AA792" s="8">
        <f t="shared" si="48"/>
        <v>0</v>
      </c>
      <c r="AB792" s="8">
        <f t="shared" si="49"/>
        <v>182</v>
      </c>
      <c r="AC792" s="8">
        <f t="shared" si="50"/>
        <v>0</v>
      </c>
      <c r="AD792" s="8">
        <f t="shared" si="51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52"/>
        <v>MINT</v>
      </c>
      <c r="AG792" s="11" t="str">
        <f t="shared" si="53"/>
        <v>HARIPAL</v>
      </c>
    </row>
    <row r="793" spans="1:33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45"/>
        <v>441853990</v>
      </c>
      <c r="Y793" s="8" t="str">
        <f t="shared" si="46"/>
        <v>DC</v>
      </c>
      <c r="Z793" s="8">
        <f t="shared" si="47"/>
        <v>0</v>
      </c>
      <c r="AA793" s="8">
        <f t="shared" si="48"/>
        <v>0</v>
      </c>
      <c r="AB793" s="8">
        <f t="shared" si="49"/>
        <v>0</v>
      </c>
      <c r="AC793" s="8">
        <f t="shared" si="50"/>
        <v>212</v>
      </c>
      <c r="AD793" s="8">
        <f t="shared" si="51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52"/>
        <v>MINT</v>
      </c>
      <c r="AG793" s="11" t="str">
        <f t="shared" si="53"/>
        <v>HARIPAL</v>
      </c>
    </row>
    <row r="794" spans="1:33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45"/>
        <v>441853990</v>
      </c>
      <c r="Y794" s="8" t="str">
        <f t="shared" si="46"/>
        <v>DC</v>
      </c>
      <c r="Z794" s="8">
        <f t="shared" si="47"/>
        <v>0</v>
      </c>
      <c r="AA794" s="8">
        <f t="shared" si="48"/>
        <v>0</v>
      </c>
      <c r="AB794" s="8">
        <f t="shared" si="49"/>
        <v>0</v>
      </c>
      <c r="AC794" s="8">
        <f t="shared" si="50"/>
        <v>0</v>
      </c>
      <c r="AD794" s="8">
        <f t="shared" si="51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52"/>
        <v>MINT</v>
      </c>
      <c r="AG794" s="11" t="str">
        <f t="shared" si="53"/>
        <v>HARIPAL</v>
      </c>
    </row>
    <row r="795" spans="1:33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45"/>
        <v>441853990</v>
      </c>
      <c r="Y795" s="8" t="str">
        <f t="shared" si="46"/>
        <v>DC</v>
      </c>
      <c r="Z795" s="8">
        <f t="shared" si="47"/>
        <v>30</v>
      </c>
      <c r="AA795" s="8">
        <f t="shared" si="48"/>
        <v>0</v>
      </c>
      <c r="AB795" s="8">
        <f t="shared" si="49"/>
        <v>0</v>
      </c>
      <c r="AC795" s="8">
        <f t="shared" si="50"/>
        <v>0</v>
      </c>
      <c r="AD795" s="8">
        <f t="shared" si="51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52"/>
        <v>LT. YELLOW</v>
      </c>
      <c r="AG795" s="11" t="str">
        <f t="shared" si="53"/>
        <v>HARIPAL</v>
      </c>
    </row>
    <row r="796" spans="1:33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45"/>
        <v>441853990</v>
      </c>
      <c r="Y796" s="8" t="str">
        <f t="shared" si="46"/>
        <v>DC</v>
      </c>
      <c r="Z796" s="8">
        <f t="shared" si="47"/>
        <v>0</v>
      </c>
      <c r="AA796" s="8">
        <f t="shared" si="48"/>
        <v>161</v>
      </c>
      <c r="AB796" s="8">
        <f t="shared" si="49"/>
        <v>0</v>
      </c>
      <c r="AC796" s="8">
        <f t="shared" si="50"/>
        <v>0</v>
      </c>
      <c r="AD796" s="8">
        <f t="shared" si="51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52"/>
        <v>LT. YELLOW</v>
      </c>
      <c r="AG796" s="11" t="str">
        <f t="shared" si="53"/>
        <v>HARIPAL</v>
      </c>
    </row>
    <row r="797" spans="1:33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45"/>
        <v>441853990</v>
      </c>
      <c r="Y797" s="8" t="str">
        <f t="shared" si="46"/>
        <v>DC</v>
      </c>
      <c r="Z797" s="8">
        <f t="shared" si="47"/>
        <v>0</v>
      </c>
      <c r="AA797" s="8">
        <f t="shared" si="48"/>
        <v>0</v>
      </c>
      <c r="AB797" s="8">
        <f t="shared" si="49"/>
        <v>182</v>
      </c>
      <c r="AC797" s="8">
        <f t="shared" si="50"/>
        <v>0</v>
      </c>
      <c r="AD797" s="8">
        <f t="shared" si="51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52"/>
        <v>LT. YELLOW</v>
      </c>
      <c r="AG797" s="11" t="str">
        <f t="shared" si="53"/>
        <v>HARIPAL</v>
      </c>
    </row>
    <row r="798" spans="1:33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45"/>
        <v>441853990</v>
      </c>
      <c r="Y798" s="8" t="str">
        <f t="shared" si="46"/>
        <v>DC</v>
      </c>
      <c r="Z798" s="8">
        <f t="shared" si="47"/>
        <v>0</v>
      </c>
      <c r="AA798" s="8">
        <f t="shared" si="48"/>
        <v>0</v>
      </c>
      <c r="AB798" s="8">
        <f t="shared" si="49"/>
        <v>0</v>
      </c>
      <c r="AC798" s="8">
        <f t="shared" si="50"/>
        <v>212</v>
      </c>
      <c r="AD798" s="8">
        <f t="shared" si="51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52"/>
        <v>LT. YELLOW</v>
      </c>
      <c r="AG798" s="11" t="str">
        <f t="shared" si="53"/>
        <v>HARIPAL</v>
      </c>
    </row>
    <row r="799" spans="1:33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45"/>
        <v>441853990</v>
      </c>
      <c r="Y799" s="8" t="str">
        <f t="shared" si="46"/>
        <v>DC</v>
      </c>
      <c r="Z799" s="8">
        <f t="shared" si="47"/>
        <v>0</v>
      </c>
      <c r="AA799" s="8">
        <f t="shared" si="48"/>
        <v>0</v>
      </c>
      <c r="AB799" s="8">
        <f t="shared" si="49"/>
        <v>0</v>
      </c>
      <c r="AC799" s="8">
        <f t="shared" si="50"/>
        <v>0</v>
      </c>
      <c r="AD799" s="8">
        <f t="shared" si="51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52"/>
        <v>LT. YELLOW</v>
      </c>
      <c r="AG799" s="11" t="str">
        <f t="shared" si="53"/>
        <v>HARIPAL</v>
      </c>
    </row>
    <row r="800" spans="1:33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45"/>
        <v>441853990</v>
      </c>
      <c r="Y800" s="8" t="str">
        <f t="shared" si="46"/>
        <v>DC</v>
      </c>
      <c r="Z800" s="8">
        <f t="shared" si="47"/>
        <v>30</v>
      </c>
      <c r="AA800" s="8">
        <f t="shared" si="48"/>
        <v>0</v>
      </c>
      <c r="AB800" s="8">
        <f t="shared" si="49"/>
        <v>0</v>
      </c>
      <c r="AC800" s="8">
        <f t="shared" si="50"/>
        <v>0</v>
      </c>
      <c r="AD800" s="8">
        <f t="shared" si="51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52"/>
        <v>CREAM</v>
      </c>
      <c r="AG800" s="11" t="str">
        <f t="shared" si="53"/>
        <v>HARIPAL</v>
      </c>
    </row>
    <row r="801" spans="1:33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45"/>
        <v>441853990</v>
      </c>
      <c r="Y801" s="8" t="str">
        <f t="shared" si="46"/>
        <v>DC</v>
      </c>
      <c r="Z801" s="8">
        <f t="shared" si="47"/>
        <v>0</v>
      </c>
      <c r="AA801" s="8">
        <f t="shared" si="48"/>
        <v>161</v>
      </c>
      <c r="AB801" s="8">
        <f t="shared" si="49"/>
        <v>0</v>
      </c>
      <c r="AC801" s="8">
        <f t="shared" si="50"/>
        <v>0</v>
      </c>
      <c r="AD801" s="8">
        <f t="shared" si="51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52"/>
        <v>CREAM</v>
      </c>
      <c r="AG801" s="11" t="str">
        <f t="shared" si="53"/>
        <v>HARIPAL</v>
      </c>
    </row>
    <row r="802" spans="1:33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45"/>
        <v>441853990</v>
      </c>
      <c r="Y802" s="8" t="str">
        <f t="shared" si="46"/>
        <v>DC</v>
      </c>
      <c r="Z802" s="8">
        <f t="shared" si="47"/>
        <v>0</v>
      </c>
      <c r="AA802" s="8">
        <f t="shared" si="48"/>
        <v>0</v>
      </c>
      <c r="AB802" s="8">
        <f t="shared" si="49"/>
        <v>182</v>
      </c>
      <c r="AC802" s="8">
        <f t="shared" si="50"/>
        <v>0</v>
      </c>
      <c r="AD802" s="8">
        <f t="shared" si="51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52"/>
        <v>CREAM</v>
      </c>
      <c r="AG802" s="11" t="str">
        <f t="shared" si="53"/>
        <v>HARIPAL</v>
      </c>
    </row>
    <row r="803" spans="1:33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45"/>
        <v>441853990</v>
      </c>
      <c r="Y803" s="8" t="str">
        <f t="shared" si="46"/>
        <v>DC</v>
      </c>
      <c r="Z803" s="8">
        <f t="shared" si="47"/>
        <v>0</v>
      </c>
      <c r="AA803" s="8">
        <f t="shared" si="48"/>
        <v>0</v>
      </c>
      <c r="AB803" s="8">
        <f t="shared" si="49"/>
        <v>0</v>
      </c>
      <c r="AC803" s="8">
        <f t="shared" si="50"/>
        <v>212</v>
      </c>
      <c r="AD803" s="8">
        <f t="shared" si="51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52"/>
        <v>CREAM</v>
      </c>
      <c r="AG803" s="11" t="str">
        <f t="shared" si="53"/>
        <v>HARIPAL</v>
      </c>
    </row>
    <row r="804" spans="1:33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45"/>
        <v>441853990</v>
      </c>
      <c r="Y804" s="8" t="str">
        <f t="shared" si="46"/>
        <v>DC</v>
      </c>
      <c r="Z804" s="8">
        <f t="shared" si="47"/>
        <v>0</v>
      </c>
      <c r="AA804" s="8">
        <f t="shared" si="48"/>
        <v>0</v>
      </c>
      <c r="AB804" s="8">
        <f t="shared" si="49"/>
        <v>0</v>
      </c>
      <c r="AC804" s="8">
        <f t="shared" si="50"/>
        <v>0</v>
      </c>
      <c r="AD804" s="8">
        <f t="shared" si="51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52"/>
        <v>CREAM</v>
      </c>
      <c r="AG804" s="11" t="str">
        <f t="shared" si="53"/>
        <v>HARIPAL</v>
      </c>
    </row>
    <row r="805" spans="1:33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45"/>
        <v>441853990</v>
      </c>
      <c r="Y805" s="8" t="str">
        <f t="shared" si="46"/>
        <v>DC</v>
      </c>
      <c r="Z805" s="8">
        <f t="shared" si="47"/>
        <v>30</v>
      </c>
      <c r="AA805" s="8">
        <f t="shared" si="48"/>
        <v>0</v>
      </c>
      <c r="AB805" s="8">
        <f t="shared" si="49"/>
        <v>0</v>
      </c>
      <c r="AC805" s="8">
        <f t="shared" si="50"/>
        <v>0</v>
      </c>
      <c r="AD805" s="8">
        <f t="shared" si="51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52"/>
        <v>BLUE</v>
      </c>
      <c r="AG805" s="11" t="str">
        <f t="shared" si="53"/>
        <v>HARIPAL</v>
      </c>
    </row>
    <row r="806" spans="1:33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45"/>
        <v>441853990</v>
      </c>
      <c r="Y806" s="8" t="str">
        <f t="shared" si="46"/>
        <v>DC</v>
      </c>
      <c r="Z806" s="8">
        <f t="shared" si="47"/>
        <v>0</v>
      </c>
      <c r="AA806" s="8">
        <f t="shared" si="48"/>
        <v>161</v>
      </c>
      <c r="AB806" s="8">
        <f t="shared" si="49"/>
        <v>0</v>
      </c>
      <c r="AC806" s="8">
        <f t="shared" si="50"/>
        <v>0</v>
      </c>
      <c r="AD806" s="8">
        <f t="shared" si="51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52"/>
        <v>BLUE</v>
      </c>
      <c r="AG806" s="11" t="str">
        <f t="shared" si="53"/>
        <v>HARIPAL</v>
      </c>
    </row>
    <row r="807" spans="1:33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45"/>
        <v>441853990</v>
      </c>
      <c r="Y807" s="8" t="str">
        <f t="shared" si="46"/>
        <v>DC</v>
      </c>
      <c r="Z807" s="8">
        <f t="shared" si="47"/>
        <v>0</v>
      </c>
      <c r="AA807" s="8">
        <f t="shared" si="48"/>
        <v>0</v>
      </c>
      <c r="AB807" s="8">
        <f t="shared" si="49"/>
        <v>182</v>
      </c>
      <c r="AC807" s="8">
        <f t="shared" si="50"/>
        <v>0</v>
      </c>
      <c r="AD807" s="8">
        <f t="shared" si="51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52"/>
        <v>BLUE</v>
      </c>
      <c r="AG807" s="11" t="str">
        <f t="shared" si="53"/>
        <v>HARIPAL</v>
      </c>
    </row>
    <row r="808" spans="1:33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45"/>
        <v>441853990</v>
      </c>
      <c r="Y808" s="8" t="str">
        <f t="shared" si="46"/>
        <v>DC</v>
      </c>
      <c r="Z808" s="8">
        <f t="shared" si="47"/>
        <v>0</v>
      </c>
      <c r="AA808" s="8">
        <f t="shared" si="48"/>
        <v>0</v>
      </c>
      <c r="AB808" s="8">
        <f t="shared" si="49"/>
        <v>0</v>
      </c>
      <c r="AC808" s="8">
        <f t="shared" si="50"/>
        <v>212</v>
      </c>
      <c r="AD808" s="8">
        <f t="shared" si="51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52"/>
        <v>BLUE</v>
      </c>
      <c r="AG808" s="11" t="str">
        <f t="shared" si="53"/>
        <v>HARIPAL</v>
      </c>
    </row>
    <row r="809" spans="1:33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45"/>
        <v>441853990</v>
      </c>
      <c r="Y809" s="8" t="str">
        <f t="shared" si="46"/>
        <v>DC</v>
      </c>
      <c r="Z809" s="8">
        <f t="shared" si="47"/>
        <v>0</v>
      </c>
      <c r="AA809" s="8">
        <f t="shared" si="48"/>
        <v>0</v>
      </c>
      <c r="AB809" s="8">
        <f t="shared" si="49"/>
        <v>0</v>
      </c>
      <c r="AC809" s="8">
        <f t="shared" si="50"/>
        <v>0</v>
      </c>
      <c r="AD809" s="8">
        <f t="shared" si="51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52"/>
        <v>BLUE</v>
      </c>
      <c r="AG809" s="11" t="str">
        <f t="shared" si="53"/>
        <v>HARIPAL</v>
      </c>
    </row>
    <row r="810" spans="1:33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45"/>
        <v>441853990</v>
      </c>
      <c r="Y810" s="8" t="str">
        <f t="shared" si="46"/>
        <v>DC</v>
      </c>
      <c r="Z810" s="8">
        <f t="shared" si="47"/>
        <v>30</v>
      </c>
      <c r="AA810" s="8">
        <f t="shared" si="48"/>
        <v>0</v>
      </c>
      <c r="AB810" s="8">
        <f t="shared" si="49"/>
        <v>0</v>
      </c>
      <c r="AC810" s="8">
        <f t="shared" si="50"/>
        <v>0</v>
      </c>
      <c r="AD810" s="8">
        <f t="shared" si="51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52"/>
        <v>BLACK</v>
      </c>
      <c r="AG810" s="11" t="str">
        <f t="shared" si="53"/>
        <v>Bangalore</v>
      </c>
    </row>
    <row r="811" spans="1:33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45"/>
        <v>441853990</v>
      </c>
      <c r="Y811" s="8" t="str">
        <f t="shared" si="46"/>
        <v>DC</v>
      </c>
      <c r="Z811" s="8">
        <f t="shared" si="47"/>
        <v>0</v>
      </c>
      <c r="AA811" s="8">
        <f t="shared" si="48"/>
        <v>339</v>
      </c>
      <c r="AB811" s="8">
        <f t="shared" si="49"/>
        <v>0</v>
      </c>
      <c r="AC811" s="8">
        <f t="shared" si="50"/>
        <v>0</v>
      </c>
      <c r="AD811" s="8">
        <f t="shared" si="51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52"/>
        <v>BLACK</v>
      </c>
      <c r="AG811" s="11" t="str">
        <f t="shared" si="53"/>
        <v>Bangalore</v>
      </c>
    </row>
    <row r="812" spans="1:33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45"/>
        <v>441853990</v>
      </c>
      <c r="Y812" s="8" t="str">
        <f t="shared" si="46"/>
        <v>DC</v>
      </c>
      <c r="Z812" s="8">
        <f t="shared" si="47"/>
        <v>0</v>
      </c>
      <c r="AA812" s="8">
        <f t="shared" si="48"/>
        <v>0</v>
      </c>
      <c r="AB812" s="8">
        <f t="shared" si="49"/>
        <v>382</v>
      </c>
      <c r="AC812" s="8">
        <f t="shared" si="50"/>
        <v>0</v>
      </c>
      <c r="AD812" s="8">
        <f t="shared" si="51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52"/>
        <v>BLACK</v>
      </c>
      <c r="AG812" s="11" t="str">
        <f t="shared" si="53"/>
        <v>Bangalore</v>
      </c>
    </row>
    <row r="813" spans="1:33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45"/>
        <v>441853990</v>
      </c>
      <c r="Y813" s="8" t="str">
        <f t="shared" si="46"/>
        <v>DC</v>
      </c>
      <c r="Z813" s="8">
        <f t="shared" si="47"/>
        <v>0</v>
      </c>
      <c r="AA813" s="8">
        <f t="shared" si="48"/>
        <v>0</v>
      </c>
      <c r="AB813" s="8">
        <f t="shared" si="49"/>
        <v>0</v>
      </c>
      <c r="AC813" s="8">
        <f t="shared" si="50"/>
        <v>445</v>
      </c>
      <c r="AD813" s="8">
        <f t="shared" si="51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52"/>
        <v>BLACK</v>
      </c>
      <c r="AG813" s="11" t="str">
        <f t="shared" si="53"/>
        <v>Bangalore</v>
      </c>
    </row>
    <row r="814" spans="1:33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45"/>
        <v>441853990</v>
      </c>
      <c r="Y814" s="8" t="str">
        <f t="shared" si="46"/>
        <v>DC</v>
      </c>
      <c r="Z814" s="8">
        <f t="shared" si="47"/>
        <v>0</v>
      </c>
      <c r="AA814" s="8">
        <f t="shared" si="48"/>
        <v>0</v>
      </c>
      <c r="AB814" s="8">
        <f t="shared" si="49"/>
        <v>0</v>
      </c>
      <c r="AC814" s="8">
        <f t="shared" si="50"/>
        <v>0</v>
      </c>
      <c r="AD814" s="8">
        <f t="shared" si="51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52"/>
        <v>BLACK</v>
      </c>
      <c r="AG814" s="11" t="str">
        <f t="shared" si="53"/>
        <v>Bangalore</v>
      </c>
    </row>
    <row r="815" spans="1:33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45"/>
        <v>441853990</v>
      </c>
      <c r="Y815" s="8" t="str">
        <f t="shared" si="46"/>
        <v>DC</v>
      </c>
      <c r="Z815" s="8">
        <f t="shared" si="47"/>
        <v>30</v>
      </c>
      <c r="AA815" s="8">
        <f t="shared" si="48"/>
        <v>0</v>
      </c>
      <c r="AB815" s="8">
        <f t="shared" si="49"/>
        <v>0</v>
      </c>
      <c r="AC815" s="8">
        <f t="shared" si="50"/>
        <v>0</v>
      </c>
      <c r="AD815" s="8">
        <f t="shared" si="51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52"/>
        <v>BLACK</v>
      </c>
      <c r="AG815" s="11" t="str">
        <f t="shared" si="53"/>
        <v>JHAJJAR</v>
      </c>
    </row>
    <row r="816" spans="1:33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45"/>
        <v>441853990</v>
      </c>
      <c r="Y816" s="8" t="str">
        <f t="shared" si="46"/>
        <v>DC</v>
      </c>
      <c r="Z816" s="8">
        <f t="shared" si="47"/>
        <v>0</v>
      </c>
      <c r="AA816" s="8">
        <f t="shared" si="48"/>
        <v>170</v>
      </c>
      <c r="AB816" s="8">
        <f t="shared" si="49"/>
        <v>0</v>
      </c>
      <c r="AC816" s="8">
        <f t="shared" si="50"/>
        <v>0</v>
      </c>
      <c r="AD816" s="8">
        <f t="shared" si="51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52"/>
        <v>BLACK</v>
      </c>
      <c r="AG816" s="11" t="str">
        <f t="shared" si="53"/>
        <v>JHAJJAR</v>
      </c>
    </row>
    <row r="817" spans="1:33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45"/>
        <v>441853990</v>
      </c>
      <c r="Y817" s="8" t="str">
        <f t="shared" si="46"/>
        <v>DC</v>
      </c>
      <c r="Z817" s="8">
        <f t="shared" si="47"/>
        <v>0</v>
      </c>
      <c r="AA817" s="8">
        <f t="shared" si="48"/>
        <v>0</v>
      </c>
      <c r="AB817" s="8">
        <f t="shared" si="49"/>
        <v>192</v>
      </c>
      <c r="AC817" s="8">
        <f t="shared" si="50"/>
        <v>0</v>
      </c>
      <c r="AD817" s="8">
        <f t="shared" si="51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52"/>
        <v>BLACK</v>
      </c>
      <c r="AG817" s="11" t="str">
        <f t="shared" si="53"/>
        <v>JHAJJAR</v>
      </c>
    </row>
    <row r="818" spans="1:33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45"/>
        <v>441853990</v>
      </c>
      <c r="Y818" s="8" t="str">
        <f t="shared" si="46"/>
        <v>DC</v>
      </c>
      <c r="Z818" s="8">
        <f t="shared" si="47"/>
        <v>0</v>
      </c>
      <c r="AA818" s="8">
        <f t="shared" si="48"/>
        <v>0</v>
      </c>
      <c r="AB818" s="8">
        <f t="shared" si="49"/>
        <v>0</v>
      </c>
      <c r="AC818" s="8">
        <f t="shared" si="50"/>
        <v>224</v>
      </c>
      <c r="AD818" s="8">
        <f t="shared" si="51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52"/>
        <v>BLACK</v>
      </c>
      <c r="AG818" s="11" t="str">
        <f t="shared" si="53"/>
        <v>JHAJJAR</v>
      </c>
    </row>
    <row r="819" spans="1:33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45"/>
        <v>441853990</v>
      </c>
      <c r="Y819" s="8" t="str">
        <f t="shared" si="46"/>
        <v>DC</v>
      </c>
      <c r="Z819" s="8">
        <f t="shared" si="47"/>
        <v>0</v>
      </c>
      <c r="AA819" s="8">
        <f t="shared" si="48"/>
        <v>0</v>
      </c>
      <c r="AB819" s="8">
        <f t="shared" si="49"/>
        <v>0</v>
      </c>
      <c r="AC819" s="8">
        <f t="shared" si="50"/>
        <v>0</v>
      </c>
      <c r="AD819" s="8">
        <f t="shared" si="51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52"/>
        <v>BLACK</v>
      </c>
      <c r="AG819" s="11" t="str">
        <f t="shared" si="53"/>
        <v>JHAJJAR</v>
      </c>
    </row>
    <row r="820" spans="1:33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45"/>
        <v>441853967</v>
      </c>
      <c r="Y820" s="8" t="str">
        <f t="shared" si="46"/>
        <v>DC</v>
      </c>
      <c r="Z820" s="8">
        <f t="shared" si="47"/>
        <v>30</v>
      </c>
      <c r="AA820" s="8">
        <f t="shared" si="48"/>
        <v>0</v>
      </c>
      <c r="AB820" s="8">
        <f t="shared" si="49"/>
        <v>0</v>
      </c>
      <c r="AC820" s="8">
        <f t="shared" si="50"/>
        <v>0</v>
      </c>
      <c r="AD820" s="8">
        <f t="shared" si="51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52"/>
        <v>BLUE</v>
      </c>
      <c r="AG820" s="11" t="str">
        <f t="shared" si="53"/>
        <v>Bangalore</v>
      </c>
    </row>
    <row r="821" spans="1:33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45"/>
        <v>441853967</v>
      </c>
      <c r="Y821" s="8" t="str">
        <f t="shared" si="46"/>
        <v>DC</v>
      </c>
      <c r="Z821" s="8">
        <f t="shared" si="47"/>
        <v>0</v>
      </c>
      <c r="AA821" s="8">
        <f t="shared" si="48"/>
        <v>324</v>
      </c>
      <c r="AB821" s="8">
        <f t="shared" si="49"/>
        <v>0</v>
      </c>
      <c r="AC821" s="8">
        <f t="shared" si="50"/>
        <v>0</v>
      </c>
      <c r="AD821" s="8">
        <f t="shared" si="51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52"/>
        <v>BLUE</v>
      </c>
      <c r="AG821" s="11" t="str">
        <f t="shared" si="53"/>
        <v>Bangalore</v>
      </c>
    </row>
    <row r="822" spans="1:33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45"/>
        <v>441853967</v>
      </c>
      <c r="Y822" s="8" t="str">
        <f t="shared" si="46"/>
        <v>DC</v>
      </c>
      <c r="Z822" s="8">
        <f t="shared" si="47"/>
        <v>0</v>
      </c>
      <c r="AA822" s="8">
        <f t="shared" si="48"/>
        <v>0</v>
      </c>
      <c r="AB822" s="8">
        <f t="shared" si="49"/>
        <v>364</v>
      </c>
      <c r="AC822" s="8">
        <f t="shared" si="50"/>
        <v>0</v>
      </c>
      <c r="AD822" s="8">
        <f t="shared" si="51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52"/>
        <v>BLUE</v>
      </c>
      <c r="AG822" s="11" t="str">
        <f t="shared" si="53"/>
        <v>Bangalore</v>
      </c>
    </row>
    <row r="823" spans="1:33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45"/>
        <v>441853967</v>
      </c>
      <c r="Y823" s="8" t="str">
        <f t="shared" si="46"/>
        <v>DC</v>
      </c>
      <c r="Z823" s="8">
        <f t="shared" si="47"/>
        <v>0</v>
      </c>
      <c r="AA823" s="8">
        <f t="shared" si="48"/>
        <v>0</v>
      </c>
      <c r="AB823" s="8">
        <f t="shared" si="49"/>
        <v>0</v>
      </c>
      <c r="AC823" s="8">
        <f t="shared" si="50"/>
        <v>425</v>
      </c>
      <c r="AD823" s="8">
        <f t="shared" si="51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52"/>
        <v>BLUE</v>
      </c>
      <c r="AG823" s="11" t="str">
        <f t="shared" si="53"/>
        <v>Bangalore</v>
      </c>
    </row>
    <row r="824" spans="1:33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45"/>
        <v>441853967</v>
      </c>
      <c r="Y824" s="8" t="str">
        <f t="shared" si="46"/>
        <v>DC</v>
      </c>
      <c r="Z824" s="8">
        <f t="shared" si="47"/>
        <v>0</v>
      </c>
      <c r="AA824" s="8">
        <f t="shared" si="48"/>
        <v>0</v>
      </c>
      <c r="AB824" s="8">
        <f t="shared" si="49"/>
        <v>0</v>
      </c>
      <c r="AC824" s="8">
        <f t="shared" si="50"/>
        <v>0</v>
      </c>
      <c r="AD824" s="8">
        <f t="shared" si="51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52"/>
        <v>BLUE</v>
      </c>
      <c r="AG824" s="11" t="str">
        <f t="shared" si="53"/>
        <v>Bangalore</v>
      </c>
    </row>
    <row r="825" spans="1:33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45"/>
        <v>441853966</v>
      </c>
      <c r="Y825" s="8" t="str">
        <f t="shared" si="46"/>
        <v>DC</v>
      </c>
      <c r="Z825" s="8">
        <f t="shared" si="47"/>
        <v>30</v>
      </c>
      <c r="AA825" s="8">
        <f t="shared" si="48"/>
        <v>0</v>
      </c>
      <c r="AB825" s="8">
        <f t="shared" si="49"/>
        <v>0</v>
      </c>
      <c r="AC825" s="8">
        <f t="shared" si="50"/>
        <v>0</v>
      </c>
      <c r="AD825" s="8">
        <f t="shared" si="51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52"/>
        <v>CREAM</v>
      </c>
      <c r="AG825" s="11" t="str">
        <f t="shared" si="53"/>
        <v>Bangalore</v>
      </c>
    </row>
    <row r="826" spans="1:33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45"/>
        <v>441853966</v>
      </c>
      <c r="Y826" s="8" t="str">
        <f t="shared" si="46"/>
        <v>DC</v>
      </c>
      <c r="Z826" s="8">
        <f t="shared" si="47"/>
        <v>0</v>
      </c>
      <c r="AA826" s="8">
        <f t="shared" si="48"/>
        <v>364</v>
      </c>
      <c r="AB826" s="8">
        <f t="shared" si="49"/>
        <v>0</v>
      </c>
      <c r="AC826" s="8">
        <f t="shared" si="50"/>
        <v>0</v>
      </c>
      <c r="AD826" s="8">
        <f t="shared" si="51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52"/>
        <v>CREAM</v>
      </c>
      <c r="AG826" s="11" t="str">
        <f t="shared" si="53"/>
        <v>Bangalore</v>
      </c>
    </row>
    <row r="827" spans="1:33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45"/>
        <v>441853966</v>
      </c>
      <c r="Y827" s="8" t="str">
        <f t="shared" si="46"/>
        <v>DC</v>
      </c>
      <c r="Z827" s="8">
        <f t="shared" si="47"/>
        <v>0</v>
      </c>
      <c r="AA827" s="8">
        <f t="shared" si="48"/>
        <v>0</v>
      </c>
      <c r="AB827" s="8">
        <f t="shared" si="49"/>
        <v>409</v>
      </c>
      <c r="AC827" s="8">
        <f t="shared" si="50"/>
        <v>0</v>
      </c>
      <c r="AD827" s="8">
        <f t="shared" si="51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52"/>
        <v>CREAM</v>
      </c>
      <c r="AG827" s="11" t="str">
        <f t="shared" si="53"/>
        <v>Bangalore</v>
      </c>
    </row>
    <row r="828" spans="1:33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45"/>
        <v>441853990</v>
      </c>
      <c r="Y828" s="8" t="str">
        <f t="shared" si="46"/>
        <v>DC</v>
      </c>
      <c r="Z828" s="8">
        <f t="shared" si="47"/>
        <v>30</v>
      </c>
      <c r="AA828" s="8">
        <f t="shared" si="48"/>
        <v>0</v>
      </c>
      <c r="AB828" s="8">
        <f t="shared" si="49"/>
        <v>0</v>
      </c>
      <c r="AC828" s="8">
        <f t="shared" si="50"/>
        <v>0</v>
      </c>
      <c r="AD828" s="8">
        <f t="shared" si="51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52"/>
        <v>BLACK</v>
      </c>
      <c r="AG828" s="11" t="str">
        <f t="shared" si="53"/>
        <v>HARIPAL</v>
      </c>
    </row>
    <row r="829" spans="1:33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45"/>
        <v>441853990</v>
      </c>
      <c r="Y829" s="8" t="str">
        <f t="shared" si="46"/>
        <v>DC</v>
      </c>
      <c r="Z829" s="8">
        <f t="shared" si="47"/>
        <v>0</v>
      </c>
      <c r="AA829" s="8">
        <f t="shared" si="48"/>
        <v>161</v>
      </c>
      <c r="AB829" s="8">
        <f t="shared" si="49"/>
        <v>0</v>
      </c>
      <c r="AC829" s="8">
        <f t="shared" si="50"/>
        <v>0</v>
      </c>
      <c r="AD829" s="8">
        <f t="shared" si="51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52"/>
        <v>BLACK</v>
      </c>
      <c r="AG829" s="11" t="str">
        <f t="shared" si="53"/>
        <v>HARIPAL</v>
      </c>
    </row>
    <row r="830" spans="1:33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45"/>
        <v>441853990</v>
      </c>
      <c r="Y830" s="8" t="str">
        <f t="shared" si="46"/>
        <v>DC</v>
      </c>
      <c r="Z830" s="8">
        <f t="shared" si="47"/>
        <v>0</v>
      </c>
      <c r="AA830" s="8">
        <f t="shared" si="48"/>
        <v>0</v>
      </c>
      <c r="AB830" s="8">
        <f t="shared" si="49"/>
        <v>182</v>
      </c>
      <c r="AC830" s="8">
        <f t="shared" si="50"/>
        <v>0</v>
      </c>
      <c r="AD830" s="8">
        <f t="shared" si="51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52"/>
        <v>BLACK</v>
      </c>
      <c r="AG830" s="11" t="str">
        <f t="shared" si="53"/>
        <v>HARIPAL</v>
      </c>
    </row>
    <row r="831" spans="1:33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45"/>
        <v>441853990</v>
      </c>
      <c r="Y831" s="8" t="str">
        <f t="shared" si="46"/>
        <v>DC</v>
      </c>
      <c r="Z831" s="8">
        <f t="shared" si="47"/>
        <v>0</v>
      </c>
      <c r="AA831" s="8">
        <f t="shared" si="48"/>
        <v>0</v>
      </c>
      <c r="AB831" s="8">
        <f t="shared" si="49"/>
        <v>0</v>
      </c>
      <c r="AC831" s="8">
        <f t="shared" si="50"/>
        <v>212</v>
      </c>
      <c r="AD831" s="8">
        <f t="shared" si="51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52"/>
        <v>BLACK</v>
      </c>
      <c r="AG831" s="11" t="str">
        <f t="shared" si="53"/>
        <v>HARIPAL</v>
      </c>
    </row>
    <row r="832" spans="1:33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45"/>
        <v>441853990</v>
      </c>
      <c r="Y832" s="8" t="str">
        <f t="shared" si="46"/>
        <v>DC</v>
      </c>
      <c r="Z832" s="8">
        <f t="shared" si="47"/>
        <v>0</v>
      </c>
      <c r="AA832" s="8">
        <f t="shared" si="48"/>
        <v>0</v>
      </c>
      <c r="AB832" s="8">
        <f t="shared" si="49"/>
        <v>0</v>
      </c>
      <c r="AC832" s="8">
        <f t="shared" si="50"/>
        <v>0</v>
      </c>
      <c r="AD832" s="8">
        <f t="shared" si="51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52"/>
        <v>BLACK</v>
      </c>
      <c r="AG832" s="11" t="str">
        <f t="shared" si="53"/>
        <v>HARIPAL</v>
      </c>
    </row>
    <row r="833" spans="1:33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45"/>
        <v>441853964</v>
      </c>
      <c r="Y833" s="8" t="str">
        <f t="shared" si="46"/>
        <v>DC</v>
      </c>
      <c r="Z833" s="8">
        <f t="shared" si="47"/>
        <v>30</v>
      </c>
      <c r="AA833" s="8">
        <f t="shared" si="48"/>
        <v>0</v>
      </c>
      <c r="AB833" s="8">
        <f t="shared" si="49"/>
        <v>0</v>
      </c>
      <c r="AC833" s="8">
        <f t="shared" si="50"/>
        <v>0</v>
      </c>
      <c r="AD833" s="8">
        <f t="shared" si="51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52"/>
        <v>BLUE</v>
      </c>
      <c r="AG833" s="11" t="str">
        <f t="shared" si="53"/>
        <v>Bangalore</v>
      </c>
    </row>
    <row r="834" spans="1:33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45"/>
        <v>441853964</v>
      </c>
      <c r="Y834" s="8" t="str">
        <f t="shared" si="46"/>
        <v>DC</v>
      </c>
      <c r="Z834" s="8">
        <f t="shared" si="47"/>
        <v>0</v>
      </c>
      <c r="AA834" s="8">
        <f t="shared" si="48"/>
        <v>339</v>
      </c>
      <c r="AB834" s="8">
        <f t="shared" si="49"/>
        <v>0</v>
      </c>
      <c r="AC834" s="8">
        <f t="shared" si="50"/>
        <v>0</v>
      </c>
      <c r="AD834" s="8">
        <f t="shared" si="51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52"/>
        <v>BLUE</v>
      </c>
      <c r="AG834" s="11" t="str">
        <f t="shared" si="53"/>
        <v>Bangalore</v>
      </c>
    </row>
    <row r="835" spans="1:33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45"/>
        <v>441853964</v>
      </c>
      <c r="Y835" s="8" t="str">
        <f t="shared" si="46"/>
        <v>DC</v>
      </c>
      <c r="Z835" s="8">
        <f t="shared" si="47"/>
        <v>0</v>
      </c>
      <c r="AA835" s="8">
        <f t="shared" si="48"/>
        <v>0</v>
      </c>
      <c r="AB835" s="8">
        <f t="shared" si="49"/>
        <v>382</v>
      </c>
      <c r="AC835" s="8">
        <f t="shared" si="50"/>
        <v>0</v>
      </c>
      <c r="AD835" s="8">
        <f t="shared" si="51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54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55">IF(A835="SZAF","Bangalore",IF(A835="SAEX","JHAJJAR",IF(A835="S0EU","HARIPAL","")))</f>
        <v>Bangalore</v>
      </c>
    </row>
    <row r="836" spans="1:33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45"/>
        <v>441853964</v>
      </c>
      <c r="Y836" s="8" t="str">
        <f t="shared" si="46"/>
        <v>DC</v>
      </c>
      <c r="Z836" s="8">
        <f t="shared" si="47"/>
        <v>0</v>
      </c>
      <c r="AA836" s="8">
        <f t="shared" si="48"/>
        <v>0</v>
      </c>
      <c r="AB836" s="8">
        <f t="shared" si="49"/>
        <v>0</v>
      </c>
      <c r="AC836" s="8">
        <f t="shared" si="50"/>
        <v>445</v>
      </c>
      <c r="AD836" s="8">
        <f t="shared" si="51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54"/>
        <v>BLUE</v>
      </c>
      <c r="AG836" s="11" t="str">
        <f t="shared" si="55"/>
        <v>Bangalore</v>
      </c>
    </row>
    <row r="837" spans="1:33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45"/>
        <v>441853964</v>
      </c>
      <c r="Y837" s="8" t="str">
        <f t="shared" si="46"/>
        <v>DC</v>
      </c>
      <c r="Z837" s="8">
        <f t="shared" si="47"/>
        <v>0</v>
      </c>
      <c r="AA837" s="8">
        <f t="shared" si="48"/>
        <v>0</v>
      </c>
      <c r="AB837" s="8">
        <f t="shared" si="49"/>
        <v>0</v>
      </c>
      <c r="AC837" s="8">
        <f t="shared" si="50"/>
        <v>0</v>
      </c>
      <c r="AD837" s="8">
        <f t="shared" si="51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54"/>
        <v>BLUE</v>
      </c>
      <c r="AG837" s="11" t="str">
        <f t="shared" si="55"/>
        <v>Bangalore</v>
      </c>
    </row>
    <row r="838" spans="1:33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45"/>
        <v>441853967</v>
      </c>
      <c r="Y838" s="8" t="str">
        <f t="shared" si="46"/>
        <v>DC</v>
      </c>
      <c r="Z838" s="8">
        <f t="shared" si="47"/>
        <v>30</v>
      </c>
      <c r="AA838" s="8">
        <f t="shared" si="48"/>
        <v>0</v>
      </c>
      <c r="AB838" s="8">
        <f t="shared" si="49"/>
        <v>0</v>
      </c>
      <c r="AC838" s="8">
        <f t="shared" si="50"/>
        <v>0</v>
      </c>
      <c r="AD838" s="8">
        <f t="shared" si="51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54"/>
        <v>BLUE</v>
      </c>
      <c r="AG838" s="11" t="str">
        <f t="shared" si="55"/>
        <v>JHAJJAR</v>
      </c>
    </row>
    <row r="839" spans="1:33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45"/>
        <v>441853967</v>
      </c>
      <c r="Y839" s="8" t="str">
        <f t="shared" si="46"/>
        <v>DC</v>
      </c>
      <c r="Z839" s="8">
        <f t="shared" si="47"/>
        <v>0</v>
      </c>
      <c r="AA839" s="8">
        <f t="shared" si="48"/>
        <v>163</v>
      </c>
      <c r="AB839" s="8">
        <f t="shared" si="49"/>
        <v>0</v>
      </c>
      <c r="AC839" s="8">
        <f t="shared" si="50"/>
        <v>0</v>
      </c>
      <c r="AD839" s="8">
        <f t="shared" si="51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54"/>
        <v>BLUE</v>
      </c>
      <c r="AG839" s="11" t="str">
        <f t="shared" si="55"/>
        <v>JHAJJAR</v>
      </c>
    </row>
    <row r="840" spans="1:33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45"/>
        <v>441853967</v>
      </c>
      <c r="Y840" s="8" t="str">
        <f t="shared" si="46"/>
        <v>DC</v>
      </c>
      <c r="Z840" s="8">
        <f t="shared" si="47"/>
        <v>0</v>
      </c>
      <c r="AA840" s="8">
        <f t="shared" si="48"/>
        <v>0</v>
      </c>
      <c r="AB840" s="8">
        <f t="shared" si="49"/>
        <v>183</v>
      </c>
      <c r="AC840" s="8">
        <f t="shared" si="50"/>
        <v>0</v>
      </c>
      <c r="AD840" s="8">
        <f t="shared" si="51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54"/>
        <v>BLUE</v>
      </c>
      <c r="AG840" s="11" t="str">
        <f t="shared" si="55"/>
        <v>JHAJJAR</v>
      </c>
    </row>
    <row r="841" spans="1:33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45"/>
        <v>441853967</v>
      </c>
      <c r="Y841" s="8" t="str">
        <f t="shared" si="46"/>
        <v>DC</v>
      </c>
      <c r="Z841" s="8">
        <f t="shared" si="47"/>
        <v>0</v>
      </c>
      <c r="AA841" s="8">
        <f t="shared" si="48"/>
        <v>0</v>
      </c>
      <c r="AB841" s="8">
        <f t="shared" si="49"/>
        <v>0</v>
      </c>
      <c r="AC841" s="8">
        <f t="shared" si="50"/>
        <v>214</v>
      </c>
      <c r="AD841" s="8">
        <f t="shared" si="51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54"/>
        <v>BLUE</v>
      </c>
      <c r="AG841" s="11" t="str">
        <f t="shared" si="55"/>
        <v>JHAJJAR</v>
      </c>
    </row>
    <row r="842" spans="1:33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45"/>
        <v>441853967</v>
      </c>
      <c r="Y842" s="8" t="str">
        <f t="shared" si="46"/>
        <v>DC</v>
      </c>
      <c r="Z842" s="8">
        <f t="shared" si="47"/>
        <v>0</v>
      </c>
      <c r="AA842" s="8">
        <f t="shared" si="48"/>
        <v>0</v>
      </c>
      <c r="AB842" s="8">
        <f t="shared" si="49"/>
        <v>0</v>
      </c>
      <c r="AC842" s="8">
        <f t="shared" si="50"/>
        <v>0</v>
      </c>
      <c r="AD842" s="8">
        <f t="shared" si="51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54"/>
        <v>BLUE</v>
      </c>
      <c r="AG842" s="11" t="str">
        <f t="shared" si="55"/>
        <v>JHAJJAR</v>
      </c>
    </row>
    <row r="843" spans="1:33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45"/>
        <v>441853963</v>
      </c>
      <c r="Y843" s="8" t="str">
        <f t="shared" si="46"/>
        <v>DC</v>
      </c>
      <c r="Z843" s="8">
        <f t="shared" si="47"/>
        <v>30</v>
      </c>
      <c r="AA843" s="8">
        <f t="shared" si="48"/>
        <v>0</v>
      </c>
      <c r="AB843" s="8">
        <f t="shared" si="49"/>
        <v>0</v>
      </c>
      <c r="AC843" s="8">
        <f t="shared" si="50"/>
        <v>0</v>
      </c>
      <c r="AD843" s="8">
        <f t="shared" si="51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54"/>
        <v>BLUE</v>
      </c>
      <c r="AG843" s="11" t="str">
        <f t="shared" si="55"/>
        <v>Bangalore</v>
      </c>
    </row>
    <row r="844" spans="1:33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45"/>
        <v>441853963</v>
      </c>
      <c r="Y844" s="8" t="str">
        <f t="shared" si="46"/>
        <v>DC</v>
      </c>
      <c r="Z844" s="8">
        <f t="shared" si="47"/>
        <v>0</v>
      </c>
      <c r="AA844" s="8">
        <f t="shared" si="48"/>
        <v>339</v>
      </c>
      <c r="AB844" s="8">
        <f t="shared" si="49"/>
        <v>0</v>
      </c>
      <c r="AC844" s="8">
        <f t="shared" si="50"/>
        <v>0</v>
      </c>
      <c r="AD844" s="8">
        <f t="shared" si="51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54"/>
        <v>BLUE</v>
      </c>
      <c r="AG844" s="11" t="str">
        <f t="shared" si="55"/>
        <v>Bangalore</v>
      </c>
    </row>
    <row r="845" spans="1:33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45"/>
        <v>441853963</v>
      </c>
      <c r="Y845" s="8" t="str">
        <f t="shared" si="46"/>
        <v>DC</v>
      </c>
      <c r="Z845" s="8">
        <f t="shared" si="47"/>
        <v>0</v>
      </c>
      <c r="AA845" s="8">
        <f t="shared" si="48"/>
        <v>0</v>
      </c>
      <c r="AB845" s="8">
        <f t="shared" si="49"/>
        <v>382</v>
      </c>
      <c r="AC845" s="8">
        <f t="shared" si="50"/>
        <v>0</v>
      </c>
      <c r="AD845" s="8">
        <f t="shared" si="51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54"/>
        <v>BLUE</v>
      </c>
      <c r="AG845" s="11" t="str">
        <f t="shared" si="55"/>
        <v>Bangalore</v>
      </c>
    </row>
    <row r="846" spans="1:33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45"/>
        <v>441853963</v>
      </c>
      <c r="Y846" s="8" t="str">
        <f t="shared" si="46"/>
        <v>DC</v>
      </c>
      <c r="Z846" s="8">
        <f t="shared" si="47"/>
        <v>0</v>
      </c>
      <c r="AA846" s="8">
        <f t="shared" si="48"/>
        <v>0</v>
      </c>
      <c r="AB846" s="8">
        <f t="shared" si="49"/>
        <v>0</v>
      </c>
      <c r="AC846" s="8">
        <f t="shared" si="50"/>
        <v>445</v>
      </c>
      <c r="AD846" s="8">
        <f t="shared" si="51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54"/>
        <v>BLUE</v>
      </c>
      <c r="AG846" s="11" t="str">
        <f t="shared" si="55"/>
        <v>Bangalore</v>
      </c>
    </row>
    <row r="847" spans="1:33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45"/>
        <v>441853963</v>
      </c>
      <c r="Y847" s="8" t="str">
        <f t="shared" si="46"/>
        <v>DC</v>
      </c>
      <c r="Z847" s="8">
        <f t="shared" si="47"/>
        <v>0</v>
      </c>
      <c r="AA847" s="8">
        <f t="shared" si="48"/>
        <v>0</v>
      </c>
      <c r="AB847" s="8">
        <f t="shared" si="49"/>
        <v>0</v>
      </c>
      <c r="AC847" s="8">
        <f t="shared" si="50"/>
        <v>0</v>
      </c>
      <c r="AD847" s="8">
        <f t="shared" si="51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54"/>
        <v>BLUE</v>
      </c>
      <c r="AG847" s="11" t="str">
        <f t="shared" si="55"/>
        <v>Bangalore</v>
      </c>
    </row>
    <row r="848" spans="1:33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45"/>
        <v>441853966</v>
      </c>
      <c r="Y848" s="8" t="str">
        <f t="shared" si="46"/>
        <v>DC</v>
      </c>
      <c r="Z848" s="8">
        <f t="shared" si="47"/>
        <v>30</v>
      </c>
      <c r="AA848" s="8">
        <f t="shared" si="48"/>
        <v>0</v>
      </c>
      <c r="AB848" s="8">
        <f t="shared" si="49"/>
        <v>0</v>
      </c>
      <c r="AC848" s="8">
        <f t="shared" si="50"/>
        <v>0</v>
      </c>
      <c r="AD848" s="8">
        <f t="shared" si="51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54"/>
        <v>CREAM</v>
      </c>
      <c r="AG848" s="11" t="str">
        <f t="shared" si="55"/>
        <v>JHAJJAR</v>
      </c>
    </row>
    <row r="849" spans="1:33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45"/>
        <v>441853966</v>
      </c>
      <c r="Y849" s="8" t="str">
        <f t="shared" si="46"/>
        <v>DC</v>
      </c>
      <c r="Z849" s="8">
        <f t="shared" si="47"/>
        <v>0</v>
      </c>
      <c r="AA849" s="8">
        <f t="shared" si="48"/>
        <v>183</v>
      </c>
      <c r="AB849" s="8">
        <f t="shared" si="49"/>
        <v>0</v>
      </c>
      <c r="AC849" s="8">
        <f t="shared" si="50"/>
        <v>0</v>
      </c>
      <c r="AD849" s="8">
        <f t="shared" si="51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54"/>
        <v>CREAM</v>
      </c>
      <c r="AG849" s="11" t="str">
        <f t="shared" si="55"/>
        <v>JHAJJAR</v>
      </c>
    </row>
    <row r="850" spans="1:33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45"/>
        <v>441853964</v>
      </c>
      <c r="Y850" s="8" t="str">
        <f t="shared" si="46"/>
        <v>DC</v>
      </c>
      <c r="Z850" s="8">
        <f t="shared" si="47"/>
        <v>30</v>
      </c>
      <c r="AA850" s="8">
        <f t="shared" si="48"/>
        <v>0</v>
      </c>
      <c r="AB850" s="8">
        <f t="shared" si="49"/>
        <v>0</v>
      </c>
      <c r="AC850" s="8">
        <f t="shared" si="50"/>
        <v>0</v>
      </c>
      <c r="AD850" s="8">
        <f t="shared" si="51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54"/>
        <v>BLUE</v>
      </c>
      <c r="AG850" s="11" t="str">
        <f t="shared" si="55"/>
        <v>JHAJJAR</v>
      </c>
    </row>
    <row r="851" spans="1:33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45"/>
        <v>441853964</v>
      </c>
      <c r="Y851" s="8" t="str">
        <f t="shared" si="46"/>
        <v>DC</v>
      </c>
      <c r="Z851" s="8">
        <f t="shared" si="47"/>
        <v>0</v>
      </c>
      <c r="AA851" s="8">
        <f t="shared" si="48"/>
        <v>0</v>
      </c>
      <c r="AB851" s="8">
        <f t="shared" si="49"/>
        <v>0</v>
      </c>
      <c r="AC851" s="8">
        <f t="shared" si="50"/>
        <v>0</v>
      </c>
      <c r="AD851" s="8">
        <f t="shared" si="51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54"/>
        <v>BLUE</v>
      </c>
      <c r="AG851" s="11" t="str">
        <f t="shared" si="55"/>
        <v>JHAJJAR</v>
      </c>
    </row>
    <row r="852" spans="1:33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45"/>
        <v>441853967</v>
      </c>
      <c r="Y852" s="8" t="str">
        <f t="shared" si="46"/>
        <v>DC</v>
      </c>
      <c r="Z852" s="8">
        <f t="shared" si="47"/>
        <v>30</v>
      </c>
      <c r="AA852" s="8">
        <f t="shared" si="48"/>
        <v>0</v>
      </c>
      <c r="AB852" s="8">
        <f t="shared" si="49"/>
        <v>0</v>
      </c>
      <c r="AC852" s="8">
        <f t="shared" si="50"/>
        <v>0</v>
      </c>
      <c r="AD852" s="8">
        <f t="shared" si="51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54"/>
        <v>BLUE</v>
      </c>
      <c r="AG852" s="11" t="str">
        <f t="shared" si="55"/>
        <v>HARIPAL</v>
      </c>
    </row>
    <row r="853" spans="1:33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45"/>
        <v>441853967</v>
      </c>
      <c r="Y853" s="8" t="str">
        <f t="shared" si="46"/>
        <v>DC</v>
      </c>
      <c r="Z853" s="8">
        <f t="shared" si="47"/>
        <v>0</v>
      </c>
      <c r="AA853" s="8">
        <f t="shared" si="48"/>
        <v>154</v>
      </c>
      <c r="AB853" s="8">
        <f t="shared" si="49"/>
        <v>0</v>
      </c>
      <c r="AC853" s="8">
        <f t="shared" si="50"/>
        <v>0</v>
      </c>
      <c r="AD853" s="8">
        <f t="shared" si="51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54"/>
        <v>BLUE</v>
      </c>
      <c r="AG853" s="11" t="str">
        <f t="shared" si="55"/>
        <v>HARIPAL</v>
      </c>
    </row>
    <row r="854" spans="1:33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45"/>
        <v>441853967</v>
      </c>
      <c r="Y854" s="8" t="str">
        <f t="shared" si="46"/>
        <v>DC</v>
      </c>
      <c r="Z854" s="8">
        <f t="shared" si="47"/>
        <v>0</v>
      </c>
      <c r="AA854" s="8">
        <f t="shared" si="48"/>
        <v>0</v>
      </c>
      <c r="AB854" s="8">
        <f t="shared" si="49"/>
        <v>173</v>
      </c>
      <c r="AC854" s="8">
        <f t="shared" si="50"/>
        <v>0</v>
      </c>
      <c r="AD854" s="8">
        <f t="shared" si="51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54"/>
        <v>BLUE</v>
      </c>
      <c r="AG854" s="11" t="str">
        <f t="shared" si="55"/>
        <v>HARIPAL</v>
      </c>
    </row>
    <row r="855" spans="1:33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45"/>
        <v>441853967</v>
      </c>
      <c r="Y855" s="8" t="str">
        <f t="shared" si="46"/>
        <v>DC</v>
      </c>
      <c r="Z855" s="8">
        <f t="shared" si="47"/>
        <v>0</v>
      </c>
      <c r="AA855" s="8">
        <f t="shared" si="48"/>
        <v>0</v>
      </c>
      <c r="AB855" s="8">
        <f t="shared" si="49"/>
        <v>0</v>
      </c>
      <c r="AC855" s="8">
        <f t="shared" si="50"/>
        <v>202</v>
      </c>
      <c r="AD855" s="8">
        <f t="shared" si="51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54"/>
        <v>BLUE</v>
      </c>
      <c r="AG855" s="11" t="str">
        <f t="shared" si="55"/>
        <v>HARIPAL</v>
      </c>
    </row>
    <row r="856" spans="1:33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45"/>
        <v>441853967</v>
      </c>
      <c r="Y856" s="8" t="str">
        <f t="shared" si="46"/>
        <v>DC</v>
      </c>
      <c r="Z856" s="8">
        <f t="shared" si="47"/>
        <v>0</v>
      </c>
      <c r="AA856" s="8">
        <f t="shared" si="48"/>
        <v>0</v>
      </c>
      <c r="AB856" s="8">
        <f t="shared" si="49"/>
        <v>0</v>
      </c>
      <c r="AC856" s="8">
        <f t="shared" si="50"/>
        <v>0</v>
      </c>
      <c r="AD856" s="8">
        <f t="shared" si="51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54"/>
        <v>BLUE</v>
      </c>
      <c r="AG856" s="11" t="str">
        <f t="shared" si="55"/>
        <v>HARIPAL</v>
      </c>
    </row>
    <row r="857" spans="1:33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45"/>
        <v>441853963</v>
      </c>
      <c r="Y857" s="8" t="str">
        <f t="shared" si="46"/>
        <v>DC</v>
      </c>
      <c r="Z857" s="8">
        <f t="shared" si="47"/>
        <v>30</v>
      </c>
      <c r="AA857" s="8">
        <f t="shared" si="48"/>
        <v>0</v>
      </c>
      <c r="AB857" s="8">
        <f t="shared" si="49"/>
        <v>0</v>
      </c>
      <c r="AC857" s="8">
        <f t="shared" si="50"/>
        <v>0</v>
      </c>
      <c r="AD857" s="8">
        <f t="shared" si="51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54"/>
        <v>BLUE</v>
      </c>
      <c r="AG857" s="11" t="str">
        <f t="shared" si="55"/>
        <v>JHAJJAR</v>
      </c>
    </row>
    <row r="858" spans="1:33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45"/>
        <v>441853963</v>
      </c>
      <c r="Y858" s="8" t="str">
        <f t="shared" si="46"/>
        <v>DC</v>
      </c>
      <c r="Z858" s="8">
        <f t="shared" si="47"/>
        <v>0</v>
      </c>
      <c r="AA858" s="8">
        <f t="shared" si="48"/>
        <v>0</v>
      </c>
      <c r="AB858" s="8">
        <f t="shared" si="49"/>
        <v>0</v>
      </c>
      <c r="AC858" s="8">
        <f t="shared" si="50"/>
        <v>0</v>
      </c>
      <c r="AD858" s="8">
        <f t="shared" si="51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54"/>
        <v>BLUE</v>
      </c>
      <c r="AG858" s="11" t="str">
        <f t="shared" si="55"/>
        <v>JHAJJAR</v>
      </c>
    </row>
    <row r="859" spans="1:33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45"/>
        <v>441853966</v>
      </c>
      <c r="Y859" s="8" t="str">
        <f t="shared" si="46"/>
        <v>DC</v>
      </c>
      <c r="Z859" s="8">
        <f t="shared" si="47"/>
        <v>30</v>
      </c>
      <c r="AA859" s="8">
        <f t="shared" si="48"/>
        <v>0</v>
      </c>
      <c r="AB859" s="8">
        <f t="shared" si="49"/>
        <v>0</v>
      </c>
      <c r="AC859" s="8">
        <f t="shared" si="50"/>
        <v>0</v>
      </c>
      <c r="AD859" s="8">
        <f t="shared" si="51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54"/>
        <v>CREAM</v>
      </c>
      <c r="AG859" s="11" t="str">
        <f t="shared" si="55"/>
        <v>HARIPAL</v>
      </c>
    </row>
    <row r="860" spans="1:33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45"/>
        <v>441853966</v>
      </c>
      <c r="Y860" s="8" t="str">
        <f t="shared" si="46"/>
        <v>DC</v>
      </c>
      <c r="Z860" s="8">
        <f t="shared" si="47"/>
        <v>0</v>
      </c>
      <c r="AA860" s="8">
        <f t="shared" si="48"/>
        <v>0</v>
      </c>
      <c r="AB860" s="8">
        <f t="shared" si="49"/>
        <v>0</v>
      </c>
      <c r="AC860" s="8">
        <f t="shared" si="50"/>
        <v>0</v>
      </c>
      <c r="AD860" s="8">
        <f t="shared" si="51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54"/>
        <v>CREAM</v>
      </c>
      <c r="AG860" s="11" t="str">
        <f t="shared" si="55"/>
        <v>HARIPAL</v>
      </c>
    </row>
    <row r="861" spans="1:33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45"/>
        <v>441853964</v>
      </c>
      <c r="Y861" s="8" t="str">
        <f t="shared" si="46"/>
        <v>DC</v>
      </c>
      <c r="Z861" s="8">
        <f t="shared" si="47"/>
        <v>30</v>
      </c>
      <c r="AA861" s="8">
        <f t="shared" si="48"/>
        <v>0</v>
      </c>
      <c r="AB861" s="8">
        <f t="shared" si="49"/>
        <v>0</v>
      </c>
      <c r="AC861" s="8">
        <f t="shared" si="50"/>
        <v>0</v>
      </c>
      <c r="AD861" s="8">
        <f t="shared" si="51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54"/>
        <v>BLUE</v>
      </c>
      <c r="AG861" s="11" t="str">
        <f t="shared" si="55"/>
        <v>HARIPAL</v>
      </c>
    </row>
    <row r="862" spans="1:33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45"/>
        <v>441853964</v>
      </c>
      <c r="Y862" s="8" t="str">
        <f t="shared" si="46"/>
        <v>DC</v>
      </c>
      <c r="Z862" s="8">
        <f t="shared" si="47"/>
        <v>0</v>
      </c>
      <c r="AA862" s="8">
        <f t="shared" si="48"/>
        <v>161</v>
      </c>
      <c r="AB862" s="8">
        <f t="shared" si="49"/>
        <v>0</v>
      </c>
      <c r="AC862" s="8">
        <f t="shared" si="50"/>
        <v>0</v>
      </c>
      <c r="AD862" s="8">
        <f t="shared" si="51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54"/>
        <v>BLUE</v>
      </c>
      <c r="AG862" s="11" t="str">
        <f t="shared" si="55"/>
        <v>HARIPAL</v>
      </c>
    </row>
    <row r="863" spans="1:33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45"/>
        <v>441853964</v>
      </c>
      <c r="Y863" s="8" t="str">
        <f t="shared" si="46"/>
        <v>DC</v>
      </c>
      <c r="Z863" s="8">
        <f t="shared" si="47"/>
        <v>0</v>
      </c>
      <c r="AA863" s="8">
        <f t="shared" si="48"/>
        <v>0</v>
      </c>
      <c r="AB863" s="8">
        <f t="shared" si="49"/>
        <v>182</v>
      </c>
      <c r="AC863" s="8">
        <f t="shared" si="50"/>
        <v>0</v>
      </c>
      <c r="AD863" s="8">
        <f t="shared" si="51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54"/>
        <v>BLUE</v>
      </c>
      <c r="AG863" s="11" t="str">
        <f t="shared" si="55"/>
        <v>HARIPAL</v>
      </c>
    </row>
    <row r="864" spans="1:33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45"/>
        <v>441853964</v>
      </c>
      <c r="Y864" s="8" t="str">
        <f t="shared" si="46"/>
        <v>DC</v>
      </c>
      <c r="Z864" s="8">
        <f t="shared" si="47"/>
        <v>0</v>
      </c>
      <c r="AA864" s="8">
        <f t="shared" si="48"/>
        <v>0</v>
      </c>
      <c r="AB864" s="8">
        <f t="shared" si="49"/>
        <v>0</v>
      </c>
      <c r="AC864" s="8">
        <f t="shared" si="50"/>
        <v>212</v>
      </c>
      <c r="AD864" s="8">
        <f t="shared" si="51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54"/>
        <v>BLUE</v>
      </c>
      <c r="AG864" s="11" t="str">
        <f t="shared" si="55"/>
        <v>HARIPAL</v>
      </c>
    </row>
    <row r="865" spans="1:33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45"/>
        <v>441853964</v>
      </c>
      <c r="Y865" s="8" t="str">
        <f t="shared" si="46"/>
        <v>DC</v>
      </c>
      <c r="Z865" s="8">
        <f t="shared" si="47"/>
        <v>0</v>
      </c>
      <c r="AA865" s="8">
        <f t="shared" si="48"/>
        <v>0</v>
      </c>
      <c r="AB865" s="8">
        <f t="shared" si="49"/>
        <v>0</v>
      </c>
      <c r="AC865" s="8">
        <f t="shared" si="50"/>
        <v>0</v>
      </c>
      <c r="AD865" s="8">
        <f t="shared" si="51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54"/>
        <v>BLUE</v>
      </c>
      <c r="AG865" s="11" t="str">
        <f t="shared" si="55"/>
        <v>HARIPAL</v>
      </c>
    </row>
    <row r="866" spans="1:33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45"/>
        <v>441853963</v>
      </c>
      <c r="Y866" s="8" t="str">
        <f t="shared" si="46"/>
        <v>DC</v>
      </c>
      <c r="Z866" s="8">
        <f t="shared" si="47"/>
        <v>30</v>
      </c>
      <c r="AA866" s="8">
        <f t="shared" si="48"/>
        <v>0</v>
      </c>
      <c r="AB866" s="8">
        <f t="shared" si="49"/>
        <v>0</v>
      </c>
      <c r="AC866" s="8">
        <f t="shared" si="50"/>
        <v>0</v>
      </c>
      <c r="AD866" s="8">
        <f t="shared" si="51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54"/>
        <v>BLUE</v>
      </c>
      <c r="AG866" s="11" t="str">
        <f t="shared" si="55"/>
        <v>HARIPAL</v>
      </c>
    </row>
    <row r="867" spans="1:33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45"/>
        <v>441853963</v>
      </c>
      <c r="Y867" s="8" t="str">
        <f t="shared" si="46"/>
        <v>DC</v>
      </c>
      <c r="Z867" s="8">
        <f t="shared" si="47"/>
        <v>0</v>
      </c>
      <c r="AA867" s="8">
        <f t="shared" si="48"/>
        <v>0</v>
      </c>
      <c r="AB867" s="8">
        <f t="shared" si="49"/>
        <v>0</v>
      </c>
      <c r="AC867" s="8">
        <f t="shared" si="50"/>
        <v>0</v>
      </c>
      <c r="AD867" s="8">
        <f t="shared" si="51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54"/>
        <v>BLUE</v>
      </c>
      <c r="AG867" s="11" t="str">
        <f t="shared" si="55"/>
        <v>HARIPAL</v>
      </c>
    </row>
    <row r="868" spans="1:33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45"/>
        <v>441853916</v>
      </c>
      <c r="Y868" s="8" t="str">
        <f t="shared" si="46"/>
        <v>DC</v>
      </c>
      <c r="Z868" s="8">
        <f t="shared" si="47"/>
        <v>30</v>
      </c>
      <c r="AA868" s="8">
        <f t="shared" si="48"/>
        <v>0</v>
      </c>
      <c r="AB868" s="8">
        <f t="shared" si="49"/>
        <v>0</v>
      </c>
      <c r="AC868" s="8">
        <f t="shared" si="50"/>
        <v>0</v>
      </c>
      <c r="AD868" s="8">
        <f t="shared" si="51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54"/>
        <v>PEACH</v>
      </c>
      <c r="AG868" s="11" t="str">
        <f t="shared" si="55"/>
        <v>Bangalore</v>
      </c>
    </row>
    <row r="869" spans="1:33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45"/>
        <v>441853916</v>
      </c>
      <c r="Y869" s="8" t="str">
        <f t="shared" si="46"/>
        <v>DC</v>
      </c>
      <c r="Z869" s="8">
        <f t="shared" si="47"/>
        <v>0</v>
      </c>
      <c r="AA869" s="8">
        <f t="shared" si="48"/>
        <v>339</v>
      </c>
      <c r="AB869" s="8">
        <f t="shared" si="49"/>
        <v>0</v>
      </c>
      <c r="AC869" s="8">
        <f t="shared" si="50"/>
        <v>0</v>
      </c>
      <c r="AD869" s="8">
        <f t="shared" si="51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54"/>
        <v>PEACH</v>
      </c>
      <c r="AG869" s="11" t="str">
        <f t="shared" si="55"/>
        <v>Bangalore</v>
      </c>
    </row>
    <row r="870" spans="1:33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45"/>
        <v>441853916</v>
      </c>
      <c r="Y870" s="8" t="str">
        <f t="shared" si="46"/>
        <v>DC</v>
      </c>
      <c r="Z870" s="8">
        <f t="shared" si="47"/>
        <v>0</v>
      </c>
      <c r="AA870" s="8">
        <f t="shared" si="48"/>
        <v>0</v>
      </c>
      <c r="AB870" s="8">
        <f t="shared" si="49"/>
        <v>382</v>
      </c>
      <c r="AC870" s="8">
        <f t="shared" si="50"/>
        <v>0</v>
      </c>
      <c r="AD870" s="8">
        <f t="shared" si="51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54"/>
        <v>PEACH</v>
      </c>
      <c r="AG870" s="11" t="str">
        <f t="shared" si="55"/>
        <v>Bangalore</v>
      </c>
    </row>
    <row r="871" spans="1:33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45"/>
        <v>441853916</v>
      </c>
      <c r="Y871" s="8" t="str">
        <f t="shared" si="46"/>
        <v>DC</v>
      </c>
      <c r="Z871" s="8">
        <f t="shared" si="47"/>
        <v>0</v>
      </c>
      <c r="AA871" s="8">
        <f t="shared" si="48"/>
        <v>0</v>
      </c>
      <c r="AB871" s="8">
        <f t="shared" si="49"/>
        <v>0</v>
      </c>
      <c r="AC871" s="8">
        <f t="shared" si="50"/>
        <v>445</v>
      </c>
      <c r="AD871" s="8">
        <f t="shared" si="51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54"/>
        <v>PEACH</v>
      </c>
      <c r="AG871" s="11" t="str">
        <f t="shared" si="55"/>
        <v>Bangalore</v>
      </c>
    </row>
    <row r="872" spans="1:33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45"/>
        <v>441853916</v>
      </c>
      <c r="Y872" s="8" t="str">
        <f t="shared" si="46"/>
        <v>DC</v>
      </c>
      <c r="Z872" s="8">
        <f t="shared" si="47"/>
        <v>0</v>
      </c>
      <c r="AA872" s="8">
        <f t="shared" si="48"/>
        <v>0</v>
      </c>
      <c r="AB872" s="8">
        <f t="shared" si="49"/>
        <v>0</v>
      </c>
      <c r="AC872" s="8">
        <f t="shared" si="50"/>
        <v>0</v>
      </c>
      <c r="AD872" s="8">
        <f t="shared" si="51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54"/>
        <v>PEACH</v>
      </c>
      <c r="AG872" s="11" t="str">
        <f t="shared" si="55"/>
        <v>Bangalore</v>
      </c>
    </row>
    <row r="873" spans="1:33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45"/>
        <v>441853962</v>
      </c>
      <c r="Y873" s="8" t="str">
        <f t="shared" si="46"/>
        <v>DC</v>
      </c>
      <c r="Z873" s="8">
        <f t="shared" si="47"/>
        <v>30</v>
      </c>
      <c r="AA873" s="8">
        <f t="shared" si="48"/>
        <v>0</v>
      </c>
      <c r="AB873" s="8">
        <f t="shared" si="49"/>
        <v>0</v>
      </c>
      <c r="AC873" s="8">
        <f t="shared" si="50"/>
        <v>0</v>
      </c>
      <c r="AD873" s="8">
        <f t="shared" si="51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54"/>
        <v>BLUE</v>
      </c>
      <c r="AG873" s="11" t="str">
        <f t="shared" si="55"/>
        <v>Bangalore</v>
      </c>
    </row>
    <row r="874" spans="1:33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45"/>
        <v>441853962</v>
      </c>
      <c r="Y874" s="8" t="str">
        <f t="shared" si="46"/>
        <v>DC</v>
      </c>
      <c r="Z874" s="8">
        <f t="shared" si="47"/>
        <v>0</v>
      </c>
      <c r="AA874" s="8">
        <f t="shared" si="48"/>
        <v>339</v>
      </c>
      <c r="AB874" s="8">
        <f t="shared" si="49"/>
        <v>0</v>
      </c>
      <c r="AC874" s="8">
        <f t="shared" si="50"/>
        <v>0</v>
      </c>
      <c r="AD874" s="8">
        <f t="shared" si="51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54"/>
        <v>BLUE</v>
      </c>
      <c r="AG874" s="11" t="str">
        <f t="shared" si="55"/>
        <v>Bangalore</v>
      </c>
    </row>
    <row r="875" spans="1:33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45"/>
        <v>441853962</v>
      </c>
      <c r="Y875" s="8" t="str">
        <f t="shared" si="46"/>
        <v>DC</v>
      </c>
      <c r="Z875" s="8">
        <f t="shared" si="47"/>
        <v>0</v>
      </c>
      <c r="AA875" s="8">
        <f t="shared" si="48"/>
        <v>0</v>
      </c>
      <c r="AB875" s="8">
        <f t="shared" si="49"/>
        <v>382</v>
      </c>
      <c r="AC875" s="8">
        <f t="shared" si="50"/>
        <v>0</v>
      </c>
      <c r="AD875" s="8">
        <f t="shared" si="51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54"/>
        <v>BLUE</v>
      </c>
      <c r="AG875" s="11" t="str">
        <f t="shared" si="55"/>
        <v>Bangalore</v>
      </c>
    </row>
    <row r="876" spans="1:33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45"/>
        <v>441853962</v>
      </c>
      <c r="Y876" s="8" t="str">
        <f t="shared" si="46"/>
        <v>DC</v>
      </c>
      <c r="Z876" s="8">
        <f t="shared" si="47"/>
        <v>0</v>
      </c>
      <c r="AA876" s="8">
        <f t="shared" si="48"/>
        <v>0</v>
      </c>
      <c r="AB876" s="8">
        <f t="shared" si="49"/>
        <v>0</v>
      </c>
      <c r="AC876" s="8">
        <f t="shared" si="50"/>
        <v>445</v>
      </c>
      <c r="AD876" s="8">
        <f t="shared" si="51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54"/>
        <v>BLUE</v>
      </c>
      <c r="AG876" s="11" t="str">
        <f t="shared" si="55"/>
        <v>Bangalore</v>
      </c>
    </row>
    <row r="877" spans="1:33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45"/>
        <v>441853962</v>
      </c>
      <c r="Y877" s="8" t="str">
        <f t="shared" si="46"/>
        <v>DC</v>
      </c>
      <c r="Z877" s="8">
        <f t="shared" si="47"/>
        <v>0</v>
      </c>
      <c r="AA877" s="8">
        <f t="shared" si="48"/>
        <v>0</v>
      </c>
      <c r="AB877" s="8">
        <f t="shared" si="49"/>
        <v>0</v>
      </c>
      <c r="AC877" s="8">
        <f t="shared" si="50"/>
        <v>0</v>
      </c>
      <c r="AD877" s="8">
        <f t="shared" si="51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54"/>
        <v>BLUE</v>
      </c>
      <c r="AG877" s="11" t="str">
        <f t="shared" si="55"/>
        <v>Bangalore</v>
      </c>
    </row>
    <row r="878" spans="1:33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45"/>
        <v>441853960</v>
      </c>
      <c r="Y878" s="8" t="str">
        <f t="shared" si="46"/>
        <v>DC</v>
      </c>
      <c r="Z878" s="8">
        <f t="shared" si="47"/>
        <v>30</v>
      </c>
      <c r="AA878" s="8">
        <f t="shared" si="48"/>
        <v>0</v>
      </c>
      <c r="AB878" s="8">
        <f t="shared" si="49"/>
        <v>0</v>
      </c>
      <c r="AC878" s="8">
        <f t="shared" si="50"/>
        <v>0</v>
      </c>
      <c r="AD878" s="8">
        <f t="shared" si="51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54"/>
        <v>BLUE</v>
      </c>
      <c r="AG878" s="11" t="str">
        <f t="shared" si="55"/>
        <v>Bangalore</v>
      </c>
    </row>
    <row r="879" spans="1:33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45"/>
        <v>441853960</v>
      </c>
      <c r="Y879" s="8" t="str">
        <f t="shared" si="46"/>
        <v>DC</v>
      </c>
      <c r="Z879" s="8">
        <f t="shared" si="47"/>
        <v>0</v>
      </c>
      <c r="AA879" s="8">
        <f t="shared" si="48"/>
        <v>0</v>
      </c>
      <c r="AB879" s="8">
        <f t="shared" si="49"/>
        <v>378</v>
      </c>
      <c r="AC879" s="8">
        <f t="shared" si="50"/>
        <v>0</v>
      </c>
      <c r="AD879" s="8">
        <f t="shared" si="51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54"/>
        <v>BLUE</v>
      </c>
      <c r="AG879" s="11" t="str">
        <f t="shared" si="55"/>
        <v>Bangalore</v>
      </c>
    </row>
    <row r="880" spans="1:33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45"/>
        <v>441853960</v>
      </c>
      <c r="Y880" s="8" t="str">
        <f t="shared" si="46"/>
        <v>DC</v>
      </c>
      <c r="Z880" s="8">
        <f t="shared" si="47"/>
        <v>0</v>
      </c>
      <c r="AA880" s="8">
        <f t="shared" si="48"/>
        <v>0</v>
      </c>
      <c r="AB880" s="8">
        <f t="shared" si="49"/>
        <v>0</v>
      </c>
      <c r="AC880" s="8">
        <f t="shared" si="50"/>
        <v>441</v>
      </c>
      <c r="AD880" s="8">
        <f t="shared" si="51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54"/>
        <v>BLUE</v>
      </c>
      <c r="AG880" s="11" t="str">
        <f t="shared" si="55"/>
        <v>Bangalore</v>
      </c>
    </row>
    <row r="881" spans="1:33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45"/>
        <v>441853960</v>
      </c>
      <c r="Y881" s="8" t="str">
        <f t="shared" si="46"/>
        <v>DC</v>
      </c>
      <c r="Z881" s="8">
        <f t="shared" si="47"/>
        <v>0</v>
      </c>
      <c r="AA881" s="8">
        <f t="shared" si="48"/>
        <v>0</v>
      </c>
      <c r="AB881" s="8">
        <f t="shared" si="49"/>
        <v>0</v>
      </c>
      <c r="AC881" s="8">
        <f t="shared" si="50"/>
        <v>0</v>
      </c>
      <c r="AD881" s="8">
        <f t="shared" si="51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54"/>
        <v>BLUE</v>
      </c>
      <c r="AG881" s="11" t="str">
        <f t="shared" si="55"/>
        <v>Bangalore</v>
      </c>
    </row>
    <row r="882" spans="1:33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45"/>
        <v>441853962</v>
      </c>
      <c r="Y882" s="8" t="str">
        <f t="shared" si="46"/>
        <v>DC</v>
      </c>
      <c r="Z882" s="8">
        <f t="shared" si="47"/>
        <v>30</v>
      </c>
      <c r="AA882" s="8">
        <f t="shared" si="48"/>
        <v>0</v>
      </c>
      <c r="AB882" s="8">
        <f t="shared" si="49"/>
        <v>0</v>
      </c>
      <c r="AC882" s="8">
        <f t="shared" si="50"/>
        <v>0</v>
      </c>
      <c r="AD882" s="8">
        <f t="shared" si="51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54"/>
        <v>BLUE</v>
      </c>
      <c r="AG882" s="11" t="str">
        <f t="shared" si="55"/>
        <v>JHAJJAR</v>
      </c>
    </row>
    <row r="883" spans="1:33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45"/>
        <v>441853962</v>
      </c>
      <c r="Y883" s="8" t="str">
        <f t="shared" si="46"/>
        <v>DC</v>
      </c>
      <c r="Z883" s="8">
        <f t="shared" si="47"/>
        <v>0</v>
      </c>
      <c r="AA883" s="8">
        <f t="shared" si="48"/>
        <v>0</v>
      </c>
      <c r="AB883" s="8">
        <f t="shared" si="49"/>
        <v>0</v>
      </c>
      <c r="AC883" s="8">
        <f t="shared" si="50"/>
        <v>0</v>
      </c>
      <c r="AD883" s="8">
        <f t="shared" si="51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54"/>
        <v>BLUE</v>
      </c>
      <c r="AG883" s="11" t="str">
        <f t="shared" si="55"/>
        <v>JHAJJAR</v>
      </c>
    </row>
    <row r="884" spans="1:33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45"/>
        <v>441853960</v>
      </c>
      <c r="Y884" s="8" t="str">
        <f t="shared" si="46"/>
        <v>DC</v>
      </c>
      <c r="Z884" s="8">
        <f t="shared" si="47"/>
        <v>30</v>
      </c>
      <c r="AA884" s="8">
        <f t="shared" si="48"/>
        <v>0</v>
      </c>
      <c r="AB884" s="8">
        <f t="shared" si="49"/>
        <v>0</v>
      </c>
      <c r="AC884" s="8">
        <f t="shared" si="50"/>
        <v>0</v>
      </c>
      <c r="AD884" s="8">
        <f t="shared" si="51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54"/>
        <v>BLUE</v>
      </c>
      <c r="AG884" s="11" t="str">
        <f t="shared" si="55"/>
        <v>JHAJJAR</v>
      </c>
    </row>
    <row r="885" spans="1:33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45"/>
        <v>441853960</v>
      </c>
      <c r="Y885" s="8" t="str">
        <f t="shared" si="46"/>
        <v>DC</v>
      </c>
      <c r="Z885" s="8">
        <f t="shared" si="47"/>
        <v>0</v>
      </c>
      <c r="AA885" s="8">
        <f t="shared" si="48"/>
        <v>0</v>
      </c>
      <c r="AB885" s="8">
        <f t="shared" si="49"/>
        <v>0</v>
      </c>
      <c r="AC885" s="8">
        <f t="shared" si="50"/>
        <v>0</v>
      </c>
      <c r="AD885" s="8">
        <f t="shared" si="51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54"/>
        <v>BLUE</v>
      </c>
      <c r="AG885" s="11" t="str">
        <f t="shared" si="55"/>
        <v>JHAJJAR</v>
      </c>
    </row>
    <row r="886" spans="1:33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45"/>
        <v>441853962</v>
      </c>
      <c r="Y886" s="8" t="str">
        <f t="shared" si="46"/>
        <v>DC</v>
      </c>
      <c r="Z886" s="8">
        <f t="shared" si="47"/>
        <v>30</v>
      </c>
      <c r="AA886" s="8">
        <f t="shared" si="48"/>
        <v>0</v>
      </c>
      <c r="AB886" s="8">
        <f t="shared" si="49"/>
        <v>0</v>
      </c>
      <c r="AC886" s="8">
        <f t="shared" si="50"/>
        <v>0</v>
      </c>
      <c r="AD886" s="8">
        <f t="shared" si="51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54"/>
        <v>BLUE</v>
      </c>
      <c r="AG886" s="11" t="str">
        <f t="shared" si="55"/>
        <v>HARIPAL</v>
      </c>
    </row>
    <row r="887" spans="1:33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45"/>
        <v>441853962</v>
      </c>
      <c r="Y887" s="8" t="str">
        <f t="shared" si="46"/>
        <v>DC</v>
      </c>
      <c r="Z887" s="8">
        <f t="shared" si="47"/>
        <v>0</v>
      </c>
      <c r="AA887" s="8">
        <f t="shared" si="48"/>
        <v>0</v>
      </c>
      <c r="AB887" s="8">
        <f t="shared" si="49"/>
        <v>0</v>
      </c>
      <c r="AC887" s="8">
        <f t="shared" si="50"/>
        <v>0</v>
      </c>
      <c r="AD887" s="8">
        <f t="shared" si="51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54"/>
        <v>BLUE</v>
      </c>
      <c r="AG887" s="11" t="str">
        <f t="shared" si="55"/>
        <v>HARIPAL</v>
      </c>
    </row>
    <row r="888" spans="1:33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45"/>
        <v>441853960</v>
      </c>
      <c r="Y888" s="8" t="str">
        <f t="shared" si="46"/>
        <v>DC</v>
      </c>
      <c r="Z888" s="8">
        <f t="shared" si="47"/>
        <v>30</v>
      </c>
      <c r="AA888" s="8">
        <f t="shared" si="48"/>
        <v>0</v>
      </c>
      <c r="AB888" s="8">
        <f t="shared" si="49"/>
        <v>0</v>
      </c>
      <c r="AC888" s="8">
        <f t="shared" si="50"/>
        <v>0</v>
      </c>
      <c r="AD888" s="8">
        <f t="shared" si="51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54"/>
        <v>BLUE</v>
      </c>
      <c r="AG888" s="11" t="str">
        <f t="shared" si="55"/>
        <v>HARIPAL</v>
      </c>
    </row>
    <row r="889" spans="1:33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45"/>
        <v>441853960</v>
      </c>
      <c r="Y889" s="8" t="str">
        <f t="shared" si="46"/>
        <v>DC</v>
      </c>
      <c r="Z889" s="8">
        <f t="shared" si="47"/>
        <v>0</v>
      </c>
      <c r="AA889" s="8">
        <f t="shared" si="48"/>
        <v>0</v>
      </c>
      <c r="AB889" s="8">
        <f t="shared" si="49"/>
        <v>0</v>
      </c>
      <c r="AC889" s="8">
        <f t="shared" si="50"/>
        <v>0</v>
      </c>
      <c r="AD889" s="8">
        <f t="shared" si="51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54"/>
        <v>BLUE</v>
      </c>
      <c r="AG889" s="11" t="str">
        <f t="shared" si="55"/>
        <v>HARIPAL</v>
      </c>
    </row>
    <row r="890" spans="1:33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45"/>
        <v>441853916</v>
      </c>
      <c r="Y890" s="8" t="str">
        <f t="shared" si="46"/>
        <v>DC</v>
      </c>
      <c r="Z890" s="8">
        <f t="shared" si="47"/>
        <v>30</v>
      </c>
      <c r="AA890" s="8">
        <f t="shared" si="48"/>
        <v>0</v>
      </c>
      <c r="AB890" s="8">
        <f t="shared" si="49"/>
        <v>0</v>
      </c>
      <c r="AC890" s="8">
        <f t="shared" si="50"/>
        <v>0</v>
      </c>
      <c r="AD890" s="8">
        <f t="shared" si="51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54"/>
        <v>PEACH</v>
      </c>
      <c r="AG890" s="11" t="str">
        <f t="shared" si="55"/>
        <v>JHAJJAR</v>
      </c>
    </row>
    <row r="891" spans="1:33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45"/>
        <v>441853916</v>
      </c>
      <c r="Y891" s="8" t="str">
        <f t="shared" si="46"/>
        <v>DC</v>
      </c>
      <c r="Z891" s="8">
        <f t="shared" si="47"/>
        <v>0</v>
      </c>
      <c r="AA891" s="8">
        <f t="shared" si="48"/>
        <v>170</v>
      </c>
      <c r="AB891" s="8">
        <f t="shared" si="49"/>
        <v>0</v>
      </c>
      <c r="AC891" s="8">
        <f t="shared" si="50"/>
        <v>0</v>
      </c>
      <c r="AD891" s="8">
        <f t="shared" si="51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54"/>
        <v>PEACH</v>
      </c>
      <c r="AG891" s="11" t="str">
        <f t="shared" si="55"/>
        <v>JHAJJAR</v>
      </c>
    </row>
    <row r="892" spans="1:33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45"/>
        <v>441853916</v>
      </c>
      <c r="Y892" s="8" t="str">
        <f t="shared" si="46"/>
        <v>DC</v>
      </c>
      <c r="Z892" s="8">
        <f t="shared" si="47"/>
        <v>0</v>
      </c>
      <c r="AA892" s="8">
        <f t="shared" si="48"/>
        <v>0</v>
      </c>
      <c r="AB892" s="8">
        <f t="shared" si="49"/>
        <v>192</v>
      </c>
      <c r="AC892" s="8">
        <f t="shared" si="50"/>
        <v>0</v>
      </c>
      <c r="AD892" s="8">
        <f t="shared" si="51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54"/>
        <v>PEACH</v>
      </c>
      <c r="AG892" s="11" t="str">
        <f t="shared" si="55"/>
        <v>JHAJJAR</v>
      </c>
    </row>
    <row r="893" spans="1:33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45"/>
        <v>441853916</v>
      </c>
      <c r="Y893" s="8" t="str">
        <f t="shared" si="46"/>
        <v>DC</v>
      </c>
      <c r="Z893" s="8">
        <f t="shared" si="47"/>
        <v>0</v>
      </c>
      <c r="AA893" s="8">
        <f t="shared" si="48"/>
        <v>0</v>
      </c>
      <c r="AB893" s="8">
        <f t="shared" si="49"/>
        <v>0</v>
      </c>
      <c r="AC893" s="8">
        <f t="shared" si="50"/>
        <v>224</v>
      </c>
      <c r="AD893" s="8">
        <f t="shared" si="51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54"/>
        <v>PEACH</v>
      </c>
      <c r="AG893" s="11" t="str">
        <f t="shared" si="55"/>
        <v>JHAJJAR</v>
      </c>
    </row>
    <row r="894" spans="1:33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45"/>
        <v>441853916</v>
      </c>
      <c r="Y894" s="8" t="str">
        <f t="shared" si="46"/>
        <v>DC</v>
      </c>
      <c r="Z894" s="8">
        <f t="shared" si="47"/>
        <v>0</v>
      </c>
      <c r="AA894" s="8">
        <f t="shared" si="48"/>
        <v>0</v>
      </c>
      <c r="AB894" s="8">
        <f t="shared" si="49"/>
        <v>0</v>
      </c>
      <c r="AC894" s="8">
        <f t="shared" si="50"/>
        <v>0</v>
      </c>
      <c r="AD894" s="8">
        <f t="shared" si="51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54"/>
        <v>PEACH</v>
      </c>
      <c r="AG894" s="11" t="str">
        <f t="shared" si="55"/>
        <v>JHAJJAR</v>
      </c>
    </row>
    <row r="895" spans="1:33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45"/>
        <v>441853916</v>
      </c>
      <c r="Y895" s="8" t="str">
        <f t="shared" si="46"/>
        <v>DC</v>
      </c>
      <c r="Z895" s="8">
        <f t="shared" si="47"/>
        <v>30</v>
      </c>
      <c r="AA895" s="8">
        <f t="shared" si="48"/>
        <v>0</v>
      </c>
      <c r="AB895" s="8">
        <f t="shared" si="49"/>
        <v>0</v>
      </c>
      <c r="AC895" s="8">
        <f t="shared" si="50"/>
        <v>0</v>
      </c>
      <c r="AD895" s="8">
        <f t="shared" si="51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54"/>
        <v>PEACH</v>
      </c>
      <c r="AG895" s="11" t="str">
        <f t="shared" si="55"/>
        <v>HARIPAL</v>
      </c>
    </row>
    <row r="896" spans="1:33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45"/>
        <v>441853916</v>
      </c>
      <c r="Y896" s="8" t="str">
        <f t="shared" si="46"/>
        <v>DC</v>
      </c>
      <c r="Z896" s="8">
        <f t="shared" si="47"/>
        <v>0</v>
      </c>
      <c r="AA896" s="8">
        <f t="shared" si="48"/>
        <v>161</v>
      </c>
      <c r="AB896" s="8">
        <f t="shared" si="49"/>
        <v>0</v>
      </c>
      <c r="AC896" s="8">
        <f t="shared" si="50"/>
        <v>0</v>
      </c>
      <c r="AD896" s="8">
        <f t="shared" si="51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54"/>
        <v>PEACH</v>
      </c>
      <c r="AG896" s="11" t="str">
        <f t="shared" si="55"/>
        <v>HARIPAL</v>
      </c>
    </row>
    <row r="897" spans="1:33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45"/>
        <v>441853916</v>
      </c>
      <c r="Y897" s="8" t="str">
        <f t="shared" si="46"/>
        <v>DC</v>
      </c>
      <c r="Z897" s="8">
        <f t="shared" si="47"/>
        <v>0</v>
      </c>
      <c r="AA897" s="8">
        <f t="shared" si="48"/>
        <v>0</v>
      </c>
      <c r="AB897" s="8">
        <f t="shared" si="49"/>
        <v>182</v>
      </c>
      <c r="AC897" s="8">
        <f t="shared" si="50"/>
        <v>0</v>
      </c>
      <c r="AD897" s="8">
        <f t="shared" si="51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54"/>
        <v>PEACH</v>
      </c>
      <c r="AG897" s="11" t="str">
        <f t="shared" si="55"/>
        <v>HARIPAL</v>
      </c>
    </row>
    <row r="898" spans="1:33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45"/>
        <v>441853916</v>
      </c>
      <c r="Y898" s="8" t="str">
        <f t="shared" si="46"/>
        <v>DC</v>
      </c>
      <c r="Z898" s="8">
        <f t="shared" si="47"/>
        <v>0</v>
      </c>
      <c r="AA898" s="8">
        <f t="shared" si="48"/>
        <v>0</v>
      </c>
      <c r="AB898" s="8">
        <f t="shared" si="49"/>
        <v>0</v>
      </c>
      <c r="AC898" s="8">
        <f t="shared" si="50"/>
        <v>212</v>
      </c>
      <c r="AD898" s="8">
        <f t="shared" si="51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54"/>
        <v>PEACH</v>
      </c>
      <c r="AG898" s="11" t="str">
        <f t="shared" si="55"/>
        <v>HARIPAL</v>
      </c>
    </row>
    <row r="899" spans="1:33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45"/>
        <v>441853916</v>
      </c>
      <c r="Y899" s="8" t="str">
        <f t="shared" si="46"/>
        <v>DC</v>
      </c>
      <c r="Z899" s="8">
        <f t="shared" si="47"/>
        <v>0</v>
      </c>
      <c r="AA899" s="8">
        <f t="shared" si="48"/>
        <v>0</v>
      </c>
      <c r="AB899" s="8">
        <f t="shared" si="49"/>
        <v>0</v>
      </c>
      <c r="AC899" s="8">
        <f t="shared" si="50"/>
        <v>0</v>
      </c>
      <c r="AD899" s="8">
        <f t="shared" si="51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57">IF(A899="SZAF","Bangalore",IF(A899="SAEX","JHAJJAR",IF(A899="S0EU","HARIPAL","")))</f>
        <v>HARIPAL</v>
      </c>
    </row>
    <row r="900" spans="1:33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45"/>
        <v>441853990</v>
      </c>
      <c r="Y900" s="8" t="str">
        <f t="shared" si="46"/>
        <v>RP</v>
      </c>
      <c r="Z900" s="8">
        <f t="shared" si="47"/>
        <v>595</v>
      </c>
      <c r="AA900" s="8">
        <f t="shared" si="48"/>
        <v>595</v>
      </c>
      <c r="AB900" s="8">
        <f t="shared" si="49"/>
        <v>595</v>
      </c>
      <c r="AC900" s="8">
        <f t="shared" si="50"/>
        <v>595</v>
      </c>
      <c r="AD900" s="8">
        <f t="shared" si="51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56"/>
        <v>PEACH</v>
      </c>
      <c r="AG900" s="11" t="str">
        <f t="shared" si="57"/>
        <v>Bangalore</v>
      </c>
    </row>
    <row r="901" spans="1:33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45"/>
        <v>441853990</v>
      </c>
      <c r="Y901" s="8" t="str">
        <f t="shared" si="46"/>
        <v>RP</v>
      </c>
      <c r="Z901" s="8">
        <f t="shared" si="47"/>
        <v>595</v>
      </c>
      <c r="AA901" s="8">
        <f t="shared" si="48"/>
        <v>595</v>
      </c>
      <c r="AB901" s="8">
        <f t="shared" si="49"/>
        <v>595</v>
      </c>
      <c r="AC901" s="8">
        <f t="shared" si="50"/>
        <v>595</v>
      </c>
      <c r="AD901" s="8">
        <f t="shared" si="51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56"/>
        <v>LT. YELLOW</v>
      </c>
      <c r="AG901" s="11" t="str">
        <f t="shared" si="57"/>
        <v>Bangalore</v>
      </c>
    </row>
    <row r="902" spans="1:33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45"/>
        <v>441853990</v>
      </c>
      <c r="Y902" s="8" t="str">
        <f t="shared" si="46"/>
        <v>RP</v>
      </c>
      <c r="Z902" s="8">
        <f t="shared" si="47"/>
        <v>595</v>
      </c>
      <c r="AA902" s="8">
        <f t="shared" si="48"/>
        <v>595</v>
      </c>
      <c r="AB902" s="8">
        <f t="shared" si="49"/>
        <v>595</v>
      </c>
      <c r="AC902" s="8">
        <f t="shared" si="50"/>
        <v>595</v>
      </c>
      <c r="AD902" s="8">
        <f t="shared" si="51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56"/>
        <v>CREAM</v>
      </c>
      <c r="AG902" s="11" t="str">
        <f t="shared" si="57"/>
        <v>Bangalore</v>
      </c>
    </row>
    <row r="903" spans="1:33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45"/>
        <v>441853990</v>
      </c>
      <c r="Y903" s="8" t="str">
        <f t="shared" si="46"/>
        <v>RP</v>
      </c>
      <c r="Z903" s="8">
        <f t="shared" si="47"/>
        <v>595</v>
      </c>
      <c r="AA903" s="8">
        <f t="shared" si="48"/>
        <v>595</v>
      </c>
      <c r="AB903" s="8">
        <f t="shared" si="49"/>
        <v>595</v>
      </c>
      <c r="AC903" s="8">
        <f t="shared" si="50"/>
        <v>595</v>
      </c>
      <c r="AD903" s="8">
        <f t="shared" si="51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56"/>
        <v>BLACK</v>
      </c>
      <c r="AG903" s="11" t="str">
        <f t="shared" si="57"/>
        <v>Bangalore</v>
      </c>
    </row>
    <row r="904" spans="1:33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45"/>
        <v>441853990</v>
      </c>
      <c r="Y904" s="8" t="str">
        <f t="shared" si="46"/>
        <v>RP</v>
      </c>
      <c r="Z904" s="8">
        <f t="shared" si="47"/>
        <v>299</v>
      </c>
      <c r="AA904" s="8">
        <f t="shared" si="48"/>
        <v>299</v>
      </c>
      <c r="AB904" s="8">
        <f t="shared" si="49"/>
        <v>299</v>
      </c>
      <c r="AC904" s="8">
        <f t="shared" si="50"/>
        <v>299</v>
      </c>
      <c r="AD904" s="8">
        <f t="shared" si="51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56"/>
        <v>LT. YELLOW</v>
      </c>
      <c r="AG904" s="11" t="str">
        <f t="shared" si="57"/>
        <v>JHAJJAR</v>
      </c>
    </row>
    <row r="905" spans="1:33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45"/>
        <v>441853990</v>
      </c>
      <c r="Y905" s="8" t="str">
        <f t="shared" si="46"/>
        <v>RP</v>
      </c>
      <c r="Z905" s="8">
        <f t="shared" si="47"/>
        <v>283</v>
      </c>
      <c r="AA905" s="8">
        <f t="shared" si="48"/>
        <v>283</v>
      </c>
      <c r="AB905" s="8">
        <f t="shared" si="49"/>
        <v>283</v>
      </c>
      <c r="AC905" s="8">
        <f t="shared" si="50"/>
        <v>283</v>
      </c>
      <c r="AD905" s="8">
        <f t="shared" si="51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56"/>
        <v>LT. YELLOW</v>
      </c>
      <c r="AG905" s="11" t="str">
        <f t="shared" si="57"/>
        <v>HARIPAL</v>
      </c>
    </row>
    <row r="906" spans="1:33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45"/>
        <v>441853990</v>
      </c>
      <c r="Y906" s="8" t="str">
        <f t="shared" si="46"/>
        <v>RP</v>
      </c>
      <c r="Z906" s="8">
        <f t="shared" si="47"/>
        <v>283</v>
      </c>
      <c r="AA906" s="8">
        <f t="shared" si="48"/>
        <v>283</v>
      </c>
      <c r="AB906" s="8">
        <f t="shared" si="49"/>
        <v>283</v>
      </c>
      <c r="AC906" s="8">
        <f t="shared" si="50"/>
        <v>283</v>
      </c>
      <c r="AD906" s="8">
        <f t="shared" si="51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56"/>
        <v>BLACK</v>
      </c>
      <c r="AG906" s="11" t="str">
        <f t="shared" si="57"/>
        <v>HARIPAL</v>
      </c>
    </row>
    <row r="907" spans="1:33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45"/>
        <v>441853990</v>
      </c>
      <c r="Y907" s="8" t="str">
        <f t="shared" si="46"/>
        <v>RP</v>
      </c>
      <c r="Z907" s="8">
        <f t="shared" si="47"/>
        <v>283</v>
      </c>
      <c r="AA907" s="8">
        <f t="shared" si="48"/>
        <v>283</v>
      </c>
      <c r="AB907" s="8">
        <f t="shared" si="49"/>
        <v>283</v>
      </c>
      <c r="AC907" s="8">
        <f t="shared" si="50"/>
        <v>283</v>
      </c>
      <c r="AD907" s="8">
        <f t="shared" si="51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56"/>
        <v>CREAM</v>
      </c>
      <c r="AG907" s="11" t="str">
        <f t="shared" si="57"/>
        <v>HARIPAL</v>
      </c>
    </row>
    <row r="908" spans="1:33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45"/>
        <v>441853990</v>
      </c>
      <c r="Y908" s="8" t="str">
        <f t="shared" si="46"/>
        <v>RP</v>
      </c>
      <c r="Z908" s="8">
        <f t="shared" si="47"/>
        <v>595</v>
      </c>
      <c r="AA908" s="8">
        <f t="shared" si="48"/>
        <v>595</v>
      </c>
      <c r="AB908" s="8">
        <f t="shared" si="49"/>
        <v>595</v>
      </c>
      <c r="AC908" s="8">
        <f t="shared" si="50"/>
        <v>595</v>
      </c>
      <c r="AD908" s="8">
        <f t="shared" si="51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56"/>
        <v>MINT</v>
      </c>
      <c r="AG908" s="11" t="str">
        <f t="shared" si="57"/>
        <v>Bangalore</v>
      </c>
    </row>
    <row r="909" spans="1:33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45"/>
        <v>441853990</v>
      </c>
      <c r="Y909" s="8" t="str">
        <f t="shared" si="46"/>
        <v>RP</v>
      </c>
      <c r="Z909" s="8">
        <f t="shared" si="47"/>
        <v>595</v>
      </c>
      <c r="AA909" s="8">
        <f t="shared" si="48"/>
        <v>595</v>
      </c>
      <c r="AB909" s="8">
        <f t="shared" si="49"/>
        <v>595</v>
      </c>
      <c r="AC909" s="8">
        <f t="shared" si="50"/>
        <v>595</v>
      </c>
      <c r="AD909" s="8">
        <f t="shared" si="51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56"/>
        <v>BLUE</v>
      </c>
      <c r="AG909" s="11" t="str">
        <f t="shared" si="57"/>
        <v>Bangalore</v>
      </c>
    </row>
    <row r="910" spans="1:33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45"/>
        <v>441853990</v>
      </c>
      <c r="Y910" s="8" t="str">
        <f t="shared" si="46"/>
        <v>RP</v>
      </c>
      <c r="Z910" s="8">
        <f t="shared" si="47"/>
        <v>299</v>
      </c>
      <c r="AA910" s="8">
        <f t="shared" si="48"/>
        <v>299</v>
      </c>
      <c r="AB910" s="8">
        <f t="shared" si="49"/>
        <v>299</v>
      </c>
      <c r="AC910" s="8">
        <f t="shared" si="50"/>
        <v>299</v>
      </c>
      <c r="AD910" s="8">
        <f t="shared" si="51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56"/>
        <v>CREAM</v>
      </c>
      <c r="AG910" s="11" t="str">
        <f t="shared" si="57"/>
        <v>JHAJJAR</v>
      </c>
    </row>
    <row r="911" spans="1:33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45"/>
        <v>441853990</v>
      </c>
      <c r="Y911" s="8" t="str">
        <f t="shared" si="46"/>
        <v>RP</v>
      </c>
      <c r="Z911" s="8">
        <f t="shared" si="47"/>
        <v>299</v>
      </c>
      <c r="AA911" s="8">
        <f t="shared" si="48"/>
        <v>299</v>
      </c>
      <c r="AB911" s="8">
        <f t="shared" si="49"/>
        <v>299</v>
      </c>
      <c r="AC911" s="8">
        <f t="shared" si="50"/>
        <v>299</v>
      </c>
      <c r="AD911" s="8">
        <f t="shared" si="51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56"/>
        <v>PEACH</v>
      </c>
      <c r="AG911" s="11" t="str">
        <f t="shared" si="57"/>
        <v>JHAJJAR</v>
      </c>
    </row>
    <row r="912" spans="1:33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45"/>
        <v>441853990</v>
      </c>
      <c r="Y912" s="8" t="str">
        <f t="shared" si="46"/>
        <v>RP</v>
      </c>
      <c r="Z912" s="8">
        <f t="shared" si="47"/>
        <v>283</v>
      </c>
      <c r="AA912" s="8">
        <f t="shared" si="48"/>
        <v>283</v>
      </c>
      <c r="AB912" s="8">
        <f t="shared" si="49"/>
        <v>283</v>
      </c>
      <c r="AC912" s="8">
        <f t="shared" si="50"/>
        <v>283</v>
      </c>
      <c r="AD912" s="8">
        <f t="shared" si="51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56"/>
        <v>BLUE</v>
      </c>
      <c r="AG912" s="11" t="str">
        <f t="shared" si="57"/>
        <v>HARIPAL</v>
      </c>
    </row>
    <row r="913" spans="1:33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45"/>
        <v>441853990</v>
      </c>
      <c r="Y913" s="8" t="str">
        <f t="shared" si="46"/>
        <v>RP</v>
      </c>
      <c r="Z913" s="8">
        <f t="shared" si="47"/>
        <v>283</v>
      </c>
      <c r="AA913" s="8">
        <f t="shared" si="48"/>
        <v>283</v>
      </c>
      <c r="AB913" s="8">
        <f t="shared" si="49"/>
        <v>283</v>
      </c>
      <c r="AC913" s="8">
        <f t="shared" si="50"/>
        <v>283</v>
      </c>
      <c r="AD913" s="8">
        <f t="shared" si="51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56"/>
        <v>MINT</v>
      </c>
      <c r="AG913" s="11" t="str">
        <f t="shared" si="57"/>
        <v>HARIPAL</v>
      </c>
    </row>
    <row r="914" spans="1:33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45"/>
        <v>441853990</v>
      </c>
      <c r="Y914" s="8" t="str">
        <f t="shared" si="46"/>
        <v>RP</v>
      </c>
      <c r="Z914" s="8">
        <f t="shared" si="47"/>
        <v>299</v>
      </c>
      <c r="AA914" s="8">
        <f t="shared" si="48"/>
        <v>299</v>
      </c>
      <c r="AB914" s="8">
        <f t="shared" si="49"/>
        <v>299</v>
      </c>
      <c r="AC914" s="8">
        <f t="shared" si="50"/>
        <v>299</v>
      </c>
      <c r="AD914" s="8">
        <f t="shared" si="51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56"/>
        <v>BLUE</v>
      </c>
      <c r="AG914" s="11" t="str">
        <f t="shared" si="57"/>
        <v>JHAJJAR</v>
      </c>
    </row>
    <row r="915" spans="1:33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45"/>
        <v>441853990</v>
      </c>
      <c r="Y915" s="8" t="str">
        <f t="shared" si="46"/>
        <v>RP</v>
      </c>
      <c r="Z915" s="8">
        <f t="shared" si="47"/>
        <v>283</v>
      </c>
      <c r="AA915" s="8">
        <f t="shared" si="48"/>
        <v>283</v>
      </c>
      <c r="AB915" s="8">
        <f t="shared" si="49"/>
        <v>283</v>
      </c>
      <c r="AC915" s="8">
        <f t="shared" si="50"/>
        <v>283</v>
      </c>
      <c r="AD915" s="8">
        <f t="shared" si="51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56"/>
        <v>PEACH</v>
      </c>
      <c r="AG915" s="11" t="str">
        <f t="shared" si="57"/>
        <v>HARIPAL</v>
      </c>
    </row>
    <row r="916" spans="1:33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45"/>
        <v>441853990</v>
      </c>
      <c r="Y916" s="8" t="str">
        <f t="shared" si="46"/>
        <v>RP</v>
      </c>
      <c r="Z916" s="8">
        <f t="shared" si="47"/>
        <v>299</v>
      </c>
      <c r="AA916" s="8">
        <f t="shared" si="48"/>
        <v>299</v>
      </c>
      <c r="AB916" s="8">
        <f t="shared" si="49"/>
        <v>299</v>
      </c>
      <c r="AC916" s="8">
        <f t="shared" si="50"/>
        <v>299</v>
      </c>
      <c r="AD916" s="8">
        <f t="shared" si="51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56"/>
        <v>BLACK</v>
      </c>
      <c r="AG916" s="11" t="str">
        <f t="shared" si="57"/>
        <v>JHAJJAR</v>
      </c>
    </row>
    <row r="917" spans="1:33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45"/>
        <v>441853964</v>
      </c>
      <c r="Y917" s="8" t="str">
        <f t="shared" si="46"/>
        <v>RP</v>
      </c>
      <c r="Z917" s="8">
        <f t="shared" si="47"/>
        <v>299</v>
      </c>
      <c r="AA917" s="8">
        <f t="shared" si="48"/>
        <v>299</v>
      </c>
      <c r="AB917" s="8">
        <f t="shared" si="49"/>
        <v>299</v>
      </c>
      <c r="AC917" s="8">
        <f t="shared" si="50"/>
        <v>299</v>
      </c>
      <c r="AD917" s="8">
        <f t="shared" si="51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56"/>
        <v>BLUE</v>
      </c>
      <c r="AG917" s="11" t="str">
        <f t="shared" si="57"/>
        <v>JHAJJAR</v>
      </c>
    </row>
    <row r="918" spans="1:33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45"/>
        <v>441853963</v>
      </c>
      <c r="Y918" s="8" t="str">
        <f t="shared" si="46"/>
        <v>RP</v>
      </c>
      <c r="Z918" s="8">
        <f t="shared" si="47"/>
        <v>299</v>
      </c>
      <c r="AA918" s="8">
        <f t="shared" si="48"/>
        <v>299</v>
      </c>
      <c r="AB918" s="8">
        <f t="shared" si="49"/>
        <v>299</v>
      </c>
      <c r="AC918" s="8">
        <f t="shared" si="50"/>
        <v>299</v>
      </c>
      <c r="AD918" s="8">
        <f t="shared" si="51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56"/>
        <v>BLUE</v>
      </c>
      <c r="AG918" s="11" t="str">
        <f t="shared" si="57"/>
        <v>JHAJJAR</v>
      </c>
    </row>
    <row r="919" spans="1:33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45"/>
        <v>441853962</v>
      </c>
      <c r="Y919" s="8" t="str">
        <f t="shared" si="46"/>
        <v>RP</v>
      </c>
      <c r="Z919" s="8">
        <f t="shared" si="47"/>
        <v>299</v>
      </c>
      <c r="AA919" s="8">
        <f t="shared" si="48"/>
        <v>299</v>
      </c>
      <c r="AB919" s="8">
        <f t="shared" si="49"/>
        <v>299</v>
      </c>
      <c r="AC919" s="8">
        <f t="shared" si="50"/>
        <v>299</v>
      </c>
      <c r="AD919" s="8">
        <f t="shared" si="51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56"/>
        <v>BLUE</v>
      </c>
      <c r="AG919" s="11" t="str">
        <f t="shared" si="57"/>
        <v>JHAJJAR</v>
      </c>
    </row>
    <row r="920" spans="1:33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45"/>
        <v>441853960</v>
      </c>
      <c r="Y920" s="8" t="str">
        <f t="shared" si="46"/>
        <v>RP</v>
      </c>
      <c r="Z920" s="8">
        <f t="shared" si="47"/>
        <v>279</v>
      </c>
      <c r="AA920" s="8">
        <f t="shared" si="48"/>
        <v>279</v>
      </c>
      <c r="AB920" s="8">
        <f t="shared" si="49"/>
        <v>279</v>
      </c>
      <c r="AC920" s="8">
        <f t="shared" si="50"/>
        <v>279</v>
      </c>
      <c r="AD920" s="8">
        <f t="shared" si="51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56"/>
        <v>BLUE</v>
      </c>
      <c r="AG920" s="11" t="str">
        <f t="shared" si="57"/>
        <v>HARIPAL</v>
      </c>
    </row>
    <row r="921" spans="1:33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45"/>
        <v>441853967</v>
      </c>
      <c r="Y921" s="8" t="str">
        <f t="shared" si="46"/>
        <v>RP</v>
      </c>
      <c r="Z921" s="8">
        <f t="shared" si="47"/>
        <v>284</v>
      </c>
      <c r="AA921" s="8">
        <f t="shared" si="48"/>
        <v>284</v>
      </c>
      <c r="AB921" s="8">
        <f t="shared" si="49"/>
        <v>284</v>
      </c>
      <c r="AC921" s="8">
        <f t="shared" si="50"/>
        <v>284</v>
      </c>
      <c r="AD921" s="8">
        <f t="shared" si="51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56"/>
        <v>BLUE</v>
      </c>
      <c r="AG921" s="11" t="str">
        <f t="shared" si="57"/>
        <v>JHAJJAR</v>
      </c>
    </row>
    <row r="922" spans="1:33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45"/>
        <v>441853960</v>
      </c>
      <c r="Y922" s="8" t="str">
        <f t="shared" si="46"/>
        <v>RP</v>
      </c>
      <c r="Z922" s="8">
        <f t="shared" si="47"/>
        <v>295</v>
      </c>
      <c r="AA922" s="8">
        <f t="shared" si="48"/>
        <v>295</v>
      </c>
      <c r="AB922" s="8">
        <f t="shared" si="49"/>
        <v>295</v>
      </c>
      <c r="AC922" s="8">
        <f t="shared" si="50"/>
        <v>295</v>
      </c>
      <c r="AD922" s="8">
        <f t="shared" si="51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56"/>
        <v>BLUE</v>
      </c>
      <c r="AG922" s="11" t="str">
        <f t="shared" si="57"/>
        <v>JHAJJAR</v>
      </c>
    </row>
    <row r="923" spans="1:33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45"/>
        <v>441853916</v>
      </c>
      <c r="Y923" s="8" t="str">
        <f t="shared" si="46"/>
        <v>RP</v>
      </c>
      <c r="Z923" s="8">
        <f t="shared" si="47"/>
        <v>299</v>
      </c>
      <c r="AA923" s="8">
        <f t="shared" si="48"/>
        <v>299</v>
      </c>
      <c r="AB923" s="8">
        <f t="shared" si="49"/>
        <v>299</v>
      </c>
      <c r="AC923" s="8">
        <f t="shared" si="50"/>
        <v>299</v>
      </c>
      <c r="AD923" s="8">
        <f t="shared" si="51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56"/>
        <v>PEACH</v>
      </c>
      <c r="AG923" s="11" t="str">
        <f t="shared" si="57"/>
        <v>JHAJJAR</v>
      </c>
    </row>
    <row r="924" spans="1:33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45"/>
        <v>441853964</v>
      </c>
      <c r="Y924" s="8" t="str">
        <f t="shared" si="46"/>
        <v>RP</v>
      </c>
      <c r="Z924" s="8">
        <f t="shared" si="47"/>
        <v>283</v>
      </c>
      <c r="AA924" s="8">
        <f t="shared" si="48"/>
        <v>283</v>
      </c>
      <c r="AB924" s="8">
        <f t="shared" si="49"/>
        <v>283</v>
      </c>
      <c r="AC924" s="8">
        <f t="shared" si="50"/>
        <v>283</v>
      </c>
      <c r="AD924" s="8">
        <f t="shared" si="51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56"/>
        <v>BLUE</v>
      </c>
      <c r="AG924" s="11" t="str">
        <f t="shared" si="57"/>
        <v>HARIPAL</v>
      </c>
    </row>
    <row r="925" spans="1:33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45"/>
        <v>441853900</v>
      </c>
      <c r="Y925" s="8" t="str">
        <f t="shared" si="46"/>
        <v>DC</v>
      </c>
      <c r="Z925" s="8">
        <f t="shared" si="47"/>
        <v>30</v>
      </c>
      <c r="AA925" s="8">
        <f t="shared" si="48"/>
        <v>0</v>
      </c>
      <c r="AB925" s="8">
        <f t="shared" si="49"/>
        <v>0</v>
      </c>
      <c r="AC925" s="8">
        <f t="shared" si="50"/>
        <v>0</v>
      </c>
      <c r="AD925" s="8">
        <f t="shared" si="51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56"/>
        <v>BLACK</v>
      </c>
      <c r="AG925" s="11" t="str">
        <f t="shared" si="57"/>
        <v>Bangalore</v>
      </c>
    </row>
    <row r="926" spans="1:33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45"/>
        <v>441853900</v>
      </c>
      <c r="Y926" s="8" t="str">
        <f t="shared" si="46"/>
        <v>DC</v>
      </c>
      <c r="Z926" s="8">
        <f t="shared" si="47"/>
        <v>0</v>
      </c>
      <c r="AA926" s="8">
        <f t="shared" si="48"/>
        <v>30</v>
      </c>
      <c r="AB926" s="8">
        <f t="shared" si="49"/>
        <v>0</v>
      </c>
      <c r="AC926" s="8">
        <f t="shared" si="50"/>
        <v>0</v>
      </c>
      <c r="AD926" s="8">
        <f t="shared" si="51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56"/>
        <v>BLACK</v>
      </c>
      <c r="AG926" s="11" t="str">
        <f t="shared" si="57"/>
        <v>Bangalore</v>
      </c>
    </row>
    <row r="927" spans="1:33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45"/>
        <v>441853900</v>
      </c>
      <c r="Y927" s="8" t="str">
        <f t="shared" si="46"/>
        <v>DC</v>
      </c>
      <c r="Z927" s="8">
        <f t="shared" si="47"/>
        <v>0</v>
      </c>
      <c r="AA927" s="8">
        <f t="shared" si="48"/>
        <v>0</v>
      </c>
      <c r="AB927" s="8">
        <f t="shared" si="49"/>
        <v>30</v>
      </c>
      <c r="AC927" s="8">
        <f t="shared" si="50"/>
        <v>0</v>
      </c>
      <c r="AD927" s="8">
        <f t="shared" si="51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56"/>
        <v>BLACK</v>
      </c>
      <c r="AG927" s="11" t="str">
        <f t="shared" si="57"/>
        <v>Bangalore</v>
      </c>
    </row>
    <row r="928" spans="1:33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45"/>
        <v>441853900</v>
      </c>
      <c r="Y928" s="8" t="str">
        <f t="shared" si="46"/>
        <v>DC</v>
      </c>
      <c r="Z928" s="8">
        <f t="shared" si="47"/>
        <v>0</v>
      </c>
      <c r="AA928" s="8">
        <f t="shared" si="48"/>
        <v>0</v>
      </c>
      <c r="AB928" s="8">
        <f t="shared" si="49"/>
        <v>0</v>
      </c>
      <c r="AC928" s="8">
        <f t="shared" si="50"/>
        <v>30</v>
      </c>
      <c r="AD928" s="8">
        <f t="shared" si="51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56"/>
        <v>BLACK</v>
      </c>
      <c r="AG928" s="11" t="str">
        <f t="shared" si="57"/>
        <v>Bangalore</v>
      </c>
    </row>
    <row r="929" spans="1:33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45"/>
        <v>441853900</v>
      </c>
      <c r="Y929" s="8" t="str">
        <f t="shared" si="46"/>
        <v>DC</v>
      </c>
      <c r="Z929" s="8">
        <f t="shared" si="47"/>
        <v>0</v>
      </c>
      <c r="AA929" s="8">
        <f t="shared" si="48"/>
        <v>0</v>
      </c>
      <c r="AB929" s="8">
        <f t="shared" si="49"/>
        <v>0</v>
      </c>
      <c r="AC929" s="8">
        <f t="shared" si="50"/>
        <v>0</v>
      </c>
      <c r="AD929" s="8">
        <f t="shared" si="51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56"/>
        <v>BLACK</v>
      </c>
      <c r="AG929" s="11" t="str">
        <f t="shared" si="57"/>
        <v>Bangalore</v>
      </c>
    </row>
    <row r="930" spans="1:33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45"/>
        <v>441853899</v>
      </c>
      <c r="Y930" s="8" t="str">
        <f t="shared" si="46"/>
        <v>DC</v>
      </c>
      <c r="Z930" s="8">
        <f t="shared" si="47"/>
        <v>30</v>
      </c>
      <c r="AA930" s="8">
        <f t="shared" si="48"/>
        <v>0</v>
      </c>
      <c r="AB930" s="8">
        <f t="shared" si="49"/>
        <v>0</v>
      </c>
      <c r="AC930" s="8">
        <f t="shared" si="50"/>
        <v>0</v>
      </c>
      <c r="AD930" s="8">
        <f t="shared" si="51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56"/>
        <v>OLIVE GREEN</v>
      </c>
      <c r="AG930" s="11" t="str">
        <f t="shared" si="57"/>
        <v>Bangalore</v>
      </c>
    </row>
    <row r="931" spans="1:33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45"/>
        <v>441853899</v>
      </c>
      <c r="Y931" s="8" t="str">
        <f t="shared" si="46"/>
        <v>DC</v>
      </c>
      <c r="Z931" s="8">
        <f t="shared" si="47"/>
        <v>0</v>
      </c>
      <c r="AA931" s="8">
        <f t="shared" si="48"/>
        <v>30</v>
      </c>
      <c r="AB931" s="8">
        <f t="shared" si="49"/>
        <v>0</v>
      </c>
      <c r="AC931" s="8">
        <f t="shared" si="50"/>
        <v>0</v>
      </c>
      <c r="AD931" s="8">
        <f t="shared" si="51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56"/>
        <v>OLIVE GREEN</v>
      </c>
      <c r="AG931" s="11" t="str">
        <f t="shared" si="57"/>
        <v>Bangalore</v>
      </c>
    </row>
    <row r="932" spans="1:33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45"/>
        <v>441853899</v>
      </c>
      <c r="Y932" s="8" t="str">
        <f t="shared" si="46"/>
        <v>DC</v>
      </c>
      <c r="Z932" s="8">
        <f t="shared" si="47"/>
        <v>0</v>
      </c>
      <c r="AA932" s="8">
        <f t="shared" si="48"/>
        <v>0</v>
      </c>
      <c r="AB932" s="8">
        <f t="shared" si="49"/>
        <v>30</v>
      </c>
      <c r="AC932" s="8">
        <f t="shared" si="50"/>
        <v>0</v>
      </c>
      <c r="AD932" s="8">
        <f t="shared" si="51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56"/>
        <v>OLIVE GREEN</v>
      </c>
      <c r="AG932" s="11" t="str">
        <f t="shared" si="57"/>
        <v>Bangalore</v>
      </c>
    </row>
    <row r="933" spans="1:33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45"/>
        <v>441853899</v>
      </c>
      <c r="Y933" s="8" t="str">
        <f t="shared" si="46"/>
        <v>DC</v>
      </c>
      <c r="Z933" s="8">
        <f t="shared" si="47"/>
        <v>0</v>
      </c>
      <c r="AA933" s="8">
        <f t="shared" si="48"/>
        <v>0</v>
      </c>
      <c r="AB933" s="8">
        <f t="shared" si="49"/>
        <v>0</v>
      </c>
      <c r="AC933" s="8">
        <f t="shared" si="50"/>
        <v>30</v>
      </c>
      <c r="AD933" s="8">
        <f t="shared" si="51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56"/>
        <v>OLIVE GREEN</v>
      </c>
      <c r="AG933" s="11" t="str">
        <f t="shared" si="57"/>
        <v>Bangalore</v>
      </c>
    </row>
    <row r="934" spans="1:33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45"/>
        <v>441853899</v>
      </c>
      <c r="Y934" s="8" t="str">
        <f t="shared" si="46"/>
        <v>DC</v>
      </c>
      <c r="Z934" s="8">
        <f t="shared" si="47"/>
        <v>0</v>
      </c>
      <c r="AA934" s="8">
        <f t="shared" si="48"/>
        <v>0</v>
      </c>
      <c r="AB934" s="8">
        <f t="shared" si="49"/>
        <v>0</v>
      </c>
      <c r="AC934" s="8">
        <f t="shared" si="50"/>
        <v>0</v>
      </c>
      <c r="AD934" s="8">
        <f t="shared" si="51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56"/>
        <v>OLIVE GREEN</v>
      </c>
      <c r="AG934" s="11" t="str">
        <f t="shared" si="57"/>
        <v>Bangalore</v>
      </c>
    </row>
    <row r="935" spans="1:33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45"/>
        <v>441853898</v>
      </c>
      <c r="Y935" s="8" t="str">
        <f t="shared" si="46"/>
        <v>DC</v>
      </c>
      <c r="Z935" s="8">
        <f t="shared" si="47"/>
        <v>30</v>
      </c>
      <c r="AA935" s="8">
        <f t="shared" si="48"/>
        <v>0</v>
      </c>
      <c r="AB935" s="8">
        <f t="shared" si="49"/>
        <v>0</v>
      </c>
      <c r="AC935" s="8">
        <f t="shared" si="50"/>
        <v>0</v>
      </c>
      <c r="AD935" s="8">
        <f t="shared" si="51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56"/>
        <v>MUSTARD</v>
      </c>
      <c r="AG935" s="11" t="str">
        <f t="shared" si="57"/>
        <v>Bangalore</v>
      </c>
    </row>
    <row r="936" spans="1:33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45"/>
        <v>441853898</v>
      </c>
      <c r="Y936" s="8" t="str">
        <f t="shared" si="46"/>
        <v>DC</v>
      </c>
      <c r="Z936" s="8">
        <f t="shared" si="47"/>
        <v>0</v>
      </c>
      <c r="AA936" s="8">
        <f t="shared" si="48"/>
        <v>30</v>
      </c>
      <c r="AB936" s="8">
        <f t="shared" si="49"/>
        <v>0</v>
      </c>
      <c r="AC936" s="8">
        <f t="shared" si="50"/>
        <v>0</v>
      </c>
      <c r="AD936" s="8">
        <f t="shared" si="51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56"/>
        <v>MUSTARD</v>
      </c>
      <c r="AG936" s="11" t="str">
        <f t="shared" si="57"/>
        <v>Bangalore</v>
      </c>
    </row>
    <row r="937" spans="1:33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45"/>
        <v>441853898</v>
      </c>
      <c r="Y937" s="8" t="str">
        <f t="shared" si="46"/>
        <v>DC</v>
      </c>
      <c r="Z937" s="8">
        <f t="shared" si="47"/>
        <v>0</v>
      </c>
      <c r="AA937" s="8">
        <f t="shared" si="48"/>
        <v>0</v>
      </c>
      <c r="AB937" s="8">
        <f t="shared" si="49"/>
        <v>30</v>
      </c>
      <c r="AC937" s="8">
        <f t="shared" si="50"/>
        <v>0</v>
      </c>
      <c r="AD937" s="8">
        <f t="shared" si="51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56"/>
        <v>MUSTARD</v>
      </c>
      <c r="AG937" s="11" t="str">
        <f t="shared" si="57"/>
        <v>Bangalore</v>
      </c>
    </row>
    <row r="938" spans="1:33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45"/>
        <v>441853898</v>
      </c>
      <c r="Y938" s="8" t="str">
        <f t="shared" si="46"/>
        <v>DC</v>
      </c>
      <c r="Z938" s="8">
        <f t="shared" si="47"/>
        <v>0</v>
      </c>
      <c r="AA938" s="8">
        <f t="shared" si="48"/>
        <v>0</v>
      </c>
      <c r="AB938" s="8">
        <f t="shared" si="49"/>
        <v>0</v>
      </c>
      <c r="AC938" s="8">
        <f t="shared" si="50"/>
        <v>30</v>
      </c>
      <c r="AD938" s="8">
        <f t="shared" si="51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56"/>
        <v>MUSTARD</v>
      </c>
      <c r="AG938" s="11" t="str">
        <f t="shared" si="57"/>
        <v>Bangalore</v>
      </c>
    </row>
    <row r="939" spans="1:33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45"/>
        <v>441853898</v>
      </c>
      <c r="Y939" s="8" t="str">
        <f t="shared" si="46"/>
        <v>DC</v>
      </c>
      <c r="Z939" s="8">
        <f t="shared" si="47"/>
        <v>0</v>
      </c>
      <c r="AA939" s="8">
        <f t="shared" si="48"/>
        <v>0</v>
      </c>
      <c r="AB939" s="8">
        <f t="shared" si="49"/>
        <v>0</v>
      </c>
      <c r="AC939" s="8">
        <f t="shared" si="50"/>
        <v>0</v>
      </c>
      <c r="AD939" s="8">
        <f t="shared" si="51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56"/>
        <v>MUSTARD</v>
      </c>
      <c r="AG939" s="11" t="str">
        <f t="shared" si="57"/>
        <v>Bangalore</v>
      </c>
    </row>
    <row r="940" spans="1:33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45"/>
        <v>441853900</v>
      </c>
      <c r="Y940" s="8" t="str">
        <f t="shared" si="46"/>
        <v>DC</v>
      </c>
      <c r="Z940" s="8">
        <f t="shared" si="47"/>
        <v>30</v>
      </c>
      <c r="AA940" s="8">
        <f t="shared" si="48"/>
        <v>0</v>
      </c>
      <c r="AB940" s="8">
        <f t="shared" si="49"/>
        <v>0</v>
      </c>
      <c r="AC940" s="8">
        <f t="shared" si="50"/>
        <v>0</v>
      </c>
      <c r="AD940" s="8">
        <f t="shared" si="51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56"/>
        <v>BLACK</v>
      </c>
      <c r="AG940" s="11" t="str">
        <f t="shared" si="57"/>
        <v>JHAJJAR</v>
      </c>
    </row>
    <row r="941" spans="1:33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45"/>
        <v>441853900</v>
      </c>
      <c r="Y941" s="8" t="str">
        <f t="shared" si="46"/>
        <v>DC</v>
      </c>
      <c r="Z941" s="8">
        <f t="shared" si="47"/>
        <v>0</v>
      </c>
      <c r="AA941" s="8">
        <f t="shared" si="48"/>
        <v>30</v>
      </c>
      <c r="AB941" s="8">
        <f t="shared" si="49"/>
        <v>0</v>
      </c>
      <c r="AC941" s="8">
        <f t="shared" si="50"/>
        <v>0</v>
      </c>
      <c r="AD941" s="8">
        <f t="shared" si="51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56"/>
        <v>BLACK</v>
      </c>
      <c r="AG941" s="11" t="str">
        <f t="shared" si="57"/>
        <v>JHAJJAR</v>
      </c>
    </row>
    <row r="942" spans="1:33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45"/>
        <v>441853900</v>
      </c>
      <c r="Y942" s="8" t="str">
        <f t="shared" si="46"/>
        <v>DC</v>
      </c>
      <c r="Z942" s="8">
        <f t="shared" si="47"/>
        <v>0</v>
      </c>
      <c r="AA942" s="8">
        <f t="shared" si="48"/>
        <v>0</v>
      </c>
      <c r="AB942" s="8">
        <f t="shared" si="49"/>
        <v>30</v>
      </c>
      <c r="AC942" s="8">
        <f t="shared" si="50"/>
        <v>0</v>
      </c>
      <c r="AD942" s="8">
        <f t="shared" si="51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56"/>
        <v>BLACK</v>
      </c>
      <c r="AG942" s="11" t="str">
        <f t="shared" si="57"/>
        <v>JHAJJAR</v>
      </c>
    </row>
    <row r="943" spans="1:33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45"/>
        <v>441853900</v>
      </c>
      <c r="Y943" s="8" t="str">
        <f t="shared" si="46"/>
        <v>DC</v>
      </c>
      <c r="Z943" s="8">
        <f t="shared" si="47"/>
        <v>0</v>
      </c>
      <c r="AA943" s="8">
        <f t="shared" si="48"/>
        <v>0</v>
      </c>
      <c r="AB943" s="8">
        <f t="shared" si="49"/>
        <v>0</v>
      </c>
      <c r="AC943" s="8">
        <f t="shared" si="50"/>
        <v>30</v>
      </c>
      <c r="AD943" s="8">
        <f t="shared" si="51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56"/>
        <v>BLACK</v>
      </c>
      <c r="AG943" s="11" t="str">
        <f t="shared" si="57"/>
        <v>JHAJJAR</v>
      </c>
    </row>
    <row r="944" spans="1:33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45"/>
        <v>441853900</v>
      </c>
      <c r="Y944" s="8" t="str">
        <f t="shared" si="46"/>
        <v>DC</v>
      </c>
      <c r="Z944" s="8">
        <f t="shared" si="47"/>
        <v>0</v>
      </c>
      <c r="AA944" s="8">
        <f t="shared" si="48"/>
        <v>0</v>
      </c>
      <c r="AB944" s="8">
        <f t="shared" si="49"/>
        <v>0</v>
      </c>
      <c r="AC944" s="8">
        <f t="shared" si="50"/>
        <v>0</v>
      </c>
      <c r="AD944" s="8">
        <f t="shared" si="51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56"/>
        <v>BLACK</v>
      </c>
      <c r="AG944" s="11" t="str">
        <f t="shared" si="57"/>
        <v>JHAJJAR</v>
      </c>
    </row>
    <row r="945" spans="1:33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45"/>
        <v>441853899</v>
      </c>
      <c r="Y945" s="8" t="str">
        <f t="shared" si="46"/>
        <v>DC</v>
      </c>
      <c r="Z945" s="8">
        <f t="shared" si="47"/>
        <v>30</v>
      </c>
      <c r="AA945" s="8">
        <f t="shared" si="48"/>
        <v>0</v>
      </c>
      <c r="AB945" s="8">
        <f t="shared" si="49"/>
        <v>0</v>
      </c>
      <c r="AC945" s="8">
        <f t="shared" si="50"/>
        <v>0</v>
      </c>
      <c r="AD945" s="8">
        <f t="shared" si="51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56"/>
        <v>OLIVE GREEN</v>
      </c>
      <c r="AG945" s="11" t="str">
        <f t="shared" si="57"/>
        <v>JHAJJAR</v>
      </c>
    </row>
    <row r="946" spans="1:33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45"/>
        <v>441853899</v>
      </c>
      <c r="Y946" s="8" t="str">
        <f t="shared" si="46"/>
        <v>DC</v>
      </c>
      <c r="Z946" s="8">
        <f t="shared" si="47"/>
        <v>0</v>
      </c>
      <c r="AA946" s="8">
        <f t="shared" si="48"/>
        <v>30</v>
      </c>
      <c r="AB946" s="8">
        <f t="shared" si="49"/>
        <v>0</v>
      </c>
      <c r="AC946" s="8">
        <f t="shared" si="50"/>
        <v>0</v>
      </c>
      <c r="AD946" s="8">
        <f t="shared" si="51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56"/>
        <v>OLIVE GREEN</v>
      </c>
      <c r="AG946" s="11" t="str">
        <f t="shared" si="57"/>
        <v>JHAJJAR</v>
      </c>
    </row>
    <row r="947" spans="1:33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45"/>
        <v>441853899</v>
      </c>
      <c r="Y947" s="8" t="str">
        <f t="shared" si="46"/>
        <v>DC</v>
      </c>
      <c r="Z947" s="8">
        <f t="shared" si="47"/>
        <v>0</v>
      </c>
      <c r="AA947" s="8">
        <f t="shared" si="48"/>
        <v>0</v>
      </c>
      <c r="AB947" s="8">
        <f t="shared" si="49"/>
        <v>30</v>
      </c>
      <c r="AC947" s="8">
        <f t="shared" si="50"/>
        <v>0</v>
      </c>
      <c r="AD947" s="8">
        <f t="shared" si="51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56"/>
        <v>OLIVE GREEN</v>
      </c>
      <c r="AG947" s="11" t="str">
        <f t="shared" si="57"/>
        <v>JHAJJAR</v>
      </c>
    </row>
    <row r="948" spans="1:33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45"/>
        <v>441853899</v>
      </c>
      <c r="Y948" s="8" t="str">
        <f t="shared" si="46"/>
        <v>DC</v>
      </c>
      <c r="Z948" s="8">
        <f t="shared" si="47"/>
        <v>0</v>
      </c>
      <c r="AA948" s="8">
        <f t="shared" si="48"/>
        <v>0</v>
      </c>
      <c r="AB948" s="8">
        <f t="shared" si="49"/>
        <v>0</v>
      </c>
      <c r="AC948" s="8">
        <f t="shared" si="50"/>
        <v>30</v>
      </c>
      <c r="AD948" s="8">
        <f t="shared" si="51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56"/>
        <v>OLIVE GREEN</v>
      </c>
      <c r="AG948" s="11" t="str">
        <f t="shared" si="57"/>
        <v>JHAJJAR</v>
      </c>
    </row>
    <row r="949" spans="1:33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45"/>
        <v>441853899</v>
      </c>
      <c r="Y949" s="8" t="str">
        <f t="shared" si="46"/>
        <v>DC</v>
      </c>
      <c r="Z949" s="8">
        <f t="shared" si="47"/>
        <v>0</v>
      </c>
      <c r="AA949" s="8">
        <f t="shared" si="48"/>
        <v>0</v>
      </c>
      <c r="AB949" s="8">
        <f t="shared" si="49"/>
        <v>0</v>
      </c>
      <c r="AC949" s="8">
        <f t="shared" si="50"/>
        <v>0</v>
      </c>
      <c r="AD949" s="8">
        <f t="shared" si="51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56"/>
        <v>OLIVE GREEN</v>
      </c>
      <c r="AG949" s="11" t="str">
        <f t="shared" si="57"/>
        <v>JHAJJAR</v>
      </c>
    </row>
    <row r="950" spans="1:33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45"/>
        <v>441853898</v>
      </c>
      <c r="Y950" s="8" t="str">
        <f t="shared" si="46"/>
        <v>DC</v>
      </c>
      <c r="Z950" s="8">
        <f t="shared" si="47"/>
        <v>30</v>
      </c>
      <c r="AA950" s="8">
        <f t="shared" si="48"/>
        <v>0</v>
      </c>
      <c r="AB950" s="8">
        <f t="shared" si="49"/>
        <v>0</v>
      </c>
      <c r="AC950" s="8">
        <f t="shared" si="50"/>
        <v>0</v>
      </c>
      <c r="AD950" s="8">
        <f t="shared" si="51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56"/>
        <v>MUSTARD</v>
      </c>
      <c r="AG950" s="11" t="str">
        <f t="shared" si="57"/>
        <v>JHAJJAR</v>
      </c>
    </row>
    <row r="951" spans="1:33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45"/>
        <v>441853898</v>
      </c>
      <c r="Y951" s="8" t="str">
        <f t="shared" si="46"/>
        <v>DC</v>
      </c>
      <c r="Z951" s="8">
        <f t="shared" si="47"/>
        <v>0</v>
      </c>
      <c r="AA951" s="8">
        <f t="shared" si="48"/>
        <v>30</v>
      </c>
      <c r="AB951" s="8">
        <f t="shared" si="49"/>
        <v>0</v>
      </c>
      <c r="AC951" s="8">
        <f t="shared" si="50"/>
        <v>0</v>
      </c>
      <c r="AD951" s="8">
        <f t="shared" si="51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56"/>
        <v>MUSTARD</v>
      </c>
      <c r="AG951" s="11" t="str">
        <f t="shared" si="57"/>
        <v>JHAJJAR</v>
      </c>
    </row>
    <row r="952" spans="1:33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45"/>
        <v>441853898</v>
      </c>
      <c r="Y952" s="8" t="str">
        <f t="shared" si="46"/>
        <v>DC</v>
      </c>
      <c r="Z952" s="8">
        <f t="shared" si="47"/>
        <v>0</v>
      </c>
      <c r="AA952" s="8">
        <f t="shared" si="48"/>
        <v>0</v>
      </c>
      <c r="AB952" s="8">
        <f t="shared" si="49"/>
        <v>30</v>
      </c>
      <c r="AC952" s="8">
        <f t="shared" si="50"/>
        <v>0</v>
      </c>
      <c r="AD952" s="8">
        <f t="shared" si="51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56"/>
        <v>MUSTARD</v>
      </c>
      <c r="AG952" s="11" t="str">
        <f t="shared" si="57"/>
        <v>JHAJJAR</v>
      </c>
    </row>
    <row r="953" spans="1:33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45"/>
        <v>441853898</v>
      </c>
      <c r="Y953" s="8" t="str">
        <f t="shared" si="46"/>
        <v>DC</v>
      </c>
      <c r="Z953" s="8">
        <f t="shared" si="47"/>
        <v>0</v>
      </c>
      <c r="AA953" s="8">
        <f t="shared" si="48"/>
        <v>0</v>
      </c>
      <c r="AB953" s="8">
        <f t="shared" si="49"/>
        <v>0</v>
      </c>
      <c r="AC953" s="8">
        <f t="shared" si="50"/>
        <v>30</v>
      </c>
      <c r="AD953" s="8">
        <f t="shared" si="51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56"/>
        <v>MUSTARD</v>
      </c>
      <c r="AG953" s="11" t="str">
        <f t="shared" si="57"/>
        <v>JHAJJAR</v>
      </c>
    </row>
    <row r="954" spans="1:33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45"/>
        <v>441853898</v>
      </c>
      <c r="Y954" s="8" t="str">
        <f t="shared" si="46"/>
        <v>DC</v>
      </c>
      <c r="Z954" s="8">
        <f t="shared" si="47"/>
        <v>0</v>
      </c>
      <c r="AA954" s="8">
        <f t="shared" si="48"/>
        <v>0</v>
      </c>
      <c r="AB954" s="8">
        <f t="shared" si="49"/>
        <v>0</v>
      </c>
      <c r="AC954" s="8">
        <f t="shared" si="50"/>
        <v>0</v>
      </c>
      <c r="AD954" s="8">
        <f t="shared" si="51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56"/>
        <v>MUSTARD</v>
      </c>
      <c r="AG954" s="11" t="str">
        <f t="shared" si="57"/>
        <v>JHAJJAR</v>
      </c>
    </row>
    <row r="955" spans="1:33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45"/>
        <v>441853899</v>
      </c>
      <c r="Y955" s="8" t="str">
        <f t="shared" si="46"/>
        <v>RP</v>
      </c>
      <c r="Z955" s="8">
        <f t="shared" si="47"/>
        <v>38</v>
      </c>
      <c r="AA955" s="8">
        <f t="shared" si="48"/>
        <v>38</v>
      </c>
      <c r="AB955" s="8">
        <f t="shared" si="49"/>
        <v>38</v>
      </c>
      <c r="AC955" s="8">
        <f t="shared" si="50"/>
        <v>38</v>
      </c>
      <c r="AD955" s="8">
        <f t="shared" si="51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56"/>
        <v>OLIVE GREEN</v>
      </c>
      <c r="AG955" s="11" t="str">
        <f t="shared" si="57"/>
        <v>Bangalore</v>
      </c>
    </row>
    <row r="956" spans="1:33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45"/>
        <v>441853898</v>
      </c>
      <c r="Y956" s="8" t="str">
        <f t="shared" si="46"/>
        <v>RP</v>
      </c>
      <c r="Z956" s="8">
        <f t="shared" si="47"/>
        <v>38</v>
      </c>
      <c r="AA956" s="8">
        <f t="shared" si="48"/>
        <v>38</v>
      </c>
      <c r="AB956" s="8">
        <f t="shared" si="49"/>
        <v>38</v>
      </c>
      <c r="AC956" s="8">
        <f t="shared" si="50"/>
        <v>38</v>
      </c>
      <c r="AD956" s="8">
        <f t="shared" si="51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56"/>
        <v>MUSTARD</v>
      </c>
      <c r="AG956" s="11" t="str">
        <f t="shared" si="57"/>
        <v>Bangalore</v>
      </c>
    </row>
    <row r="957" spans="1:33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45"/>
        <v>441853743</v>
      </c>
      <c r="Y957" s="8" t="str">
        <f t="shared" si="46"/>
        <v>RP</v>
      </c>
      <c r="Z957" s="8">
        <f t="shared" si="47"/>
        <v>157</v>
      </c>
      <c r="AA957" s="8">
        <f t="shared" si="48"/>
        <v>157</v>
      </c>
      <c r="AB957" s="8">
        <f t="shared" si="49"/>
        <v>157</v>
      </c>
      <c r="AC957" s="8">
        <f t="shared" si="50"/>
        <v>157</v>
      </c>
      <c r="AD957" s="8">
        <f t="shared" si="51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56"/>
        <v>NAVY</v>
      </c>
      <c r="AG957" s="11" t="str">
        <f t="shared" si="57"/>
        <v>Bangalore</v>
      </c>
    </row>
    <row r="958" spans="1:33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45"/>
        <v>441853743</v>
      </c>
      <c r="Y958" s="8" t="str">
        <f t="shared" si="46"/>
        <v>DC</v>
      </c>
      <c r="Z958" s="8">
        <f t="shared" si="47"/>
        <v>157</v>
      </c>
      <c r="AA958" s="8">
        <f t="shared" si="48"/>
        <v>0</v>
      </c>
      <c r="AB958" s="8">
        <f t="shared" si="49"/>
        <v>0</v>
      </c>
      <c r="AC958" s="8">
        <f t="shared" si="50"/>
        <v>0</v>
      </c>
      <c r="AD958" s="8">
        <f t="shared" si="51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56"/>
        <v>NAVY</v>
      </c>
      <c r="AG958" s="11" t="str">
        <f t="shared" si="57"/>
        <v>Bangalore</v>
      </c>
    </row>
    <row r="959" spans="1:33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45"/>
        <v>441853743</v>
      </c>
      <c r="Y959" s="8" t="str">
        <f t="shared" si="46"/>
        <v>DC</v>
      </c>
      <c r="Z959" s="8">
        <f t="shared" si="47"/>
        <v>0</v>
      </c>
      <c r="AA959" s="8">
        <f t="shared" si="48"/>
        <v>157</v>
      </c>
      <c r="AB959" s="8">
        <f t="shared" si="49"/>
        <v>0</v>
      </c>
      <c r="AC959" s="8">
        <f t="shared" si="50"/>
        <v>0</v>
      </c>
      <c r="AD959" s="8">
        <f t="shared" si="51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56"/>
        <v>NAVY</v>
      </c>
      <c r="AG959" s="11" t="str">
        <f t="shared" si="57"/>
        <v>Bangalore</v>
      </c>
    </row>
    <row r="960" spans="1:33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45"/>
        <v>441853743</v>
      </c>
      <c r="Y960" s="8" t="str">
        <f t="shared" si="46"/>
        <v>DC</v>
      </c>
      <c r="Z960" s="8">
        <f t="shared" si="47"/>
        <v>0</v>
      </c>
      <c r="AA960" s="8">
        <f t="shared" si="48"/>
        <v>0</v>
      </c>
      <c r="AB960" s="8">
        <f t="shared" si="49"/>
        <v>157</v>
      </c>
      <c r="AC960" s="8">
        <f t="shared" si="50"/>
        <v>0</v>
      </c>
      <c r="AD960" s="8">
        <f t="shared" si="51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56"/>
        <v>NAVY</v>
      </c>
      <c r="AG960" s="11" t="str">
        <f t="shared" si="57"/>
        <v>Bangalore</v>
      </c>
    </row>
    <row r="961" spans="1:33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45"/>
        <v>441853743</v>
      </c>
      <c r="Y961" s="8" t="str">
        <f t="shared" si="46"/>
        <v>DC</v>
      </c>
      <c r="Z961" s="8">
        <f t="shared" si="47"/>
        <v>0</v>
      </c>
      <c r="AA961" s="8">
        <f t="shared" si="48"/>
        <v>0</v>
      </c>
      <c r="AB961" s="8">
        <f t="shared" si="49"/>
        <v>0</v>
      </c>
      <c r="AC961" s="8">
        <f t="shared" si="50"/>
        <v>157</v>
      </c>
      <c r="AD961" s="8">
        <f t="shared" si="51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56"/>
        <v>NAVY</v>
      </c>
      <c r="AG961" s="11" t="str">
        <f t="shared" si="57"/>
        <v>Bangalore</v>
      </c>
    </row>
    <row r="962" spans="1:33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45"/>
        <v>441853743</v>
      </c>
      <c r="Y962" s="8" t="str">
        <f t="shared" si="46"/>
        <v>DC</v>
      </c>
      <c r="Z962" s="8">
        <f t="shared" si="47"/>
        <v>0</v>
      </c>
      <c r="AA962" s="8">
        <f t="shared" si="48"/>
        <v>0</v>
      </c>
      <c r="AB962" s="8">
        <f t="shared" si="49"/>
        <v>0</v>
      </c>
      <c r="AC962" s="8">
        <f t="shared" si="50"/>
        <v>0</v>
      </c>
      <c r="AD962" s="8">
        <f t="shared" si="51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56"/>
        <v>NAVY</v>
      </c>
      <c r="AG962" s="11" t="str">
        <f t="shared" si="57"/>
        <v>Bangalore</v>
      </c>
    </row>
    <row r="963" spans="1:33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45"/>
        <v>441853898</v>
      </c>
      <c r="Y963" s="8" t="str">
        <f t="shared" si="46"/>
        <v>RP</v>
      </c>
      <c r="Z963" s="8">
        <f t="shared" si="47"/>
        <v>22</v>
      </c>
      <c r="AA963" s="8">
        <f t="shared" si="48"/>
        <v>22</v>
      </c>
      <c r="AB963" s="8">
        <f t="shared" si="49"/>
        <v>22</v>
      </c>
      <c r="AC963" s="8">
        <f t="shared" si="50"/>
        <v>22</v>
      </c>
      <c r="AD963" s="8">
        <f t="shared" si="51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59">IF(A963="SZAF","Bangalore",IF(A963="SAEX","JHAJJAR",IF(A963="S0EU","HARIPAL","")))</f>
        <v>JHAJJAR</v>
      </c>
    </row>
    <row r="964" spans="1:33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45"/>
        <v>441853899</v>
      </c>
      <c r="Y964" s="8" t="str">
        <f t="shared" si="46"/>
        <v>RP</v>
      </c>
      <c r="Z964" s="8">
        <f t="shared" si="47"/>
        <v>22</v>
      </c>
      <c r="AA964" s="8">
        <f t="shared" si="48"/>
        <v>22</v>
      </c>
      <c r="AB964" s="8">
        <f t="shared" si="49"/>
        <v>22</v>
      </c>
      <c r="AC964" s="8">
        <f t="shared" si="50"/>
        <v>22</v>
      </c>
      <c r="AD964" s="8">
        <f t="shared" si="51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58"/>
        <v>OLIVE GREEN</v>
      </c>
      <c r="AG964" s="11" t="str">
        <f t="shared" si="59"/>
        <v>JHAJJAR</v>
      </c>
    </row>
    <row r="965" spans="1:33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45"/>
        <v>441853899</v>
      </c>
      <c r="Y965" s="8" t="str">
        <f t="shared" si="46"/>
        <v>RP</v>
      </c>
      <c r="Z965" s="8">
        <f t="shared" si="47"/>
        <v>22</v>
      </c>
      <c r="AA965" s="8">
        <f t="shared" si="48"/>
        <v>22</v>
      </c>
      <c r="AB965" s="8">
        <f t="shared" si="49"/>
        <v>22</v>
      </c>
      <c r="AC965" s="8">
        <f t="shared" si="50"/>
        <v>22</v>
      </c>
      <c r="AD965" s="8">
        <f t="shared" si="51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58"/>
        <v>OLIVE GREEN</v>
      </c>
      <c r="AG965" s="11" t="str">
        <f t="shared" si="59"/>
        <v>HARIPAL</v>
      </c>
    </row>
    <row r="966" spans="1:33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45"/>
        <v>441853898</v>
      </c>
      <c r="Y966" s="8" t="str">
        <f t="shared" si="46"/>
        <v>RP</v>
      </c>
      <c r="Z966" s="8">
        <f t="shared" si="47"/>
        <v>22</v>
      </c>
      <c r="AA966" s="8">
        <f t="shared" si="48"/>
        <v>22</v>
      </c>
      <c r="AB966" s="8">
        <f t="shared" si="49"/>
        <v>22</v>
      </c>
      <c r="AC966" s="8">
        <f t="shared" si="50"/>
        <v>22</v>
      </c>
      <c r="AD966" s="8">
        <f t="shared" si="51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58"/>
        <v>MUSTARD</v>
      </c>
      <c r="AG966" s="11" t="str">
        <f t="shared" si="59"/>
        <v>HARIPAL</v>
      </c>
    </row>
    <row r="967" spans="1:33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45"/>
        <v>441853807</v>
      </c>
      <c r="Y967" s="8" t="str">
        <f t="shared" si="46"/>
        <v>RP</v>
      </c>
      <c r="Z967" s="8">
        <f t="shared" si="47"/>
        <v>219</v>
      </c>
      <c r="AA967" s="8">
        <f t="shared" si="48"/>
        <v>219</v>
      </c>
      <c r="AB967" s="8">
        <f t="shared" si="49"/>
        <v>219</v>
      </c>
      <c r="AC967" s="8">
        <f t="shared" si="50"/>
        <v>219</v>
      </c>
      <c r="AD967" s="8">
        <f t="shared" si="51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58"/>
        <v>SEA GREEN</v>
      </c>
      <c r="AG967" s="11" t="str">
        <f t="shared" si="59"/>
        <v>HARIPAL</v>
      </c>
    </row>
    <row r="968" spans="1:33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45"/>
        <v>441853803</v>
      </c>
      <c r="Y968" s="8" t="str">
        <f t="shared" si="46"/>
        <v>RP</v>
      </c>
      <c r="Z968" s="8">
        <f t="shared" si="47"/>
        <v>114</v>
      </c>
      <c r="AA968" s="8">
        <f t="shared" si="48"/>
        <v>114</v>
      </c>
      <c r="AB968" s="8">
        <f t="shared" si="49"/>
        <v>114</v>
      </c>
      <c r="AC968" s="8">
        <f t="shared" si="50"/>
        <v>114</v>
      </c>
      <c r="AD968" s="8">
        <f t="shared" si="51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58"/>
        <v>BLACK</v>
      </c>
      <c r="AG968" s="11" t="str">
        <f t="shared" si="59"/>
        <v>HARIPAL</v>
      </c>
    </row>
    <row r="969" spans="1:33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45"/>
        <v>441853743</v>
      </c>
      <c r="Y969" s="8" t="str">
        <f t="shared" si="46"/>
        <v>RP</v>
      </c>
      <c r="Z969" s="8">
        <f t="shared" si="47"/>
        <v>91</v>
      </c>
      <c r="AA969" s="8">
        <f t="shared" si="48"/>
        <v>91</v>
      </c>
      <c r="AB969" s="8">
        <f t="shared" si="49"/>
        <v>91</v>
      </c>
      <c r="AC969" s="8">
        <f t="shared" si="50"/>
        <v>91</v>
      </c>
      <c r="AD969" s="8">
        <f t="shared" si="51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58"/>
        <v>NAVY</v>
      </c>
      <c r="AG969" s="11" t="str">
        <f t="shared" si="59"/>
        <v>HARIPAL</v>
      </c>
    </row>
    <row r="970" spans="1:33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45"/>
        <v>441853743</v>
      </c>
      <c r="Y970" s="8" t="str">
        <f t="shared" si="46"/>
        <v>DC</v>
      </c>
      <c r="Z970" s="8">
        <f t="shared" si="47"/>
        <v>91</v>
      </c>
      <c r="AA970" s="8">
        <f t="shared" si="48"/>
        <v>0</v>
      </c>
      <c r="AB970" s="8">
        <f t="shared" si="49"/>
        <v>0</v>
      </c>
      <c r="AC970" s="8">
        <f t="shared" si="50"/>
        <v>0</v>
      </c>
      <c r="AD970" s="8">
        <f t="shared" si="51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58"/>
        <v>NAVY</v>
      </c>
      <c r="AG970" s="11" t="str">
        <f t="shared" si="59"/>
        <v>HARIPAL</v>
      </c>
    </row>
    <row r="971" spans="1:33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45"/>
        <v>441853743</v>
      </c>
      <c r="Y971" s="8" t="str">
        <f t="shared" si="46"/>
        <v>DC</v>
      </c>
      <c r="Z971" s="8">
        <f t="shared" si="47"/>
        <v>0</v>
      </c>
      <c r="AA971" s="8">
        <f t="shared" si="48"/>
        <v>91</v>
      </c>
      <c r="AB971" s="8">
        <f t="shared" si="49"/>
        <v>0</v>
      </c>
      <c r="AC971" s="8">
        <f t="shared" si="50"/>
        <v>0</v>
      </c>
      <c r="AD971" s="8">
        <f t="shared" si="51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58"/>
        <v>NAVY</v>
      </c>
      <c r="AG971" s="11" t="str">
        <f t="shared" si="59"/>
        <v>HARIPAL</v>
      </c>
    </row>
    <row r="972" spans="1:33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45"/>
        <v>441853743</v>
      </c>
      <c r="Y972" s="8" t="str">
        <f t="shared" si="46"/>
        <v>DC</v>
      </c>
      <c r="Z972" s="8">
        <f t="shared" si="47"/>
        <v>0</v>
      </c>
      <c r="AA972" s="8">
        <f t="shared" si="48"/>
        <v>0</v>
      </c>
      <c r="AB972" s="8">
        <f t="shared" si="49"/>
        <v>91</v>
      </c>
      <c r="AC972" s="8">
        <f t="shared" si="50"/>
        <v>0</v>
      </c>
      <c r="AD972" s="8">
        <f t="shared" si="51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58"/>
        <v>NAVY</v>
      </c>
      <c r="AG972" s="11" t="str">
        <f t="shared" si="59"/>
        <v>HARIPAL</v>
      </c>
    </row>
    <row r="973" spans="1:33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45"/>
        <v>441853743</v>
      </c>
      <c r="Y973" s="8" t="str">
        <f t="shared" si="46"/>
        <v>DC</v>
      </c>
      <c r="Z973" s="8">
        <f t="shared" si="47"/>
        <v>0</v>
      </c>
      <c r="AA973" s="8">
        <f t="shared" si="48"/>
        <v>0</v>
      </c>
      <c r="AB973" s="8">
        <f t="shared" si="49"/>
        <v>0</v>
      </c>
      <c r="AC973" s="8">
        <f t="shared" si="50"/>
        <v>91</v>
      </c>
      <c r="AD973" s="8">
        <f t="shared" si="51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58"/>
        <v>NAVY</v>
      </c>
      <c r="AG973" s="11" t="str">
        <f t="shared" si="59"/>
        <v>HARIPAL</v>
      </c>
    </row>
    <row r="974" spans="1:33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45"/>
        <v>441853743</v>
      </c>
      <c r="Y974" s="8" t="str">
        <f t="shared" si="46"/>
        <v>DC</v>
      </c>
      <c r="Z974" s="8">
        <f t="shared" si="47"/>
        <v>0</v>
      </c>
      <c r="AA974" s="8">
        <f t="shared" si="48"/>
        <v>0</v>
      </c>
      <c r="AB974" s="8">
        <f t="shared" si="49"/>
        <v>0</v>
      </c>
      <c r="AC974" s="8">
        <f t="shared" si="50"/>
        <v>0</v>
      </c>
      <c r="AD974" s="8">
        <f t="shared" si="51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58"/>
        <v>NAVY</v>
      </c>
      <c r="AG974" s="11" t="str">
        <f t="shared" si="59"/>
        <v>HARIPAL</v>
      </c>
    </row>
    <row r="975" spans="1:33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45"/>
        <v>441853900</v>
      </c>
      <c r="Y975" s="8" t="str">
        <f t="shared" si="46"/>
        <v>RP</v>
      </c>
      <c r="Z975" s="8">
        <f t="shared" si="47"/>
        <v>38</v>
      </c>
      <c r="AA975" s="8">
        <f t="shared" si="48"/>
        <v>38</v>
      </c>
      <c r="AB975" s="8">
        <f t="shared" si="49"/>
        <v>38</v>
      </c>
      <c r="AC975" s="8">
        <f t="shared" si="50"/>
        <v>38</v>
      </c>
      <c r="AD975" s="8">
        <f t="shared" si="51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58"/>
        <v>BLACK</v>
      </c>
      <c r="AG975" s="11" t="str">
        <f t="shared" si="59"/>
        <v>Bangalore</v>
      </c>
    </row>
    <row r="976" spans="1:33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45"/>
        <v>441853803</v>
      </c>
      <c r="Y976" s="8" t="str">
        <f t="shared" si="46"/>
        <v>RP</v>
      </c>
      <c r="Z976" s="8">
        <f t="shared" si="47"/>
        <v>196</v>
      </c>
      <c r="AA976" s="8">
        <f t="shared" si="48"/>
        <v>196</v>
      </c>
      <c r="AB976" s="8">
        <f t="shared" si="49"/>
        <v>196</v>
      </c>
      <c r="AC976" s="8">
        <f t="shared" si="50"/>
        <v>196</v>
      </c>
      <c r="AD976" s="8">
        <f t="shared" si="51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58"/>
        <v>BLACK</v>
      </c>
      <c r="AG976" s="11" t="str">
        <f t="shared" si="59"/>
        <v>Bangalore</v>
      </c>
    </row>
    <row r="977" spans="1:33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45"/>
        <v>441853900</v>
      </c>
      <c r="Y977" s="8" t="str">
        <f t="shared" si="46"/>
        <v>RP</v>
      </c>
      <c r="Z977" s="8">
        <f t="shared" si="47"/>
        <v>22</v>
      </c>
      <c r="AA977" s="8">
        <f t="shared" si="48"/>
        <v>22</v>
      </c>
      <c r="AB977" s="8">
        <f t="shared" si="49"/>
        <v>22</v>
      </c>
      <c r="AC977" s="8">
        <f t="shared" si="50"/>
        <v>22</v>
      </c>
      <c r="AD977" s="8">
        <f t="shared" si="51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58"/>
        <v>BLACK</v>
      </c>
      <c r="AG977" s="11" t="str">
        <f t="shared" si="59"/>
        <v>JHAJJAR</v>
      </c>
    </row>
    <row r="978" spans="1:33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45"/>
        <v>441853743</v>
      </c>
      <c r="Y978" s="8" t="str">
        <f t="shared" si="46"/>
        <v>RP</v>
      </c>
      <c r="Z978" s="8">
        <f t="shared" si="47"/>
        <v>89</v>
      </c>
      <c r="AA978" s="8">
        <f t="shared" si="48"/>
        <v>89</v>
      </c>
      <c r="AB978" s="8">
        <f t="shared" si="49"/>
        <v>89</v>
      </c>
      <c r="AC978" s="8">
        <f t="shared" si="50"/>
        <v>89</v>
      </c>
      <c r="AD978" s="8">
        <f t="shared" si="51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58"/>
        <v>NAVY</v>
      </c>
      <c r="AG978" s="11" t="str">
        <f t="shared" si="59"/>
        <v>JHAJJAR</v>
      </c>
    </row>
    <row r="979" spans="1:33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45"/>
        <v>441853743</v>
      </c>
      <c r="Y979" s="8" t="str">
        <f t="shared" si="46"/>
        <v>DC</v>
      </c>
      <c r="Z979" s="8">
        <f t="shared" si="47"/>
        <v>89</v>
      </c>
      <c r="AA979" s="8">
        <f t="shared" si="48"/>
        <v>0</v>
      </c>
      <c r="AB979" s="8">
        <f t="shared" si="49"/>
        <v>0</v>
      </c>
      <c r="AC979" s="8">
        <f t="shared" si="50"/>
        <v>0</v>
      </c>
      <c r="AD979" s="8">
        <f t="shared" si="51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58"/>
        <v>NAVY</v>
      </c>
      <c r="AG979" s="11" t="str">
        <f t="shared" si="59"/>
        <v>JHAJJAR</v>
      </c>
    </row>
    <row r="980" spans="1:33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45"/>
        <v>441853743</v>
      </c>
      <c r="Y980" s="8" t="str">
        <f t="shared" si="46"/>
        <v>DC</v>
      </c>
      <c r="Z980" s="8">
        <f t="shared" si="47"/>
        <v>0</v>
      </c>
      <c r="AA980" s="8">
        <f t="shared" si="48"/>
        <v>89</v>
      </c>
      <c r="AB980" s="8">
        <f t="shared" si="49"/>
        <v>0</v>
      </c>
      <c r="AC980" s="8">
        <f t="shared" si="50"/>
        <v>0</v>
      </c>
      <c r="AD980" s="8">
        <f t="shared" si="51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58"/>
        <v>NAVY</v>
      </c>
      <c r="AG980" s="11" t="str">
        <f t="shared" si="59"/>
        <v>JHAJJAR</v>
      </c>
    </row>
    <row r="981" spans="1:33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45"/>
        <v>441853743</v>
      </c>
      <c r="Y981" s="8" t="str">
        <f t="shared" si="46"/>
        <v>DC</v>
      </c>
      <c r="Z981" s="8">
        <f t="shared" si="47"/>
        <v>0</v>
      </c>
      <c r="AA981" s="8">
        <f t="shared" si="48"/>
        <v>0</v>
      </c>
      <c r="AB981" s="8">
        <f t="shared" si="49"/>
        <v>89</v>
      </c>
      <c r="AC981" s="8">
        <f t="shared" si="50"/>
        <v>0</v>
      </c>
      <c r="AD981" s="8">
        <f t="shared" si="51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58"/>
        <v>NAVY</v>
      </c>
      <c r="AG981" s="11" t="str">
        <f t="shared" si="59"/>
        <v>JHAJJAR</v>
      </c>
    </row>
    <row r="982" spans="1:33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45"/>
        <v>441853743</v>
      </c>
      <c r="Y982" s="8" t="str">
        <f t="shared" si="46"/>
        <v>DC</v>
      </c>
      <c r="Z982" s="8">
        <f t="shared" si="47"/>
        <v>0</v>
      </c>
      <c r="AA982" s="8">
        <f t="shared" si="48"/>
        <v>0</v>
      </c>
      <c r="AB982" s="8">
        <f t="shared" si="49"/>
        <v>0</v>
      </c>
      <c r="AC982" s="8">
        <f t="shared" si="50"/>
        <v>89</v>
      </c>
      <c r="AD982" s="8">
        <f t="shared" si="51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58"/>
        <v>NAVY</v>
      </c>
      <c r="AG982" s="11" t="str">
        <f t="shared" si="59"/>
        <v>JHAJJAR</v>
      </c>
    </row>
    <row r="983" spans="1:33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45"/>
        <v>441853743</v>
      </c>
      <c r="Y983" s="8" t="str">
        <f t="shared" si="46"/>
        <v>DC</v>
      </c>
      <c r="Z983" s="8">
        <f t="shared" si="47"/>
        <v>0</v>
      </c>
      <c r="AA983" s="8">
        <f t="shared" si="48"/>
        <v>0</v>
      </c>
      <c r="AB983" s="8">
        <f t="shared" si="49"/>
        <v>0</v>
      </c>
      <c r="AC983" s="8">
        <f t="shared" si="50"/>
        <v>0</v>
      </c>
      <c r="AD983" s="8">
        <f t="shared" si="51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58"/>
        <v>NAVY</v>
      </c>
      <c r="AG983" s="11" t="str">
        <f t="shared" si="59"/>
        <v>JHAJJAR</v>
      </c>
    </row>
    <row r="984" spans="1:33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45"/>
        <v>441853803</v>
      </c>
      <c r="Y984" s="8" t="str">
        <f t="shared" si="46"/>
        <v>RP</v>
      </c>
      <c r="Z984" s="8">
        <f t="shared" si="47"/>
        <v>111</v>
      </c>
      <c r="AA984" s="8">
        <f t="shared" si="48"/>
        <v>111</v>
      </c>
      <c r="AB984" s="8">
        <f t="shared" si="49"/>
        <v>111</v>
      </c>
      <c r="AC984" s="8">
        <f t="shared" si="50"/>
        <v>111</v>
      </c>
      <c r="AD984" s="8">
        <f t="shared" si="51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58"/>
        <v>BLACK</v>
      </c>
      <c r="AG984" s="11" t="str">
        <f t="shared" si="59"/>
        <v>JHAJJAR</v>
      </c>
    </row>
    <row r="985" spans="1:33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45"/>
        <v>441853900</v>
      </c>
      <c r="Y985" s="8" t="str">
        <f t="shared" si="46"/>
        <v>RP</v>
      </c>
      <c r="Z985" s="8">
        <f t="shared" si="47"/>
        <v>22</v>
      </c>
      <c r="AA985" s="8">
        <f t="shared" si="48"/>
        <v>22</v>
      </c>
      <c r="AB985" s="8">
        <f t="shared" si="49"/>
        <v>22</v>
      </c>
      <c r="AC985" s="8">
        <f t="shared" si="50"/>
        <v>22</v>
      </c>
      <c r="AD985" s="8">
        <f t="shared" si="51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58"/>
        <v>BLACK</v>
      </c>
      <c r="AG985" s="11" t="str">
        <f t="shared" si="59"/>
        <v>HARIPAL</v>
      </c>
    </row>
    <row r="986" spans="1:33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45"/>
        <v>441853900</v>
      </c>
      <c r="Y986" s="8" t="str">
        <f t="shared" si="46"/>
        <v>DC</v>
      </c>
      <c r="Z986" s="8">
        <f t="shared" si="47"/>
        <v>30</v>
      </c>
      <c r="AA986" s="8">
        <f t="shared" si="48"/>
        <v>0</v>
      </c>
      <c r="AB986" s="8">
        <f t="shared" si="49"/>
        <v>0</v>
      </c>
      <c r="AC986" s="8">
        <f t="shared" si="50"/>
        <v>0</v>
      </c>
      <c r="AD986" s="8">
        <f t="shared" si="51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58"/>
        <v>BLACK</v>
      </c>
      <c r="AG986" s="11" t="str">
        <f t="shared" si="59"/>
        <v>HARIPAL</v>
      </c>
    </row>
    <row r="987" spans="1:33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45"/>
        <v>441853900</v>
      </c>
      <c r="Y987" s="8" t="str">
        <f t="shared" si="46"/>
        <v>DC</v>
      </c>
      <c r="Z987" s="8">
        <f t="shared" si="47"/>
        <v>0</v>
      </c>
      <c r="AA987" s="8">
        <f t="shared" si="48"/>
        <v>30</v>
      </c>
      <c r="AB987" s="8">
        <f t="shared" si="49"/>
        <v>0</v>
      </c>
      <c r="AC987" s="8">
        <f t="shared" si="50"/>
        <v>0</v>
      </c>
      <c r="AD987" s="8">
        <f t="shared" si="51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58"/>
        <v>BLACK</v>
      </c>
      <c r="AG987" s="11" t="str">
        <f t="shared" si="59"/>
        <v>HARIPAL</v>
      </c>
    </row>
    <row r="988" spans="1:33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45"/>
        <v>441853900</v>
      </c>
      <c r="Y988" s="8" t="str">
        <f t="shared" si="46"/>
        <v>DC</v>
      </c>
      <c r="Z988" s="8">
        <f t="shared" si="47"/>
        <v>0</v>
      </c>
      <c r="AA988" s="8">
        <f t="shared" si="48"/>
        <v>0</v>
      </c>
      <c r="AB988" s="8">
        <f t="shared" si="49"/>
        <v>30</v>
      </c>
      <c r="AC988" s="8">
        <f t="shared" si="50"/>
        <v>0</v>
      </c>
      <c r="AD988" s="8">
        <f t="shared" si="51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58"/>
        <v>BLACK</v>
      </c>
      <c r="AG988" s="11" t="str">
        <f t="shared" si="59"/>
        <v>HARIPAL</v>
      </c>
    </row>
    <row r="989" spans="1:33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45"/>
        <v>441853900</v>
      </c>
      <c r="Y989" s="8" t="str">
        <f t="shared" si="46"/>
        <v>DC</v>
      </c>
      <c r="Z989" s="8">
        <f t="shared" si="47"/>
        <v>0</v>
      </c>
      <c r="AA989" s="8">
        <f t="shared" si="48"/>
        <v>0</v>
      </c>
      <c r="AB989" s="8">
        <f t="shared" si="49"/>
        <v>0</v>
      </c>
      <c r="AC989" s="8">
        <f t="shared" si="50"/>
        <v>30</v>
      </c>
      <c r="AD989" s="8">
        <f t="shared" si="51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58"/>
        <v>BLACK</v>
      </c>
      <c r="AG989" s="11" t="str">
        <f t="shared" si="59"/>
        <v>HARIPAL</v>
      </c>
    </row>
    <row r="990" spans="1:33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45"/>
        <v>441853900</v>
      </c>
      <c r="Y990" s="8" t="str">
        <f t="shared" si="46"/>
        <v>DC</v>
      </c>
      <c r="Z990" s="8">
        <f t="shared" si="47"/>
        <v>0</v>
      </c>
      <c r="AA990" s="8">
        <f t="shared" si="48"/>
        <v>0</v>
      </c>
      <c r="AB990" s="8">
        <f t="shared" si="49"/>
        <v>0</v>
      </c>
      <c r="AC990" s="8">
        <f t="shared" si="50"/>
        <v>0</v>
      </c>
      <c r="AD990" s="8">
        <f t="shared" si="51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58"/>
        <v>BLACK</v>
      </c>
      <c r="AG990" s="11" t="str">
        <f t="shared" si="59"/>
        <v>HARIPAL</v>
      </c>
    </row>
    <row r="991" spans="1:33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45"/>
        <v>441853899</v>
      </c>
      <c r="Y991" s="8" t="str">
        <f t="shared" si="46"/>
        <v>DC</v>
      </c>
      <c r="Z991" s="8">
        <f t="shared" si="47"/>
        <v>30</v>
      </c>
      <c r="AA991" s="8">
        <f t="shared" si="48"/>
        <v>0</v>
      </c>
      <c r="AB991" s="8">
        <f t="shared" si="49"/>
        <v>0</v>
      </c>
      <c r="AC991" s="8">
        <f t="shared" si="50"/>
        <v>0</v>
      </c>
      <c r="AD991" s="8">
        <f t="shared" si="51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58"/>
        <v>OLIVE GREEN</v>
      </c>
      <c r="AG991" s="11" t="str">
        <f t="shared" si="59"/>
        <v>HARIPAL</v>
      </c>
    </row>
    <row r="992" spans="1:33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45"/>
        <v>441853899</v>
      </c>
      <c r="Y992" s="8" t="str">
        <f t="shared" si="46"/>
        <v>DC</v>
      </c>
      <c r="Z992" s="8">
        <f t="shared" si="47"/>
        <v>0</v>
      </c>
      <c r="AA992" s="8">
        <f t="shared" si="48"/>
        <v>30</v>
      </c>
      <c r="AB992" s="8">
        <f t="shared" si="49"/>
        <v>0</v>
      </c>
      <c r="AC992" s="8">
        <f t="shared" si="50"/>
        <v>0</v>
      </c>
      <c r="AD992" s="8">
        <f t="shared" si="51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58"/>
        <v>OLIVE GREEN</v>
      </c>
      <c r="AG992" s="11" t="str">
        <f t="shared" si="59"/>
        <v>HARIPAL</v>
      </c>
    </row>
    <row r="993" spans="1:33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45"/>
        <v>441853899</v>
      </c>
      <c r="Y993" s="8" t="str">
        <f t="shared" si="46"/>
        <v>DC</v>
      </c>
      <c r="Z993" s="8">
        <f t="shared" si="47"/>
        <v>0</v>
      </c>
      <c r="AA993" s="8">
        <f t="shared" si="48"/>
        <v>0</v>
      </c>
      <c r="AB993" s="8">
        <f t="shared" si="49"/>
        <v>30</v>
      </c>
      <c r="AC993" s="8">
        <f t="shared" si="50"/>
        <v>0</v>
      </c>
      <c r="AD993" s="8">
        <f t="shared" si="51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58"/>
        <v>OLIVE GREEN</v>
      </c>
      <c r="AG993" s="11" t="str">
        <f t="shared" si="59"/>
        <v>HARIPAL</v>
      </c>
    </row>
    <row r="994" spans="1:33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45"/>
        <v>441853899</v>
      </c>
      <c r="Y994" s="8" t="str">
        <f t="shared" si="46"/>
        <v>DC</v>
      </c>
      <c r="Z994" s="8">
        <f t="shared" si="47"/>
        <v>0</v>
      </c>
      <c r="AA994" s="8">
        <f t="shared" si="48"/>
        <v>0</v>
      </c>
      <c r="AB994" s="8">
        <f t="shared" si="49"/>
        <v>0</v>
      </c>
      <c r="AC994" s="8">
        <f t="shared" si="50"/>
        <v>30</v>
      </c>
      <c r="AD994" s="8">
        <f t="shared" si="51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58"/>
        <v>OLIVE GREEN</v>
      </c>
      <c r="AG994" s="11" t="str">
        <f t="shared" si="59"/>
        <v>HARIPAL</v>
      </c>
    </row>
    <row r="995" spans="1:33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45"/>
        <v>441853899</v>
      </c>
      <c r="Y995" s="8" t="str">
        <f t="shared" si="46"/>
        <v>DC</v>
      </c>
      <c r="Z995" s="8">
        <f t="shared" si="47"/>
        <v>0</v>
      </c>
      <c r="AA995" s="8">
        <f t="shared" si="48"/>
        <v>0</v>
      </c>
      <c r="AB995" s="8">
        <f t="shared" si="49"/>
        <v>0</v>
      </c>
      <c r="AC995" s="8">
        <f t="shared" si="50"/>
        <v>0</v>
      </c>
      <c r="AD995" s="8">
        <f t="shared" si="51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58"/>
        <v>OLIVE GREEN</v>
      </c>
      <c r="AG995" s="11" t="str">
        <f t="shared" si="59"/>
        <v>HARIPAL</v>
      </c>
    </row>
    <row r="996" spans="1:33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45"/>
        <v>441853898</v>
      </c>
      <c r="Y996" s="8" t="str">
        <f t="shared" si="46"/>
        <v>DC</v>
      </c>
      <c r="Z996" s="8">
        <f t="shared" si="47"/>
        <v>30</v>
      </c>
      <c r="AA996" s="8">
        <f t="shared" si="48"/>
        <v>0</v>
      </c>
      <c r="AB996" s="8">
        <f t="shared" si="49"/>
        <v>0</v>
      </c>
      <c r="AC996" s="8">
        <f t="shared" si="50"/>
        <v>0</v>
      </c>
      <c r="AD996" s="8">
        <f t="shared" si="51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58"/>
        <v>MUSTARD</v>
      </c>
      <c r="AG996" s="11" t="str">
        <f t="shared" si="59"/>
        <v>HARIPAL</v>
      </c>
    </row>
    <row r="997" spans="1:33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45"/>
        <v>441853898</v>
      </c>
      <c r="Y997" s="8" t="str">
        <f t="shared" si="46"/>
        <v>DC</v>
      </c>
      <c r="Z997" s="8">
        <f t="shared" si="47"/>
        <v>0</v>
      </c>
      <c r="AA997" s="8">
        <f t="shared" si="48"/>
        <v>30</v>
      </c>
      <c r="AB997" s="8">
        <f t="shared" si="49"/>
        <v>0</v>
      </c>
      <c r="AC997" s="8">
        <f t="shared" si="50"/>
        <v>0</v>
      </c>
      <c r="AD997" s="8">
        <f t="shared" si="51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58"/>
        <v>MUSTARD</v>
      </c>
      <c r="AG997" s="11" t="str">
        <f t="shared" si="59"/>
        <v>HARIPAL</v>
      </c>
    </row>
    <row r="998" spans="1:33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45"/>
        <v>441853898</v>
      </c>
      <c r="Y998" s="8" t="str">
        <f t="shared" si="46"/>
        <v>DC</v>
      </c>
      <c r="Z998" s="8">
        <f t="shared" si="47"/>
        <v>0</v>
      </c>
      <c r="AA998" s="8">
        <f t="shared" si="48"/>
        <v>0</v>
      </c>
      <c r="AB998" s="8">
        <f t="shared" si="49"/>
        <v>30</v>
      </c>
      <c r="AC998" s="8">
        <f t="shared" si="50"/>
        <v>0</v>
      </c>
      <c r="AD998" s="8">
        <f t="shared" si="51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58"/>
        <v>MUSTARD</v>
      </c>
      <c r="AG998" s="11" t="str">
        <f t="shared" si="59"/>
        <v>HARIPAL</v>
      </c>
    </row>
    <row r="999" spans="1:33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45"/>
        <v>441853898</v>
      </c>
      <c r="Y999" s="8" t="str">
        <f t="shared" si="46"/>
        <v>DC</v>
      </c>
      <c r="Z999" s="8">
        <f t="shared" si="47"/>
        <v>0</v>
      </c>
      <c r="AA999" s="8">
        <f t="shared" si="48"/>
        <v>0</v>
      </c>
      <c r="AB999" s="8">
        <f t="shared" si="49"/>
        <v>0</v>
      </c>
      <c r="AC999" s="8">
        <f t="shared" si="50"/>
        <v>30</v>
      </c>
      <c r="AD999" s="8">
        <f t="shared" si="51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58"/>
        <v>MUSTARD</v>
      </c>
      <c r="AG999" s="11" t="str">
        <f t="shared" si="59"/>
        <v>HARIPAL</v>
      </c>
    </row>
    <row r="1000" spans="1:33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45"/>
        <v>441853898</v>
      </c>
      <c r="Y1000" s="8" t="str">
        <f t="shared" si="46"/>
        <v>DC</v>
      </c>
      <c r="Z1000" s="8">
        <f t="shared" si="47"/>
        <v>0</v>
      </c>
      <c r="AA1000" s="8">
        <f t="shared" si="48"/>
        <v>0</v>
      </c>
      <c r="AB1000" s="8">
        <f t="shared" si="49"/>
        <v>0</v>
      </c>
      <c r="AC1000" s="8">
        <f t="shared" si="50"/>
        <v>0</v>
      </c>
      <c r="AD1000" s="8">
        <f t="shared" si="51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58"/>
        <v>MUSTARD</v>
      </c>
      <c r="AG1000" s="11" t="str">
        <f t="shared" si="59"/>
        <v>HARIPAL</v>
      </c>
    </row>
    <row r="1001" spans="1:33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45"/>
        <v>441853807</v>
      </c>
      <c r="Y1001" s="8" t="str">
        <f t="shared" si="46"/>
        <v>DC</v>
      </c>
      <c r="Z1001" s="8">
        <f t="shared" si="47"/>
        <v>30</v>
      </c>
      <c r="AA1001" s="8">
        <f t="shared" si="48"/>
        <v>0</v>
      </c>
      <c r="AB1001" s="8">
        <f t="shared" si="49"/>
        <v>0</v>
      </c>
      <c r="AC1001" s="8">
        <f t="shared" si="50"/>
        <v>0</v>
      </c>
      <c r="AD1001" s="8">
        <f t="shared" si="51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58"/>
        <v>Sea Green</v>
      </c>
      <c r="AG1001" s="11" t="str">
        <f t="shared" si="59"/>
        <v>Bangalore</v>
      </c>
    </row>
    <row r="1002" spans="1:33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45"/>
        <v>441853807</v>
      </c>
      <c r="Y1002" s="8" t="str">
        <f t="shared" si="46"/>
        <v>DC</v>
      </c>
      <c r="Z1002" s="8">
        <f t="shared" si="47"/>
        <v>0</v>
      </c>
      <c r="AA1002" s="8">
        <f t="shared" si="48"/>
        <v>244</v>
      </c>
      <c r="AB1002" s="8">
        <f t="shared" si="49"/>
        <v>0</v>
      </c>
      <c r="AC1002" s="8">
        <f t="shared" si="50"/>
        <v>0</v>
      </c>
      <c r="AD1002" s="8">
        <f t="shared" si="51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58"/>
        <v>Sea Green</v>
      </c>
      <c r="AG1002" s="11" t="str">
        <f t="shared" si="59"/>
        <v>Bangalore</v>
      </c>
    </row>
    <row r="1003" spans="1:33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45"/>
        <v>441853807</v>
      </c>
      <c r="Y1003" s="8" t="str">
        <f t="shared" si="46"/>
        <v>DC</v>
      </c>
      <c r="Z1003" s="8">
        <f t="shared" si="47"/>
        <v>0</v>
      </c>
      <c r="AA1003" s="8">
        <f t="shared" si="48"/>
        <v>0</v>
      </c>
      <c r="AB1003" s="8">
        <f t="shared" si="49"/>
        <v>217</v>
      </c>
      <c r="AC1003" s="8">
        <f t="shared" si="50"/>
        <v>0</v>
      </c>
      <c r="AD1003" s="8">
        <f t="shared" si="51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58"/>
        <v>Sea Green</v>
      </c>
      <c r="AG1003" s="11" t="str">
        <f t="shared" si="59"/>
        <v>Bangalore</v>
      </c>
    </row>
    <row r="1004" spans="1:33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45"/>
        <v>441853807</v>
      </c>
      <c r="Y1004" s="8" t="str">
        <f t="shared" si="46"/>
        <v>DC</v>
      </c>
      <c r="Z1004" s="8">
        <f t="shared" si="47"/>
        <v>0</v>
      </c>
      <c r="AA1004" s="8">
        <f t="shared" si="48"/>
        <v>0</v>
      </c>
      <c r="AB1004" s="8">
        <f t="shared" si="49"/>
        <v>0</v>
      </c>
      <c r="AC1004" s="8">
        <f t="shared" si="50"/>
        <v>285</v>
      </c>
      <c r="AD1004" s="8">
        <f t="shared" si="51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58"/>
        <v>Sea Green</v>
      </c>
      <c r="AG1004" s="11" t="str">
        <f t="shared" si="59"/>
        <v>Bangalore</v>
      </c>
    </row>
    <row r="1005" spans="1:33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45"/>
        <v>441853807</v>
      </c>
      <c r="Y1005" s="8" t="str">
        <f t="shared" si="46"/>
        <v>DC</v>
      </c>
      <c r="Z1005" s="8">
        <f t="shared" si="47"/>
        <v>0</v>
      </c>
      <c r="AA1005" s="8">
        <f t="shared" si="48"/>
        <v>0</v>
      </c>
      <c r="AB1005" s="8">
        <f t="shared" si="49"/>
        <v>0</v>
      </c>
      <c r="AC1005" s="8">
        <f t="shared" si="50"/>
        <v>0</v>
      </c>
      <c r="AD1005" s="8">
        <f t="shared" si="51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58"/>
        <v>Sea Green</v>
      </c>
      <c r="AG1005" s="11" t="str">
        <f t="shared" si="59"/>
        <v>Bangalore</v>
      </c>
    </row>
    <row r="1006" spans="1:33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45"/>
        <v>441853806</v>
      </c>
      <c r="Y1006" s="8" t="str">
        <f t="shared" si="46"/>
        <v>DC</v>
      </c>
      <c r="Z1006" s="8">
        <f t="shared" si="47"/>
        <v>30</v>
      </c>
      <c r="AA1006" s="8">
        <f t="shared" si="48"/>
        <v>0</v>
      </c>
      <c r="AB1006" s="8">
        <f t="shared" si="49"/>
        <v>0</v>
      </c>
      <c r="AC1006" s="8">
        <f t="shared" si="50"/>
        <v>0</v>
      </c>
      <c r="AD1006" s="8">
        <f t="shared" si="51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58"/>
        <v>MUSTARD</v>
      </c>
      <c r="AG1006" s="11" t="str">
        <f t="shared" si="59"/>
        <v>Bangalore</v>
      </c>
    </row>
    <row r="1007" spans="1:33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45"/>
        <v>441853806</v>
      </c>
      <c r="Y1007" s="8" t="str">
        <f t="shared" si="46"/>
        <v>DC</v>
      </c>
      <c r="Z1007" s="8">
        <f t="shared" si="47"/>
        <v>0</v>
      </c>
      <c r="AA1007" s="8">
        <f t="shared" si="48"/>
        <v>244</v>
      </c>
      <c r="AB1007" s="8">
        <f t="shared" si="49"/>
        <v>0</v>
      </c>
      <c r="AC1007" s="8">
        <f t="shared" si="50"/>
        <v>0</v>
      </c>
      <c r="AD1007" s="8">
        <f t="shared" si="51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58"/>
        <v>MUSTARD</v>
      </c>
      <c r="AG1007" s="11" t="str">
        <f t="shared" si="59"/>
        <v>Bangalore</v>
      </c>
    </row>
    <row r="1008" spans="1:33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45"/>
        <v>441853806</v>
      </c>
      <c r="Y1008" s="8" t="str">
        <f t="shared" si="46"/>
        <v>DC</v>
      </c>
      <c r="Z1008" s="8">
        <f t="shared" si="47"/>
        <v>0</v>
      </c>
      <c r="AA1008" s="8">
        <f t="shared" si="48"/>
        <v>0</v>
      </c>
      <c r="AB1008" s="8">
        <f t="shared" si="49"/>
        <v>217</v>
      </c>
      <c r="AC1008" s="8">
        <f t="shared" si="50"/>
        <v>0</v>
      </c>
      <c r="AD1008" s="8">
        <f t="shared" si="51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58"/>
        <v>MUSTARD</v>
      </c>
      <c r="AG1008" s="11" t="str">
        <f t="shared" si="59"/>
        <v>Bangalore</v>
      </c>
    </row>
    <row r="1009" spans="1:33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45"/>
        <v>441853806</v>
      </c>
      <c r="Y1009" s="8" t="str">
        <f t="shared" si="46"/>
        <v>DC</v>
      </c>
      <c r="Z1009" s="8">
        <f t="shared" si="47"/>
        <v>0</v>
      </c>
      <c r="AA1009" s="8">
        <f t="shared" si="48"/>
        <v>0</v>
      </c>
      <c r="AB1009" s="8">
        <f t="shared" si="49"/>
        <v>0</v>
      </c>
      <c r="AC1009" s="8">
        <f t="shared" si="50"/>
        <v>285</v>
      </c>
      <c r="AD1009" s="8">
        <f t="shared" si="51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58"/>
        <v>MUSTARD</v>
      </c>
      <c r="AG1009" s="11" t="str">
        <f t="shared" si="59"/>
        <v>Bangalore</v>
      </c>
    </row>
    <row r="1010" spans="1:33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45"/>
        <v>441853806</v>
      </c>
      <c r="Y1010" s="8" t="str">
        <f t="shared" si="46"/>
        <v>DC</v>
      </c>
      <c r="Z1010" s="8">
        <f t="shared" si="47"/>
        <v>0</v>
      </c>
      <c r="AA1010" s="8">
        <f t="shared" si="48"/>
        <v>0</v>
      </c>
      <c r="AB1010" s="8">
        <f t="shared" si="49"/>
        <v>0</v>
      </c>
      <c r="AC1010" s="8">
        <f t="shared" si="50"/>
        <v>0</v>
      </c>
      <c r="AD1010" s="8">
        <f t="shared" si="51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58"/>
        <v>MUSTARD</v>
      </c>
      <c r="AG1010" s="11" t="str">
        <f t="shared" si="59"/>
        <v>Bangalore</v>
      </c>
    </row>
    <row r="1011" spans="1:33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45"/>
        <v>441853803</v>
      </c>
      <c r="Y1011" s="8" t="str">
        <f t="shared" si="46"/>
        <v>DC</v>
      </c>
      <c r="Z1011" s="8">
        <f t="shared" si="47"/>
        <v>30</v>
      </c>
      <c r="AA1011" s="8">
        <f t="shared" si="48"/>
        <v>0</v>
      </c>
      <c r="AB1011" s="8">
        <f t="shared" si="49"/>
        <v>0</v>
      </c>
      <c r="AC1011" s="8">
        <f t="shared" si="50"/>
        <v>0</v>
      </c>
      <c r="AD1011" s="8">
        <f t="shared" si="51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58"/>
        <v>BLACK</v>
      </c>
      <c r="AG1011" s="11" t="str">
        <f t="shared" si="59"/>
        <v>Bangalore</v>
      </c>
    </row>
    <row r="1012" spans="1:33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45"/>
        <v>441853803</v>
      </c>
      <c r="Y1012" s="8" t="str">
        <f t="shared" si="46"/>
        <v>DC</v>
      </c>
      <c r="Z1012" s="8">
        <f t="shared" si="47"/>
        <v>0</v>
      </c>
      <c r="AA1012" s="8">
        <f t="shared" si="48"/>
        <v>123</v>
      </c>
      <c r="AB1012" s="8">
        <f t="shared" si="49"/>
        <v>0</v>
      </c>
      <c r="AC1012" s="8">
        <f t="shared" si="50"/>
        <v>0</v>
      </c>
      <c r="AD1012" s="8">
        <f t="shared" si="51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58"/>
        <v>BLACK</v>
      </c>
      <c r="AG1012" s="11" t="str">
        <f t="shared" si="59"/>
        <v>Bangalore</v>
      </c>
    </row>
    <row r="1013" spans="1:33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45"/>
        <v>441853803</v>
      </c>
      <c r="Y1013" s="8" t="str">
        <f t="shared" si="46"/>
        <v>DC</v>
      </c>
      <c r="Z1013" s="8">
        <f t="shared" si="47"/>
        <v>0</v>
      </c>
      <c r="AA1013" s="8">
        <f t="shared" si="48"/>
        <v>0</v>
      </c>
      <c r="AB1013" s="8">
        <f t="shared" si="49"/>
        <v>144</v>
      </c>
      <c r="AC1013" s="8">
        <f t="shared" si="50"/>
        <v>0</v>
      </c>
      <c r="AD1013" s="8">
        <f t="shared" si="51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58"/>
        <v>BLACK</v>
      </c>
      <c r="AG1013" s="11" t="str">
        <f t="shared" si="59"/>
        <v>Bangalore</v>
      </c>
    </row>
    <row r="1014" spans="1:33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45"/>
        <v>441853803</v>
      </c>
      <c r="Y1014" s="8" t="str">
        <f t="shared" si="46"/>
        <v>DC</v>
      </c>
      <c r="Z1014" s="8">
        <f t="shared" si="47"/>
        <v>0</v>
      </c>
      <c r="AA1014" s="8">
        <f t="shared" si="48"/>
        <v>0</v>
      </c>
      <c r="AB1014" s="8">
        <f t="shared" si="49"/>
        <v>0</v>
      </c>
      <c r="AC1014" s="8">
        <f t="shared" si="50"/>
        <v>126</v>
      </c>
      <c r="AD1014" s="8">
        <f t="shared" si="51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58"/>
        <v>BLACK</v>
      </c>
      <c r="AG1014" s="11" t="str">
        <f t="shared" si="59"/>
        <v>Bangalore</v>
      </c>
    </row>
    <row r="1015" spans="1:33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45"/>
        <v>441853803</v>
      </c>
      <c r="Y1015" s="8" t="str">
        <f t="shared" si="46"/>
        <v>DC</v>
      </c>
      <c r="Z1015" s="8">
        <f t="shared" si="47"/>
        <v>0</v>
      </c>
      <c r="AA1015" s="8">
        <f t="shared" si="48"/>
        <v>0</v>
      </c>
      <c r="AB1015" s="8">
        <f t="shared" si="49"/>
        <v>0</v>
      </c>
      <c r="AC1015" s="8">
        <f t="shared" si="50"/>
        <v>0</v>
      </c>
      <c r="AD1015" s="8">
        <f t="shared" si="51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58"/>
        <v>BLACK</v>
      </c>
      <c r="AG1015" s="11" t="str">
        <f t="shared" si="59"/>
        <v>Bangalore</v>
      </c>
    </row>
    <row r="1016" spans="1:33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45"/>
        <v>441853801</v>
      </c>
      <c r="Y1016" s="8" t="str">
        <f t="shared" si="46"/>
        <v>DC</v>
      </c>
      <c r="Z1016" s="8">
        <f t="shared" si="47"/>
        <v>30</v>
      </c>
      <c r="AA1016" s="8">
        <f t="shared" si="48"/>
        <v>0</v>
      </c>
      <c r="AB1016" s="8">
        <f t="shared" si="49"/>
        <v>0</v>
      </c>
      <c r="AC1016" s="8">
        <f t="shared" si="50"/>
        <v>0</v>
      </c>
      <c r="AD1016" s="8">
        <f t="shared" si="51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58"/>
        <v>LT. PEACH</v>
      </c>
      <c r="AG1016" s="11" t="str">
        <f t="shared" si="59"/>
        <v>Bangalore</v>
      </c>
    </row>
    <row r="1017" spans="1:33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45"/>
        <v>441853801</v>
      </c>
      <c r="Y1017" s="8" t="str">
        <f t="shared" si="46"/>
        <v>DC</v>
      </c>
      <c r="Z1017" s="8">
        <f t="shared" si="47"/>
        <v>0</v>
      </c>
      <c r="AA1017" s="8">
        <f t="shared" si="48"/>
        <v>98</v>
      </c>
      <c r="AB1017" s="8">
        <f t="shared" si="49"/>
        <v>0</v>
      </c>
      <c r="AC1017" s="8">
        <f t="shared" si="50"/>
        <v>0</v>
      </c>
      <c r="AD1017" s="8">
        <f t="shared" si="51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58"/>
        <v>LT. PEACH</v>
      </c>
      <c r="AG1017" s="11" t="str">
        <f t="shared" si="59"/>
        <v>Bangalore</v>
      </c>
    </row>
    <row r="1018" spans="1:33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45"/>
        <v>441853801</v>
      </c>
      <c r="Y1018" s="8" t="str">
        <f t="shared" si="46"/>
        <v>DC</v>
      </c>
      <c r="Z1018" s="8">
        <f t="shared" si="47"/>
        <v>0</v>
      </c>
      <c r="AA1018" s="8">
        <f t="shared" si="48"/>
        <v>0</v>
      </c>
      <c r="AB1018" s="8">
        <f t="shared" si="49"/>
        <v>116</v>
      </c>
      <c r="AC1018" s="8">
        <f t="shared" si="50"/>
        <v>0</v>
      </c>
      <c r="AD1018" s="8">
        <f t="shared" si="51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58"/>
        <v>LT. PEACH</v>
      </c>
      <c r="AG1018" s="11" t="str">
        <f t="shared" si="59"/>
        <v>Bangalore</v>
      </c>
    </row>
    <row r="1019" spans="1:33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45"/>
        <v>441853801</v>
      </c>
      <c r="Y1019" s="8" t="str">
        <f t="shared" si="46"/>
        <v>DC</v>
      </c>
      <c r="Z1019" s="8">
        <f t="shared" si="47"/>
        <v>0</v>
      </c>
      <c r="AA1019" s="8">
        <f t="shared" si="48"/>
        <v>0</v>
      </c>
      <c r="AB1019" s="8">
        <f t="shared" si="49"/>
        <v>0</v>
      </c>
      <c r="AC1019" s="8">
        <f t="shared" si="50"/>
        <v>101</v>
      </c>
      <c r="AD1019" s="8">
        <f t="shared" si="51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58"/>
        <v>LT. PEACH</v>
      </c>
      <c r="AG1019" s="11" t="str">
        <f t="shared" si="59"/>
        <v>Bangalore</v>
      </c>
    </row>
    <row r="1020" spans="1:33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45"/>
        <v>441853801</v>
      </c>
      <c r="Y1020" s="8" t="str">
        <f t="shared" si="46"/>
        <v>DC</v>
      </c>
      <c r="Z1020" s="8">
        <f t="shared" si="47"/>
        <v>0</v>
      </c>
      <c r="AA1020" s="8">
        <f t="shared" si="48"/>
        <v>0</v>
      </c>
      <c r="AB1020" s="8">
        <f t="shared" si="49"/>
        <v>0</v>
      </c>
      <c r="AC1020" s="8">
        <f t="shared" si="50"/>
        <v>0</v>
      </c>
      <c r="AD1020" s="8">
        <f t="shared" si="51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58"/>
        <v>LT. PEACH</v>
      </c>
      <c r="AG1020" s="11" t="str">
        <f t="shared" si="59"/>
        <v>Bangalore</v>
      </c>
    </row>
    <row r="1021" spans="1:33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45"/>
        <v>441853807</v>
      </c>
      <c r="Y1021" s="8" t="str">
        <f t="shared" si="46"/>
        <v>DC</v>
      </c>
      <c r="Z1021" s="8">
        <f t="shared" si="47"/>
        <v>0</v>
      </c>
      <c r="AA1021" s="8">
        <f t="shared" si="48"/>
        <v>141</v>
      </c>
      <c r="AB1021" s="8">
        <f t="shared" si="49"/>
        <v>0</v>
      </c>
      <c r="AC1021" s="8">
        <f t="shared" si="50"/>
        <v>0</v>
      </c>
      <c r="AD1021" s="8">
        <f t="shared" si="51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58"/>
        <v>Sea Green</v>
      </c>
      <c r="AG1021" s="11" t="str">
        <f t="shared" si="59"/>
        <v>HARIPAL</v>
      </c>
    </row>
    <row r="1022" spans="1:33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61">IF(ISNUMBER(SEARCH("(RP)",J1022)),"RP","DC")</f>
        <v>DC</v>
      </c>
      <c r="Z1022" s="8">
        <f t="shared" ref="Z1022:Z1074" si="62">IF(ISNUMBER(SEARCH("(RP)",J1022)),O1022,IF(RIGHT(TRIM(J1022),3)=", S",O1022,0))</f>
        <v>0</v>
      </c>
      <c r="AA1022" s="8">
        <f t="shared" ref="AA1022:AA1074" si="63">IF(ISNUMBER(SEARCH("(RP)",J1022)),O1022,IF(RIGHT(TRIM(J1022),3)=", M",O1022,0))</f>
        <v>0</v>
      </c>
      <c r="AB1022" s="8">
        <f t="shared" ref="AB1022:AB1074" si="64">IF(ISNUMBER(SEARCH("(RP)",J1022)),O1022,IF(RIGHT(TRIM(J1022),3)=", L",O1022,0))</f>
        <v>126</v>
      </c>
      <c r="AC1022" s="8">
        <f t="shared" ref="AC1022:AC1074" si="65">IF(ISNUMBER(SEARCH("(RP)",J1022)),O1022,IF(RIGHT(TRIM(J1022),4)=", XL",O1022,0))</f>
        <v>0</v>
      </c>
      <c r="AD1022" s="8">
        <f t="shared" ref="AD1022:AD1074" si="66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58"/>
        <v>Sea Green</v>
      </c>
      <c r="AG1022" s="11" t="str">
        <f t="shared" si="59"/>
        <v>HARIPAL</v>
      </c>
    </row>
    <row r="1023" spans="1:33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60"/>
        <v>441853807</v>
      </c>
      <c r="Y1023" s="8" t="str">
        <f t="shared" si="61"/>
        <v>DC</v>
      </c>
      <c r="Z1023" s="8">
        <f t="shared" si="62"/>
        <v>0</v>
      </c>
      <c r="AA1023" s="8">
        <f t="shared" si="63"/>
        <v>0</v>
      </c>
      <c r="AB1023" s="8">
        <f t="shared" si="64"/>
        <v>0</v>
      </c>
      <c r="AC1023" s="8">
        <f t="shared" si="65"/>
        <v>165</v>
      </c>
      <c r="AD1023" s="8">
        <f t="shared" si="66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58"/>
        <v>Sea Green</v>
      </c>
      <c r="AG1023" s="11" t="str">
        <f t="shared" si="59"/>
        <v>HARIPAL</v>
      </c>
    </row>
    <row r="1024" spans="1:33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60"/>
        <v>441853803</v>
      </c>
      <c r="Y1024" s="8" t="str">
        <f t="shared" si="61"/>
        <v>DC</v>
      </c>
      <c r="Z1024" s="8">
        <f t="shared" si="62"/>
        <v>30</v>
      </c>
      <c r="AA1024" s="8">
        <f t="shared" si="63"/>
        <v>0</v>
      </c>
      <c r="AB1024" s="8">
        <f t="shared" si="64"/>
        <v>0</v>
      </c>
      <c r="AC1024" s="8">
        <f t="shared" si="65"/>
        <v>0</v>
      </c>
      <c r="AD1024" s="8">
        <f t="shared" si="66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58"/>
        <v>BLACK</v>
      </c>
      <c r="AG1024" s="11" t="str">
        <f t="shared" si="59"/>
        <v>JHAJJAR</v>
      </c>
    </row>
    <row r="1025" spans="1:33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60"/>
        <v>441853803</v>
      </c>
      <c r="Y1025" s="8" t="str">
        <f t="shared" si="61"/>
        <v>DC</v>
      </c>
      <c r="Z1025" s="8">
        <f t="shared" si="62"/>
        <v>0</v>
      </c>
      <c r="AA1025" s="8">
        <f t="shared" si="63"/>
        <v>70</v>
      </c>
      <c r="AB1025" s="8">
        <f t="shared" si="64"/>
        <v>0</v>
      </c>
      <c r="AC1025" s="8">
        <f t="shared" si="65"/>
        <v>0</v>
      </c>
      <c r="AD1025" s="8">
        <f t="shared" si="66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58"/>
        <v>BLACK</v>
      </c>
      <c r="AG1025" s="11" t="str">
        <f t="shared" si="59"/>
        <v>JHAJJAR</v>
      </c>
    </row>
    <row r="1026" spans="1:33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60"/>
        <v>441853803</v>
      </c>
      <c r="Y1026" s="8" t="str">
        <f t="shared" si="61"/>
        <v>DC</v>
      </c>
      <c r="Z1026" s="8">
        <f t="shared" si="62"/>
        <v>0</v>
      </c>
      <c r="AA1026" s="8">
        <f t="shared" si="63"/>
        <v>0</v>
      </c>
      <c r="AB1026" s="8">
        <f t="shared" si="64"/>
        <v>82</v>
      </c>
      <c r="AC1026" s="8">
        <f t="shared" si="65"/>
        <v>0</v>
      </c>
      <c r="AD1026" s="8">
        <f t="shared" si="66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58"/>
        <v>BLACK</v>
      </c>
      <c r="AG1026" s="11" t="str">
        <f t="shared" si="59"/>
        <v>JHAJJAR</v>
      </c>
    </row>
    <row r="1027" spans="1:33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60"/>
        <v>441853803</v>
      </c>
      <c r="Y1027" s="8" t="str">
        <f t="shared" si="61"/>
        <v>DC</v>
      </c>
      <c r="Z1027" s="8">
        <f t="shared" si="62"/>
        <v>0</v>
      </c>
      <c r="AA1027" s="8">
        <f t="shared" si="63"/>
        <v>0</v>
      </c>
      <c r="AB1027" s="8">
        <f t="shared" si="64"/>
        <v>0</v>
      </c>
      <c r="AC1027" s="8">
        <f t="shared" si="65"/>
        <v>71</v>
      </c>
      <c r="AD1027" s="8">
        <f t="shared" si="66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68">IF(A1027="SZAF","Bangalore",IF(A1027="SAEX","JHAJJAR",IF(A1027="S0EU","HARIPAL","")))</f>
        <v>JHAJJAR</v>
      </c>
    </row>
    <row r="1028" spans="1:33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60"/>
        <v>441853803</v>
      </c>
      <c r="Y1028" s="8" t="str">
        <f t="shared" si="61"/>
        <v>DC</v>
      </c>
      <c r="Z1028" s="8">
        <f t="shared" si="62"/>
        <v>0</v>
      </c>
      <c r="AA1028" s="8">
        <f t="shared" si="63"/>
        <v>0</v>
      </c>
      <c r="AB1028" s="8">
        <f t="shared" si="64"/>
        <v>0</v>
      </c>
      <c r="AC1028" s="8">
        <f t="shared" si="65"/>
        <v>0</v>
      </c>
      <c r="AD1028" s="8">
        <f t="shared" si="66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67"/>
        <v>BLACK</v>
      </c>
      <c r="AG1028" s="11" t="str">
        <f t="shared" si="68"/>
        <v>JHAJJAR</v>
      </c>
    </row>
    <row r="1029" spans="1:33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60"/>
        <v>441853806</v>
      </c>
      <c r="Y1029" s="8" t="str">
        <f t="shared" si="61"/>
        <v>DC</v>
      </c>
      <c r="Z1029" s="8">
        <f t="shared" si="62"/>
        <v>0</v>
      </c>
      <c r="AA1029" s="8">
        <f t="shared" si="63"/>
        <v>141</v>
      </c>
      <c r="AB1029" s="8">
        <f t="shared" si="64"/>
        <v>0</v>
      </c>
      <c r="AC1029" s="8">
        <f t="shared" si="65"/>
        <v>0</v>
      </c>
      <c r="AD1029" s="8">
        <f t="shared" si="66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67"/>
        <v>MUSTARD</v>
      </c>
      <c r="AG1029" s="11" t="str">
        <f t="shared" si="68"/>
        <v>HARIPAL</v>
      </c>
    </row>
    <row r="1030" spans="1:33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60"/>
        <v>441853806</v>
      </c>
      <c r="Y1030" s="8" t="str">
        <f t="shared" si="61"/>
        <v>DC</v>
      </c>
      <c r="Z1030" s="8">
        <f t="shared" si="62"/>
        <v>0</v>
      </c>
      <c r="AA1030" s="8">
        <f t="shared" si="63"/>
        <v>0</v>
      </c>
      <c r="AB1030" s="8">
        <f t="shared" si="64"/>
        <v>126</v>
      </c>
      <c r="AC1030" s="8">
        <f t="shared" si="65"/>
        <v>0</v>
      </c>
      <c r="AD1030" s="8">
        <f t="shared" si="66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67"/>
        <v>MUSTARD</v>
      </c>
      <c r="AG1030" s="11" t="str">
        <f t="shared" si="68"/>
        <v>HARIPAL</v>
      </c>
    </row>
    <row r="1031" spans="1:33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60"/>
        <v>441853803</v>
      </c>
      <c r="Y1031" s="8" t="str">
        <f t="shared" si="61"/>
        <v>DC</v>
      </c>
      <c r="Z1031" s="8">
        <f t="shared" si="62"/>
        <v>30</v>
      </c>
      <c r="AA1031" s="8">
        <f t="shared" si="63"/>
        <v>0</v>
      </c>
      <c r="AB1031" s="8">
        <f t="shared" si="64"/>
        <v>0</v>
      </c>
      <c r="AC1031" s="8">
        <f t="shared" si="65"/>
        <v>0</v>
      </c>
      <c r="AD1031" s="8">
        <f t="shared" si="66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67"/>
        <v>BLACK</v>
      </c>
      <c r="AG1031" s="11" t="str">
        <f t="shared" si="68"/>
        <v>HARIPAL</v>
      </c>
    </row>
    <row r="1032" spans="1:33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60"/>
        <v>441853803</v>
      </c>
      <c r="Y1032" s="8" t="str">
        <f t="shared" si="61"/>
        <v>DC</v>
      </c>
      <c r="Z1032" s="8">
        <f t="shared" si="62"/>
        <v>0</v>
      </c>
      <c r="AA1032" s="8">
        <f t="shared" si="63"/>
        <v>71</v>
      </c>
      <c r="AB1032" s="8">
        <f t="shared" si="64"/>
        <v>0</v>
      </c>
      <c r="AC1032" s="8">
        <f t="shared" si="65"/>
        <v>0</v>
      </c>
      <c r="AD1032" s="8">
        <f t="shared" si="66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67"/>
        <v>BLACK</v>
      </c>
      <c r="AG1032" s="11" t="str">
        <f t="shared" si="68"/>
        <v>HARIPAL</v>
      </c>
    </row>
    <row r="1033" spans="1:33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60"/>
        <v>441853803</v>
      </c>
      <c r="Y1033" s="8" t="str">
        <f t="shared" si="61"/>
        <v>DC</v>
      </c>
      <c r="Z1033" s="8">
        <f t="shared" si="62"/>
        <v>0</v>
      </c>
      <c r="AA1033" s="8">
        <f t="shared" si="63"/>
        <v>0</v>
      </c>
      <c r="AB1033" s="8">
        <f t="shared" si="64"/>
        <v>84</v>
      </c>
      <c r="AC1033" s="8">
        <f t="shared" si="65"/>
        <v>0</v>
      </c>
      <c r="AD1033" s="8">
        <f t="shared" si="66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67"/>
        <v>BLACK</v>
      </c>
      <c r="AG1033" s="11" t="str">
        <f t="shared" si="68"/>
        <v>HARIPAL</v>
      </c>
    </row>
    <row r="1034" spans="1:33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60"/>
        <v>441853803</v>
      </c>
      <c r="Y1034" s="8" t="str">
        <f t="shared" si="61"/>
        <v>DC</v>
      </c>
      <c r="Z1034" s="8">
        <f t="shared" si="62"/>
        <v>0</v>
      </c>
      <c r="AA1034" s="8">
        <f t="shared" si="63"/>
        <v>0</v>
      </c>
      <c r="AB1034" s="8">
        <f t="shared" si="64"/>
        <v>0</v>
      </c>
      <c r="AC1034" s="8">
        <f t="shared" si="65"/>
        <v>73</v>
      </c>
      <c r="AD1034" s="8">
        <f t="shared" si="66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67"/>
        <v>BLACK</v>
      </c>
      <c r="AG1034" s="11" t="str">
        <f t="shared" si="68"/>
        <v>HARIPAL</v>
      </c>
    </row>
    <row r="1035" spans="1:33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60"/>
        <v>441853803</v>
      </c>
      <c r="Y1035" s="8" t="str">
        <f t="shared" si="61"/>
        <v>DC</v>
      </c>
      <c r="Z1035" s="8">
        <f t="shared" si="62"/>
        <v>0</v>
      </c>
      <c r="AA1035" s="8">
        <f t="shared" si="63"/>
        <v>0</v>
      </c>
      <c r="AB1035" s="8">
        <f t="shared" si="64"/>
        <v>0</v>
      </c>
      <c r="AC1035" s="8">
        <f t="shared" si="65"/>
        <v>0</v>
      </c>
      <c r="AD1035" s="8">
        <f t="shared" si="66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67"/>
        <v>BLACK</v>
      </c>
      <c r="AG1035" s="11" t="str">
        <f t="shared" si="68"/>
        <v>HARIPAL</v>
      </c>
    </row>
    <row r="1036" spans="1:33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60"/>
        <v>441853801</v>
      </c>
      <c r="Y1036" s="8" t="str">
        <f t="shared" si="61"/>
        <v>DC</v>
      </c>
      <c r="Z1036" s="8">
        <f t="shared" si="62"/>
        <v>30</v>
      </c>
      <c r="AA1036" s="8">
        <f t="shared" si="63"/>
        <v>0</v>
      </c>
      <c r="AB1036" s="8">
        <f t="shared" si="64"/>
        <v>0</v>
      </c>
      <c r="AC1036" s="8">
        <f t="shared" si="65"/>
        <v>0</v>
      </c>
      <c r="AD1036" s="8">
        <f t="shared" si="66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67"/>
        <v>LT. PEACH</v>
      </c>
      <c r="AG1036" s="11" t="str">
        <f t="shared" si="68"/>
        <v>HARIPAL</v>
      </c>
    </row>
    <row r="1037" spans="1:33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60"/>
        <v>441853801</v>
      </c>
      <c r="Y1037" s="8" t="str">
        <f t="shared" si="61"/>
        <v>DC</v>
      </c>
      <c r="Z1037" s="8">
        <f t="shared" si="62"/>
        <v>0</v>
      </c>
      <c r="AA1037" s="8">
        <f t="shared" si="63"/>
        <v>0</v>
      </c>
      <c r="AB1037" s="8">
        <f t="shared" si="64"/>
        <v>67</v>
      </c>
      <c r="AC1037" s="8">
        <f t="shared" si="65"/>
        <v>0</v>
      </c>
      <c r="AD1037" s="8">
        <f t="shared" si="66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67"/>
        <v>LT. PEACH</v>
      </c>
      <c r="AG1037" s="11" t="str">
        <f t="shared" si="68"/>
        <v>HARIPAL</v>
      </c>
    </row>
    <row r="1038" spans="1:33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60"/>
        <v>441853799</v>
      </c>
      <c r="Y1038" s="8" t="str">
        <f t="shared" si="61"/>
        <v>DC</v>
      </c>
      <c r="Z1038" s="8">
        <f t="shared" si="62"/>
        <v>30</v>
      </c>
      <c r="AA1038" s="8">
        <f t="shared" si="63"/>
        <v>0</v>
      </c>
      <c r="AB1038" s="8">
        <f t="shared" si="64"/>
        <v>0</v>
      </c>
      <c r="AC1038" s="8">
        <f t="shared" si="65"/>
        <v>0</v>
      </c>
      <c r="AD1038" s="8">
        <f t="shared" si="66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67"/>
        <v>LT. PINK</v>
      </c>
      <c r="AG1038" s="11" t="str">
        <f t="shared" si="68"/>
        <v>Bangalore</v>
      </c>
    </row>
    <row r="1039" spans="1:33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60"/>
        <v>441853799</v>
      </c>
      <c r="Y1039" s="8" t="str">
        <f t="shared" si="61"/>
        <v>DC</v>
      </c>
      <c r="Z1039" s="8">
        <f t="shared" si="62"/>
        <v>0</v>
      </c>
      <c r="AA1039" s="8">
        <f t="shared" si="63"/>
        <v>98</v>
      </c>
      <c r="AB1039" s="8">
        <f t="shared" si="64"/>
        <v>0</v>
      </c>
      <c r="AC1039" s="8">
        <f t="shared" si="65"/>
        <v>0</v>
      </c>
      <c r="AD1039" s="8">
        <f t="shared" si="66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67"/>
        <v>LT. PINK</v>
      </c>
      <c r="AG1039" s="11" t="str">
        <f t="shared" si="68"/>
        <v>Bangalore</v>
      </c>
    </row>
    <row r="1040" spans="1:33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60"/>
        <v>441853799</v>
      </c>
      <c r="Y1040" s="8" t="str">
        <f t="shared" si="61"/>
        <v>DC</v>
      </c>
      <c r="Z1040" s="8">
        <f t="shared" si="62"/>
        <v>0</v>
      </c>
      <c r="AA1040" s="8">
        <f t="shared" si="63"/>
        <v>0</v>
      </c>
      <c r="AB1040" s="8">
        <f t="shared" si="64"/>
        <v>116</v>
      </c>
      <c r="AC1040" s="8">
        <f t="shared" si="65"/>
        <v>0</v>
      </c>
      <c r="AD1040" s="8">
        <f t="shared" si="66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67"/>
        <v>LT. PINK</v>
      </c>
      <c r="AG1040" s="11" t="str">
        <f t="shared" si="68"/>
        <v>Bangalore</v>
      </c>
    </row>
    <row r="1041" spans="1:33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60"/>
        <v>441853799</v>
      </c>
      <c r="Y1041" s="8" t="str">
        <f t="shared" si="61"/>
        <v>DC</v>
      </c>
      <c r="Z1041" s="8">
        <f t="shared" si="62"/>
        <v>0</v>
      </c>
      <c r="AA1041" s="8">
        <f t="shared" si="63"/>
        <v>0</v>
      </c>
      <c r="AB1041" s="8">
        <f t="shared" si="64"/>
        <v>0</v>
      </c>
      <c r="AC1041" s="8">
        <f t="shared" si="65"/>
        <v>101</v>
      </c>
      <c r="AD1041" s="8">
        <f t="shared" si="66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67"/>
        <v>LT. PINK</v>
      </c>
      <c r="AG1041" s="11" t="str">
        <f t="shared" si="68"/>
        <v>Bangalore</v>
      </c>
    </row>
    <row r="1042" spans="1:33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60"/>
        <v>441853799</v>
      </c>
      <c r="Y1042" s="8" t="str">
        <f t="shared" si="61"/>
        <v>DC</v>
      </c>
      <c r="Z1042" s="8">
        <f t="shared" si="62"/>
        <v>0</v>
      </c>
      <c r="AA1042" s="8">
        <f t="shared" si="63"/>
        <v>0</v>
      </c>
      <c r="AB1042" s="8">
        <f t="shared" si="64"/>
        <v>0</v>
      </c>
      <c r="AC1042" s="8">
        <f t="shared" si="65"/>
        <v>0</v>
      </c>
      <c r="AD1042" s="8">
        <f t="shared" si="66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67"/>
        <v>LT. PINK</v>
      </c>
      <c r="AG1042" s="11" t="str">
        <f t="shared" si="68"/>
        <v>Bangalore</v>
      </c>
    </row>
    <row r="1043" spans="1:33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60"/>
        <v>441853798</v>
      </c>
      <c r="Y1043" s="8" t="str">
        <f t="shared" si="61"/>
        <v>DC</v>
      </c>
      <c r="Z1043" s="8">
        <f t="shared" si="62"/>
        <v>30</v>
      </c>
      <c r="AA1043" s="8">
        <f t="shared" si="63"/>
        <v>0</v>
      </c>
      <c r="AB1043" s="8">
        <f t="shared" si="64"/>
        <v>0</v>
      </c>
      <c r="AC1043" s="8">
        <f t="shared" si="65"/>
        <v>0</v>
      </c>
      <c r="AD1043" s="8">
        <f t="shared" si="66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67"/>
        <v>LT. PINK</v>
      </c>
      <c r="AG1043" s="11" t="str">
        <f t="shared" si="68"/>
        <v>Bangalore</v>
      </c>
    </row>
    <row r="1044" spans="1:33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60"/>
        <v>441853798</v>
      </c>
      <c r="Y1044" s="8" t="str">
        <f t="shared" si="61"/>
        <v>DC</v>
      </c>
      <c r="Z1044" s="8">
        <f t="shared" si="62"/>
        <v>0</v>
      </c>
      <c r="AA1044" s="8">
        <f t="shared" si="63"/>
        <v>244</v>
      </c>
      <c r="AB1044" s="8">
        <f t="shared" si="64"/>
        <v>0</v>
      </c>
      <c r="AC1044" s="8">
        <f t="shared" si="65"/>
        <v>0</v>
      </c>
      <c r="AD1044" s="8">
        <f t="shared" si="66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67"/>
        <v>LT. PINK</v>
      </c>
      <c r="AG1044" s="11" t="str">
        <f t="shared" si="68"/>
        <v>Bangalore</v>
      </c>
    </row>
    <row r="1045" spans="1:33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60"/>
        <v>441853798</v>
      </c>
      <c r="Y1045" s="8" t="str">
        <f t="shared" si="61"/>
        <v>DC</v>
      </c>
      <c r="Z1045" s="8">
        <f t="shared" si="62"/>
        <v>0</v>
      </c>
      <c r="AA1045" s="8">
        <f t="shared" si="63"/>
        <v>0</v>
      </c>
      <c r="AB1045" s="8">
        <f t="shared" si="64"/>
        <v>217</v>
      </c>
      <c r="AC1045" s="8">
        <f t="shared" si="65"/>
        <v>0</v>
      </c>
      <c r="AD1045" s="8">
        <f t="shared" si="66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67"/>
        <v>LT. PINK</v>
      </c>
      <c r="AG1045" s="11" t="str">
        <f t="shared" si="68"/>
        <v>Bangalore</v>
      </c>
    </row>
    <row r="1046" spans="1:33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60"/>
        <v>441853798</v>
      </c>
      <c r="Y1046" s="8" t="str">
        <f t="shared" si="61"/>
        <v>DC</v>
      </c>
      <c r="Z1046" s="8">
        <f t="shared" si="62"/>
        <v>0</v>
      </c>
      <c r="AA1046" s="8">
        <f t="shared" si="63"/>
        <v>0</v>
      </c>
      <c r="AB1046" s="8">
        <f t="shared" si="64"/>
        <v>0</v>
      </c>
      <c r="AC1046" s="8">
        <f t="shared" si="65"/>
        <v>285</v>
      </c>
      <c r="AD1046" s="8">
        <f t="shared" si="66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67"/>
        <v>LT. PINK</v>
      </c>
      <c r="AG1046" s="11" t="str">
        <f t="shared" si="68"/>
        <v>Bangalore</v>
      </c>
    </row>
    <row r="1047" spans="1:33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60"/>
        <v>441853798</v>
      </c>
      <c r="Y1047" s="8" t="str">
        <f t="shared" si="61"/>
        <v>DC</v>
      </c>
      <c r="Z1047" s="8">
        <f t="shared" si="62"/>
        <v>0</v>
      </c>
      <c r="AA1047" s="8">
        <f t="shared" si="63"/>
        <v>0</v>
      </c>
      <c r="AB1047" s="8">
        <f t="shared" si="64"/>
        <v>0</v>
      </c>
      <c r="AC1047" s="8">
        <f t="shared" si="65"/>
        <v>0</v>
      </c>
      <c r="AD1047" s="8">
        <f t="shared" si="66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67"/>
        <v>LT. PINK</v>
      </c>
      <c r="AG1047" s="11" t="str">
        <f t="shared" si="68"/>
        <v>Bangalore</v>
      </c>
    </row>
    <row r="1048" spans="1:33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60"/>
        <v>441853798</v>
      </c>
      <c r="Y1048" s="8" t="str">
        <f t="shared" si="61"/>
        <v>DC</v>
      </c>
      <c r="Z1048" s="8">
        <f t="shared" si="62"/>
        <v>30</v>
      </c>
      <c r="AA1048" s="8">
        <f t="shared" si="63"/>
        <v>0</v>
      </c>
      <c r="AB1048" s="8">
        <f t="shared" si="64"/>
        <v>0</v>
      </c>
      <c r="AC1048" s="8">
        <f t="shared" si="65"/>
        <v>0</v>
      </c>
      <c r="AD1048" s="8">
        <f t="shared" si="66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67"/>
        <v>LT. PINK</v>
      </c>
      <c r="AG1048" s="11" t="str">
        <f t="shared" si="68"/>
        <v>JHAJJAR</v>
      </c>
    </row>
    <row r="1049" spans="1:33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60"/>
        <v>441853798</v>
      </c>
      <c r="Y1049" s="8" t="str">
        <f t="shared" si="61"/>
        <v>DC</v>
      </c>
      <c r="Z1049" s="8">
        <f t="shared" si="62"/>
        <v>0</v>
      </c>
      <c r="AA1049" s="8">
        <f t="shared" si="63"/>
        <v>0</v>
      </c>
      <c r="AB1049" s="8">
        <f t="shared" si="64"/>
        <v>123</v>
      </c>
      <c r="AC1049" s="8">
        <f t="shared" si="65"/>
        <v>0</v>
      </c>
      <c r="AD1049" s="8">
        <f t="shared" si="66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67"/>
        <v>LT. PINK</v>
      </c>
      <c r="AG1049" s="11" t="str">
        <f t="shared" si="68"/>
        <v>JHAJJAR</v>
      </c>
    </row>
    <row r="1050" spans="1:33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60"/>
        <v>441853798</v>
      </c>
      <c r="Y1050" s="8" t="str">
        <f t="shared" si="61"/>
        <v>DC</v>
      </c>
      <c r="Z1050" s="8">
        <f t="shared" si="62"/>
        <v>0</v>
      </c>
      <c r="AA1050" s="8">
        <f t="shared" si="63"/>
        <v>0</v>
      </c>
      <c r="AB1050" s="8">
        <f t="shared" si="64"/>
        <v>0</v>
      </c>
      <c r="AC1050" s="8">
        <f t="shared" si="65"/>
        <v>161</v>
      </c>
      <c r="AD1050" s="8">
        <f t="shared" si="66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67"/>
        <v>LT. PINK</v>
      </c>
      <c r="AG1050" s="11" t="str">
        <f t="shared" si="68"/>
        <v>JHAJJAR</v>
      </c>
    </row>
    <row r="1051" spans="1:33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60"/>
        <v>441853798</v>
      </c>
      <c r="Y1051" s="8" t="str">
        <f t="shared" si="61"/>
        <v>DC</v>
      </c>
      <c r="Z1051" s="8">
        <f t="shared" si="62"/>
        <v>30</v>
      </c>
      <c r="AA1051" s="8">
        <f t="shared" si="63"/>
        <v>0</v>
      </c>
      <c r="AB1051" s="8">
        <f t="shared" si="64"/>
        <v>0</v>
      </c>
      <c r="AC1051" s="8">
        <f t="shared" si="65"/>
        <v>0</v>
      </c>
      <c r="AD1051" s="8">
        <f t="shared" si="66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67"/>
        <v>LT. PINK</v>
      </c>
      <c r="AG1051" s="11" t="str">
        <f t="shared" si="68"/>
        <v>HARIPAL</v>
      </c>
    </row>
    <row r="1052" spans="1:33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60"/>
        <v>441853798</v>
      </c>
      <c r="Y1052" s="8" t="str">
        <f t="shared" si="61"/>
        <v>DC</v>
      </c>
      <c r="Z1052" s="8">
        <f t="shared" si="62"/>
        <v>0</v>
      </c>
      <c r="AA1052" s="8">
        <f t="shared" si="63"/>
        <v>0</v>
      </c>
      <c r="AB1052" s="8">
        <f t="shared" si="64"/>
        <v>126</v>
      </c>
      <c r="AC1052" s="8">
        <f t="shared" si="65"/>
        <v>0</v>
      </c>
      <c r="AD1052" s="8">
        <f t="shared" si="66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67"/>
        <v>LT. PINK</v>
      </c>
      <c r="AG1052" s="11" t="str">
        <f t="shared" si="68"/>
        <v>HARIPAL</v>
      </c>
    </row>
    <row r="1053" spans="1:33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60"/>
        <v>441853798</v>
      </c>
      <c r="Y1053" s="8" t="str">
        <f t="shared" si="61"/>
        <v>DC</v>
      </c>
      <c r="Z1053" s="8">
        <f t="shared" si="62"/>
        <v>0</v>
      </c>
      <c r="AA1053" s="8">
        <f t="shared" si="63"/>
        <v>0</v>
      </c>
      <c r="AB1053" s="8">
        <f t="shared" si="64"/>
        <v>0</v>
      </c>
      <c r="AC1053" s="8">
        <f t="shared" si="65"/>
        <v>165</v>
      </c>
      <c r="AD1053" s="8">
        <f t="shared" si="66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67"/>
        <v>LT. PINK</v>
      </c>
      <c r="AG1053" s="11" t="str">
        <f t="shared" si="68"/>
        <v>HARIPAL</v>
      </c>
    </row>
    <row r="1054" spans="1:33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60"/>
        <v>441853757</v>
      </c>
      <c r="Y1054" s="8" t="str">
        <f t="shared" si="61"/>
        <v>DC</v>
      </c>
      <c r="Z1054" s="8">
        <f t="shared" si="62"/>
        <v>30</v>
      </c>
      <c r="AA1054" s="8">
        <f t="shared" si="63"/>
        <v>0</v>
      </c>
      <c r="AB1054" s="8">
        <f t="shared" si="64"/>
        <v>0</v>
      </c>
      <c r="AC1054" s="8">
        <f t="shared" si="65"/>
        <v>0</v>
      </c>
      <c r="AD1054" s="8">
        <f t="shared" si="66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67"/>
        <v>BLACK</v>
      </c>
      <c r="AG1054" s="11" t="str">
        <f t="shared" si="68"/>
        <v>Bangalore</v>
      </c>
    </row>
    <row r="1055" spans="1:33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60"/>
        <v>441853757</v>
      </c>
      <c r="Y1055" s="8" t="str">
        <f t="shared" si="61"/>
        <v>DC</v>
      </c>
      <c r="Z1055" s="8">
        <f t="shared" si="62"/>
        <v>0</v>
      </c>
      <c r="AA1055" s="8">
        <f t="shared" si="63"/>
        <v>164</v>
      </c>
      <c r="AB1055" s="8">
        <f t="shared" si="64"/>
        <v>0</v>
      </c>
      <c r="AC1055" s="8">
        <f t="shared" si="65"/>
        <v>0</v>
      </c>
      <c r="AD1055" s="8">
        <f t="shared" si="66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67"/>
        <v>BLACK</v>
      </c>
      <c r="AG1055" s="11" t="str">
        <f t="shared" si="68"/>
        <v>Bangalore</v>
      </c>
    </row>
    <row r="1056" spans="1:33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60"/>
        <v>441853757</v>
      </c>
      <c r="Y1056" s="8" t="str">
        <f t="shared" si="61"/>
        <v>DC</v>
      </c>
      <c r="Z1056" s="8">
        <f t="shared" si="62"/>
        <v>0</v>
      </c>
      <c r="AA1056" s="8">
        <f t="shared" si="63"/>
        <v>0</v>
      </c>
      <c r="AB1056" s="8">
        <f t="shared" si="64"/>
        <v>146</v>
      </c>
      <c r="AC1056" s="8">
        <f t="shared" si="65"/>
        <v>0</v>
      </c>
      <c r="AD1056" s="8">
        <f t="shared" si="66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67"/>
        <v>BLACK</v>
      </c>
      <c r="AG1056" s="11" t="str">
        <f t="shared" si="68"/>
        <v>Bangalore</v>
      </c>
    </row>
    <row r="1057" spans="1:33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60"/>
        <v>441853757</v>
      </c>
      <c r="Y1057" s="8" t="str">
        <f t="shared" si="61"/>
        <v>DC</v>
      </c>
      <c r="Z1057" s="8">
        <f t="shared" si="62"/>
        <v>0</v>
      </c>
      <c r="AA1057" s="8">
        <f t="shared" si="63"/>
        <v>0</v>
      </c>
      <c r="AB1057" s="8">
        <f t="shared" si="64"/>
        <v>0</v>
      </c>
      <c r="AC1057" s="8">
        <f t="shared" si="65"/>
        <v>191</v>
      </c>
      <c r="AD1057" s="8">
        <f t="shared" si="66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67"/>
        <v>BLACK</v>
      </c>
      <c r="AG1057" s="11" t="str">
        <f t="shared" si="68"/>
        <v>Bangalore</v>
      </c>
    </row>
    <row r="1058" spans="1:33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60"/>
        <v>441853757</v>
      </c>
      <c r="Y1058" s="8" t="str">
        <f t="shared" si="61"/>
        <v>DC</v>
      </c>
      <c r="Z1058" s="8">
        <f t="shared" si="62"/>
        <v>0</v>
      </c>
      <c r="AA1058" s="8">
        <f t="shared" si="63"/>
        <v>0</v>
      </c>
      <c r="AB1058" s="8">
        <f t="shared" si="64"/>
        <v>0</v>
      </c>
      <c r="AC1058" s="8">
        <f t="shared" si="65"/>
        <v>0</v>
      </c>
      <c r="AD1058" s="8">
        <f t="shared" si="66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67"/>
        <v>BLACK</v>
      </c>
      <c r="AG1058" s="11" t="str">
        <f t="shared" si="68"/>
        <v>Bangalore</v>
      </c>
    </row>
    <row r="1059" spans="1:33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60"/>
        <v>441853743</v>
      </c>
      <c r="Y1059" s="8" t="str">
        <f t="shared" si="61"/>
        <v>DC</v>
      </c>
      <c r="Z1059" s="8">
        <f t="shared" si="62"/>
        <v>30</v>
      </c>
      <c r="AA1059" s="8">
        <f t="shared" si="63"/>
        <v>0</v>
      </c>
      <c r="AB1059" s="8">
        <f t="shared" si="64"/>
        <v>0</v>
      </c>
      <c r="AC1059" s="8">
        <f t="shared" si="65"/>
        <v>0</v>
      </c>
      <c r="AD1059" s="8">
        <f t="shared" si="66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67"/>
        <v>NAVY</v>
      </c>
      <c r="AG1059" s="11" t="str">
        <f t="shared" si="68"/>
        <v>Bangalore</v>
      </c>
    </row>
    <row r="1060" spans="1:33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60"/>
        <v>441853743</v>
      </c>
      <c r="Y1060" s="8" t="str">
        <f t="shared" si="61"/>
        <v>DC</v>
      </c>
      <c r="Z1060" s="8">
        <f t="shared" si="62"/>
        <v>0</v>
      </c>
      <c r="AA1060" s="8">
        <f t="shared" si="63"/>
        <v>98</v>
      </c>
      <c r="AB1060" s="8">
        <f t="shared" si="64"/>
        <v>0</v>
      </c>
      <c r="AC1060" s="8">
        <f t="shared" si="65"/>
        <v>0</v>
      </c>
      <c r="AD1060" s="8">
        <f t="shared" si="66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67"/>
        <v>NAVY</v>
      </c>
      <c r="AG1060" s="11" t="str">
        <f t="shared" si="68"/>
        <v>Bangalore</v>
      </c>
    </row>
    <row r="1061" spans="1:33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60"/>
        <v>441853743</v>
      </c>
      <c r="Y1061" s="8" t="str">
        <f t="shared" si="61"/>
        <v>DC</v>
      </c>
      <c r="Z1061" s="8">
        <f t="shared" si="62"/>
        <v>0</v>
      </c>
      <c r="AA1061" s="8">
        <f t="shared" si="63"/>
        <v>0</v>
      </c>
      <c r="AB1061" s="8">
        <f t="shared" si="64"/>
        <v>116</v>
      </c>
      <c r="AC1061" s="8">
        <f t="shared" si="65"/>
        <v>0</v>
      </c>
      <c r="AD1061" s="8">
        <f t="shared" si="66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67"/>
        <v>NAVY</v>
      </c>
      <c r="AG1061" s="11" t="str">
        <f t="shared" si="68"/>
        <v>Bangalore</v>
      </c>
    </row>
    <row r="1062" spans="1:33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60"/>
        <v>441853743</v>
      </c>
      <c r="Y1062" s="8" t="str">
        <f t="shared" si="61"/>
        <v>DC</v>
      </c>
      <c r="Z1062" s="8">
        <f t="shared" si="62"/>
        <v>0</v>
      </c>
      <c r="AA1062" s="8">
        <f t="shared" si="63"/>
        <v>0</v>
      </c>
      <c r="AB1062" s="8">
        <f t="shared" si="64"/>
        <v>0</v>
      </c>
      <c r="AC1062" s="8">
        <f t="shared" si="65"/>
        <v>101</v>
      </c>
      <c r="AD1062" s="8">
        <f t="shared" si="66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67"/>
        <v>NAVY</v>
      </c>
      <c r="AG1062" s="11" t="str">
        <f t="shared" si="68"/>
        <v>Bangalore</v>
      </c>
    </row>
    <row r="1063" spans="1:33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60"/>
        <v>441853743</v>
      </c>
      <c r="Y1063" s="8" t="str">
        <f t="shared" si="61"/>
        <v>DC</v>
      </c>
      <c r="Z1063" s="8">
        <f t="shared" si="62"/>
        <v>0</v>
      </c>
      <c r="AA1063" s="8">
        <f t="shared" si="63"/>
        <v>0</v>
      </c>
      <c r="AB1063" s="8">
        <f t="shared" si="64"/>
        <v>0</v>
      </c>
      <c r="AC1063" s="8">
        <f t="shared" si="65"/>
        <v>0</v>
      </c>
      <c r="AD1063" s="8">
        <f t="shared" si="66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67"/>
        <v>NAVY</v>
      </c>
      <c r="AG1063" s="11" t="str">
        <f t="shared" si="68"/>
        <v>Bangalore</v>
      </c>
    </row>
    <row r="1064" spans="1:33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60"/>
        <v>441853757</v>
      </c>
      <c r="Y1064" s="8" t="str">
        <f t="shared" si="61"/>
        <v>DC</v>
      </c>
      <c r="Z1064" s="8">
        <f t="shared" si="62"/>
        <v>30</v>
      </c>
      <c r="AA1064" s="8">
        <f t="shared" si="63"/>
        <v>0</v>
      </c>
      <c r="AB1064" s="8">
        <f t="shared" si="64"/>
        <v>0</v>
      </c>
      <c r="AC1064" s="8">
        <f t="shared" si="65"/>
        <v>0</v>
      </c>
      <c r="AD1064" s="8">
        <f t="shared" si="66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67"/>
        <v>BLACK</v>
      </c>
      <c r="AG1064" s="11" t="str">
        <f t="shared" si="68"/>
        <v>JHAJJAR</v>
      </c>
    </row>
    <row r="1065" spans="1:33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60"/>
        <v>441853743</v>
      </c>
      <c r="Y1065" s="8" t="str">
        <f t="shared" si="61"/>
        <v>DC</v>
      </c>
      <c r="Z1065" s="8">
        <f t="shared" si="62"/>
        <v>30</v>
      </c>
      <c r="AA1065" s="8">
        <f t="shared" si="63"/>
        <v>0</v>
      </c>
      <c r="AB1065" s="8">
        <f t="shared" si="64"/>
        <v>0</v>
      </c>
      <c r="AC1065" s="8">
        <f t="shared" si="65"/>
        <v>0</v>
      </c>
      <c r="AD1065" s="8">
        <f t="shared" si="66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67"/>
        <v>NAVY</v>
      </c>
      <c r="AG1065" s="11" t="str">
        <f t="shared" si="68"/>
        <v>JHAJJAR</v>
      </c>
    </row>
    <row r="1066" spans="1:33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60"/>
        <v>441853743</v>
      </c>
      <c r="Y1066" s="8" t="str">
        <f t="shared" si="61"/>
        <v>DC</v>
      </c>
      <c r="Z1066" s="8">
        <f t="shared" si="62"/>
        <v>0</v>
      </c>
      <c r="AA1066" s="8">
        <f t="shared" si="63"/>
        <v>56</v>
      </c>
      <c r="AB1066" s="8">
        <f t="shared" si="64"/>
        <v>0</v>
      </c>
      <c r="AC1066" s="8">
        <f t="shared" si="65"/>
        <v>0</v>
      </c>
      <c r="AD1066" s="8">
        <f t="shared" si="66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67"/>
        <v>NAVY</v>
      </c>
      <c r="AG1066" s="11" t="str">
        <f t="shared" si="68"/>
        <v>JHAJJAR</v>
      </c>
    </row>
    <row r="1067" spans="1:33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60"/>
        <v>441853743</v>
      </c>
      <c r="Y1067" s="8" t="str">
        <f t="shared" si="61"/>
        <v>DC</v>
      </c>
      <c r="Z1067" s="8">
        <f t="shared" si="62"/>
        <v>0</v>
      </c>
      <c r="AA1067" s="8">
        <f t="shared" si="63"/>
        <v>0</v>
      </c>
      <c r="AB1067" s="8">
        <f t="shared" si="64"/>
        <v>66</v>
      </c>
      <c r="AC1067" s="8">
        <f t="shared" si="65"/>
        <v>0</v>
      </c>
      <c r="AD1067" s="8">
        <f t="shared" si="66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67"/>
        <v>NAVY</v>
      </c>
      <c r="AG1067" s="11" t="str">
        <f t="shared" si="68"/>
        <v>JHAJJAR</v>
      </c>
    </row>
    <row r="1068" spans="1:33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60"/>
        <v>441853743</v>
      </c>
      <c r="Y1068" s="8" t="str">
        <f t="shared" si="61"/>
        <v>DC</v>
      </c>
      <c r="Z1068" s="8">
        <f t="shared" si="62"/>
        <v>0</v>
      </c>
      <c r="AA1068" s="8">
        <f t="shared" si="63"/>
        <v>0</v>
      </c>
      <c r="AB1068" s="8">
        <f t="shared" si="64"/>
        <v>0</v>
      </c>
      <c r="AC1068" s="8">
        <f t="shared" si="65"/>
        <v>57</v>
      </c>
      <c r="AD1068" s="8">
        <f t="shared" si="66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67"/>
        <v>NAVY</v>
      </c>
      <c r="AG1068" s="11" t="str">
        <f t="shared" si="68"/>
        <v>JHAJJAR</v>
      </c>
    </row>
    <row r="1069" spans="1:33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60"/>
        <v>441853743</v>
      </c>
      <c r="Y1069" s="8" t="str">
        <f t="shared" si="61"/>
        <v>DC</v>
      </c>
      <c r="Z1069" s="8">
        <f t="shared" si="62"/>
        <v>0</v>
      </c>
      <c r="AA1069" s="8">
        <f t="shared" si="63"/>
        <v>0</v>
      </c>
      <c r="AB1069" s="8">
        <f t="shared" si="64"/>
        <v>0</v>
      </c>
      <c r="AC1069" s="8">
        <f t="shared" si="65"/>
        <v>0</v>
      </c>
      <c r="AD1069" s="8">
        <f t="shared" si="66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67"/>
        <v>NAVY</v>
      </c>
      <c r="AG1069" s="11" t="str">
        <f t="shared" si="68"/>
        <v>JHAJJAR</v>
      </c>
    </row>
    <row r="1070" spans="1:33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60"/>
        <v>441853743</v>
      </c>
      <c r="Y1070" s="8" t="str">
        <f t="shared" si="61"/>
        <v>DC</v>
      </c>
      <c r="Z1070" s="8">
        <f t="shared" si="62"/>
        <v>30</v>
      </c>
      <c r="AA1070" s="8">
        <f t="shared" si="63"/>
        <v>0</v>
      </c>
      <c r="AB1070" s="8">
        <f t="shared" si="64"/>
        <v>0</v>
      </c>
      <c r="AC1070" s="8">
        <f t="shared" si="65"/>
        <v>0</v>
      </c>
      <c r="AD1070" s="8">
        <f t="shared" si="66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67"/>
        <v>NAVY</v>
      </c>
      <c r="AG1070" s="11" t="str">
        <f t="shared" si="68"/>
        <v>HARIPAL</v>
      </c>
    </row>
    <row r="1071" spans="1:33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60"/>
        <v>441853743</v>
      </c>
      <c r="Y1071" s="8" t="str">
        <f t="shared" si="61"/>
        <v>DC</v>
      </c>
      <c r="Z1071" s="8">
        <f t="shared" si="62"/>
        <v>0</v>
      </c>
      <c r="AA1071" s="8">
        <f t="shared" si="63"/>
        <v>57</v>
      </c>
      <c r="AB1071" s="8">
        <f t="shared" si="64"/>
        <v>0</v>
      </c>
      <c r="AC1071" s="8">
        <f t="shared" si="65"/>
        <v>0</v>
      </c>
      <c r="AD1071" s="8">
        <f t="shared" si="66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67"/>
        <v>NAVY</v>
      </c>
      <c r="AG1071" s="11" t="str">
        <f t="shared" si="68"/>
        <v>HARIPAL</v>
      </c>
    </row>
    <row r="1072" spans="1:33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60"/>
        <v>441853743</v>
      </c>
      <c r="Y1072" s="8" t="str">
        <f t="shared" si="61"/>
        <v>DC</v>
      </c>
      <c r="Z1072" s="8">
        <f t="shared" si="62"/>
        <v>0</v>
      </c>
      <c r="AA1072" s="8">
        <f t="shared" si="63"/>
        <v>0</v>
      </c>
      <c r="AB1072" s="8">
        <f t="shared" si="64"/>
        <v>67</v>
      </c>
      <c r="AC1072" s="8">
        <f t="shared" si="65"/>
        <v>0</v>
      </c>
      <c r="AD1072" s="8">
        <f t="shared" si="66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67"/>
        <v>NAVY</v>
      </c>
      <c r="AG1072" s="11" t="str">
        <f t="shared" si="68"/>
        <v>HARIPAL</v>
      </c>
    </row>
    <row r="1073" spans="1:33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60"/>
        <v>441853743</v>
      </c>
      <c r="Y1073" s="8" t="str">
        <f t="shared" si="61"/>
        <v>DC</v>
      </c>
      <c r="Z1073" s="8">
        <f t="shared" si="62"/>
        <v>0</v>
      </c>
      <c r="AA1073" s="8">
        <f t="shared" si="63"/>
        <v>0</v>
      </c>
      <c r="AB1073" s="8">
        <f t="shared" si="64"/>
        <v>0</v>
      </c>
      <c r="AC1073" s="8">
        <f t="shared" si="65"/>
        <v>58</v>
      </c>
      <c r="AD1073" s="8">
        <f t="shared" si="66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67"/>
        <v>NAVY</v>
      </c>
      <c r="AG1073" s="11" t="str">
        <f t="shared" si="68"/>
        <v>HARIPAL</v>
      </c>
    </row>
    <row r="1074" spans="1:33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60"/>
        <v>441853743</v>
      </c>
      <c r="Y1074" s="8" t="str">
        <f t="shared" si="61"/>
        <v>DC</v>
      </c>
      <c r="Z1074" s="8">
        <f t="shared" si="62"/>
        <v>0</v>
      </c>
      <c r="AA1074" s="8">
        <f t="shared" si="63"/>
        <v>0</v>
      </c>
      <c r="AB1074" s="8">
        <f t="shared" si="64"/>
        <v>0</v>
      </c>
      <c r="AC1074" s="8">
        <f t="shared" si="65"/>
        <v>0</v>
      </c>
      <c r="AD1074" s="8">
        <f t="shared" si="66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67"/>
        <v>NAVY</v>
      </c>
      <c r="AG1074" s="11" t="str">
        <f t="shared" si="68"/>
        <v>HARIPAL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2026-05-27T06:37:46Z</dcterms:modified>
</cp:coreProperties>
</file>